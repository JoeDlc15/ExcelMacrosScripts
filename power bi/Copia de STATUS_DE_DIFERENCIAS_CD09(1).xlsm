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limac\Downloads\DINET\power bi\"/>
    </mc:Choice>
  </mc:AlternateContent>
  <xr:revisionPtr revIDLastSave="0" documentId="13_ncr:1_{B6BB87E0-69DA-4A11-9721-5DDB99015FF5}" xr6:coauthVersionLast="47" xr6:coauthVersionMax="47" xr10:uidLastSave="{00000000-0000-0000-0000-000000000000}"/>
  <bookViews>
    <workbookView xWindow="-20520" yWindow="-120" windowWidth="20640" windowHeight="11040" xr2:uid="{00000000-000D-0000-FFFF-FFFF00000000}"/>
  </bookViews>
  <sheets>
    <sheet name="RESUMEN" sheetId="4" r:id="rId1"/>
    <sheet name="TB" sheetId="3" r:id="rId2"/>
    <sheet name="DATA" sheetId="1" r:id="rId3"/>
    <sheet name="Hoja1" sheetId="5" r:id="rId4"/>
    <sheet name="DATOS" sheetId="2" r:id="rId5"/>
  </sheets>
  <definedNames>
    <definedName name="_xlnm._FilterDatabase" localSheetId="4" hidden="1">DATOS!$O$1:$R$11</definedName>
    <definedName name="SegmentaciónDeDatos_MES1">#N/A</definedName>
    <definedName name="SegmentaciónDeDatos_QUINCENA">#N/A</definedName>
    <definedName name="SegmentaciónDeDatos_STATUS_AJUSTE">#N/A</definedName>
  </definedNames>
  <calcPr calcId="19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62" i="1" l="1"/>
  <c r="S461" i="1"/>
  <c r="S460" i="1"/>
  <c r="E19" i="3"/>
  <c r="F19" i="3" s="1"/>
  <c r="A19" i="3"/>
  <c r="E463" i="1" l="1"/>
  <c r="E464" i="1"/>
  <c r="E465" i="1"/>
  <c r="R464" i="1"/>
  <c r="R465" i="1"/>
  <c r="S464" i="1"/>
  <c r="S465" i="1"/>
  <c r="T464" i="1"/>
  <c r="T465" i="1"/>
  <c r="U464" i="1"/>
  <c r="U465" i="1"/>
  <c r="V464" i="1"/>
  <c r="V465" i="1"/>
  <c r="R463" i="1"/>
  <c r="S463" i="1"/>
  <c r="T463" i="1"/>
  <c r="U463" i="1"/>
  <c r="V463" i="1"/>
  <c r="E460" i="1" l="1"/>
  <c r="E461" i="1"/>
  <c r="E462" i="1"/>
  <c r="R460" i="1"/>
  <c r="R461" i="1"/>
  <c r="R462" i="1"/>
  <c r="T460" i="1"/>
  <c r="T461" i="1"/>
  <c r="T462" i="1"/>
  <c r="U460" i="1"/>
  <c r="U461" i="1"/>
  <c r="U462" i="1"/>
  <c r="V460" i="1"/>
  <c r="V461" i="1"/>
  <c r="V462" i="1"/>
  <c r="E459" i="1"/>
  <c r="E458" i="1"/>
  <c r="E457" i="1"/>
  <c r="R457" i="1"/>
  <c r="R458" i="1"/>
  <c r="R459" i="1"/>
  <c r="S457" i="1"/>
  <c r="S458" i="1"/>
  <c r="S459" i="1"/>
  <c r="T457" i="1"/>
  <c r="T458" i="1"/>
  <c r="T459" i="1"/>
  <c r="U457" i="1"/>
  <c r="U458" i="1"/>
  <c r="U459" i="1"/>
  <c r="V457" i="1"/>
  <c r="V458" i="1"/>
  <c r="V459" i="1"/>
  <c r="E456" i="1" l="1"/>
  <c r="R456" i="1"/>
  <c r="S456" i="1"/>
  <c r="T456" i="1"/>
  <c r="U456" i="1"/>
  <c r="V456" i="1"/>
  <c r="E455" i="1" l="1"/>
  <c r="R455" i="1"/>
  <c r="S455" i="1"/>
  <c r="T455" i="1"/>
  <c r="U455" i="1"/>
  <c r="V455" i="1"/>
  <c r="E454" i="1"/>
  <c r="R454" i="1"/>
  <c r="S454" i="1"/>
  <c r="T454" i="1"/>
  <c r="U454" i="1"/>
  <c r="V454" i="1"/>
  <c r="U450" i="1" l="1"/>
  <c r="R449" i="1" l="1"/>
  <c r="R450" i="1"/>
  <c r="S449" i="1"/>
  <c r="S450" i="1"/>
  <c r="T449" i="1"/>
  <c r="T450" i="1"/>
  <c r="U449" i="1"/>
  <c r="V449" i="1"/>
  <c r="V450" i="1"/>
  <c r="R423" i="1" l="1"/>
  <c r="S423" i="1"/>
  <c r="T423" i="1"/>
  <c r="U423" i="1"/>
  <c r="V423" i="1"/>
  <c r="E447" i="1" l="1"/>
  <c r="R447" i="1"/>
  <c r="S447" i="1"/>
  <c r="T447" i="1"/>
  <c r="U447" i="1"/>
  <c r="V447" i="1"/>
  <c r="E453" i="1"/>
  <c r="R453" i="1"/>
  <c r="S453" i="1"/>
  <c r="T453" i="1"/>
  <c r="U453" i="1"/>
  <c r="V453" i="1"/>
  <c r="R441" i="1"/>
  <c r="R442" i="1"/>
  <c r="R451" i="1"/>
  <c r="E443" i="1"/>
  <c r="E452" i="1"/>
  <c r="E451" i="1"/>
  <c r="E442" i="1"/>
  <c r="E441" i="1"/>
  <c r="R452" i="1"/>
  <c r="R443" i="1"/>
  <c r="S442" i="1"/>
  <c r="S451" i="1"/>
  <c r="S452" i="1"/>
  <c r="S443" i="1"/>
  <c r="T442" i="1"/>
  <c r="T451" i="1"/>
  <c r="T452" i="1"/>
  <c r="T443" i="1"/>
  <c r="U442" i="1"/>
  <c r="U451" i="1"/>
  <c r="U452" i="1"/>
  <c r="U443" i="1"/>
  <c r="V442" i="1"/>
  <c r="V451" i="1"/>
  <c r="V452" i="1"/>
  <c r="V443" i="1"/>
  <c r="S441" i="1"/>
  <c r="T441" i="1"/>
  <c r="U441" i="1"/>
  <c r="V441" i="1"/>
  <c r="R448" i="1" l="1"/>
  <c r="S448" i="1"/>
  <c r="T448" i="1"/>
  <c r="U448" i="1"/>
  <c r="V448" i="1"/>
  <c r="R428" i="1" l="1"/>
  <c r="S428" i="1"/>
  <c r="T428" i="1"/>
  <c r="U428" i="1"/>
  <c r="V428" i="1"/>
  <c r="R445" i="1"/>
  <c r="S445" i="1"/>
  <c r="T445" i="1"/>
  <c r="U445" i="1"/>
  <c r="V445" i="1"/>
  <c r="R438" i="1"/>
  <c r="S438" i="1"/>
  <c r="T438" i="1"/>
  <c r="U438" i="1"/>
  <c r="V438" i="1"/>
  <c r="R436" i="1"/>
  <c r="R437" i="1"/>
  <c r="S436" i="1"/>
  <c r="S437" i="1"/>
  <c r="T436" i="1"/>
  <c r="T437" i="1"/>
  <c r="U436" i="1"/>
  <c r="U437" i="1"/>
  <c r="V436" i="1"/>
  <c r="V437" i="1"/>
  <c r="R435" i="1"/>
  <c r="S435" i="1"/>
  <c r="T435" i="1"/>
  <c r="U435" i="1"/>
  <c r="V435" i="1"/>
  <c r="R440" i="1"/>
  <c r="S440" i="1"/>
  <c r="T440" i="1"/>
  <c r="U440" i="1"/>
  <c r="V440" i="1"/>
  <c r="R434" i="1"/>
  <c r="S434" i="1"/>
  <c r="T434" i="1"/>
  <c r="U434" i="1"/>
  <c r="V434" i="1"/>
  <c r="R433" i="1"/>
  <c r="S433" i="1"/>
  <c r="T433" i="1"/>
  <c r="U433" i="1"/>
  <c r="V433" i="1"/>
  <c r="R430" i="1"/>
  <c r="R431" i="1"/>
  <c r="R432" i="1"/>
  <c r="S430" i="1"/>
  <c r="S431" i="1"/>
  <c r="S432" i="1"/>
  <c r="T430" i="1"/>
  <c r="T431" i="1"/>
  <c r="T432" i="1"/>
  <c r="U430" i="1"/>
  <c r="U431" i="1"/>
  <c r="U432" i="1"/>
  <c r="V430" i="1"/>
  <c r="V431" i="1"/>
  <c r="V432" i="1"/>
  <c r="R429" i="1"/>
  <c r="S429" i="1"/>
  <c r="T429" i="1"/>
  <c r="U429" i="1"/>
  <c r="V429" i="1"/>
  <c r="R439" i="1" l="1"/>
  <c r="S439" i="1"/>
  <c r="T439" i="1"/>
  <c r="U439" i="1"/>
  <c r="V439" i="1"/>
  <c r="R426" i="1" l="1"/>
  <c r="R444" i="1"/>
  <c r="S426" i="1"/>
  <c r="S444" i="1"/>
  <c r="T426" i="1"/>
  <c r="T444" i="1"/>
  <c r="U426" i="1"/>
  <c r="U444" i="1"/>
  <c r="V426" i="1"/>
  <c r="V444" i="1"/>
  <c r="S422" i="1" l="1"/>
  <c r="R414" i="1"/>
  <c r="R415" i="1"/>
  <c r="R422" i="1"/>
  <c r="R421" i="1"/>
  <c r="R424" i="1"/>
  <c r="R425" i="1"/>
  <c r="R427" i="1"/>
  <c r="R446" i="1"/>
  <c r="S414" i="1"/>
  <c r="S415" i="1"/>
  <c r="S421" i="1"/>
  <c r="S424" i="1"/>
  <c r="S425" i="1"/>
  <c r="S427" i="1"/>
  <c r="S446" i="1"/>
  <c r="T414" i="1"/>
  <c r="T415" i="1"/>
  <c r="T422" i="1"/>
  <c r="T421" i="1"/>
  <c r="T424" i="1"/>
  <c r="T425" i="1"/>
  <c r="T427" i="1"/>
  <c r="T446" i="1"/>
  <c r="U414" i="1"/>
  <c r="U415" i="1"/>
  <c r="U422" i="1"/>
  <c r="U421" i="1"/>
  <c r="U424" i="1"/>
  <c r="U425" i="1"/>
  <c r="U427" i="1"/>
  <c r="U446" i="1"/>
  <c r="V414" i="1"/>
  <c r="V415" i="1"/>
  <c r="V422" i="1"/>
  <c r="V421" i="1"/>
  <c r="V424" i="1"/>
  <c r="V425" i="1"/>
  <c r="V427" i="1"/>
  <c r="V446" i="1"/>
  <c r="E419" i="1" l="1"/>
  <c r="E407" i="1"/>
  <c r="E408" i="1"/>
  <c r="E416" i="1"/>
  <c r="R419" i="1"/>
  <c r="R407" i="1"/>
  <c r="R408" i="1"/>
  <c r="R416" i="1"/>
  <c r="S419" i="1"/>
  <c r="S407" i="1"/>
  <c r="S408" i="1"/>
  <c r="S416" i="1"/>
  <c r="T419" i="1"/>
  <c r="T407" i="1"/>
  <c r="T408" i="1"/>
  <c r="T416" i="1"/>
  <c r="U419" i="1"/>
  <c r="U407" i="1"/>
  <c r="U408" i="1"/>
  <c r="U416" i="1"/>
  <c r="V419" i="1"/>
  <c r="V407" i="1"/>
  <c r="V408" i="1"/>
  <c r="V416" i="1"/>
  <c r="E420" i="1"/>
  <c r="E418" i="1"/>
  <c r="E417" i="1"/>
  <c r="R417" i="1"/>
  <c r="R420" i="1"/>
  <c r="R418" i="1"/>
  <c r="S417" i="1"/>
  <c r="S420" i="1"/>
  <c r="S418" i="1"/>
  <c r="T417" i="1"/>
  <c r="T420" i="1"/>
  <c r="T418" i="1"/>
  <c r="U417" i="1"/>
  <c r="U420" i="1"/>
  <c r="U418" i="1"/>
  <c r="V417" i="1"/>
  <c r="V420" i="1"/>
  <c r="V418" i="1"/>
  <c r="R411" i="1" l="1"/>
  <c r="R412" i="1"/>
  <c r="R413" i="1"/>
  <c r="S411" i="1"/>
  <c r="S412" i="1"/>
  <c r="S413" i="1"/>
  <c r="T411" i="1"/>
  <c r="T412" i="1"/>
  <c r="T413" i="1"/>
  <c r="U411" i="1"/>
  <c r="U412" i="1"/>
  <c r="U413" i="1"/>
  <c r="V411" i="1"/>
  <c r="V412" i="1"/>
  <c r="V413" i="1"/>
  <c r="R410" i="1" l="1"/>
  <c r="S410" i="1"/>
  <c r="T410" i="1"/>
  <c r="U410" i="1"/>
  <c r="V410" i="1"/>
  <c r="R409" i="1"/>
  <c r="S409" i="1"/>
  <c r="T409" i="1"/>
  <c r="U409" i="1"/>
  <c r="V409" i="1"/>
  <c r="R397" i="1" l="1"/>
  <c r="R374" i="1"/>
  <c r="S397" i="1"/>
  <c r="S374" i="1"/>
  <c r="T397" i="1"/>
  <c r="T374" i="1"/>
  <c r="U397" i="1"/>
  <c r="U374" i="1"/>
  <c r="V397" i="1"/>
  <c r="V374" i="1"/>
  <c r="R405" i="1" l="1"/>
  <c r="S405" i="1"/>
  <c r="T405" i="1"/>
  <c r="U405" i="1"/>
  <c r="V405" i="1"/>
  <c r="R404" i="1"/>
  <c r="S404" i="1"/>
  <c r="T404" i="1"/>
  <c r="U404" i="1"/>
  <c r="V404" i="1"/>
  <c r="R402" i="1"/>
  <c r="R403" i="1"/>
  <c r="S402" i="1"/>
  <c r="S403" i="1"/>
  <c r="T402" i="1"/>
  <c r="T403" i="1"/>
  <c r="U402" i="1"/>
  <c r="U403" i="1"/>
  <c r="V402" i="1"/>
  <c r="V403" i="1"/>
  <c r="R393" i="1" l="1"/>
  <c r="R370" i="1"/>
  <c r="R398" i="1"/>
  <c r="R394" i="1"/>
  <c r="R395" i="1"/>
  <c r="R396" i="1"/>
  <c r="R399" i="1"/>
  <c r="R400" i="1"/>
  <c r="R401" i="1"/>
  <c r="R359" i="1"/>
  <c r="S393" i="1"/>
  <c r="S370" i="1"/>
  <c r="S398" i="1"/>
  <c r="S394" i="1"/>
  <c r="S395" i="1"/>
  <c r="S396" i="1"/>
  <c r="S399" i="1"/>
  <c r="S400" i="1"/>
  <c r="S401" i="1"/>
  <c r="S359" i="1"/>
  <c r="T393" i="1"/>
  <c r="T370" i="1"/>
  <c r="T398" i="1"/>
  <c r="T394" i="1"/>
  <c r="T395" i="1"/>
  <c r="T396" i="1"/>
  <c r="T399" i="1"/>
  <c r="T400" i="1"/>
  <c r="T401" i="1"/>
  <c r="T359" i="1"/>
  <c r="U393" i="1"/>
  <c r="U370" i="1"/>
  <c r="U398" i="1"/>
  <c r="U394" i="1"/>
  <c r="U395" i="1"/>
  <c r="U396" i="1"/>
  <c r="U399" i="1"/>
  <c r="U400" i="1"/>
  <c r="U401" i="1"/>
  <c r="U359" i="1"/>
  <c r="V393" i="1"/>
  <c r="V370" i="1"/>
  <c r="V398" i="1"/>
  <c r="V394" i="1"/>
  <c r="V395" i="1"/>
  <c r="V396" i="1"/>
  <c r="V399" i="1"/>
  <c r="V400" i="1"/>
  <c r="V401" i="1"/>
  <c r="V359" i="1"/>
  <c r="R389" i="1"/>
  <c r="R406" i="1"/>
  <c r="R373" i="1"/>
  <c r="R390" i="1"/>
  <c r="R391" i="1"/>
  <c r="R392" i="1"/>
  <c r="S389" i="1"/>
  <c r="S406" i="1"/>
  <c r="S373" i="1"/>
  <c r="S390" i="1"/>
  <c r="S391" i="1"/>
  <c r="S392" i="1"/>
  <c r="T389" i="1"/>
  <c r="T406" i="1"/>
  <c r="T373" i="1"/>
  <c r="T390" i="1"/>
  <c r="T391" i="1"/>
  <c r="T392" i="1"/>
  <c r="U389" i="1"/>
  <c r="U406" i="1"/>
  <c r="U373" i="1"/>
  <c r="U390" i="1"/>
  <c r="U391" i="1"/>
  <c r="U392" i="1"/>
  <c r="V389" i="1"/>
  <c r="V406" i="1"/>
  <c r="V373" i="1"/>
  <c r="V390" i="1"/>
  <c r="V391" i="1"/>
  <c r="V392" i="1"/>
  <c r="R381" i="1" l="1"/>
  <c r="R383" i="1"/>
  <c r="S381" i="1"/>
  <c r="S383" i="1"/>
  <c r="T381" i="1"/>
  <c r="T383" i="1"/>
  <c r="U381" i="1"/>
  <c r="U383" i="1"/>
  <c r="V381" i="1"/>
  <c r="V383" i="1"/>
  <c r="F17" i="3"/>
  <c r="A18" i="3"/>
  <c r="F18" i="3"/>
  <c r="A17" i="3"/>
  <c r="E388" i="1" l="1"/>
  <c r="E379" i="1"/>
  <c r="R388" i="1"/>
  <c r="S388" i="1"/>
  <c r="T388" i="1"/>
  <c r="U388" i="1"/>
  <c r="V388" i="1"/>
  <c r="R379" i="1"/>
  <c r="S379" i="1"/>
  <c r="T379" i="1"/>
  <c r="U379" i="1"/>
  <c r="V379" i="1"/>
  <c r="R386" i="1"/>
  <c r="R375" i="1"/>
  <c r="R380" i="1"/>
  <c r="R387" i="1"/>
  <c r="S386" i="1"/>
  <c r="S375" i="1"/>
  <c r="S380" i="1"/>
  <c r="S387" i="1"/>
  <c r="T386" i="1"/>
  <c r="T375" i="1"/>
  <c r="T380" i="1"/>
  <c r="T387" i="1"/>
  <c r="U386" i="1"/>
  <c r="U375" i="1"/>
  <c r="U380" i="1"/>
  <c r="U387" i="1"/>
  <c r="V386" i="1"/>
  <c r="V375" i="1"/>
  <c r="V380" i="1"/>
  <c r="V387" i="1"/>
  <c r="R385" i="1"/>
  <c r="S385" i="1"/>
  <c r="T385" i="1"/>
  <c r="U385" i="1"/>
  <c r="V385" i="1"/>
  <c r="R382" i="1" l="1"/>
  <c r="S382" i="1"/>
  <c r="T382" i="1"/>
  <c r="U382" i="1"/>
  <c r="V382" i="1"/>
  <c r="Q378" i="1"/>
  <c r="Q377" i="1"/>
  <c r="Q372" i="1"/>
  <c r="R378" i="1" l="1"/>
  <c r="S378" i="1"/>
  <c r="T378" i="1"/>
  <c r="U378" i="1"/>
  <c r="V378" i="1"/>
  <c r="S377" i="1" l="1"/>
  <c r="T377" i="1"/>
  <c r="U377" i="1"/>
  <c r="V377" i="1"/>
  <c r="U372" i="1" l="1"/>
  <c r="R372" i="1"/>
  <c r="S372" i="1"/>
  <c r="T372" i="1"/>
  <c r="V372" i="1"/>
  <c r="Q304" i="1" l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76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1" i="1"/>
  <c r="Q332" i="1"/>
  <c r="Q333" i="1"/>
  <c r="Q334" i="1"/>
  <c r="Q335" i="1"/>
  <c r="Q336" i="1"/>
  <c r="Q337" i="1"/>
  <c r="Q338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5" i="1"/>
  <c r="Q358" i="1"/>
  <c r="Q356" i="1"/>
  <c r="Q360" i="1"/>
  <c r="Q363" i="1"/>
  <c r="Q364" i="1"/>
  <c r="Q365" i="1"/>
  <c r="Q384" i="1"/>
  <c r="Q366" i="1"/>
  <c r="Q367" i="1"/>
  <c r="Q368" i="1"/>
  <c r="Q369" i="1"/>
  <c r="Q339" i="1"/>
  <c r="Q340" i="1"/>
  <c r="Q354" i="1"/>
  <c r="Q357" i="1"/>
  <c r="Q362" i="1"/>
  <c r="Q361" i="1"/>
  <c r="Q371" i="1"/>
  <c r="E16" i="3" l="1"/>
  <c r="R371" i="1" l="1"/>
  <c r="S371" i="1"/>
  <c r="T371" i="1"/>
  <c r="U371" i="1"/>
  <c r="V371" i="1"/>
  <c r="R361" i="1"/>
  <c r="S361" i="1"/>
  <c r="T361" i="1"/>
  <c r="U361" i="1"/>
  <c r="V361" i="1"/>
  <c r="R362" i="1"/>
  <c r="S362" i="1"/>
  <c r="T362" i="1"/>
  <c r="U362" i="1"/>
  <c r="V362" i="1"/>
  <c r="R357" i="1"/>
  <c r="S357" i="1"/>
  <c r="T357" i="1"/>
  <c r="U357" i="1"/>
  <c r="V357" i="1"/>
  <c r="R354" i="1"/>
  <c r="S354" i="1"/>
  <c r="T354" i="1"/>
  <c r="U354" i="1"/>
  <c r="V354" i="1"/>
  <c r="R340" i="1"/>
  <c r="S340" i="1"/>
  <c r="T340" i="1"/>
  <c r="U340" i="1"/>
  <c r="V340" i="1"/>
  <c r="R339" i="1"/>
  <c r="S339" i="1"/>
  <c r="T339" i="1"/>
  <c r="U339" i="1"/>
  <c r="V339" i="1"/>
  <c r="R368" i="1" l="1"/>
  <c r="R369" i="1"/>
  <c r="S368" i="1"/>
  <c r="S369" i="1"/>
  <c r="T368" i="1"/>
  <c r="T369" i="1"/>
  <c r="U368" i="1"/>
  <c r="U369" i="1"/>
  <c r="V368" i="1"/>
  <c r="V369" i="1"/>
  <c r="R367" i="1"/>
  <c r="S367" i="1"/>
  <c r="T367" i="1"/>
  <c r="U367" i="1"/>
  <c r="V367" i="1"/>
  <c r="R366" i="1" l="1"/>
  <c r="S366" i="1"/>
  <c r="T366" i="1"/>
  <c r="U366" i="1"/>
  <c r="V366" i="1"/>
  <c r="R365" i="1"/>
  <c r="R384" i="1"/>
  <c r="S365" i="1"/>
  <c r="S384" i="1"/>
  <c r="T365" i="1"/>
  <c r="T384" i="1"/>
  <c r="U365" i="1"/>
  <c r="U384" i="1"/>
  <c r="V365" i="1"/>
  <c r="V384" i="1"/>
  <c r="R364" i="1"/>
  <c r="S364" i="1"/>
  <c r="T364" i="1"/>
  <c r="U364" i="1"/>
  <c r="V364" i="1"/>
  <c r="R363" i="1"/>
  <c r="S363" i="1"/>
  <c r="T363" i="1"/>
  <c r="U363" i="1"/>
  <c r="V363" i="1"/>
  <c r="R360" i="1" l="1"/>
  <c r="S360" i="1"/>
  <c r="T360" i="1"/>
  <c r="U360" i="1"/>
  <c r="V360" i="1"/>
  <c r="R329" i="1" l="1"/>
  <c r="S329" i="1"/>
  <c r="T329" i="1"/>
  <c r="U329" i="1"/>
  <c r="V329" i="1"/>
  <c r="R356" i="1" l="1"/>
  <c r="S356" i="1"/>
  <c r="T356" i="1"/>
  <c r="U356" i="1"/>
  <c r="V356" i="1"/>
  <c r="R355" i="1"/>
  <c r="R358" i="1"/>
  <c r="S355" i="1"/>
  <c r="S358" i="1"/>
  <c r="T355" i="1"/>
  <c r="T358" i="1"/>
  <c r="U355" i="1"/>
  <c r="U358" i="1"/>
  <c r="V355" i="1"/>
  <c r="V358" i="1"/>
  <c r="R353" i="1" l="1"/>
  <c r="S353" i="1"/>
  <c r="T353" i="1"/>
  <c r="U353" i="1"/>
  <c r="V353" i="1"/>
  <c r="R352" i="1"/>
  <c r="S352" i="1"/>
  <c r="T352" i="1"/>
  <c r="U352" i="1"/>
  <c r="V352" i="1"/>
  <c r="R351" i="1"/>
  <c r="S351" i="1"/>
  <c r="T351" i="1"/>
  <c r="U351" i="1"/>
  <c r="V351" i="1"/>
  <c r="R349" i="1"/>
  <c r="R350" i="1"/>
  <c r="S349" i="1"/>
  <c r="S350" i="1"/>
  <c r="T349" i="1"/>
  <c r="T350" i="1"/>
  <c r="U349" i="1"/>
  <c r="U350" i="1"/>
  <c r="V349" i="1"/>
  <c r="V350" i="1"/>
  <c r="R348" i="1" l="1"/>
  <c r="S348" i="1"/>
  <c r="T348" i="1"/>
  <c r="U348" i="1"/>
  <c r="V348" i="1"/>
  <c r="R345" i="1"/>
  <c r="R346" i="1"/>
  <c r="R347" i="1"/>
  <c r="S345" i="1"/>
  <c r="S346" i="1"/>
  <c r="S347" i="1"/>
  <c r="T345" i="1"/>
  <c r="T346" i="1"/>
  <c r="T347" i="1"/>
  <c r="U345" i="1"/>
  <c r="U346" i="1"/>
  <c r="U347" i="1"/>
  <c r="V345" i="1"/>
  <c r="V346" i="1"/>
  <c r="V347" i="1"/>
  <c r="R344" i="1" l="1"/>
  <c r="S344" i="1"/>
  <c r="T344" i="1"/>
  <c r="U344" i="1"/>
  <c r="V344" i="1"/>
  <c r="R343" i="1"/>
  <c r="S343" i="1"/>
  <c r="T343" i="1"/>
  <c r="U343" i="1"/>
  <c r="V343" i="1"/>
  <c r="R342" i="1"/>
  <c r="S342" i="1"/>
  <c r="T342" i="1"/>
  <c r="U342" i="1"/>
  <c r="V342" i="1"/>
  <c r="R341" i="1" l="1"/>
  <c r="S341" i="1"/>
  <c r="T341" i="1"/>
  <c r="U341" i="1"/>
  <c r="V341" i="1"/>
  <c r="R338" i="1" l="1"/>
  <c r="S338" i="1"/>
  <c r="T338" i="1"/>
  <c r="U338" i="1"/>
  <c r="V338" i="1"/>
  <c r="R337" i="1" l="1"/>
  <c r="S337" i="1"/>
  <c r="T337" i="1"/>
  <c r="U337" i="1"/>
  <c r="V337" i="1"/>
  <c r="R336" i="1"/>
  <c r="S336" i="1"/>
  <c r="T336" i="1"/>
  <c r="U336" i="1"/>
  <c r="V336" i="1"/>
  <c r="R335" i="1" l="1"/>
  <c r="S335" i="1"/>
  <c r="T335" i="1"/>
  <c r="U335" i="1"/>
  <c r="V335" i="1"/>
  <c r="R334" i="1"/>
  <c r="S334" i="1"/>
  <c r="T334" i="1"/>
  <c r="U334" i="1"/>
  <c r="V334" i="1"/>
  <c r="R332" i="1"/>
  <c r="R333" i="1"/>
  <c r="S332" i="1"/>
  <c r="S333" i="1"/>
  <c r="T332" i="1"/>
  <c r="T333" i="1"/>
  <c r="U332" i="1"/>
  <c r="U333" i="1"/>
  <c r="V332" i="1"/>
  <c r="V333" i="1"/>
  <c r="R331" i="1"/>
  <c r="S331" i="1"/>
  <c r="T331" i="1"/>
  <c r="U331" i="1"/>
  <c r="V331" i="1"/>
  <c r="M320" i="1" l="1"/>
  <c r="R328" i="1"/>
  <c r="S328" i="1"/>
  <c r="T328" i="1"/>
  <c r="U328" i="1"/>
  <c r="V328" i="1"/>
  <c r="R326" i="1" l="1"/>
  <c r="R327" i="1"/>
  <c r="S326" i="1"/>
  <c r="S327" i="1"/>
  <c r="T326" i="1"/>
  <c r="T327" i="1"/>
  <c r="U326" i="1"/>
  <c r="U327" i="1"/>
  <c r="V326" i="1"/>
  <c r="V327" i="1"/>
  <c r="R324" i="1"/>
  <c r="R325" i="1"/>
  <c r="S324" i="1"/>
  <c r="S325" i="1"/>
  <c r="T324" i="1"/>
  <c r="T325" i="1"/>
  <c r="U324" i="1"/>
  <c r="U325" i="1"/>
  <c r="V324" i="1"/>
  <c r="V325" i="1"/>
  <c r="R320" i="1" l="1"/>
  <c r="R321" i="1"/>
  <c r="R322" i="1"/>
  <c r="R323" i="1"/>
  <c r="S320" i="1"/>
  <c r="S321" i="1"/>
  <c r="S322" i="1"/>
  <c r="S323" i="1"/>
  <c r="T320" i="1"/>
  <c r="T321" i="1"/>
  <c r="T322" i="1"/>
  <c r="T323" i="1"/>
  <c r="U320" i="1"/>
  <c r="U321" i="1"/>
  <c r="U322" i="1"/>
  <c r="U323" i="1"/>
  <c r="V320" i="1"/>
  <c r="V321" i="1"/>
  <c r="V322" i="1"/>
  <c r="V323" i="1"/>
  <c r="R263" i="1" l="1"/>
  <c r="S263" i="1"/>
  <c r="T263" i="1"/>
  <c r="U263" i="1"/>
  <c r="V263" i="1"/>
  <c r="R262" i="1"/>
  <c r="S262" i="1"/>
  <c r="T262" i="1"/>
  <c r="U262" i="1"/>
  <c r="V262" i="1"/>
  <c r="R289" i="1" l="1"/>
  <c r="S289" i="1"/>
  <c r="T289" i="1"/>
  <c r="U289" i="1"/>
  <c r="V289" i="1"/>
  <c r="R304" i="1"/>
  <c r="S304" i="1"/>
  <c r="T304" i="1"/>
  <c r="U304" i="1"/>
  <c r="V304" i="1"/>
  <c r="R319" i="1" l="1"/>
  <c r="S319" i="1"/>
  <c r="T319" i="1"/>
  <c r="U319" i="1"/>
  <c r="V319" i="1"/>
  <c r="R318" i="1" l="1"/>
  <c r="S318" i="1"/>
  <c r="T318" i="1"/>
  <c r="U318" i="1"/>
  <c r="V318" i="1"/>
  <c r="R376" i="1" l="1"/>
  <c r="S376" i="1"/>
  <c r="T376" i="1"/>
  <c r="U376" i="1"/>
  <c r="V376" i="1"/>
  <c r="R316" i="1" l="1"/>
  <c r="R317" i="1"/>
  <c r="S316" i="1"/>
  <c r="S317" i="1"/>
  <c r="T316" i="1"/>
  <c r="T317" i="1"/>
  <c r="U316" i="1"/>
  <c r="U317" i="1"/>
  <c r="V316" i="1"/>
  <c r="V317" i="1"/>
  <c r="R308" i="1" l="1"/>
  <c r="S308" i="1"/>
  <c r="T308" i="1"/>
  <c r="U308" i="1"/>
  <c r="V308" i="1"/>
  <c r="R315" i="1" l="1"/>
  <c r="S315" i="1"/>
  <c r="T315" i="1"/>
  <c r="U315" i="1"/>
  <c r="V315" i="1"/>
  <c r="R314" i="1"/>
  <c r="S314" i="1"/>
  <c r="T314" i="1"/>
  <c r="U314" i="1"/>
  <c r="V314" i="1"/>
  <c r="R313" i="1"/>
  <c r="S313" i="1"/>
  <c r="T313" i="1"/>
  <c r="U313" i="1"/>
  <c r="V313" i="1"/>
  <c r="R309" i="1" l="1"/>
  <c r="S309" i="1"/>
  <c r="T309" i="1"/>
  <c r="U309" i="1"/>
  <c r="V309" i="1"/>
  <c r="R310" i="1" l="1"/>
  <c r="R311" i="1"/>
  <c r="R312" i="1"/>
  <c r="S310" i="1"/>
  <c r="S311" i="1"/>
  <c r="S312" i="1"/>
  <c r="T310" i="1"/>
  <c r="T311" i="1"/>
  <c r="T312" i="1"/>
  <c r="U310" i="1"/>
  <c r="U311" i="1"/>
  <c r="U312" i="1"/>
  <c r="V310" i="1"/>
  <c r="V311" i="1"/>
  <c r="V312" i="1"/>
  <c r="Q270" i="1" l="1"/>
  <c r="Q271" i="1"/>
  <c r="Q272" i="1"/>
  <c r="Q273" i="1"/>
  <c r="Q274" i="1"/>
  <c r="Q275" i="1"/>
  <c r="Q268" i="1"/>
  <c r="Q276" i="1"/>
  <c r="Q277" i="1"/>
  <c r="Q278" i="1"/>
  <c r="Q279" i="1"/>
  <c r="Q280" i="1"/>
  <c r="Q281" i="1"/>
  <c r="Q282" i="1"/>
  <c r="Q283" i="1"/>
  <c r="Q291" i="1"/>
  <c r="Q290" i="1"/>
  <c r="Q284" i="1"/>
  <c r="Q292" i="1"/>
  <c r="Q293" i="1"/>
  <c r="Q294" i="1"/>
  <c r="Q295" i="1"/>
  <c r="Q330" i="1"/>
  <c r="Q296" i="1"/>
  <c r="Q285" i="1"/>
  <c r="Q286" i="1"/>
  <c r="Q287" i="1"/>
  <c r="Q298" i="1"/>
  <c r="Q302" i="1"/>
  <c r="Q297" i="1"/>
  <c r="Q299" i="1"/>
  <c r="Q300" i="1"/>
  <c r="Q303" i="1"/>
  <c r="Q264" i="1"/>
  <c r="Q265" i="1"/>
  <c r="Q266" i="1"/>
  <c r="Q267" i="1"/>
  <c r="Q269" i="1"/>
  <c r="R249" i="1" l="1"/>
  <c r="R250" i="1"/>
  <c r="S249" i="1"/>
  <c r="S250" i="1"/>
  <c r="T249" i="1"/>
  <c r="T250" i="1"/>
  <c r="U249" i="1"/>
  <c r="U250" i="1"/>
  <c r="V249" i="1"/>
  <c r="V250" i="1"/>
  <c r="R248" i="1"/>
  <c r="S248" i="1"/>
  <c r="T248" i="1"/>
  <c r="U248" i="1"/>
  <c r="V248" i="1"/>
  <c r="R288" i="1"/>
  <c r="S288" i="1"/>
  <c r="T288" i="1"/>
  <c r="U288" i="1"/>
  <c r="V288" i="1"/>
  <c r="R301" i="1"/>
  <c r="S301" i="1"/>
  <c r="T301" i="1"/>
  <c r="U301" i="1"/>
  <c r="V301" i="1"/>
  <c r="R251" i="1" l="1"/>
  <c r="S251" i="1"/>
  <c r="T251" i="1"/>
  <c r="U251" i="1"/>
  <c r="V251" i="1"/>
  <c r="S305" i="1"/>
  <c r="S303" i="1"/>
  <c r="S307" i="1"/>
  <c r="S300" i="1"/>
  <c r="S299" i="1"/>
  <c r="S297" i="1"/>
  <c r="S302" i="1"/>
  <c r="S298" i="1"/>
  <c r="S287" i="1"/>
  <c r="S286" i="1"/>
  <c r="S285" i="1"/>
  <c r="S296" i="1"/>
  <c r="S330" i="1"/>
  <c r="S295" i="1"/>
  <c r="S294" i="1"/>
  <c r="S293" i="1"/>
  <c r="S292" i="1"/>
  <c r="S284" i="1"/>
  <c r="S290" i="1"/>
  <c r="S291" i="1"/>
  <c r="S283" i="1"/>
  <c r="S282" i="1"/>
  <c r="S281" i="1"/>
  <c r="S280" i="1"/>
  <c r="S279" i="1"/>
  <c r="S278" i="1"/>
  <c r="S277" i="1"/>
  <c r="S276" i="1"/>
  <c r="S268" i="1"/>
  <c r="S275" i="1"/>
  <c r="S274" i="1"/>
  <c r="S273" i="1"/>
  <c r="S272" i="1"/>
  <c r="S271" i="1"/>
  <c r="S270" i="1"/>
  <c r="S269" i="1"/>
  <c r="S267" i="1"/>
  <c r="S266" i="1"/>
  <c r="S265" i="1"/>
  <c r="S264" i="1"/>
  <c r="S259" i="1"/>
  <c r="S261" i="1"/>
  <c r="S260" i="1"/>
  <c r="S258" i="1"/>
  <c r="S257" i="1"/>
  <c r="S256" i="1"/>
  <c r="S255" i="1"/>
  <c r="S246" i="1"/>
  <c r="S254" i="1"/>
  <c r="S253" i="1"/>
  <c r="S244" i="1"/>
  <c r="S247" i="1"/>
  <c r="S243" i="1"/>
  <c r="S242" i="1"/>
  <c r="S240" i="1"/>
  <c r="S239" i="1"/>
  <c r="S238" i="1"/>
  <c r="S237" i="1"/>
  <c r="S235" i="1"/>
  <c r="S236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1" i="1"/>
  <c r="S222" i="1"/>
  <c r="S220" i="1"/>
  <c r="S219" i="1"/>
  <c r="S212" i="1"/>
  <c r="S215" i="1"/>
  <c r="S214" i="1"/>
  <c r="S213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6" i="1"/>
  <c r="S195" i="1"/>
  <c r="S197" i="1"/>
  <c r="S194" i="1"/>
  <c r="S193" i="1"/>
  <c r="S190" i="1"/>
  <c r="S189" i="1"/>
  <c r="S188" i="1"/>
  <c r="S192" i="1"/>
  <c r="S186" i="1"/>
  <c r="S185" i="1"/>
  <c r="S191" i="1"/>
  <c r="S184" i="1"/>
  <c r="S183" i="1"/>
  <c r="S187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69" i="1"/>
  <c r="S168" i="1"/>
  <c r="S170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S306" i="1"/>
  <c r="R306" i="1" l="1"/>
  <c r="T306" i="1"/>
  <c r="U306" i="1"/>
  <c r="V306" i="1"/>
  <c r="R305" i="1"/>
  <c r="T305" i="1"/>
  <c r="U305" i="1"/>
  <c r="V305" i="1"/>
  <c r="R303" i="1"/>
  <c r="T303" i="1"/>
  <c r="U303" i="1"/>
  <c r="V303" i="1"/>
  <c r="R307" i="1"/>
  <c r="T307" i="1"/>
  <c r="U307" i="1"/>
  <c r="V307" i="1"/>
  <c r="R300" i="1" l="1"/>
  <c r="T300" i="1"/>
  <c r="U300" i="1"/>
  <c r="V300" i="1"/>
  <c r="R297" i="1" l="1"/>
  <c r="R299" i="1"/>
  <c r="T297" i="1"/>
  <c r="T299" i="1"/>
  <c r="U297" i="1"/>
  <c r="U299" i="1"/>
  <c r="V297" i="1"/>
  <c r="V299" i="1"/>
  <c r="R302" i="1"/>
  <c r="T302" i="1"/>
  <c r="U302" i="1"/>
  <c r="V302" i="1"/>
  <c r="R298" i="1"/>
  <c r="T298" i="1"/>
  <c r="U298" i="1"/>
  <c r="V298" i="1"/>
  <c r="R287" i="1" l="1"/>
  <c r="T287" i="1"/>
  <c r="U287" i="1"/>
  <c r="V287" i="1"/>
  <c r="R286" i="1"/>
  <c r="T286" i="1"/>
  <c r="U286" i="1"/>
  <c r="V286" i="1"/>
  <c r="R285" i="1"/>
  <c r="T285" i="1"/>
  <c r="U285" i="1"/>
  <c r="V285" i="1"/>
  <c r="R296" i="1" l="1"/>
  <c r="T296" i="1"/>
  <c r="U296" i="1"/>
  <c r="V296" i="1"/>
  <c r="R330" i="1"/>
  <c r="T330" i="1"/>
  <c r="U330" i="1"/>
  <c r="V330" i="1"/>
  <c r="R295" i="1"/>
  <c r="T295" i="1"/>
  <c r="U295" i="1"/>
  <c r="V295" i="1"/>
  <c r="R294" i="1" l="1"/>
  <c r="T294" i="1"/>
  <c r="U294" i="1"/>
  <c r="V294" i="1"/>
  <c r="R293" i="1"/>
  <c r="T293" i="1"/>
  <c r="U293" i="1"/>
  <c r="V293" i="1"/>
  <c r="R292" i="1"/>
  <c r="T292" i="1"/>
  <c r="U292" i="1"/>
  <c r="V292" i="1"/>
  <c r="R284" i="1" l="1"/>
  <c r="T284" i="1"/>
  <c r="U284" i="1"/>
  <c r="V284" i="1"/>
  <c r="R290" i="1" l="1"/>
  <c r="T290" i="1"/>
  <c r="U290" i="1"/>
  <c r="V290" i="1"/>
  <c r="R291" i="1"/>
  <c r="T291" i="1"/>
  <c r="U291" i="1"/>
  <c r="V291" i="1"/>
  <c r="R283" i="1"/>
  <c r="T283" i="1"/>
  <c r="U283" i="1"/>
  <c r="V283" i="1"/>
  <c r="R282" i="1"/>
  <c r="T282" i="1"/>
  <c r="U282" i="1"/>
  <c r="V282" i="1"/>
  <c r="R281" i="1"/>
  <c r="T281" i="1"/>
  <c r="U281" i="1"/>
  <c r="V281" i="1"/>
  <c r="R280" i="1"/>
  <c r="T280" i="1"/>
  <c r="U280" i="1"/>
  <c r="V280" i="1"/>
  <c r="R279" i="1"/>
  <c r="T279" i="1"/>
  <c r="U279" i="1"/>
  <c r="V279" i="1"/>
  <c r="R278" i="1" l="1"/>
  <c r="T278" i="1"/>
  <c r="U278" i="1"/>
  <c r="V278" i="1"/>
  <c r="R277" i="1"/>
  <c r="T277" i="1"/>
  <c r="U277" i="1"/>
  <c r="V277" i="1"/>
  <c r="R276" i="1" l="1"/>
  <c r="T276" i="1"/>
  <c r="U276" i="1"/>
  <c r="V276" i="1"/>
  <c r="T268" i="1"/>
  <c r="U268" i="1"/>
  <c r="V268" i="1"/>
  <c r="T275" i="1" l="1"/>
  <c r="U275" i="1"/>
  <c r="V275" i="1"/>
  <c r="R270" i="1"/>
  <c r="R271" i="1"/>
  <c r="R272" i="1"/>
  <c r="R273" i="1"/>
  <c r="R274" i="1"/>
  <c r="T270" i="1"/>
  <c r="T271" i="1"/>
  <c r="T272" i="1"/>
  <c r="T273" i="1"/>
  <c r="T274" i="1"/>
  <c r="U270" i="1"/>
  <c r="U271" i="1"/>
  <c r="U272" i="1"/>
  <c r="U273" i="1"/>
  <c r="U274" i="1"/>
  <c r="V270" i="1"/>
  <c r="V271" i="1"/>
  <c r="V272" i="1"/>
  <c r="V273" i="1"/>
  <c r="V274" i="1"/>
  <c r="R269" i="1"/>
  <c r="T269" i="1"/>
  <c r="U269" i="1"/>
  <c r="V269" i="1"/>
  <c r="R267" i="1" l="1"/>
  <c r="T267" i="1"/>
  <c r="U267" i="1"/>
  <c r="V267" i="1"/>
  <c r="R265" i="1"/>
  <c r="R266" i="1"/>
  <c r="T265" i="1"/>
  <c r="T266" i="1"/>
  <c r="U265" i="1"/>
  <c r="U266" i="1"/>
  <c r="V265" i="1"/>
  <c r="V266" i="1"/>
  <c r="R264" i="1"/>
  <c r="T264" i="1"/>
  <c r="U264" i="1"/>
  <c r="V264" i="1"/>
  <c r="R260" i="1" l="1"/>
  <c r="R261" i="1"/>
  <c r="R259" i="1"/>
  <c r="T260" i="1"/>
  <c r="T261" i="1"/>
  <c r="T259" i="1"/>
  <c r="U260" i="1"/>
  <c r="U261" i="1"/>
  <c r="U259" i="1"/>
  <c r="V260" i="1"/>
  <c r="V261" i="1"/>
  <c r="V259" i="1"/>
  <c r="R258" i="1" l="1"/>
  <c r="T258" i="1"/>
  <c r="U258" i="1"/>
  <c r="V258" i="1"/>
  <c r="R256" i="1" l="1"/>
  <c r="R257" i="1"/>
  <c r="T256" i="1"/>
  <c r="T257" i="1"/>
  <c r="U256" i="1"/>
  <c r="U257" i="1"/>
  <c r="V256" i="1"/>
  <c r="V257" i="1"/>
  <c r="R255" i="1"/>
  <c r="T255" i="1"/>
  <c r="U255" i="1"/>
  <c r="V255" i="1"/>
  <c r="R246" i="1" l="1"/>
  <c r="T246" i="1"/>
  <c r="U246" i="1"/>
  <c r="V246" i="1"/>
  <c r="R252" i="1"/>
  <c r="T252" i="1"/>
  <c r="U252" i="1"/>
  <c r="V252" i="1"/>
  <c r="R253" i="1"/>
  <c r="R254" i="1"/>
  <c r="T254" i="1"/>
  <c r="U254" i="1"/>
  <c r="V254" i="1"/>
  <c r="T253" i="1"/>
  <c r="U253" i="1"/>
  <c r="V253" i="1"/>
  <c r="F15" i="3" l="1"/>
  <c r="F16" i="3"/>
  <c r="A16" i="3"/>
  <c r="A15" i="3"/>
  <c r="R242" i="1" l="1"/>
  <c r="T242" i="1"/>
  <c r="U242" i="1"/>
  <c r="V242" i="1"/>
  <c r="R243" i="1"/>
  <c r="T243" i="1"/>
  <c r="U243" i="1"/>
  <c r="V243" i="1"/>
  <c r="R219" i="1" l="1"/>
  <c r="T219" i="1"/>
  <c r="U219" i="1"/>
  <c r="V219" i="1"/>
  <c r="R218" i="1"/>
  <c r="T218" i="1"/>
  <c r="U218" i="1"/>
  <c r="V218" i="1"/>
  <c r="R217" i="1"/>
  <c r="T217" i="1"/>
  <c r="U217" i="1"/>
  <c r="V217" i="1"/>
  <c r="R216" i="1"/>
  <c r="T216" i="1"/>
  <c r="U216" i="1"/>
  <c r="V216" i="1"/>
  <c r="R211" i="1" l="1"/>
  <c r="T211" i="1"/>
  <c r="U211" i="1"/>
  <c r="V211" i="1"/>
  <c r="R235" i="1" l="1"/>
  <c r="T235" i="1"/>
  <c r="U235" i="1"/>
  <c r="V235" i="1"/>
  <c r="R245" i="1"/>
  <c r="T245" i="1"/>
  <c r="U245" i="1"/>
  <c r="V245" i="1"/>
  <c r="R237" i="1"/>
  <c r="T237" i="1"/>
  <c r="U237" i="1"/>
  <c r="V237" i="1"/>
  <c r="R241" i="1" l="1"/>
  <c r="T241" i="1"/>
  <c r="U241" i="1"/>
  <c r="V241" i="1"/>
  <c r="R244" i="1" l="1"/>
  <c r="T244" i="1"/>
  <c r="U244" i="1"/>
  <c r="V244" i="1"/>
  <c r="R240" i="1" l="1"/>
  <c r="T240" i="1"/>
  <c r="U240" i="1"/>
  <c r="V240" i="1"/>
  <c r="R239" i="1"/>
  <c r="T239" i="1"/>
  <c r="U239" i="1"/>
  <c r="V239" i="1"/>
  <c r="R238" i="1" l="1"/>
  <c r="T238" i="1"/>
  <c r="U238" i="1"/>
  <c r="V238" i="1"/>
  <c r="R236" i="1" l="1"/>
  <c r="T236" i="1"/>
  <c r="U236" i="1"/>
  <c r="V236" i="1"/>
  <c r="BV1" i="3" l="1"/>
  <c r="A12" i="3"/>
  <c r="A13" i="3"/>
  <c r="A14" i="3"/>
  <c r="A11" i="3"/>
  <c r="F14" i="3"/>
  <c r="F11" i="3"/>
  <c r="F12" i="3"/>
  <c r="F13" i="3"/>
  <c r="K10" i="3" l="1"/>
  <c r="K11" i="3"/>
  <c r="R223" i="1"/>
  <c r="T223" i="1"/>
  <c r="U223" i="1"/>
  <c r="V223" i="1"/>
  <c r="K12" i="3" l="1"/>
  <c r="R234" i="1"/>
  <c r="T234" i="1"/>
  <c r="U234" i="1"/>
  <c r="V234" i="1"/>
  <c r="R233" i="1"/>
  <c r="T233" i="1"/>
  <c r="U233" i="1"/>
  <c r="V233" i="1"/>
  <c r="R226" i="1" l="1"/>
  <c r="R231" i="1"/>
  <c r="R232" i="1"/>
  <c r="T226" i="1"/>
  <c r="T231" i="1"/>
  <c r="T232" i="1"/>
  <c r="U226" i="1"/>
  <c r="U231" i="1"/>
  <c r="U232" i="1"/>
  <c r="V226" i="1"/>
  <c r="V231" i="1"/>
  <c r="V232" i="1"/>
  <c r="R2" i="1" l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87" i="1"/>
  <c r="R158" i="1"/>
  <c r="R159" i="1"/>
  <c r="R160" i="1"/>
  <c r="R161" i="1"/>
  <c r="R162" i="1"/>
  <c r="R163" i="1"/>
  <c r="R164" i="1"/>
  <c r="R165" i="1"/>
  <c r="R166" i="1"/>
  <c r="R167" i="1"/>
  <c r="R170" i="1"/>
  <c r="R168" i="1"/>
  <c r="R169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91" i="1"/>
  <c r="R185" i="1"/>
  <c r="R186" i="1"/>
  <c r="R192" i="1"/>
  <c r="R188" i="1"/>
  <c r="R189" i="1"/>
  <c r="R190" i="1"/>
  <c r="R193" i="1"/>
  <c r="R194" i="1"/>
  <c r="R197" i="1"/>
  <c r="R195" i="1"/>
  <c r="R196" i="1"/>
  <c r="R198" i="1"/>
  <c r="R199" i="1"/>
  <c r="R200" i="1"/>
  <c r="R201" i="1"/>
  <c r="R202" i="1"/>
  <c r="R203" i="1"/>
  <c r="R204" i="1"/>
  <c r="R205" i="1"/>
  <c r="R209" i="1"/>
  <c r="R210" i="1"/>
  <c r="R206" i="1"/>
  <c r="R207" i="1"/>
  <c r="R208" i="1"/>
  <c r="R212" i="1"/>
  <c r="R213" i="1"/>
  <c r="R214" i="1"/>
  <c r="R215" i="1"/>
  <c r="R222" i="1"/>
  <c r="R221" i="1"/>
  <c r="R220" i="1"/>
  <c r="R224" i="1"/>
  <c r="R225" i="1"/>
  <c r="R247" i="1"/>
  <c r="R227" i="1"/>
  <c r="R228" i="1"/>
  <c r="R229" i="1"/>
  <c r="R230" i="1"/>
  <c r="V230" i="1" l="1"/>
  <c r="U230" i="1"/>
  <c r="T230" i="1"/>
  <c r="V229" i="1"/>
  <c r="U229" i="1"/>
  <c r="T229" i="1"/>
  <c r="V228" i="1"/>
  <c r="U228" i="1"/>
  <c r="T228" i="1"/>
  <c r="V227" i="1"/>
  <c r="U227" i="1"/>
  <c r="T227" i="1"/>
  <c r="V247" i="1"/>
  <c r="U247" i="1"/>
  <c r="T247" i="1"/>
  <c r="V225" i="1"/>
  <c r="U225" i="1"/>
  <c r="T225" i="1"/>
  <c r="V224" i="1"/>
  <c r="U224" i="1"/>
  <c r="T224" i="1"/>
  <c r="V220" i="1"/>
  <c r="U220" i="1"/>
  <c r="T220" i="1"/>
  <c r="V221" i="1"/>
  <c r="U221" i="1"/>
  <c r="T221" i="1"/>
  <c r="V222" i="1"/>
  <c r="U222" i="1"/>
  <c r="T222" i="1"/>
  <c r="V215" i="1"/>
  <c r="U215" i="1"/>
  <c r="T215" i="1"/>
  <c r="V214" i="1"/>
  <c r="U214" i="1"/>
  <c r="T214" i="1"/>
  <c r="V213" i="1"/>
  <c r="U213" i="1"/>
  <c r="T213" i="1"/>
  <c r="V212" i="1"/>
  <c r="U212" i="1"/>
  <c r="T212" i="1"/>
  <c r="V208" i="1"/>
  <c r="U208" i="1"/>
  <c r="T208" i="1"/>
  <c r="V207" i="1"/>
  <c r="U207" i="1"/>
  <c r="T207" i="1"/>
  <c r="V206" i="1"/>
  <c r="U206" i="1"/>
  <c r="T206" i="1"/>
  <c r="V210" i="1"/>
  <c r="U210" i="1"/>
  <c r="T210" i="1"/>
  <c r="V209" i="1"/>
  <c r="U209" i="1"/>
  <c r="T209" i="1"/>
  <c r="V205" i="1"/>
  <c r="U205" i="1"/>
  <c r="T205" i="1"/>
  <c r="V204" i="1"/>
  <c r="U204" i="1"/>
  <c r="T204" i="1"/>
  <c r="V203" i="1"/>
  <c r="U203" i="1"/>
  <c r="T203" i="1"/>
  <c r="V202" i="1"/>
  <c r="U202" i="1"/>
  <c r="T202" i="1"/>
  <c r="V201" i="1"/>
  <c r="U201" i="1"/>
  <c r="T201" i="1"/>
  <c r="V200" i="1"/>
  <c r="U200" i="1"/>
  <c r="T200" i="1"/>
  <c r="V199" i="1"/>
  <c r="U199" i="1"/>
  <c r="T199" i="1"/>
  <c r="V198" i="1"/>
  <c r="U198" i="1"/>
  <c r="T198" i="1"/>
  <c r="V196" i="1"/>
  <c r="U196" i="1"/>
  <c r="T196" i="1"/>
  <c r="V195" i="1"/>
  <c r="U195" i="1"/>
  <c r="T195" i="1"/>
  <c r="V197" i="1"/>
  <c r="U197" i="1"/>
  <c r="T197" i="1"/>
  <c r="V194" i="1"/>
  <c r="U194" i="1"/>
  <c r="T194" i="1"/>
  <c r="V193" i="1"/>
  <c r="U193" i="1"/>
  <c r="T193" i="1"/>
  <c r="V190" i="1"/>
  <c r="U190" i="1"/>
  <c r="T190" i="1"/>
  <c r="V189" i="1"/>
  <c r="U189" i="1"/>
  <c r="T189" i="1"/>
  <c r="V188" i="1"/>
  <c r="U188" i="1"/>
  <c r="T188" i="1"/>
  <c r="V192" i="1"/>
  <c r="U192" i="1"/>
  <c r="T192" i="1"/>
  <c r="V186" i="1"/>
  <c r="U186" i="1"/>
  <c r="T186" i="1"/>
  <c r="V185" i="1"/>
  <c r="U185" i="1"/>
  <c r="T185" i="1"/>
  <c r="V191" i="1"/>
  <c r="U191" i="1"/>
  <c r="T191" i="1"/>
  <c r="V184" i="1"/>
  <c r="U184" i="1"/>
  <c r="T184" i="1"/>
  <c r="V183" i="1"/>
  <c r="U183" i="1"/>
  <c r="T183" i="1"/>
  <c r="V182" i="1"/>
  <c r="U182" i="1"/>
  <c r="T182" i="1"/>
  <c r="V181" i="1"/>
  <c r="U181" i="1"/>
  <c r="T181" i="1"/>
  <c r="V180" i="1"/>
  <c r="U180" i="1"/>
  <c r="T180" i="1"/>
  <c r="V179" i="1"/>
  <c r="U179" i="1"/>
  <c r="T179" i="1"/>
  <c r="V178" i="1"/>
  <c r="U178" i="1"/>
  <c r="T178" i="1"/>
  <c r="V177" i="1"/>
  <c r="U177" i="1"/>
  <c r="T177" i="1"/>
  <c r="V176" i="1"/>
  <c r="U176" i="1"/>
  <c r="T176" i="1"/>
  <c r="V175" i="1"/>
  <c r="U175" i="1"/>
  <c r="T175" i="1"/>
  <c r="V174" i="1"/>
  <c r="U174" i="1"/>
  <c r="T174" i="1"/>
  <c r="V173" i="1"/>
  <c r="U173" i="1"/>
  <c r="T173" i="1"/>
  <c r="V172" i="1"/>
  <c r="U172" i="1"/>
  <c r="T172" i="1"/>
  <c r="V171" i="1"/>
  <c r="U171" i="1"/>
  <c r="T171" i="1"/>
  <c r="V169" i="1"/>
  <c r="U169" i="1"/>
  <c r="T169" i="1"/>
  <c r="V168" i="1"/>
  <c r="U168" i="1"/>
  <c r="T168" i="1"/>
  <c r="V170" i="1"/>
  <c r="U170" i="1"/>
  <c r="T170" i="1"/>
  <c r="V167" i="1"/>
  <c r="U167" i="1"/>
  <c r="T167" i="1"/>
  <c r="V166" i="1"/>
  <c r="U166" i="1"/>
  <c r="T166" i="1"/>
  <c r="V165" i="1"/>
  <c r="U165" i="1"/>
  <c r="T165" i="1"/>
  <c r="V164" i="1"/>
  <c r="U164" i="1"/>
  <c r="T164" i="1"/>
  <c r="V163" i="1"/>
  <c r="U163" i="1"/>
  <c r="T163" i="1"/>
  <c r="V162" i="1"/>
  <c r="U162" i="1"/>
  <c r="T162" i="1"/>
  <c r="V161" i="1"/>
  <c r="U161" i="1"/>
  <c r="T161" i="1"/>
  <c r="V160" i="1"/>
  <c r="U160" i="1"/>
  <c r="T160" i="1"/>
  <c r="V159" i="1"/>
  <c r="U159" i="1"/>
  <c r="T159" i="1"/>
  <c r="V158" i="1"/>
  <c r="U158" i="1"/>
  <c r="T158" i="1"/>
  <c r="V187" i="1"/>
  <c r="U187" i="1"/>
  <c r="T187" i="1"/>
  <c r="V157" i="1"/>
  <c r="U157" i="1"/>
  <c r="T157" i="1"/>
  <c r="V156" i="1"/>
  <c r="U156" i="1"/>
  <c r="T156" i="1"/>
  <c r="V155" i="1"/>
  <c r="U155" i="1"/>
  <c r="T155" i="1"/>
  <c r="V154" i="1"/>
  <c r="U154" i="1"/>
  <c r="T154" i="1"/>
  <c r="V153" i="1"/>
  <c r="U153" i="1"/>
  <c r="T153" i="1"/>
  <c r="V152" i="1"/>
  <c r="U152" i="1"/>
  <c r="T152" i="1"/>
  <c r="V151" i="1"/>
  <c r="U151" i="1"/>
  <c r="T151" i="1"/>
  <c r="V150" i="1"/>
  <c r="U150" i="1"/>
  <c r="T150" i="1"/>
  <c r="V149" i="1"/>
  <c r="U149" i="1"/>
  <c r="T149" i="1"/>
  <c r="V148" i="1"/>
  <c r="U148" i="1"/>
  <c r="T148" i="1"/>
  <c r="V147" i="1"/>
  <c r="U147" i="1"/>
  <c r="T147" i="1"/>
  <c r="V146" i="1"/>
  <c r="U146" i="1"/>
  <c r="T146" i="1"/>
  <c r="V145" i="1"/>
  <c r="U145" i="1"/>
  <c r="T145" i="1"/>
  <c r="V144" i="1"/>
  <c r="U144" i="1"/>
  <c r="T144" i="1"/>
  <c r="V143" i="1"/>
  <c r="U143" i="1"/>
  <c r="T143" i="1"/>
  <c r="V142" i="1"/>
  <c r="U142" i="1"/>
  <c r="T142" i="1"/>
  <c r="V141" i="1"/>
  <c r="U141" i="1"/>
  <c r="T141" i="1"/>
  <c r="V140" i="1"/>
  <c r="U140" i="1"/>
  <c r="T140" i="1"/>
  <c r="V139" i="1"/>
  <c r="U139" i="1"/>
  <c r="T139" i="1"/>
  <c r="V138" i="1"/>
  <c r="U138" i="1"/>
  <c r="T138" i="1"/>
  <c r="V137" i="1"/>
  <c r="U137" i="1"/>
  <c r="T137" i="1"/>
  <c r="V136" i="1"/>
  <c r="U136" i="1"/>
  <c r="T136" i="1"/>
  <c r="V135" i="1"/>
  <c r="U135" i="1"/>
  <c r="T135" i="1"/>
  <c r="V134" i="1"/>
  <c r="U134" i="1"/>
  <c r="T134" i="1"/>
  <c r="V133" i="1"/>
  <c r="U133" i="1"/>
  <c r="T133" i="1"/>
  <c r="V132" i="1"/>
  <c r="U132" i="1"/>
  <c r="T132" i="1"/>
  <c r="V131" i="1"/>
  <c r="U131" i="1"/>
  <c r="T131" i="1"/>
  <c r="V130" i="1"/>
  <c r="U130" i="1"/>
  <c r="T130" i="1"/>
  <c r="V129" i="1"/>
  <c r="U129" i="1"/>
  <c r="T129" i="1"/>
  <c r="V128" i="1"/>
  <c r="U128" i="1"/>
  <c r="T128" i="1"/>
  <c r="V127" i="1"/>
  <c r="U127" i="1"/>
  <c r="T127" i="1"/>
  <c r="V126" i="1"/>
  <c r="U126" i="1"/>
  <c r="T126" i="1"/>
  <c r="V125" i="1"/>
  <c r="U125" i="1"/>
  <c r="T125" i="1"/>
  <c r="V124" i="1"/>
  <c r="U124" i="1"/>
  <c r="T124" i="1"/>
  <c r="V123" i="1"/>
  <c r="U123" i="1"/>
  <c r="T123" i="1"/>
  <c r="V122" i="1"/>
  <c r="U122" i="1"/>
  <c r="T122" i="1"/>
  <c r="V121" i="1"/>
  <c r="U121" i="1"/>
  <c r="T121" i="1"/>
  <c r="V120" i="1"/>
  <c r="U120" i="1"/>
  <c r="T120" i="1"/>
  <c r="V119" i="1"/>
  <c r="U119" i="1"/>
  <c r="T119" i="1"/>
  <c r="V118" i="1"/>
  <c r="U118" i="1"/>
  <c r="T118" i="1"/>
  <c r="V117" i="1"/>
  <c r="U117" i="1"/>
  <c r="T117" i="1"/>
  <c r="V116" i="1"/>
  <c r="U116" i="1"/>
  <c r="T116" i="1"/>
  <c r="V115" i="1"/>
  <c r="U115" i="1"/>
  <c r="T115" i="1"/>
  <c r="V114" i="1"/>
  <c r="U114" i="1"/>
  <c r="T114" i="1"/>
  <c r="V113" i="1"/>
  <c r="U113" i="1"/>
  <c r="T113" i="1"/>
  <c r="V112" i="1"/>
  <c r="U112" i="1"/>
  <c r="T112" i="1"/>
  <c r="V111" i="1"/>
  <c r="U111" i="1"/>
  <c r="T111" i="1"/>
  <c r="V110" i="1"/>
  <c r="U110" i="1"/>
  <c r="T110" i="1"/>
  <c r="V109" i="1"/>
  <c r="U109" i="1"/>
  <c r="T109" i="1"/>
  <c r="V108" i="1"/>
  <c r="U108" i="1"/>
  <c r="T108" i="1"/>
  <c r="V107" i="1"/>
  <c r="U107" i="1"/>
  <c r="T107" i="1"/>
  <c r="V106" i="1"/>
  <c r="U106" i="1"/>
  <c r="T106" i="1"/>
  <c r="V105" i="1"/>
  <c r="U105" i="1"/>
  <c r="T105" i="1"/>
  <c r="V104" i="1"/>
  <c r="U104" i="1"/>
  <c r="T104" i="1"/>
  <c r="V103" i="1"/>
  <c r="U103" i="1"/>
  <c r="T103" i="1"/>
  <c r="V102" i="1"/>
  <c r="U102" i="1"/>
  <c r="T102" i="1"/>
  <c r="V101" i="1"/>
  <c r="U101" i="1"/>
  <c r="T101" i="1"/>
  <c r="V100" i="1"/>
  <c r="U100" i="1"/>
  <c r="T100" i="1"/>
  <c r="V99" i="1"/>
  <c r="U99" i="1"/>
  <c r="T99" i="1"/>
  <c r="V98" i="1"/>
  <c r="U98" i="1"/>
  <c r="T98" i="1"/>
  <c r="V97" i="1"/>
  <c r="U97" i="1"/>
  <c r="T97" i="1"/>
  <c r="V96" i="1"/>
  <c r="U96" i="1"/>
  <c r="T96" i="1"/>
  <c r="V95" i="1"/>
  <c r="U95" i="1"/>
  <c r="T95" i="1"/>
  <c r="V94" i="1"/>
  <c r="U94" i="1"/>
  <c r="T94" i="1"/>
  <c r="V93" i="1"/>
  <c r="U93" i="1"/>
  <c r="T93" i="1"/>
  <c r="V92" i="1"/>
  <c r="U92" i="1"/>
  <c r="T92" i="1"/>
  <c r="V91" i="1"/>
  <c r="U91" i="1"/>
  <c r="T91" i="1"/>
  <c r="V90" i="1"/>
  <c r="U90" i="1"/>
  <c r="T90" i="1"/>
  <c r="V89" i="1"/>
  <c r="U89" i="1"/>
  <c r="T89" i="1"/>
  <c r="V88" i="1"/>
  <c r="U88" i="1"/>
  <c r="T88" i="1"/>
  <c r="V87" i="1"/>
  <c r="U87" i="1"/>
  <c r="T87" i="1"/>
  <c r="V86" i="1"/>
  <c r="U86" i="1"/>
  <c r="T86" i="1"/>
  <c r="V85" i="1"/>
  <c r="U85" i="1"/>
  <c r="T85" i="1"/>
  <c r="V84" i="1"/>
  <c r="U84" i="1"/>
  <c r="T84" i="1"/>
  <c r="V83" i="1"/>
  <c r="U83" i="1"/>
  <c r="T83" i="1"/>
  <c r="V82" i="1"/>
  <c r="U82" i="1"/>
  <c r="T82" i="1"/>
  <c r="V81" i="1"/>
  <c r="U81" i="1"/>
  <c r="T81" i="1"/>
  <c r="V80" i="1"/>
  <c r="U80" i="1"/>
  <c r="T80" i="1"/>
  <c r="V79" i="1"/>
  <c r="U79" i="1"/>
  <c r="T79" i="1"/>
  <c r="V78" i="1"/>
  <c r="U78" i="1"/>
  <c r="T78" i="1"/>
  <c r="V77" i="1"/>
  <c r="U77" i="1"/>
  <c r="T77" i="1"/>
  <c r="V76" i="1"/>
  <c r="U76" i="1"/>
  <c r="T76" i="1"/>
  <c r="V75" i="1"/>
  <c r="U75" i="1"/>
  <c r="T75" i="1"/>
  <c r="V74" i="1"/>
  <c r="U74" i="1"/>
  <c r="T74" i="1"/>
  <c r="V73" i="1"/>
  <c r="U73" i="1"/>
  <c r="T73" i="1"/>
  <c r="V72" i="1"/>
  <c r="U72" i="1"/>
  <c r="T72" i="1"/>
  <c r="V71" i="1"/>
  <c r="U71" i="1"/>
  <c r="T71" i="1"/>
  <c r="V70" i="1"/>
  <c r="U70" i="1"/>
  <c r="T70" i="1"/>
  <c r="V69" i="1"/>
  <c r="U69" i="1"/>
  <c r="T69" i="1"/>
  <c r="V68" i="1"/>
  <c r="U68" i="1"/>
  <c r="T68" i="1"/>
  <c r="V67" i="1"/>
  <c r="U67" i="1"/>
  <c r="T67" i="1"/>
  <c r="V66" i="1"/>
  <c r="U66" i="1"/>
  <c r="T66" i="1"/>
  <c r="V65" i="1"/>
  <c r="U65" i="1"/>
  <c r="T65" i="1"/>
  <c r="V64" i="1"/>
  <c r="U64" i="1"/>
  <c r="T64" i="1"/>
  <c r="V63" i="1"/>
  <c r="U63" i="1"/>
  <c r="T63" i="1"/>
  <c r="V62" i="1"/>
  <c r="U62" i="1"/>
  <c r="T62" i="1"/>
  <c r="V61" i="1"/>
  <c r="U61" i="1"/>
  <c r="T61" i="1"/>
  <c r="V60" i="1"/>
  <c r="U60" i="1"/>
  <c r="T60" i="1"/>
  <c r="V59" i="1"/>
  <c r="U59" i="1"/>
  <c r="T59" i="1"/>
  <c r="V58" i="1"/>
  <c r="U58" i="1"/>
  <c r="T58" i="1"/>
  <c r="V57" i="1"/>
  <c r="U57" i="1"/>
  <c r="T57" i="1"/>
  <c r="V56" i="1"/>
  <c r="U56" i="1"/>
  <c r="T56" i="1"/>
  <c r="V55" i="1"/>
  <c r="U55" i="1"/>
  <c r="T55" i="1"/>
  <c r="V54" i="1"/>
  <c r="U54" i="1"/>
  <c r="T54" i="1"/>
  <c r="V53" i="1"/>
  <c r="U53" i="1"/>
  <c r="T53" i="1"/>
  <c r="V52" i="1"/>
  <c r="U52" i="1"/>
  <c r="T52" i="1"/>
  <c r="V51" i="1"/>
  <c r="U51" i="1"/>
  <c r="T51" i="1"/>
  <c r="V50" i="1"/>
  <c r="U50" i="1"/>
  <c r="T50" i="1"/>
  <c r="V49" i="1"/>
  <c r="U49" i="1"/>
  <c r="T49" i="1"/>
  <c r="V48" i="1"/>
  <c r="U48" i="1"/>
  <c r="T48" i="1"/>
  <c r="V47" i="1"/>
  <c r="U47" i="1"/>
  <c r="T47" i="1"/>
  <c r="V46" i="1"/>
  <c r="U46" i="1"/>
  <c r="T46" i="1"/>
  <c r="V45" i="1"/>
  <c r="U45" i="1"/>
  <c r="T45" i="1"/>
  <c r="V44" i="1"/>
  <c r="U44" i="1"/>
  <c r="T44" i="1"/>
  <c r="V43" i="1"/>
  <c r="U43" i="1"/>
  <c r="T43" i="1"/>
  <c r="V42" i="1"/>
  <c r="U42" i="1"/>
  <c r="T42" i="1"/>
  <c r="V41" i="1"/>
  <c r="U41" i="1"/>
  <c r="T41" i="1"/>
  <c r="V40" i="1"/>
  <c r="U40" i="1"/>
  <c r="T40" i="1"/>
  <c r="V39" i="1"/>
  <c r="U39" i="1"/>
  <c r="T39" i="1"/>
  <c r="V38" i="1"/>
  <c r="U38" i="1"/>
  <c r="T38" i="1"/>
  <c r="V37" i="1"/>
  <c r="U37" i="1"/>
  <c r="T37" i="1"/>
  <c r="V36" i="1"/>
  <c r="U36" i="1"/>
  <c r="T36" i="1"/>
  <c r="V35" i="1"/>
  <c r="U35" i="1"/>
  <c r="T35" i="1"/>
  <c r="V34" i="1"/>
  <c r="U34" i="1"/>
  <c r="T34" i="1"/>
  <c r="V33" i="1"/>
  <c r="U33" i="1"/>
  <c r="T33" i="1"/>
  <c r="V32" i="1"/>
  <c r="U32" i="1"/>
  <c r="T32" i="1"/>
  <c r="V31" i="1"/>
  <c r="U31" i="1"/>
  <c r="T31" i="1"/>
  <c r="V30" i="1"/>
  <c r="U30" i="1"/>
  <c r="T30" i="1"/>
  <c r="V29" i="1"/>
  <c r="U29" i="1"/>
  <c r="T29" i="1"/>
  <c r="V28" i="1"/>
  <c r="U28" i="1"/>
  <c r="T28" i="1"/>
  <c r="V27" i="1"/>
  <c r="U27" i="1"/>
  <c r="T27" i="1"/>
  <c r="V26" i="1"/>
  <c r="U26" i="1"/>
  <c r="T26" i="1"/>
  <c r="V25" i="1"/>
  <c r="U25" i="1"/>
  <c r="T25" i="1"/>
  <c r="V24" i="1"/>
  <c r="U24" i="1"/>
  <c r="T24" i="1"/>
  <c r="V23" i="1"/>
  <c r="U23" i="1"/>
  <c r="T23" i="1"/>
  <c r="V22" i="1"/>
  <c r="U22" i="1"/>
  <c r="T22" i="1"/>
  <c r="V21" i="1"/>
  <c r="U21" i="1"/>
  <c r="T21" i="1"/>
  <c r="V20" i="1"/>
  <c r="U20" i="1"/>
  <c r="T20" i="1"/>
  <c r="V19" i="1"/>
  <c r="U19" i="1"/>
  <c r="T19" i="1"/>
  <c r="V18" i="1"/>
  <c r="U18" i="1"/>
  <c r="T18" i="1"/>
  <c r="V17" i="1"/>
  <c r="U17" i="1"/>
  <c r="T17" i="1"/>
  <c r="V16" i="1"/>
  <c r="U16" i="1"/>
  <c r="T16" i="1"/>
  <c r="V15" i="1"/>
  <c r="U15" i="1"/>
  <c r="T15" i="1"/>
  <c r="V14" i="1"/>
  <c r="U14" i="1"/>
  <c r="T14" i="1"/>
  <c r="V13" i="1"/>
  <c r="U13" i="1"/>
  <c r="T13" i="1"/>
  <c r="V12" i="1"/>
  <c r="U12" i="1"/>
  <c r="T12" i="1"/>
  <c r="V11" i="1"/>
  <c r="U11" i="1"/>
  <c r="T11" i="1"/>
  <c r="V10" i="1"/>
  <c r="U10" i="1"/>
  <c r="T10" i="1"/>
  <c r="V9" i="1"/>
  <c r="U9" i="1"/>
  <c r="T9" i="1"/>
  <c r="V8" i="1"/>
  <c r="U8" i="1"/>
  <c r="T8" i="1"/>
  <c r="V7" i="1"/>
  <c r="U7" i="1"/>
  <c r="T7" i="1"/>
  <c r="V6" i="1"/>
  <c r="U6" i="1"/>
  <c r="T6" i="1"/>
  <c r="V5" i="1"/>
  <c r="U5" i="1"/>
  <c r="T5" i="1"/>
  <c r="V4" i="1"/>
  <c r="U4" i="1"/>
  <c r="T4" i="1"/>
  <c r="V3" i="1"/>
  <c r="U3" i="1"/>
  <c r="T3" i="1"/>
  <c r="V2" i="1"/>
  <c r="U2" i="1"/>
  <c r="T2" i="1"/>
  <c r="F6" i="3"/>
  <c r="F5" i="3"/>
  <c r="F4" i="3"/>
  <c r="B3" i="4"/>
  <c r="F7" i="3" l="1"/>
  <c r="G5" i="3" s="1"/>
  <c r="H5" i="3" s="1"/>
  <c r="G6" i="3" l="1"/>
  <c r="H6" i="3" s="1"/>
  <c r="G4" i="3"/>
  <c r="H4" i="3" s="1"/>
</calcChain>
</file>

<file path=xl/sharedStrings.xml><?xml version="1.0" encoding="utf-8"?>
<sst xmlns="http://schemas.openxmlformats.org/spreadsheetml/2006/main" count="46968" uniqueCount="13393">
  <si>
    <t xml:space="preserve">FECHA </t>
  </si>
  <si>
    <t>LPN INICIAL</t>
  </si>
  <si>
    <t>TIENDA</t>
  </si>
  <si>
    <t>DECRIPCION</t>
  </si>
  <si>
    <t>CANTIDAD</t>
  </si>
  <si>
    <t>FILTRADOR</t>
  </si>
  <si>
    <t>STATUS INICIAL</t>
  </si>
  <si>
    <t>LPN FINAL</t>
  </si>
  <si>
    <t>TIENDA FINAL</t>
  </si>
  <si>
    <t>STATUS FINAL</t>
  </si>
  <si>
    <t xml:space="preserve">DETALLE </t>
  </si>
  <si>
    <t>OBSERVACION FINAL</t>
  </si>
  <si>
    <t>TURNO</t>
  </si>
  <si>
    <t>STATUS AJUSTE</t>
  </si>
  <si>
    <t>ALMACEN</t>
  </si>
  <si>
    <t>-</t>
  </si>
  <si>
    <t>VINO MUGA RIOJA RESERVA 750 ML</t>
  </si>
  <si>
    <t>FALTANTE</t>
  </si>
  <si>
    <t>ERROR DE PICKING</t>
  </si>
  <si>
    <t>PICKING</t>
  </si>
  <si>
    <t>Almacenado</t>
  </si>
  <si>
    <t>AJUSTADO</t>
  </si>
  <si>
    <t>SALSA BBQ AHUMADA KRAFT X 410 GR</t>
  </si>
  <si>
    <t>VINO VIÑA VIEJA MALBEC LATA 473ML</t>
  </si>
  <si>
    <t>AVILA</t>
  </si>
  <si>
    <t>SOBRANTE</t>
  </si>
  <si>
    <t>S055</t>
  </si>
  <si>
    <t>JLOPEZ</t>
  </si>
  <si>
    <t>CUADRADO</t>
  </si>
  <si>
    <t>MAÑANA</t>
  </si>
  <si>
    <t>Flujo Continuo</t>
  </si>
  <si>
    <t>VINO VIÑA VIEJA ROSE LATA 473ML</t>
  </si>
  <si>
    <t>VINO LA LINDA CABERNET SAUVIGNON 750 ML</t>
  </si>
  <si>
    <t>T117</t>
  </si>
  <si>
    <t>DESOD NIVEA F/MEN SLV PROT AER X150ML</t>
  </si>
  <si>
    <t>CPASTORS</t>
  </si>
  <si>
    <t>S011</t>
  </si>
  <si>
    <t xml:space="preserve"> TAB CHOC LA IBERICA FONDANT 40G</t>
  </si>
  <si>
    <t>AHUAMANCAYOD</t>
  </si>
  <si>
    <t>TARDE</t>
  </si>
  <si>
    <t>S082</t>
  </si>
  <si>
    <t>VANISH LIQUIDO ROSA 450ML DYP</t>
  </si>
  <si>
    <t>DEZA</t>
  </si>
  <si>
    <t>WALEGRIA</t>
  </si>
  <si>
    <t>S003</t>
  </si>
  <si>
    <t>PACK 2 VINOS QUEIROLO ROSE +CHILCANO</t>
  </si>
  <si>
    <t>S027</t>
  </si>
  <si>
    <t>RON HAVANA CLUB AÑEJO ESPECIAL X 1 LT</t>
  </si>
  <si>
    <t>S028</t>
  </si>
  <si>
    <t>JUAN AYALA</t>
  </si>
  <si>
    <t>T114</t>
  </si>
  <si>
    <t>CHOC.PASTILLA DE LECHE X 150G LA IBERICA</t>
  </si>
  <si>
    <t>PALOMINO</t>
  </si>
  <si>
    <t>FGUZMAN</t>
  </si>
  <si>
    <t>SNACKS FILETE X 10UND TREATS     TMC-42</t>
  </si>
  <si>
    <t>HRIVERAR</t>
  </si>
  <si>
    <t>VINO BORGOÑA GRAN SELECCIÓN BOT 750ML</t>
  </si>
  <si>
    <t>DVICTORIOB</t>
  </si>
  <si>
    <t>H009</t>
  </si>
  <si>
    <t>JJESUSA</t>
  </si>
  <si>
    <t>VALIDACIÓN</t>
  </si>
  <si>
    <t>PISCO OCUCAJE MV QUEBRANTA BT 700 ML</t>
  </si>
  <si>
    <t>VINO GRAN ROSE S/SECO TABERNERO X 750</t>
  </si>
  <si>
    <t>JCHOMBO</t>
  </si>
  <si>
    <t>HARINA DE MACA X 200 GR MARIMIEL</t>
  </si>
  <si>
    <t>T101</t>
  </si>
  <si>
    <t>POTE CORAZÓN BUTTER TOFFEES SURTIDO 132G</t>
  </si>
  <si>
    <t>EVENTURAG</t>
  </si>
  <si>
    <t>T120</t>
  </si>
  <si>
    <t>CERVEZA TRES CRUCES LIGH PACK 6 LT 310ML</t>
  </si>
  <si>
    <t>T103</t>
  </si>
  <si>
    <t>S036</t>
  </si>
  <si>
    <t>PACK CHILCANERO PANCHO FIERRO</t>
  </si>
  <si>
    <t>S037</t>
  </si>
  <si>
    <t>S087</t>
  </si>
  <si>
    <t>BAÑOS HARPIC REMOVEDOR MANCHAS DP 500ML</t>
  </si>
  <si>
    <t>S035</t>
  </si>
  <si>
    <t>PETIT CORAZÓN BON O BON FRESA 45G</t>
  </si>
  <si>
    <t>FCRUZR</t>
  </si>
  <si>
    <t>T108</t>
  </si>
  <si>
    <t>CITRICO COCTELERIA GO BARMAN,TORONJA45GR</t>
  </si>
  <si>
    <t>FOUR LOKO 473ML , GREEN</t>
  </si>
  <si>
    <t>FCARHUANCHOZ</t>
  </si>
  <si>
    <t>CURACAO TRIPLE SEC BARDINET X 700 ML</t>
  </si>
  <si>
    <t>LVEGAH</t>
  </si>
  <si>
    <t>RON CARUPANO RESERVA 18 LIMITADA 750ML</t>
  </si>
  <si>
    <t>CREMA DE MENTA BARDINET X 700</t>
  </si>
  <si>
    <t>DYUPANQUIL</t>
  </si>
  <si>
    <t>T102</t>
  </si>
  <si>
    <t>REHIDRATANTE PEDIALYTE 500ML , CEREZA</t>
  </si>
  <si>
    <t>FRANZG</t>
  </si>
  <si>
    <t>PISCO INTIPALKA MV X750ML, ACHOLADO</t>
  </si>
  <si>
    <t>W101</t>
  </si>
  <si>
    <t>HUAMANCAYO</t>
  </si>
  <si>
    <t>H005</t>
  </si>
  <si>
    <t>VINO VITTORIA ROSE BOT 750 ML</t>
  </si>
  <si>
    <t>ORDOÑEZ</t>
  </si>
  <si>
    <t>ESPUMOSO TABERNERO BRUT 750 ML</t>
  </si>
  <si>
    <t>BRODASY</t>
  </si>
  <si>
    <t>S097</t>
  </si>
  <si>
    <t>VINO BLACK TOWER BLANCO 750 ML</t>
  </si>
  <si>
    <t>JOSUE ARIAS</t>
  </si>
  <si>
    <t>S098</t>
  </si>
  <si>
    <t>PISCO MONTESIERPE ITALIA X 700 ML</t>
  </si>
  <si>
    <t>DCAPCHA</t>
  </si>
  <si>
    <t>PISCO FINCA ROTONDO MACHU PICCHU , ACHOL</t>
  </si>
  <si>
    <t>T116</t>
  </si>
  <si>
    <t>PACK APEROL+CINZANO TO-STPRITZ 750ML C/U</t>
  </si>
  <si>
    <t>JLIMACHEC</t>
  </si>
  <si>
    <t>LUQUILLA</t>
  </si>
  <si>
    <t>7640114543</t>
  </si>
  <si>
    <t>H014</t>
  </si>
  <si>
    <t>BICARBONATO DE SODIO X 100 G UNIVERSAL</t>
  </si>
  <si>
    <t>EQUISPET</t>
  </si>
  <si>
    <t>H006</t>
  </si>
  <si>
    <t>GELATINA UNIVERSAL 130 GR, DURAZNO</t>
  </si>
  <si>
    <t>GELATINA UNIVERSAL 130 GR , CEREZA</t>
  </si>
  <si>
    <t>PISCO DEMONIO DE LOS ANDES QUEBRAN 700ML</t>
  </si>
  <si>
    <t>H003</t>
  </si>
  <si>
    <t>RTD HIT CARTAVIO 355 ML, CUBA LIBRE</t>
  </si>
  <si>
    <t>BACTERION JABON LIQUIDO VAINILLA X1L</t>
  </si>
  <si>
    <t>JCUTIS</t>
  </si>
  <si>
    <t>EGUE BUC LISTERINE ZERO BOT 180ML</t>
  </si>
  <si>
    <t>JHUAMANGU</t>
  </si>
  <si>
    <t>S051</t>
  </si>
  <si>
    <t>WHISKY JOHNNIE WALKER GOLD LABEL 750ML</t>
  </si>
  <si>
    <t>RONALDO</t>
  </si>
  <si>
    <t>T130</t>
  </si>
  <si>
    <t>FUSILLI VERDURA X 500 GR LA MONTANARA</t>
  </si>
  <si>
    <t>7640114637</t>
  </si>
  <si>
    <t>T104</t>
  </si>
  <si>
    <t>SALSA TERIYAKI ESSENTIAL 295 ML</t>
  </si>
  <si>
    <t>MVERAL</t>
  </si>
  <si>
    <t>KING KONG SAN ROQUE MANJARBLX 900GRS</t>
  </si>
  <si>
    <t>SIYAU KIKKO 1 LITROS</t>
  </si>
  <si>
    <t>LIDER</t>
  </si>
  <si>
    <t>CODIGO</t>
  </si>
  <si>
    <t>USUARIO PICKING ERROR</t>
  </si>
  <si>
    <t>USUARIO FILTRO ERROR</t>
  </si>
  <si>
    <t xml:space="preserve">Material </t>
  </si>
  <si>
    <t>Texto breve material</t>
  </si>
  <si>
    <t>PrecioMedioVar</t>
  </si>
  <si>
    <t>C.A.</t>
  </si>
  <si>
    <t>SHAMPOO ELVIVE COLOR VIVE BOT X 370ML</t>
  </si>
  <si>
    <t>ACOND ELVIVE COLOR VIVE BOTX370ML</t>
  </si>
  <si>
    <t>SHAMPOO ELVIVE REPAR TOTAL 5 BOT X 370ML</t>
  </si>
  <si>
    <t>DESOD NIVEA SENSITIVE PROT AER X150ML</t>
  </si>
  <si>
    <t>DESOD NIVEA ACLARADO NAT AER X150ML</t>
  </si>
  <si>
    <t>DEO EXTRACLARADO SERUM ROLLON NIVEA 40ML</t>
  </si>
  <si>
    <t>DEO NIVEA DEEP DARK WOOD SPRAY 150ML</t>
  </si>
  <si>
    <t>SHAMPOO ELVIVE HIDRA HIALURONICO 370ML</t>
  </si>
  <si>
    <t>ACO HIDRA HIALURONICO 370ML ELVIVE</t>
  </si>
  <si>
    <t>CHAMPAGNE VEUVE CLICQUOT BRUT 375ML</t>
  </si>
  <si>
    <t>ELVIVE HA PURE SHAMPOO 370ML</t>
  </si>
  <si>
    <t>ELVIVE HA PURE ACO 370ML</t>
  </si>
  <si>
    <t>ESPUMANTE CHANDON GARDEN SPRITZ 750ML</t>
  </si>
  <si>
    <t>ELVIVE GLYCOLIC GLOSS SHAMPOO 370ML</t>
  </si>
  <si>
    <t>ELVIVE GLYCOLIC GLOSS ACO 370ML</t>
  </si>
  <si>
    <t>DEO INVISIBLE B&amp;W NIVEA, MEN SPRAY X 150</t>
  </si>
  <si>
    <t>MASCARILLA HAIR FOOD 350ML, REPARA COCO</t>
  </si>
  <si>
    <t>MASCARILLA HAIR FOOD 350ML, NUT AGUACATE</t>
  </si>
  <si>
    <t>Vino Diablo Dark Red 750ML</t>
  </si>
  <si>
    <t>PACK VODKA RUSSKAYA PINK 750ML + SHAKER</t>
  </si>
  <si>
    <t>VINO CASILLERO DEL DIABLO MERLOT X750ML.</t>
  </si>
  <si>
    <t>VINO CASILLERO DEL DIABLO X 7, RED BLEND</t>
  </si>
  <si>
    <t>CHAMPAGNE MOET &amp; CHANDON BRUT IMP 375ML</t>
  </si>
  <si>
    <t>CHAMPAGNE MOET&amp;CHANDON BRUT IMP 3L</t>
  </si>
  <si>
    <t>PACK RUSSKAYA NEUTRO+RUSSKAYA GREEN 750</t>
  </si>
  <si>
    <t>PACK CARTAVIO BLACK+WHISKY OLD TIMES750</t>
  </si>
  <si>
    <t>ESPUMOSO TABERNERO ESPECIAL 750 ML</t>
  </si>
  <si>
    <t>VINO TABERNERO BORGOÑA X 750 ML</t>
  </si>
  <si>
    <t>VINO QUEIROLO BORGOÑA S/SECO BOT 750 ML</t>
  </si>
  <si>
    <t>VINO QUEIROLO MAGDALENA RSV S/SECO 750ML</t>
  </si>
  <si>
    <t>VINO NIETO SENETINER MALBEC DOC. X 750ML</t>
  </si>
  <si>
    <t>ESPUMANTE PETALO MOSCATO BOTTEGA 750ML</t>
  </si>
  <si>
    <t>#CHAMPAGNE VEUVE CLICQOT BRUT ROSE 750ML</t>
  </si>
  <si>
    <t>ESPUMOSO TABERNERO ESPECIAL ROSE 750 ML</t>
  </si>
  <si>
    <t>ESPUMANTE NAPOLEON SEM/SEC VIÑA  X750 ML</t>
  </si>
  <si>
    <t>TWOPACK BALLANTINES FINEST 700ML</t>
  </si>
  <si>
    <t>VINO EL ENEMIGO MALBEC 750 ML</t>
  </si>
  <si>
    <t>TWOPACK CHIVAS 12 700ML</t>
  </si>
  <si>
    <t>TWOPACK SOMETHING SPECIAL 750ML</t>
  </si>
  <si>
    <t>PACK BALLANTINE FINEST 700ML + BOT 200ML</t>
  </si>
  <si>
    <t>CHIVAS 12 700ML&amp;REGALO CHIVAS 12 200ML</t>
  </si>
  <si>
    <t>ESPUMOSO QUEIROLO PRIMADO 750 ML</t>
  </si>
  <si>
    <t>ESPUMOSO QUEIROLO PRIMADONNA 750 ML</t>
  </si>
  <si>
    <t>ESPUMANTE RICCADONNA  RUBY X 750 ML</t>
  </si>
  <si>
    <t>WHISKY JOHNNIE WALKER RED 750ML +2 VASOS</t>
  </si>
  <si>
    <t>ESPUMANTE RICCADONNA MOSCATO ROSE 750ML</t>
  </si>
  <si>
    <t>PACK JOHNNIE WALKER BLACK 750 ML+TUMBLER</t>
  </si>
  <si>
    <t>PACK GIN TANQUERAY ROYALE 700ML+COPA</t>
  </si>
  <si>
    <t>PACK LICOR BAILEYS ORIGINAL 750ML + JAR</t>
  </si>
  <si>
    <t>PACK CHIVAS 18 YO 700 ML + 2 VASOS DE V.</t>
  </si>
  <si>
    <t>CHIVAS 13 700ML &amp; REGALO BEEF PINK 700ML</t>
  </si>
  <si>
    <t>BEEFEATER 700ML &amp; REGALO ABSOLUT 375ML</t>
  </si>
  <si>
    <t>BEEFEATER PINK 700ML&amp;REGALO ABSOLUT 375</t>
  </si>
  <si>
    <t>VINO SOTTANO BARRABAS CAB.FRANC 750ML</t>
  </si>
  <si>
    <t>CERVEZA INEDIT DAMM PACK 4 BOT 330ML</t>
  </si>
  <si>
    <t>CERVEZA VOLL DAMM PACK 6 BOT 330ML</t>
  </si>
  <si>
    <t>VINO 7 COLORES RSV SBL/TORON 750ML</t>
  </si>
  <si>
    <t>VINO 7 COLORES VARIETAL SBL 750ML</t>
  </si>
  <si>
    <t>PISCO GRAN SELEC FAMILIA ACHOLADO 500ML</t>
  </si>
  <si>
    <t>VINO OVEJA NEGRA G.RESERVA CFR/CAR 750ML</t>
  </si>
  <si>
    <t>VINO OVEJA NEGRA G.RSVA CAB.SAUV 750ML</t>
  </si>
  <si>
    <t>VINO OVEJA NEGRA G.RSVA CARMENERE 750ML</t>
  </si>
  <si>
    <t>VINO CARLOS SERRES CRIANZA 750ML</t>
  </si>
  <si>
    <t>VINO CARLOS SERRES RESERVA 750ML</t>
  </si>
  <si>
    <t>VINO CARLOS SERRES GRAN RESERVA 750ML</t>
  </si>
  <si>
    <t>VINO CARLOS SERRES TEMPRANILLO 750ML</t>
  </si>
  <si>
    <t>VINO TINTO BELO TEMPRANILLO 750ML</t>
  </si>
  <si>
    <t>VINO SPIER SIGNATURE SAUV.BLANC 750ML</t>
  </si>
  <si>
    <t>VINO SPIER SIGNATURE PINOTAGE 750ML</t>
  </si>
  <si>
    <t>VINO SPIER SIGNATURE CAB.SAUVIGNON 750ML</t>
  </si>
  <si>
    <t>VINO SPIER SIGNATURE SHIRAZ 750ML</t>
  </si>
  <si>
    <t>VINO SPIER SEAWARD SHIRAZ 750ML</t>
  </si>
  <si>
    <t>PISCO OCUCAJE HUACO NEGRO QUEBR BT 750ML</t>
  </si>
  <si>
    <t>PISCO OCUCAJE PURO QUEBRANTA X700ML</t>
  </si>
  <si>
    <t>RON DIPLOMATICO RES EX X 750</t>
  </si>
  <si>
    <t>AGUA TONICA FEVER TREE INDIAN 200ML</t>
  </si>
  <si>
    <t>PACK GIN CITADELLE 750ML + COPA</t>
  </si>
  <si>
    <t>GIN CITADELLE JARDIN D' ÉTÉ 750ML</t>
  </si>
  <si>
    <t>PACK RON PLANTATION 20 ANNIV. XO+2 VASOS</t>
  </si>
  <si>
    <t>ESPUMANTE GAMBELLARA PROSECCO 750ML</t>
  </si>
  <si>
    <t>ESPUMANTE GAMBELLARA DULCE 750ML</t>
  </si>
  <si>
    <t>VINO CARLO V ROSSO CABERNET FRANC 750ML</t>
  </si>
  <si>
    <t>VINO OCUCAJE FOND CAVE CAB-MALBEC 750ML</t>
  </si>
  <si>
    <t>VINO OCUCAJE GRAND CRU ROSADO 750ML</t>
  </si>
  <si>
    <t>PISCO 100 AÑOS MOSTO VERDE ITALIA X 500</t>
  </si>
  <si>
    <t>PISCO 100 AÑOS MOSTO VERDE ACHOLADO X500</t>
  </si>
  <si>
    <t>VINO ZUCCARDI''A'', MALBEC</t>
  </si>
  <si>
    <t>ESPUMANTE FREIXENET MIA MOSCATO X 750 ML</t>
  </si>
  <si>
    <t>OCUCAJE OPORTO DEL ABUELO X 750</t>
  </si>
  <si>
    <t>Vino Bicicleta Reserva 750ML , CAR</t>
  </si>
  <si>
    <t>AGUA TONICA FEVER TREE NATURALLY 200ML</t>
  </si>
  <si>
    <t>AGUA TONICA FEVER TREE MEDITERRAN 200ML</t>
  </si>
  <si>
    <t>AGUA TONICA FEVER TREE FLOR DE SAU 200ML</t>
  </si>
  <si>
    <t>VINO OVEJA NEGRA RSV BOT 750, MB PVDT</t>
  </si>
  <si>
    <t>VINO OVEJA NEGRA RSV BOT 750, SAUV SY</t>
  </si>
  <si>
    <t>VINO OVEJA NEGRA RSV BOT 750, CAB CAR</t>
  </si>
  <si>
    <t>VINO OVEJA NEGRA RSV BOT 750, SAU CAR</t>
  </si>
  <si>
    <t>GINGER ALE FEVER TREE 200ML</t>
  </si>
  <si>
    <t>VINO OVEJA NEGRA RSVA BOT 750 , ROSE</t>
  </si>
  <si>
    <t>VINO 7 COLORES G.RSV 750ML , CSA/MUSC</t>
  </si>
  <si>
    <t>VINO 7 COLORES G.RSV 750ML , CAR</t>
  </si>
  <si>
    <t>VINO 7 COLORES G.RSV 750ML , P.NOIR/SE</t>
  </si>
  <si>
    <t>VINO 7 COLORES RESERVA 750ML , CSA</t>
  </si>
  <si>
    <t>VINO 7 COLORES RESERVA 750ML , CAR/CIN</t>
  </si>
  <si>
    <t>GINGER BEER FEVER TREE 200ML</t>
  </si>
  <si>
    <t>VINO 7 COLORES VARIETAL 750ML , CSA</t>
  </si>
  <si>
    <t>VINO 7 COLORES VARIETAL 750ML , MERLOT</t>
  </si>
  <si>
    <t>VINO MATETIC CORRALILLO SAUVIGNON BLANC</t>
  </si>
  <si>
    <t>CEREAL DE QUINUA NURA 200GR , CHOCO</t>
  </si>
  <si>
    <t>CEREAL DE QUINUA NURA 200GR , CARAMEL</t>
  </si>
  <si>
    <t>AGUA TONICA FEVER TREE AROMTIC 200ML</t>
  </si>
  <si>
    <t>VINO DOÑA FLORENCIA CAB SAUVIGNON</t>
  </si>
  <si>
    <t>VINO DOÑA FLORENCIA SAUVIGNON BLANC</t>
  </si>
  <si>
    <t>PACK 4 VINOS KIDIA CHARDONNAY 187ML</t>
  </si>
  <si>
    <t>PACK 4 VINOS KIDIA CAB.SAUVIGNON 187ML</t>
  </si>
  <si>
    <t>VINO LA ESCONDIDA MERLOT 750ML</t>
  </si>
  <si>
    <t>ADEREZO P/PAVO CUISINE&amp;CO DOY PACK 150G</t>
  </si>
  <si>
    <t>VINO ROYAL CLARET 750ML</t>
  </si>
  <si>
    <t>VINO BORDON CRIANZA 750ML</t>
  </si>
  <si>
    <t>VINO BORDON RESERVA 750ML</t>
  </si>
  <si>
    <t>CERVEZA LATITUD CERO CATEQUILLA BOT330ML</t>
  </si>
  <si>
    <t>CERVEZA LATITUD CERO APACHITA BOT 330ML</t>
  </si>
  <si>
    <t>MEZCAL DON RAMON BOT 750 ML</t>
  </si>
  <si>
    <t>ADEREZO P/PAVO BIPACK 2X150 CUISINE&amp;CO</t>
  </si>
  <si>
    <t>ACEITE DE AJONJOLI X 60CC ALIDA CHIANG</t>
  </si>
  <si>
    <t>CABELLO DE ANGEL HUEVO X 250 GRS LA MONT</t>
  </si>
  <si>
    <t>PASTINAS DE VERDURA X 250 GRS LAMONTANAR</t>
  </si>
  <si>
    <t>SPAGHETTI AL HUEVO X 500 GRS LA MONTANAR</t>
  </si>
  <si>
    <t>TAGLIATELLE AL HUEVO X 500 GR MONTANARA</t>
  </si>
  <si>
    <t>FARFALLE # 61 X 500 GR AGNESI</t>
  </si>
  <si>
    <t>LINGUINE #10 X 500 GR AGNESI</t>
  </si>
  <si>
    <t>LASAGNE # 87 X 500 GR AGNESI</t>
  </si>
  <si>
    <t>PENNE RIGATI # 87 X 500 GR AGNESI</t>
  </si>
  <si>
    <t>CAFÉ MOL. LAVAZZA FILT CLASSICO 226.8GR</t>
  </si>
  <si>
    <t>CAFÉ MOLIDO LAVAZZA CLÁSICO  340GR</t>
  </si>
  <si>
    <t>CAFÉ MOLIDO LAVAZZA CREMA E GUSTO 250GR</t>
  </si>
  <si>
    <t>CAFÉ MOLIDO LAVAZZA QUALITA ROSSA 250GR</t>
  </si>
  <si>
    <t>RTD BAREFOOT ROSE LATA 250ML</t>
  </si>
  <si>
    <t>RTD BAREFOOT MOSCATO LATA 250ML</t>
  </si>
  <si>
    <t>CAFÉ MOLIDO LAVAZZA QUALITA ORO 250GR</t>
  </si>
  <si>
    <t>SALSA TAMARINDO X 4 ONZ A.CHIANG</t>
  </si>
  <si>
    <t>CAFÉ MOLIDO LAVAZZA INTENSO 340GR</t>
  </si>
  <si>
    <t>CHAMPAGNE MOET &amp; CHANDON BRUT IMP.X750ML</t>
  </si>
  <si>
    <t>SALSA TAMARINDO X 12 OZ A. CHIANG</t>
  </si>
  <si>
    <t>SALSA DE OSTION X 60 CC A. CHIANG</t>
  </si>
  <si>
    <t>SILLAU SALSA DE SOYA X 12 OZ A. CHIANG</t>
  </si>
  <si>
    <t>SALSA TAMARINDO X 350ML JORVIC</t>
  </si>
  <si>
    <t>AGUA TÓNICA FEVER TREE INDIAN 4 UN X 200</t>
  </si>
  <si>
    <t>ESPUMANTE RICCADONNA PROSSECO BOT 750ML</t>
  </si>
  <si>
    <t>PACK 2 ESPUM RICCADONNA ASTI/RUBY 750ML</t>
  </si>
  <si>
    <t>PACK 2 RICCADONNA RUBY+M.ROSE 750ML C/U</t>
  </si>
  <si>
    <t>ESPUMANTE FREIXENET MIA ROSADO 750ML</t>
  </si>
  <si>
    <t>GINGER BEER FEVER TREE 4 UN X 200ML</t>
  </si>
  <si>
    <t>FRIJOL DE SOYA X 10GR.(TAU SI) A.CHIANG</t>
  </si>
  <si>
    <t>CHAMPAGNE MOET&amp;CHANDON ICE DEMISEC 750ML</t>
  </si>
  <si>
    <t>CHAMPAGNE MOET&amp;CHANDON ICE ROSE 750ML</t>
  </si>
  <si>
    <t>AGUA TÓNIC FEVER TREE LIGHT 4 UN X 200ML</t>
  </si>
  <si>
    <t>PK ESPU RICCADONNA ASTI 750ML+RUBY 200ML</t>
  </si>
  <si>
    <t>PK ESPU RICCADONNA RUBY 750ML+ASTI 200ML</t>
  </si>
  <si>
    <t>ESPUMANTE RICCADONNA ASTI BOT 750ML</t>
  </si>
  <si>
    <t>CHAMPAGNE MOET CHANDON NECTAR D/SEC750ML</t>
  </si>
  <si>
    <t>ESPUMANTE CHANDON EXTRA BRUT X 750 ML</t>
  </si>
  <si>
    <t>CAVA SEMISECO CARTA NEVADA FREXINET X750</t>
  </si>
  <si>
    <t>VINO EL COTO DE IMAZ RIOJA RSVA 750 ML</t>
  </si>
  <si>
    <t>VINO ALAMOS RESERVA MALBEC 750ML</t>
  </si>
  <si>
    <t>VINO TORO DE PIEDRA G.RSVA SBL 750ML</t>
  </si>
  <si>
    <t>VINO DARK HORSE 750ML , P.GRIGIO</t>
  </si>
  <si>
    <t>VINO DARK HORSE 750ML , SAUV.BLANC</t>
  </si>
  <si>
    <t>VINO DARK HORSE 750ML , CHARD</t>
  </si>
  <si>
    <t>VINO DARK HORSE 750ML. , CAB.SAUV</t>
  </si>
  <si>
    <t>VINO TORO D PIEDRA G.RSV 750ML , CSA</t>
  </si>
  <si>
    <t>VINO TORO D PIEDRA G.RSV 750ML , CA/CS</t>
  </si>
  <si>
    <t>VINO TORO D PIEDRA G.RSV 750ML , SY/CS</t>
  </si>
  <si>
    <t>VINO CATENA MALBEC  750 ML</t>
  </si>
  <si>
    <t>VINO EL ENEMIGO CABERNET FRANC. X 750 ML</t>
  </si>
  <si>
    <t>ESPUMANTE RICCADONNA PROSECCO ROSE 750ML</t>
  </si>
  <si>
    <t>VINO TRIVENTO RESERVA CAB/MALBEC X 750</t>
  </si>
  <si>
    <t>ESPUMANTE CINZANO X 750 ML, PROSECCO</t>
  </si>
  <si>
    <t>LICOR DRAMBUIE X 750 ML.</t>
  </si>
  <si>
    <t>VINO EL COTO CRIANZA RIOJA 750 ML</t>
  </si>
  <si>
    <t>VINO TRIVENTO RESERVA MALBEC X 750 ML</t>
  </si>
  <si>
    <t>TEQUILA HERRADURA AÑEJO X 750 ML</t>
  </si>
  <si>
    <t>MOSTAZA A LA MIEL CLOVIS FRANCE X 200G</t>
  </si>
  <si>
    <t>MOSTAZA A LA TRUFA CLOVIS FRANCE X 200G</t>
  </si>
  <si>
    <t>GINGER REAL 500ML</t>
  </si>
  <si>
    <t>AGAVE REAL AZUL 703GR</t>
  </si>
  <si>
    <t>VINO CASILLERO DEL DIABLO CABERNET X 750</t>
  </si>
  <si>
    <t>VINO DARK HORSE 750ML. , MERLOT</t>
  </si>
  <si>
    <t>VINO DARK HORSE 750ML. , P.NOIR</t>
  </si>
  <si>
    <t>AGUA NATURAL EVIAN SPORT BOT 750 ML</t>
  </si>
  <si>
    <t>VINO MAISON NICOLAS RSRV PINOT NOIR X750</t>
  </si>
  <si>
    <t>SALSA AGRIDULCE X 240 GR LKK</t>
  </si>
  <si>
    <t>SALSA DE OSTION PANDA X 510 GR LKK</t>
  </si>
  <si>
    <t>SALSA HOI SIN X 397 GR LKK</t>
  </si>
  <si>
    <t>SALSA CURRY X 235 GR (CURRY SAUCE) LKK</t>
  </si>
  <si>
    <t>SALSA DE OSTION PANDA X 255 GR  L.K.K</t>
  </si>
  <si>
    <t>HARINA SOYA TOSTADA X 500 GR</t>
  </si>
  <si>
    <t>HARINA DE QUINUA X 500 GRS.</t>
  </si>
  <si>
    <t xml:space="preserve"> FIDEO DE GLUTEN ESPINACA X 250 GR. AGE</t>
  </si>
  <si>
    <t>SILLAO CLARO C/DISPENSADOR X 150ML LKK</t>
  </si>
  <si>
    <t>SILLAO C/CHAMPIGÑON X 500 LKK.</t>
  </si>
  <si>
    <t>SILLAO OSCURO X 500 ML. LKK.</t>
  </si>
  <si>
    <t>SILLAO LITE C/DISPENSADOR LKK X 150 ML</t>
  </si>
  <si>
    <t>ESPUMOSO TABERNERO SEMI SECO 750 ML</t>
  </si>
  <si>
    <t>PISCO INCA PISCO PURO X 750 ML</t>
  </si>
  <si>
    <t>PISCO MONTESIERPE ACHOLADO X 700 ML</t>
  </si>
  <si>
    <t>PISCO VARGAS PURO BOT 750ML</t>
  </si>
  <si>
    <t>PISCO BIONDI ITALIA X 500 ML</t>
  </si>
  <si>
    <t>PISCO BIONDI PURO NEGRA CRIOLLAX 500 ML</t>
  </si>
  <si>
    <t>PISCO QUEIROLO QUEBRANTA X 750 ML</t>
  </si>
  <si>
    <t>ANIS ROJO DULCE X 750  NAJAR</t>
  </si>
  <si>
    <t>RON POMALCA BLANCO AÑEJO X750ML.</t>
  </si>
  <si>
    <t>RON POMALCA ORO AÑEJO X750ML.</t>
  </si>
  <si>
    <t>RON POMALCA RESERVA ESPECIAL X 750</t>
  </si>
  <si>
    <t>VINO TABERNERO BLANCO DE BLANCOS 750 ML</t>
  </si>
  <si>
    <t>VINO TACAMA GRAN BLANCO SECO X 750 ML.</t>
  </si>
  <si>
    <t>TWOPACK JHONNIE WALKER BLACK 750ML</t>
  </si>
  <si>
    <t>VINO TACAMA B.DE BLANCOS SB-VI-CH 750ML</t>
  </si>
  <si>
    <t>VINO TACAMA BLANCO SEMI DULCE X 750ML</t>
  </si>
  <si>
    <t>WHISKY GRANT´S X 750 ML</t>
  </si>
  <si>
    <t>AGUA SOCOSANI CONGAS PET 1.5L</t>
  </si>
  <si>
    <t>SANGRIA TABERNERO 1 LT.TETRA PACK</t>
  </si>
  <si>
    <t>VINO TABERNERO CABERNET SAUVIGNON 750 ML</t>
  </si>
  <si>
    <t>OPORTO DEL FRAILE X 750 TABERNERO</t>
  </si>
  <si>
    <t>VINO TABERNERO FINA RSVA G.TINTO 750ML</t>
  </si>
  <si>
    <t>VINO TACAMA ROSE SEMI SECO X 750</t>
  </si>
  <si>
    <t>VINO TACAMA S.ESPECIAL BLEND 750ML</t>
  </si>
  <si>
    <t>VINO TACAMA GRAN TINTO X  750 ML.</t>
  </si>
  <si>
    <t>AGUA NATURAL EVIAN BOT 1.25 LT</t>
  </si>
  <si>
    <t>AGUA NATURAL EVIAN BOT 1 LT</t>
  </si>
  <si>
    <t>AGUA NATURAL EVIAN BOT 500 ML</t>
  </si>
  <si>
    <t>CREMA DE COCO SELVA X 280 ML</t>
  </si>
  <si>
    <t>SILLAO LITE X 500 ML LKK.</t>
  </si>
  <si>
    <t>ACEITE DE AJONJOLI PURO X 207ML LEE KUM</t>
  </si>
  <si>
    <t>SILLAO PREMIUM CLARO X 500ML LEE KUM KEE</t>
  </si>
  <si>
    <t>PACK GIN TANQUERAY LONDON + 4PERKINS</t>
  </si>
  <si>
    <t>SALSA  PICAN.TABASCO X 150 ML. MC.ILHENN</t>
  </si>
  <si>
    <t>PACK GIN TANQUERAY SEVILLA + 4PERKINS</t>
  </si>
  <si>
    <t>SALSA TABASCO ORIGINAL X60 ML MC.ILHENNY</t>
  </si>
  <si>
    <t>PACK GIN TANQUERAY ROYALE + 4PERKINS</t>
  </si>
  <si>
    <t>PACK GIN TANQUERAY LONDON 700ML+COPA</t>
  </si>
  <si>
    <t>SALSA HUANCAINA X 64 GR. PROVENZAL</t>
  </si>
  <si>
    <t>OCOPA X 70 GR. PROVENZAL</t>
  </si>
  <si>
    <t>PACK JW BLACK 750ML+ TANQUERAY ROYAL 700</t>
  </si>
  <si>
    <t>PACK JOHNNIE WALKER RED 750ML+2 VASOS CJ</t>
  </si>
  <si>
    <t>ATUN EN TROZOS  X 170 GR A-1</t>
  </si>
  <si>
    <t>SALSA TABASCO X 350 ML MC ILHENNY</t>
  </si>
  <si>
    <t>GERMEN DE TRIGO X  250 GR. AGE</t>
  </si>
  <si>
    <t>GERMEN DE TRIGO X 500 GR.  AGE</t>
  </si>
  <si>
    <t>SALVADO DE TRIGO MOLIDO X 500 GR. AGE</t>
  </si>
  <si>
    <t>SALVADO ENTERO X 300 GR. AGE</t>
  </si>
  <si>
    <t>TRIGO ATOMIC ORIGINAL X125GR FORTE GOLPE</t>
  </si>
  <si>
    <t>SALVADO DE TRIGO CROCANTE X 400  COS.PAR</t>
  </si>
  <si>
    <t>COCOA X 160 GR. CURAZAO</t>
  </si>
  <si>
    <t>CREMA DE ALCACHOFAS X 70 GR. PROVENZAL</t>
  </si>
  <si>
    <t>AJI DE GALLINA X 100 GR. PROVENZAL</t>
  </si>
  <si>
    <t>FLAN VAINILLA CUISINE&amp;CO 100GR</t>
  </si>
  <si>
    <t>MAZAMORRA MORADA CUISINE&amp;CO 150G</t>
  </si>
  <si>
    <t>PUDIN VAINILLA CUISINE&amp;CO 100GR</t>
  </si>
  <si>
    <t>GELATINA SIN SABOR CUISINE&amp;CO 30G</t>
  </si>
  <si>
    <t>CARAM. WATERMELON &amp; CHERRY NERDS X46.7GR</t>
  </si>
  <si>
    <t>PASAS MORENAS X KG</t>
  </si>
  <si>
    <t>PASAS RUBIAS X KG</t>
  </si>
  <si>
    <t>GUINDONES CON PEPA 40/50 X KG</t>
  </si>
  <si>
    <t>PECANA PELADA X KG</t>
  </si>
  <si>
    <t>NUEZ PELADA X KG</t>
  </si>
  <si>
    <t>CASTAÑA X KG</t>
  </si>
  <si>
    <t>APRICOT X KG</t>
  </si>
  <si>
    <t>GUINDON SIN PEPA VALLEALTO BOLSA X150G</t>
  </si>
  <si>
    <t>MANI CON PASAS 150 GR  VALLE ALTO</t>
  </si>
  <si>
    <t>PASA MORENA VALLEALTO BOLSA X150G</t>
  </si>
  <si>
    <t>PASA RUBIA VALLEALTO TAPER X150G</t>
  </si>
  <si>
    <t>PECANA PELADA VALLEALTO BOLSA X135G</t>
  </si>
  <si>
    <t>MIEL DE ABEJA X500 EUCALIP LA ABEJA REAL</t>
  </si>
  <si>
    <t>MIEL DE ABEJA X 300GR REYNA DE OXAPAMPA</t>
  </si>
  <si>
    <t>MIEL DE ABEJAS 600GR REYNA DE OXAPAMPA</t>
  </si>
  <si>
    <t>MIEL DE ABEJA X750 GR REYNA DE OXAPAMPA</t>
  </si>
  <si>
    <t>MELIPOL  X 500 GR REYNA DE OXAPAMPA</t>
  </si>
  <si>
    <t>ATUN EN ACEITE DE OLIVA X 111g P.ORIENTE</t>
  </si>
  <si>
    <t>CHUCRUT X 850 ML. MILDESSA</t>
  </si>
  <si>
    <t>PEPINILLOS AGRIDULCESX670GR HENGSTENBERG</t>
  </si>
  <si>
    <t>WHISKY JOHNNIE WALKER GOLD 750 + 1 VASO</t>
  </si>
  <si>
    <t>PEPINILLOS  KNAX x 670Gr. HENGSTENBERG</t>
  </si>
  <si>
    <t>PEPINILLOS E/SALMUERA X650G HENGSTENBERG</t>
  </si>
  <si>
    <t>ALCAPARRAS X 135G HENGSTENBERG</t>
  </si>
  <si>
    <t>CEBOLLITAS ENCURTI X 320 GR HENGSTENBERG</t>
  </si>
  <si>
    <t>PEPINILLOS PEQUEÑOS X330G HENGSTENBERG</t>
  </si>
  <si>
    <t>RABANO PICANTE X 145GR HENGSTENBERG</t>
  </si>
  <si>
    <t>CHOCOFICHAS  X 125 GR. 2 CERRITO</t>
  </si>
  <si>
    <t>ALMENDRAS C/CHOCOLATE  DOS CERRITO125GR</t>
  </si>
  <si>
    <t>SALSA DE FRIJOLES DE SOYA X 15G.(MENSI)</t>
  </si>
  <si>
    <t>ALMENDRAS CONFITADAS X 125GRS</t>
  </si>
  <si>
    <t>TOFFEE SURTIDO X 300G. LA IBERICA</t>
  </si>
  <si>
    <t>TOFFEE SURTIDO X 1/2  ''LA IBERICA''</t>
  </si>
  <si>
    <t>SALSA VICTORIA X 320 CC</t>
  </si>
  <si>
    <t>SALSA JORVIC X 320 CC</t>
  </si>
  <si>
    <t>MANI C/CHOCOLATE X 150GR ''2 CERRITOS''</t>
  </si>
  <si>
    <t>GOMAS FRUTALES X 150 GR ''2 CERRITOS''</t>
  </si>
  <si>
    <t>GOMAS EUCALIPTO X 150 GR ''2 CERRITOS''</t>
  </si>
  <si>
    <t>CONGUITOS X 200 GR 2 CERRITOS</t>
  </si>
  <si>
    <t>BOMBONES SURTIDOS EXTRA X300G. LA IBERIC</t>
  </si>
  <si>
    <t>CHOCOLATE BARRA X 1.84 OZ MILKY WAY</t>
  </si>
  <si>
    <t>CHOCOLATE BARRA  X 1.86 OZ  SNICKERS</t>
  </si>
  <si>
    <t>PLANTERS DRY ROASTED PEANUTS  453 G</t>
  </si>
  <si>
    <t>SNICKER #1 SNACK BAR X 11.18  OZ FUN SIZ</t>
  </si>
  <si>
    <t>CERA EN PASTA TEKNO AMARILLA 300 ML</t>
  </si>
  <si>
    <t>CERA LÍQUIDA TEKNO AMARILLA 300 ML</t>
  </si>
  <si>
    <t>CERA PASTA TEKNO SELLAD NATUR300 ML</t>
  </si>
  <si>
    <t>CERA LÍQUIDA TEKNO ROJA  300 ML</t>
  </si>
  <si>
    <t>CERA EN PASTA ROJA  X 300 ML</t>
  </si>
  <si>
    <t>QUITAMANCHA SEKO 500 ML</t>
  </si>
  <si>
    <t>PASTILLAS MATAPOLILLAS CLEAN CLOSET</t>
  </si>
  <si>
    <t>NAFTALINA X 200GR DICOL</t>
  </si>
  <si>
    <t>NAFTALINA X 2 SAQUITOS X 25GR. DICOL</t>
  </si>
  <si>
    <t>LIMPIAMETALES  N. 6 X 250 SILVO</t>
  </si>
  <si>
    <t>ESPONJILLA LA MAQUINA SCOTCH BRITE</t>
  </si>
  <si>
    <t>ESPONJA SISTEMA II LAMINADO SCOTCH BRITE</t>
  </si>
  <si>
    <t>ESPONJA VERDE LA AUTENTICA SCOTCH BRITE</t>
  </si>
  <si>
    <t>ESPONJA NATURAL T / OVAL</t>
  </si>
  <si>
    <t>ESPONJA NATURAL T / ESPALDERO SLENDER</t>
  </si>
  <si>
    <t>PAÑO ABSORBENTE X3 SCOTCH-BRITE +ESPONJA</t>
  </si>
  <si>
    <t>SILLAU # 01 X 160 CC EL KIKKO</t>
  </si>
  <si>
    <t>SILLAU # 04 X 500 CC EL KIKKO</t>
  </si>
  <si>
    <t>SILLAU # 06 X 350 CC EL KIKKO</t>
  </si>
  <si>
    <t>BICARBONATO DE SODIO X 100GR. ERZA</t>
  </si>
  <si>
    <t>MENTHOLATUM X 30 GR.</t>
  </si>
  <si>
    <t>LOCION DE HAMAMELIS X 180 ML</t>
  </si>
  <si>
    <t>AGUA DE AZAHAR X 120 ML.</t>
  </si>
  <si>
    <t>AGUA DE AZAHAR X 240 ML</t>
  </si>
  <si>
    <t>ALGODON X 50 GR. COPPON 121002</t>
  </si>
  <si>
    <t>AGUA OXIGENADA ERZA 10 VOL X 120ML</t>
  </si>
  <si>
    <t>ALCOHOL 70% X 250 ML ERZA</t>
  </si>
  <si>
    <t>ALCOHOL 70% X 500ML ERZA</t>
  </si>
  <si>
    <t xml:space="preserve"> ALCOHOL 70% X LT ERZA</t>
  </si>
  <si>
    <t>ALCOHOL YODADO X 120 ML ERZA</t>
  </si>
  <si>
    <t>TINTURA DE YODO X 30 ML ERZA</t>
  </si>
  <si>
    <t>VINAGRE AROMAT.T/BULLY X 120ML ERZA</t>
  </si>
  <si>
    <t>ALCOHOL 96° X250 ML ERZA</t>
  </si>
  <si>
    <t>ALCOHOL 96° X500ML ERZA</t>
  </si>
  <si>
    <t xml:space="preserve"> SAL DE ANDREWS X 12 SBR (112219)</t>
  </si>
  <si>
    <t>BICARBONATO DE SODIO X50G ERZA</t>
  </si>
  <si>
    <t>DESOD CREMA ETIQUET CAJ 75G</t>
  </si>
  <si>
    <t>PACK GIN TANQUERAY SEVILLA 700ML+COPA</t>
  </si>
  <si>
    <t>DESOD ETIQUET CAJ 36G</t>
  </si>
  <si>
    <t>BOLITAS DE ALGODON X100 GR COPPON FAMILI</t>
  </si>
  <si>
    <t>ALMIDON NIAGARA 20OZ, ORIGINAL</t>
  </si>
  <si>
    <t>RENOVADOR PARA AUTOS  KIT</t>
  </si>
  <si>
    <t>SILICONA KIT P/AUTO X420CC</t>
  </si>
  <si>
    <t>CREMA NIVEA LATA 150ML</t>
  </si>
  <si>
    <t>CREMA MANOS NEUTROGENA CAJA X 56G</t>
  </si>
  <si>
    <t>BOLSA BASURA VIRUTEX 25L 10U</t>
  </si>
  <si>
    <t>BOLSA BASURA VIRUTEX 75L 10U</t>
  </si>
  <si>
    <t>BOLSA BASURA VIRUTEX 50L 10U</t>
  </si>
  <si>
    <t>BOLSA BASURA VIRUTEX 35L 10U</t>
  </si>
  <si>
    <t>CIPRIANI COCKTAIL BELLINI 200ML</t>
  </si>
  <si>
    <t>JUEGO DE BOLSAS GRANDE X 10 HORTEX</t>
  </si>
  <si>
    <t>JUEGO DE BOLSAS MEDIANA X 10  HORDEX</t>
  </si>
  <si>
    <t>BOLSA BASURA VIRUTEX 140L 10U</t>
  </si>
  <si>
    <t>PUROS KING EDWARD IMPERIAL X 5 UND.</t>
  </si>
  <si>
    <t>PROTECTOR DETAPICES SCOTCHGARD X10 OZ</t>
  </si>
  <si>
    <t>SCOTCHGARD LIMP.DE TAPICES X 14 OZ. 1014</t>
  </si>
  <si>
    <t>BASURERO CHICO 21.5cm HORDEX</t>
  </si>
  <si>
    <t>BASURERO MEDIANO 30.5cm HORDEX</t>
  </si>
  <si>
    <t>BASURERO CHICO C/TAPA 22cm HORDEX</t>
  </si>
  <si>
    <t>BASURERO MEDIANO C/TAPA 31cm HORDEX</t>
  </si>
  <si>
    <t>TRAPEDOR YUTE SURTIDO S/OJAL 70X50CM GAF</t>
  </si>
  <si>
    <t>COLONIA HENO DE PRAVIA SPLASH BOT X750ML</t>
  </si>
  <si>
    <t>CREMA DEL DR. ZAIDMAN X 30 GR.</t>
  </si>
  <si>
    <t>CREMA DEL DR. ZAIDMAN X 50 GR.</t>
  </si>
  <si>
    <t>CREMA DEL DR. ZAIDMAN X 100 GR</t>
  </si>
  <si>
    <t>ANIS CHINO X 5GR.(PAT-CO) A.CHIANG</t>
  </si>
  <si>
    <t>POLVO DE ALMIDON X400 GR BABY JOHNSON'S</t>
  </si>
  <si>
    <t>TALCO ORIGINAL X 100 GR. JOHNSON'S</t>
  </si>
  <si>
    <t>CREMA LIQUIDA ORIGINAX 400 ML. JOHNSON'S</t>
  </si>
  <si>
    <t>POLVO ALMIDON  X200 GR BABY JOHNSON'S</t>
  </si>
  <si>
    <t>SECADOR TOALLA (FELPA)50X78 BLANCO</t>
  </si>
  <si>
    <t>SECADOR PANCHA 45X55 BLANCO</t>
  </si>
  <si>
    <t>SHAMPOO BABY NEUTRO X 6O0 ML. SIMOND'S</t>
  </si>
  <si>
    <t>ACONDICIONAD. EX SUAVE X 610ML. SIMOND'S</t>
  </si>
  <si>
    <t>BEPANTHENE CREMA X 30 GRS.</t>
  </si>
  <si>
    <t>BEPANTHEN CREMA PROTECT BEBES X 30 G</t>
  </si>
  <si>
    <t>GLICERINA X 30 ML. FRASCO</t>
  </si>
  <si>
    <t>WHISKY JOHNNIE WALKER SWING 750ML</t>
  </si>
  <si>
    <t>WHISKY JOHNNIE WALKER RED LABEL 750ML</t>
  </si>
  <si>
    <t>WHISKY ROYAL SALUTE 21 AÑOS BOT 700 ML</t>
  </si>
  <si>
    <t>WHISKY GLENFIDDICH 12 AÑOS 750ML</t>
  </si>
  <si>
    <t>WHISKY SOMETHING SPECIAL X 750 ML</t>
  </si>
  <si>
    <t>WHISKY JACK DANIELS N° 7 BOT 750 ML</t>
  </si>
  <si>
    <t>WHISKY JOHNNIE WALKER BLACK LABEL 750ML</t>
  </si>
  <si>
    <t>WHISKY OLD PARR 12 AÑOS 750 ML</t>
  </si>
  <si>
    <t>WHISKY DEWAR'S WHITE LABEL 750 ML</t>
  </si>
  <si>
    <t>TEQUILA JOSE CUERVO REPOSADO 750 ML</t>
  </si>
  <si>
    <t>TEQUILA JOSE CUERVO SILVER 750 ML</t>
  </si>
  <si>
    <t>TEQUILA JOSE CUERVO 1800 REPOSADO 750 ML</t>
  </si>
  <si>
    <t>COGNAC COURVOISIER VSOP 750 ML</t>
  </si>
  <si>
    <t>BRANDY TORRES 10 AÑOS BOT 750 ML</t>
  </si>
  <si>
    <t>AGUA TÓNIC FEVER TREE MEDIT 4 UN X 200ML</t>
  </si>
  <si>
    <t>CANELA CHINA X 5GRS.A.CHIANG</t>
  </si>
  <si>
    <t>CHAMPAGNE DOM PERIGNON MOET &amp; CX750 ML</t>
  </si>
  <si>
    <t>CAVA CORDON NEGRO FREIXENET X 750</t>
  </si>
  <si>
    <t>CAVA ANNA CODORNIU BRUT RESERVA 750 ML</t>
  </si>
  <si>
    <t>ESPUMANTE N.CORREAS EXTRA BRUT 750ML</t>
  </si>
  <si>
    <t>GIN TANQUERAY LONDON DRY 700 ML</t>
  </si>
  <si>
    <t>GIN BEEFEATER LONDON DRY BOT 700 ML</t>
  </si>
  <si>
    <t>CAMPARI BITTER X 750 ML</t>
  </si>
  <si>
    <t>KAHLUA LICOR DE CAFÉ 1000 ML</t>
  </si>
  <si>
    <t>PIMIENTA CHINA X 10 WA YEN</t>
  </si>
  <si>
    <t>ANIS X 25 SOBRES  HORNIMANS</t>
  </si>
  <si>
    <t>FOURPACK FEVER TREE BOT 200ML , GINGER A</t>
  </si>
  <si>
    <t>LICOR BAILEYS IRISH CREAM 750 ML</t>
  </si>
  <si>
    <t>AMARETTO DISARONNO BOT 700 ML</t>
  </si>
  <si>
    <t>FERNET BRANCA X 750 ML.</t>
  </si>
  <si>
    <t>RON APPLETON ESTATE SIGNATURE BLEND 750</t>
  </si>
  <si>
    <t>RON MEDELLIN AÑEJO 3 AÑOS BOT 750 ML</t>
  </si>
  <si>
    <t>RON HAVANA CLUB 7 AÑOS 700 ML</t>
  </si>
  <si>
    <t>RON VIEJO DE CALDAS X 750 ML.</t>
  </si>
  <si>
    <t>RON FLOR DE CAÑA 7 AÑOS 750 ML</t>
  </si>
  <si>
    <t>RON FLOR DE CAÑA 4 AÑOS 750 ML</t>
  </si>
  <si>
    <t>RON BACARDI BLANCO X 1.75 LT</t>
  </si>
  <si>
    <t>RON BACARDI GOLD 1.75 L</t>
  </si>
  <si>
    <t>VINO N.CORREAS COLEC.PRIV SAUV.BLANCX750</t>
  </si>
  <si>
    <t>FOURPACK FEVER TREE BOT 200M , MULTICOLO</t>
  </si>
  <si>
    <t>CERVEZA KUNSTMANN 330 ML , LAGER</t>
  </si>
  <si>
    <t>CERVEZA KUNSTMANN ESP 330 ML,SESSION IPA</t>
  </si>
  <si>
    <t>CERVEZA KUNSTMANN ESP 330 ML,  LAGER S/F</t>
  </si>
  <si>
    <t>VINO MARQUES DE CASA CONCHA CH 750 ML</t>
  </si>
  <si>
    <t>VINO CASILLERO DEL DIABLO SBL 750 ML</t>
  </si>
  <si>
    <t>VINO MARQUES DE RISCAL BCO RUEDA 750 ML</t>
  </si>
  <si>
    <t>VINO CONCHA Y TORO FRONTERA SBL 750 ML</t>
  </si>
  <si>
    <t>VINO BLANCO X 1 LT GATO BLANCO</t>
  </si>
  <si>
    <t>VODKA ABSOLUT X 700 ML</t>
  </si>
  <si>
    <t>VODKA  SKYY  X 750 ML</t>
  </si>
  <si>
    <t>VINO TINTO GATO NEGRO X 1 LT.</t>
  </si>
  <si>
    <t>VINO N.CORREAS COLEC.PRIV PINOT NOIRX750</t>
  </si>
  <si>
    <t>VINO N.CORREAS COLEC.PRIV BLEND X750</t>
  </si>
  <si>
    <t>VINO CONCHA Y TORO D.MELCHOR CSA 750ML</t>
  </si>
  <si>
    <t>VINO CONCHA Y TORO FRONTERA 750 ML</t>
  </si>
  <si>
    <t>VINO MARQUES DE RISCAL RESERVA 750 ML</t>
  </si>
  <si>
    <t>JEREZ TIO PEPE X 750ML.</t>
  </si>
  <si>
    <t>VINO TINTO ANTIGUAS RESERVAS C.MACUL X75</t>
  </si>
  <si>
    <t>VINO DON MATIAS C.MACUL RESERVA CABER750</t>
  </si>
  <si>
    <t>VINO SANGRE DE TORO TORRES X 750 ML</t>
  </si>
  <si>
    <t>VINO CORONAS TORRES TEMPRANILLO X 750 ML</t>
  </si>
  <si>
    <t>VINO TINTO GRAN CORONAS TORRES X 750ML..</t>
  </si>
  <si>
    <t>VINO ERRAZURIZ ESTATE S.BLANC 750ML</t>
  </si>
  <si>
    <t>CERVEZA KUNSTMANN ESP 330 ML , MIEL</t>
  </si>
  <si>
    <t>VINO BCO MONTES CLASSIC SAUVIGNON X 750</t>
  </si>
  <si>
    <t>VINO CASILLERO DEL DIABLO CH 750 ML</t>
  </si>
  <si>
    <t>VINO CABALLERO DE LA CEPA CHARDO 750ML</t>
  </si>
  <si>
    <t>VINO ERRAZURIZ MAX RSVA CAB SAUV 750 ML</t>
  </si>
  <si>
    <t>VINO MONTES ALPHA CABERNET SAUV X 750ML</t>
  </si>
  <si>
    <t>VINO MONTES CLASSIC CABERNET X750</t>
  </si>
  <si>
    <t>VINO MARQ D/CACERES RIOJA CRIANZA 750 ML</t>
  </si>
  <si>
    <t>VINO MARQ D/CACERES RIOJA RESERVA 750 ML</t>
  </si>
  <si>
    <t>VINO MARQ D/CACERES RIOJA ROSE 750 ML</t>
  </si>
  <si>
    <t>VINO FINCA FLICHMAN ROBLE CAB.SAUV X 750</t>
  </si>
  <si>
    <t>VINO CABALLERO D LA CEPA CAB.SAUV. X750</t>
  </si>
  <si>
    <t>PAÑO P/PISO 42*70 CM TASK/VIRUTEX</t>
  </si>
  <si>
    <t>PAÑO P/PISO C/OJAL 42X90CM TASK/VIRUTEX</t>
  </si>
  <si>
    <t>BLOODY MARY MIX TABASCO X 32 0Z</t>
  </si>
  <si>
    <t>SILICONA P/CUERO SPRAY X 250ML PORFIN</t>
  </si>
  <si>
    <t>RON HAVANA CLUB AÑEJO RESERVA 700 ML</t>
  </si>
  <si>
    <t>VINO SANGRE DE TORO RESERVA BOT 750ML</t>
  </si>
  <si>
    <t>DESOD NIVEA DRY MASCULINO AER 150ML</t>
  </si>
  <si>
    <t>CREMA NIVEA SOFT DOMO POTE X 200ML</t>
  </si>
  <si>
    <t>LICOR DE AVELLANA FRANGELICO 700 ML</t>
  </si>
  <si>
    <t>RON BACARDI LIMON 750 ML</t>
  </si>
  <si>
    <t>VINO OVEJA NEGRA RSVA BOT 750, CH VIO</t>
  </si>
  <si>
    <t>P.V.M JR. FRESA X 360 GR. HERSIL</t>
  </si>
  <si>
    <t>MICROPORE NEXCARE  1.25 CM X9.1M. 3M</t>
  </si>
  <si>
    <t>MICROPORE NEXC. PIEL 1.25 CM. X 5 M 3M</t>
  </si>
  <si>
    <t>TRANSPORE NEXCARE. 1.25 CM. X 9.1M. 3M</t>
  </si>
  <si>
    <t>CREMA DE COCO BARDINET X 700 ML</t>
  </si>
  <si>
    <t>BRANDY NAPOLEON BARDINET VSOP X 700 ML</t>
  </si>
  <si>
    <t>GANCHO 3M GRANDE  HOOKS (17003) X1UND</t>
  </si>
  <si>
    <t>VINO MEDOC CHATEAU D'ARCINS X 750 ML</t>
  </si>
  <si>
    <t>VINO ST.EMILION CHATEAU PICAU PERNA X750</t>
  </si>
  <si>
    <t>KING KONG ESPECIAL SAN ROQUE X 450 GR</t>
  </si>
  <si>
    <t>SALSA  WORCESTERSHIRE X150 ML LEAPERRINS</t>
  </si>
  <si>
    <t>SALSA WORCESTERSHIRE X290 ML LEA PERRINS</t>
  </si>
  <si>
    <t>VINO TINTO MONTES CABER/CARMENERE X750ML</t>
  </si>
  <si>
    <t>ANIS X 100 SOBRES HORNIMANS</t>
  </si>
  <si>
    <t>MATE DIGESTIVO X 25 SOB. HORNIMAN'S</t>
  </si>
  <si>
    <t>POLVO DE FECULA X 100GR. SIMOND'S</t>
  </si>
  <si>
    <t>RON FLOR DE CAÑA 5 AÑOS 750 ML</t>
  </si>
  <si>
    <t>VINO MOSCATO E.COPELLO X 750 ML</t>
  </si>
  <si>
    <t>VINO ROSE S/SECO E.COPELLO X 750 ML</t>
  </si>
  <si>
    <t>VINO TINTO BORGOÑA E.COPELLO ABOC. X 750</t>
  </si>
  <si>
    <t>VINO TINTO S/SECO E.COPELLO X 750 ML</t>
  </si>
  <si>
    <t>MONDADIENTES X 200 UND. D'LUCCI</t>
  </si>
  <si>
    <t>WHISKY JOHNNIE WALKER BLUE LABEL 750ML</t>
  </si>
  <si>
    <t>PISCO PURO QUEBRANTA F. DELFINO X 750 ML</t>
  </si>
  <si>
    <t>TENEDORES DE COCKTAIL D`LUCCI X 50 UND</t>
  </si>
  <si>
    <t>SALSA ALFREDO X 65 GR PROVENZAL</t>
  </si>
  <si>
    <t>VINO 7 COLORES VARIETAL 750ML , CAR</t>
  </si>
  <si>
    <t>TABLETAZA 90G CUISINE &amp; CO</t>
  </si>
  <si>
    <t>AC. OLIVA VIRGEN X 200 OLIVOS DEL SUR</t>
  </si>
  <si>
    <t>ESPUMANTE E. COPELLO X 750 ML.</t>
  </si>
  <si>
    <t>DEO ROLL ON NIVEA DRY FOR MEN TB X50ML</t>
  </si>
  <si>
    <t>VINO N.CORREAS COLEC PRIV SYRAH X750</t>
  </si>
  <si>
    <t>VODKA SMIRNOFF RED 700 ML</t>
  </si>
  <si>
    <t>MICROPORE NEXCARE 2.5 CM X9.1M..  3M</t>
  </si>
  <si>
    <t>MICROPORE NEXCARE 5 CM X9.1M.  3M</t>
  </si>
  <si>
    <t>TRANSPORE NEXCARE 2.5 CM X 9.1M.  3M</t>
  </si>
  <si>
    <t>TRANSPORE NEXCARE 5 CM X 9.1M.  3M</t>
  </si>
  <si>
    <t>MICROPORE NEXC. PIEL 2.5 X 5M 3M</t>
  </si>
  <si>
    <t>ADEREZO PARA PAVO X350GR PIKI</t>
  </si>
  <si>
    <t>VINO BLANCO CLOS DE PIRQUE X 1LT. TETRA.</t>
  </si>
  <si>
    <t>LAVAZZA ESPRESSO X 10 CAP. , DECISO</t>
  </si>
  <si>
    <t>VINO TINTO CLOS DE PIRQUE X 1LT. TETRA.</t>
  </si>
  <si>
    <t>VINO QUEIROLO BLCO RSVA S/SECO 750 ML</t>
  </si>
  <si>
    <t>LAVAZZA ESPRESSO X 10 CAP. , DESCAF</t>
  </si>
  <si>
    <t>MANZANILLA  X 100 SOBRES HORNIMANS</t>
  </si>
  <si>
    <t>VINO QUEIROLO ROSE S/SECO BOT 750 ML..</t>
  </si>
  <si>
    <t>VINO QUEIROLO MOSCATO S/SECO BOT 750 ML</t>
  </si>
  <si>
    <t>CHUÑO BLANCO X 425 GR KUSKI</t>
  </si>
  <si>
    <t>PACK 03 SOPAS RAMEN MARUCHAN + BOWL</t>
  </si>
  <si>
    <t>GANCHO 3M JUMBO HOOK 17004 X1UND</t>
  </si>
  <si>
    <t>CAFE REGULAR  X 226 GR MAXWELL HOUSE</t>
  </si>
  <si>
    <t>TORTILLAS MEXI NACHOS X 100 GR.</t>
  </si>
  <si>
    <t>BARRA GRAN ANDIN MAMALAMA 5UN CANELA</t>
  </si>
  <si>
    <t>ESPUMANTE PERLINO 750ML , ASTI</t>
  </si>
  <si>
    <t>VINO MEZZACORONA PINOT GRIGIO 750 ML</t>
  </si>
  <si>
    <t>ACEITE OLIVA VIRGEN X 200  EL OLIVAR</t>
  </si>
  <si>
    <t>RON FLOR DE CAÑA 12 AÑOS 750 ML</t>
  </si>
  <si>
    <t>HONGO CON LAUREL X 10 GRS WONG</t>
  </si>
  <si>
    <t>HONGO SECO X 10 GRS WONG</t>
  </si>
  <si>
    <t>MANZANILLA X 25 SOBRES  HORNIMANS</t>
  </si>
  <si>
    <t>HIERBA LUISA  X 100 SOBRES  HORNIMANS</t>
  </si>
  <si>
    <t>HIERBA LUISA  X 25 SOBRES HORNIMANS</t>
  </si>
  <si>
    <t>TE X 25 SOBRES ETIQUETA NEGRA HORNIMANS</t>
  </si>
  <si>
    <t>ANIS ENTERO X 8 GRS WONG</t>
  </si>
  <si>
    <t>LAUREL X 3 GRS WONG</t>
  </si>
  <si>
    <t>OREGANO MOLIDO X 8 GRS WONG</t>
  </si>
  <si>
    <t>OREGANO ENTERO X 8 GRS WONG</t>
  </si>
  <si>
    <t>ROMERO X 4 GRS WONG</t>
  </si>
  <si>
    <t>NUEZ MOSCADA X 3 UNID. WONG</t>
  </si>
  <si>
    <t>CLAVO DE OLOR X 8 GRS WONG</t>
  </si>
  <si>
    <t xml:space="preserve"> PIMIENTA BLANCA MOLIDA X 15 GRS WONG</t>
  </si>
  <si>
    <t>TE  NEGRO PURO X 100 SOBRES  HORNIMANS</t>
  </si>
  <si>
    <t>COMINO MOLIDO  X 18 GRS WONG</t>
  </si>
  <si>
    <t>CANELA ENTERA X 12 GRS WONG</t>
  </si>
  <si>
    <t>DETERG LIQ LA OCA 2 LT WASH</t>
  </si>
  <si>
    <t>ACIDO BORICO X 50 GR. ERZA</t>
  </si>
  <si>
    <t>JABON LIQUIDO X 750 ML. DAINA</t>
  </si>
  <si>
    <t>VINO MARQ D/CACERES RIOJA VIURA 750 ML</t>
  </si>
  <si>
    <t>VINO MARQUES DE RISCAL ROSADO 750 ML</t>
  </si>
  <si>
    <t>CHAMPAGNE VEUVE CLICQUOT BRUT 750 ML</t>
  </si>
  <si>
    <t>CANELA MOLIDA X 8 GR WONG</t>
  </si>
  <si>
    <t>PIMIENTA NEGRA ENTERA X 15GR WONG</t>
  </si>
  <si>
    <t>PIMIENTA NEGRA MOLIDAX18GR WONG</t>
  </si>
  <si>
    <t>PALILLO X15GR WONG</t>
  </si>
  <si>
    <t>CANELA CHINA X10GR WONG</t>
  </si>
  <si>
    <t>MEJORANA X 4 GR WONG</t>
  </si>
  <si>
    <t>TOMILLO X 4GR  WONG</t>
  </si>
  <si>
    <t>COCO RALLADO X 35 GR METRO</t>
  </si>
  <si>
    <t>COLAPEZ X 1 LAMINA WONG</t>
  </si>
  <si>
    <t>CURRY X6 GR WONG</t>
  </si>
  <si>
    <t>PAPRIKA X15 GR WONG</t>
  </si>
  <si>
    <t>LICOR COINTREAU 750 ML</t>
  </si>
  <si>
    <t>AJI PANCA ROJO X 10 GR WONG</t>
  </si>
  <si>
    <t>TE NEGRO PURO X 25 SOBRES HORNIMANS</t>
  </si>
  <si>
    <t>TE CANELA Y CLAVO X 25 SOBRES HORNIMANS</t>
  </si>
  <si>
    <t>TE NARANJA X 25 SOBRES HORNIMANS</t>
  </si>
  <si>
    <t>POLEN X140GR REYNA DE OXAPAMPA</t>
  </si>
  <si>
    <t>PISCO OCUCAJE ITALIA  X700ML</t>
  </si>
  <si>
    <t>ESCOBA SUPER DALIA VIRUTEX</t>
  </si>
  <si>
    <t>COLONIA HENO DE PRAVIA BOT X250ML</t>
  </si>
  <si>
    <t>WHISKEY GENTLEMAN JACK X 750 ML.</t>
  </si>
  <si>
    <t>TE CANELA Y CLAVO X 100 SBR. HORNIMAN'S</t>
  </si>
  <si>
    <t>ESPONJA COLORES STDOS. TERRA NATURALS</t>
  </si>
  <si>
    <t>PIEDRA POMEZ NATURE C/ASA  UN</t>
  </si>
  <si>
    <t>LIMA NATURE P/PIES DOB LADO UN</t>
  </si>
  <si>
    <t>ESPEJO NAT PERF PAL CHICO TV HB275BK X1</t>
  </si>
  <si>
    <t>ESCENCIA SABOR A VAINILLA UNIVERSAL</t>
  </si>
  <si>
    <t>LECHE LIMP NIVEA VISAGE PL NOR CAJ 200ML</t>
  </si>
  <si>
    <t>TON NIVEA VISAGE ASTRG EQUILB CAJ 200ML</t>
  </si>
  <si>
    <t>GEL LIMP NIVEA VISAGE EQUILB  CAJ 150ML</t>
  </si>
  <si>
    <t>ALGODON X 25 GR. COPPON   121001</t>
  </si>
  <si>
    <t>VINCHA FOGGY CAB CAREY COL PASTEL GDE X1</t>
  </si>
  <si>
    <t>#VINO TINTO PESQUERA CRIANZA  X 750 ML.</t>
  </si>
  <si>
    <t>LIMA LIMADER P/UÑAS DE MAD 12UND</t>
  </si>
  <si>
    <t>AROMATIZADOR DICOL X 100 GRS.</t>
  </si>
  <si>
    <t>WHISKY CHIVAS REGAL 18 AÑOS BOT 700 ML</t>
  </si>
  <si>
    <t>AGUA DE AZAHAR X 1000 ML.( ERZA)</t>
  </si>
  <si>
    <t>CLIP FOGGY CAB GRANDE X 1UND</t>
  </si>
  <si>
    <t>GLUCOSA X250 GR. FRATELLO</t>
  </si>
  <si>
    <t>COLORANTES X 4 UND. FRATELLO</t>
  </si>
  <si>
    <t xml:space="preserve"> VINO ROSE S/SECO S.QUEIROLO X  2 LITROS</t>
  </si>
  <si>
    <t>VINO TINTO S/SEC.QUEIROLO MAGDALENA X 2L</t>
  </si>
  <si>
    <t>VINO VIU MANENT RSVA SBL BOT 750ML</t>
  </si>
  <si>
    <t>VINO VIU MANENT RSVA CSA BOT 750ML</t>
  </si>
  <si>
    <t>VINO VIU MANENT RSVA MERLOT BOT 750 ML</t>
  </si>
  <si>
    <t>CARAMELO LIMON X 390 GR ARCOR</t>
  </si>
  <si>
    <t>CERA DEPILAR DEPILE ALOE + OLLA 200G</t>
  </si>
  <si>
    <t>ALCANFOR C/SACO TUL X 16 CAMEL</t>
  </si>
  <si>
    <t>LIMP - ACONDIC DE CUERO SIMONIZ 500ML.</t>
  </si>
  <si>
    <t>VINO TINTO MONTES ALPHA MERLOT X 750 ML</t>
  </si>
  <si>
    <t>TOFFEES SURTIDOS X 150 GR LA IBERICA</t>
  </si>
  <si>
    <t>TOFFEES DE CHOCOLATE X 150 GR LA IBERICA</t>
  </si>
  <si>
    <t>BOMBONES SURTIDOS X 150 GR LA IBERICA</t>
  </si>
  <si>
    <t>BOMBONES CREMA SURTIDA X150G LA IBERICA</t>
  </si>
  <si>
    <t>TALCO DESODORANTE  X120G HANSAPLAST</t>
  </si>
  <si>
    <t>VINO VIU MANENT RSVA MALBEC BOT 750ML</t>
  </si>
  <si>
    <t>PEINE CAB VANDUX IMIT CAREY 981-9 BOL1</t>
  </si>
  <si>
    <t>CEPILLO CAB VANDUX LUMIN 2891 X1</t>
  </si>
  <si>
    <t>CEPILLO CAB VANDUX CIRC 207-0 X 1</t>
  </si>
  <si>
    <t>CEPILLO CAB VANDUX CRDA NAT REF 2653 X1</t>
  </si>
  <si>
    <t>CEPILLO MANG RECTO PEQ VANDUX 27210</t>
  </si>
  <si>
    <t>GANCHO CAB FOGGY HORQUILLA X 1</t>
  </si>
  <si>
    <t>GANCHO CAB FOGGY TICTAC ESCHADO BLIS 24</t>
  </si>
  <si>
    <t>VINO TRAPICHE VINEYARDS S.BLANC 750ML</t>
  </si>
  <si>
    <t>GEL C/VIT.A&amp;EX240 ML COOL ALOE HAWAIIAN</t>
  </si>
  <si>
    <t>TE  JASMINE ELEPHANT X 25  SOBRES</t>
  </si>
  <si>
    <t>DECOL CAB IGORA OXIGTA 10G+PVO10G CAJ2UN</t>
  </si>
  <si>
    <t>ESCOB NATURE PERFECT UÑA P/LIMP MNCUR UN</t>
  </si>
  <si>
    <t>CIGARROS PALL MALL KRYSTAL X 20</t>
  </si>
  <si>
    <t>COTONETES X 150 JOHNSON &amp; JOHNSON</t>
  </si>
  <si>
    <t>CARAMELOS FRUTAS MASTICABLES X412  ARCOR</t>
  </si>
  <si>
    <t>ANIS PREMIUM X 60 GRS NATURANDES</t>
  </si>
  <si>
    <t>PEINE VANDUX EFECTO FROSTED 550-F BOL 1</t>
  </si>
  <si>
    <t>AZUCAR IMPALPALBLE X 200 GR UNIVERSAL</t>
  </si>
  <si>
    <t>COLAPEZ UNIVERSAL X 20 GR</t>
  </si>
  <si>
    <t>LICOR 43 BOT 700ML</t>
  </si>
  <si>
    <t>POLVO DE  HORNEAR X 25 GR. UNIVERSAL</t>
  </si>
  <si>
    <t>MIEL DE ABEJA X 450 GR QUEEN BEE'S</t>
  </si>
  <si>
    <t>*4063 LIMPIA TAPICERIA 500ML ATOMIZADO</t>
  </si>
  <si>
    <t>VINO ALEGORIA GRAN RSVA MALBEC 750 ML</t>
  </si>
  <si>
    <t>VINO ALEGORIA GRAN RSVA CAB SAUV 750 ML</t>
  </si>
  <si>
    <t>VINO VIÑA VIEJA S/SEC CHENIN BLANC 750ML</t>
  </si>
  <si>
    <t>VINO VIÑA VIEJA BORGOÑA 750 ML</t>
  </si>
  <si>
    <t>VINO MARQ D/CACERES RIOJA G.RSVA 750ML</t>
  </si>
  <si>
    <t>MAIZ CHULPI DESGRANADO X425GR KUSKI</t>
  </si>
  <si>
    <t>MIEL DE ABEJA LA ABEJA REAL X 300 GR</t>
  </si>
  <si>
    <t>VINO CHARDONNAY X 750 ML MONTES ALPHA</t>
  </si>
  <si>
    <t>VINO RUFFINO CHIANTI DOCG 750 ML</t>
  </si>
  <si>
    <t>VINO VIU MANENT GRAN RSVA CSA BOT 750ML</t>
  </si>
  <si>
    <t>MIEL DE ABEJA X 600 GR QUEEN BEE'S</t>
  </si>
  <si>
    <t>CUBO FOSFOROS INTI X 10 UND</t>
  </si>
  <si>
    <t>CARAPULCRA X 150 GR PROVENZAL</t>
  </si>
  <si>
    <t>VINO LUIGI BOSCA DOC MALBEC 750 ML</t>
  </si>
  <si>
    <t>TALCO MEDICADO X 240 GR ISANA +REGALO</t>
  </si>
  <si>
    <t>ACEITE DE OLIVA VIRGEN X500ML EL OLIVAR</t>
  </si>
  <si>
    <t>VINO LUIGI BOSCA RSVA  SAUV BLANC 750ML</t>
  </si>
  <si>
    <t>PISCO VARGAS ITALIA RESERVA BOT 750ML</t>
  </si>
  <si>
    <t>BOLSA DE BASURA X 50 LTS SUPER BAG</t>
  </si>
  <si>
    <t>BOLSA DE BASURA X 75LTS SUPER BAG</t>
  </si>
  <si>
    <t>JALEA REAL X14 DOSIS NECTAR OF THE QUEEN</t>
  </si>
  <si>
    <t>MIEL DE ABEJA SILVEST X 500 GR CALL HUAY</t>
  </si>
  <si>
    <t>BOLSA DE BASURA X 140LTS SUPER BAG</t>
  </si>
  <si>
    <t>TE CANELA Y CLAVO X 100 SOBRES  HERBI</t>
  </si>
  <si>
    <t>TE PURO SELECTO X 100 SOBRES HERBI</t>
  </si>
  <si>
    <t>MANZANILLA X 100 SOBRES HERBI</t>
  </si>
  <si>
    <t>ANIS X 100 SOBRES HERBI</t>
  </si>
  <si>
    <t>TE CANELA Y CLAVO X 25 SOBRES HERBI</t>
  </si>
  <si>
    <t>TE PURO SELECTO X 25 UNIDADES HERBI</t>
  </si>
  <si>
    <t>MANZANILLA X 25 UNIDADES HERBI</t>
  </si>
  <si>
    <t>ANIS X 25 UNIDADES HERBI</t>
  </si>
  <si>
    <t>TE JAZMIN AMARILLO X 20 SOBRES SPROUTING</t>
  </si>
  <si>
    <t>SALSA CHAR SIU X 397 GR LKK</t>
  </si>
  <si>
    <t>SOPA ANSUNG(CARNE)X 125 GR NONG SHIM</t>
  </si>
  <si>
    <t>CAVA JUVE&amp;CAMPS RSV FAM BRUT NAT 750ML</t>
  </si>
  <si>
    <t>PROTEC.UV3 300ML CHICLE</t>
  </si>
  <si>
    <t>ACEITE OLIVA EXTRA VIRGEN X200 EL OLIVAR</t>
  </si>
  <si>
    <t>ACEITE OLIVA EXTRA VIRGEN X500 EL OLIVAR</t>
  </si>
  <si>
    <t>ACEITE OLIVA XTRA VIRGENX200 OLIVOS DEL</t>
  </si>
  <si>
    <t>QUITAMANCHA LA OCA CUELLOS/PUÑOS 750ML</t>
  </si>
  <si>
    <t>VINO VIÑA VIEJA S/SECO ROSE MERLOT 750ML</t>
  </si>
  <si>
    <t>VINO TINTO SANGRE DE TORO TORRES X 375ML</t>
  </si>
  <si>
    <t>CARAM HALLOWEEN CONJUROS 250G 100UN ARCO</t>
  </si>
  <si>
    <t>WHISKY GLENFIDDICH 18 AÑOS 750ML</t>
  </si>
  <si>
    <t>SHAMPOO SIMONIZ C/CERA AUTOBRILLA 600ML</t>
  </si>
  <si>
    <t>TE ADELGAZANTE DIETTE  X 21 UND WAWASANA</t>
  </si>
  <si>
    <t>GIN BOMBAY SAPPHIRE 750 ML</t>
  </si>
  <si>
    <t>HIERBA LUISA X 25 SOBRES HERBI</t>
  </si>
  <si>
    <t>HIERBA LUISA X 100 SOBRES HERBI</t>
  </si>
  <si>
    <t>arrocito nuclear bolsa x 110gr</t>
  </si>
  <si>
    <t>PEI+CLLO CLARIF 553C+240C#13 VANDUX 2UND</t>
  </si>
  <si>
    <t>PEI+CLLO CLARIF 242C+581C#14 VANDUX 2UND</t>
  </si>
  <si>
    <t>CLLO CAB VANDUX TWIN TRANSP GDE 24106 X1</t>
  </si>
  <si>
    <t>CLLO CAB VANDUX COJTE GDE OVAL 2823 X1</t>
  </si>
  <si>
    <t>SOPA  NEOGURY(MARISCOS PICANT) X120 NONG</t>
  </si>
  <si>
    <t>CLLO CAB VANDUX COJTE MED  OVAL 2824 X1</t>
  </si>
  <si>
    <t>CAFE DESCAFEINADO X 226 GR MAXWELL HOUSE</t>
  </si>
  <si>
    <t>ACEITE DE OLIVA VIRGENX500 OLIVOS EL SUR</t>
  </si>
  <si>
    <t>BOMBON BACI X125GR</t>
  </si>
  <si>
    <t>COTONETES X 300 UNID. JOHNSONS&amp; JOHNSON</t>
  </si>
  <si>
    <t>RECOGEDOR (REBATIBLE) TASK/VIRUTEX</t>
  </si>
  <si>
    <t>GEL DEPILE POST DEPILATORIO BOT X 150ML</t>
  </si>
  <si>
    <t>PALITOS DE MIEL X 75 GR NONG SHIM</t>
  </si>
  <si>
    <t>VINO CABALLO LOCO NUMERADO BOT 750ML</t>
  </si>
  <si>
    <t>VINO C.MACUL ANTIGUAS RESERVAS MERLOT</t>
  </si>
  <si>
    <t>SHAMPOO BABY NEUTRO x 400 ML SIMOND'S</t>
  </si>
  <si>
    <t>INFUSION LAXATE X 12 FILTRANTES WAWASANA</t>
  </si>
  <si>
    <t>TE DIET. SUPER STRENGTH 60 GR SUN VALLEY</t>
  </si>
  <si>
    <t>TALCO X 60 GR ISANA</t>
  </si>
  <si>
    <t>DETERG LIQ LA OCA 2 LT JABON NATURAL</t>
  </si>
  <si>
    <t>CARAMELO LECHE MILK X 360 GR ARCOR</t>
  </si>
  <si>
    <t>ACEITE OLIVA EXTRA VIRGEN X1LT EL OLIVAR</t>
  </si>
  <si>
    <t>PAPEL P/CIGAR.SMOKING RED/BLUE X60 HOJAS</t>
  </si>
  <si>
    <t>VINO TINTO MATAYAC CAHORS X 750 ML</t>
  </si>
  <si>
    <t>CAVA PERELADA STARS BRUT RESERVA 750ML</t>
  </si>
  <si>
    <t>VINO DE AGUJA BLANC PESCADOR X 750ML</t>
  </si>
  <si>
    <t>MATE DE COCA X 25 SOBRES HERBI</t>
  </si>
  <si>
    <t>SALSA DE AJO KION X350 KIKKO</t>
  </si>
  <si>
    <t>SALSA WANTAN X 350 ML KIKKO</t>
  </si>
  <si>
    <t>BOLDO X 25 SOBRES HERBI</t>
  </si>
  <si>
    <t>SALSA DE MENSI X350 KIKKO</t>
  </si>
  <si>
    <t>ESPONJA ACRILICA C/MANGO MADERA TERRA NA</t>
  </si>
  <si>
    <t>MENTHOLATUM X 85 GR.</t>
  </si>
  <si>
    <t>SARDINASE/ACEITE PICANTESX120GR.VIGILANT</t>
  </si>
  <si>
    <t>LICOR DE CURACAO AZUL BARDINET X 700 ML</t>
  </si>
  <si>
    <t>SARDINAS E/ACEITE VEGETAL X120GRVIGILANT</t>
  </si>
  <si>
    <t>GALLETA ARROZ SENBEI X  56GR</t>
  </si>
  <si>
    <t>CARAMELOS STRAWBERRY CANDY X100 ARCOR</t>
  </si>
  <si>
    <t>VINO TINTO BORDEUX BARON DE LESTACX750ML</t>
  </si>
  <si>
    <t>VINO ROSSO DI MISTROSANTI X 750 ML</t>
  </si>
  <si>
    <t>MAQ DESCARTASENSX2 XTREME3 SCHICK HOMBRE</t>
  </si>
  <si>
    <t>GOMA TRAGACANTO X 50GR. FRATELLO</t>
  </si>
  <si>
    <t>VINO LUIGI BOSCA RSVA CAB/SAUV 750 ML</t>
  </si>
  <si>
    <t>ESPUMOSO ZONIN ASTI 750 ML</t>
  </si>
  <si>
    <t>CALAMARES EN SU TINTA X 115 GR VIGILANTE</t>
  </si>
  <si>
    <t>VINO PROTOS CRIANZA RIB.DEL DUERO 750ML</t>
  </si>
  <si>
    <t>CHOCOLAT LECHE C/CASTAÑA 300G DI PERUGIA</t>
  </si>
  <si>
    <t>EGUE BUC LISTERINE CTRL CALC BOT 180ML</t>
  </si>
  <si>
    <t>E.BUCAL CONTROL CALCULOX500ML LISTERINE</t>
  </si>
  <si>
    <t>VINO BORGOÑA ABOCADO S.QUEIROLO X 2 LTS</t>
  </si>
  <si>
    <t>LICOR DE CAFE BARDINET X  700 ML.</t>
  </si>
  <si>
    <t>MEJILLONES EN ESCABECHE X115GR VIGILANTE</t>
  </si>
  <si>
    <t>COGNAC COURVOISIER NAPOLEON 700 ML</t>
  </si>
  <si>
    <t>GALLETAS ARROZ SHELLY SENBEI 72G</t>
  </si>
  <si>
    <t>VINO PERELADA 3 FINCAS CRIANZA 750 ML</t>
  </si>
  <si>
    <t>HIERBA CHANCAPIEDRA X 40GR RENACER</t>
  </si>
  <si>
    <t>EMOLIENTE X 70GR RENACER</t>
  </si>
  <si>
    <t>VINO BIANCO  DI MISTROSANTI X750 ML</t>
  </si>
  <si>
    <t>AC. OL  EXTRA VIRGEN  X1L OLIVOS DEL SUR</t>
  </si>
  <si>
    <t>ACEITE OLIVA SAB SUAVE X 500ML EL OLIVAR</t>
  </si>
  <si>
    <t>ACEITE OLIVA SABOR SUAVE X 200 EL OLIVAR</t>
  </si>
  <si>
    <t>CREMA NIVEA BODY NUT P/XS BOT X 400ML</t>
  </si>
  <si>
    <t xml:space="preserve"> </t>
  </si>
  <si>
    <t>INFUSION DULCE SUEÑOS X 20 UND</t>
  </si>
  <si>
    <t>ARROZ C/POLLO X 58GR PROVENZAL</t>
  </si>
  <si>
    <t>ACEITE DE OLIVA PURO X 500ML EL OLIVAR</t>
  </si>
  <si>
    <t>ACEITE DE OLIVA PURO X 200 ML EL OLIVAR</t>
  </si>
  <si>
    <t>RON CARTAVIO SOLERA 750 ML</t>
  </si>
  <si>
    <t>AC.OLIVA EXTRA VIRGENX500ML OLIVOS DEL S</t>
  </si>
  <si>
    <t>VINO VIÑA VIEJA MALBEC S/S 750ML</t>
  </si>
  <si>
    <t>GUANTE EXFOLIANTE P/BAÑO TERRA NATURAL</t>
  </si>
  <si>
    <t>VINO STRUCTURA ULTRA GRAN BLEND 750 ML</t>
  </si>
  <si>
    <t>CAU CAU(BASE) X 60GR PROVENZAL</t>
  </si>
  <si>
    <t>OLLUQUITO X 78GR PROVENZAL</t>
  </si>
  <si>
    <t>CACHAÇA 51 X 700 ML</t>
  </si>
  <si>
    <t>MAQUINA EXACTA II SENSIBLE X5 PQT HOMBRE</t>
  </si>
  <si>
    <t>TON NIVEA VISAGE SVE HID P/SC CAJ 200ML</t>
  </si>
  <si>
    <t>VICK VAPORUB X 100 GR.</t>
  </si>
  <si>
    <t>RED MIXED NUTS X 292 GR PLANTERS</t>
  </si>
  <si>
    <t>VINO MONTES ALPHA SYRAH X 750 CC</t>
  </si>
  <si>
    <t>DICOL AROMATIZADOR 80GR+50%GRAT</t>
  </si>
  <si>
    <t>VODKA WYBOROWA X 750 ML</t>
  </si>
  <si>
    <t>CAFE EXT. MOLIDO X220GMOUNTAIN VILLARICA</t>
  </si>
  <si>
    <t>LIMPIA PLATA X 250 ML TARNISHIELD 3M</t>
  </si>
  <si>
    <t>VINO N.CORREAS COLEC.PRIV CHARDONNAYX750</t>
  </si>
  <si>
    <t>SALSA TABASCO GREEN PEPPER X150 ML. MC I</t>
  </si>
  <si>
    <t>SHRIMP CRACKER  X 75 GR  NONG SHIM</t>
  </si>
  <si>
    <t>SALSA TABAS.GREEN PEPPER 60 ML. MC.ILHEN</t>
  </si>
  <si>
    <t>PISCO DON SANTIAGO MV ITALIA BOT 500ML</t>
  </si>
  <si>
    <t>CAFE DESCAFEINADO ESPRESO X 250GR ILLY</t>
  </si>
  <si>
    <t>EDULCORANTE X 50SOB. STEVITA</t>
  </si>
  <si>
    <t>ENZULZANTE LIQUIDO X80ML STEVITA</t>
  </si>
  <si>
    <t>PILA ENERGIZER PILAS C X 2</t>
  </si>
  <si>
    <t>PILA ENERGIZER D X2</t>
  </si>
  <si>
    <t>BATERIA ENERGIZER 9V</t>
  </si>
  <si>
    <t>JABON LIQUIDO CON AVENA X 750ML DAINA</t>
  </si>
  <si>
    <t>VINO TRIVENTO TRIBU CHARDONNAY 750 ML</t>
  </si>
  <si>
    <t>HARINA DE SOYA CRUDA X 500 GR</t>
  </si>
  <si>
    <t>CR.LIQUIDA ANTES DORMIRX200ML BABY JOHNS</t>
  </si>
  <si>
    <t>MIEL DE ABEJA X300GR.CALLEJON DE HUAYLAS</t>
  </si>
  <si>
    <t>VERMOUTH  CINZANO EXTRA DRY BOT.X 750 ML</t>
  </si>
  <si>
    <t>RON BLANCO CARTAVIO 1 LT</t>
  </si>
  <si>
    <t>RON CARTAVIO SUPERIOR 1 LT</t>
  </si>
  <si>
    <t>RON CARTAVIO BLACK 1 LT</t>
  </si>
  <si>
    <t>VERMOUTH CINZANO BIANCO X 750 ML</t>
  </si>
  <si>
    <t>VERMOUTH CINZANO ROSSO X 750 ML</t>
  </si>
  <si>
    <t>VINO MARQUES DE RISCAL GRAN RSVA 750ML</t>
  </si>
  <si>
    <t>MIEL C/POLEN,JALEA&amp;MACA X480GR CALLEJON</t>
  </si>
  <si>
    <t>VINO N.CORREAS COLEC.PRIV CAB.SAUV X750</t>
  </si>
  <si>
    <t>PIMIENTA BLANCA MOLID X10 G ALIDA CHIANG</t>
  </si>
  <si>
    <t>PALMITO  ENTEROS X 450 GR VALLE FERTIL</t>
  </si>
  <si>
    <t>JARABE DE GOMA ESPUMANTE X 750 CC VARGAS</t>
  </si>
  <si>
    <t>JARABE DE GRANADINA X 750 CC VARGAS</t>
  </si>
  <si>
    <t>VINO VALDIVIESO CAB SAUVIGNON BOT 750ML</t>
  </si>
  <si>
    <t>SOPA A LA MINUTA X 78GR PROVENZAL</t>
  </si>
  <si>
    <t>VINO LAGARDE RSVA VIOGNIER 750 ML</t>
  </si>
  <si>
    <t>BOMB.STD.DULCE ILUSION LA IBERICA 200 GR</t>
  </si>
  <si>
    <t>CHOCOL.SNICKERS ALMOND X 1.76OZ</t>
  </si>
  <si>
    <t>PURE DE MANZANA DIETETICO X470GR D´MARCO</t>
  </si>
  <si>
    <t>PURE DE MANZANA X 900 GR D´MARCO</t>
  </si>
  <si>
    <t>SILLAO X 250 ML    LAM</t>
  </si>
  <si>
    <t>TALCO LAVANDA/MANZANX200GR BABY JOHNSONS</t>
  </si>
  <si>
    <t>WHISKY DEWAR'S 12 AÑOS 750 ML</t>
  </si>
  <si>
    <t>BRANDY JAIME I  X 700 ML</t>
  </si>
  <si>
    <t>PISCO VIEJO TONEL GRAN COMOD ACHO 500 ML</t>
  </si>
  <si>
    <t>VINO LAGARDE GUARDA 750 ML</t>
  </si>
  <si>
    <t>INFUSION DIGESTIVO NATURAL X25UND HERBI</t>
  </si>
  <si>
    <t>INFUSION ANTIGRIPAL X 25UND HERBI</t>
  </si>
  <si>
    <t>CAVA CASTILLO PERELADA S/SECO 750 ML</t>
  </si>
  <si>
    <t>BRONCEADOR HAWAII TROPI SPRAY SPF4 240ML</t>
  </si>
  <si>
    <t>GALLETA C/CHOC THINS X 100GR JULES DESTR</t>
  </si>
  <si>
    <t>CAFE DESCAF. MOLIDO NORMAL X 250GR ZENA</t>
  </si>
  <si>
    <t>CAFE DESCAF.MOLIDO EXPRESS X250GR ZENA</t>
  </si>
  <si>
    <t>CHOCOLATES CONFIT. 45G M&amp;M PLAIN</t>
  </si>
  <si>
    <t>TOALLA EXFOLIANTE BAÑO TERRA NATURAL</t>
  </si>
  <si>
    <t>CLLO CAB VANDUX MJEDOR 27170 BOL1</t>
  </si>
  <si>
    <t>ACEITE DE OLIVA PURO X 1 LT EL OLIVAR</t>
  </si>
  <si>
    <t>VINO ALAMOS CABERNET SAUV.X750 ML</t>
  </si>
  <si>
    <t>VINO ALAMOS MALBEC X 750 ML</t>
  </si>
  <si>
    <t>VINO CATENA CABERNET SAUVIGNON 750 ML</t>
  </si>
  <si>
    <t>SHAMPOO MANZANILLA X 400 ML DR. ZAIDMAN</t>
  </si>
  <si>
    <t>SHAMPOOX400ML BABY PRIM DIAS DR. ZAIDMAN</t>
  </si>
  <si>
    <t>TALCO BEBE X 100 GR DR. ZAIDMAN</t>
  </si>
  <si>
    <t>TALCO BEBE X 200 GR DR. ZAIDMAN</t>
  </si>
  <si>
    <t>TALCO BEBE X 400 GR DR. ZAIDMAN</t>
  </si>
  <si>
    <t>ACEITE BB X100ML DR.ZAIDMAN ALOE Y VIT E</t>
  </si>
  <si>
    <t>COLONIA BEBES EXTR SUAVX100ML DR.ZAIDMAN</t>
  </si>
  <si>
    <t>COLONIA BEBE DR. ZAIDMAN PRIM DIASX200ML</t>
  </si>
  <si>
    <t>VINO TABERNERO FINA RSVA G.BLANCO 750ML</t>
  </si>
  <si>
    <t>RON HAVANA CLUB AÑEJO ESPECIAL 700 ML</t>
  </si>
  <si>
    <t>QUITAMANCHA LA OCA CUE/PUÑO RPTO 750 ML</t>
  </si>
  <si>
    <t>PILAS ALKALINAS ENERGIZER AA X 8</t>
  </si>
  <si>
    <t>VINO MARQUES DE RISCAL TEMPRANILLO 750ML</t>
  </si>
  <si>
    <t>DISCO ALGODON CKF COTTON PADS BOL X70UND</t>
  </si>
  <si>
    <t>SILLAO X 500 ML   LAM</t>
  </si>
  <si>
    <t>CHOCLO DESGRANADO X248GR DEL MONTE</t>
  </si>
  <si>
    <t>ARVEJITAS X 241 GR DEL MONTE</t>
  </si>
  <si>
    <t>ESCOBA LA PODEROSA TASK/VIRUTEX</t>
  </si>
  <si>
    <t>MIEL ABEJA NATURALX600 CALLEJON DE HUAYL</t>
  </si>
  <si>
    <t>ESTRELLA D/CHOCOLATE X 125 GR 2 CERRITOS</t>
  </si>
  <si>
    <t>CORAZONES D/CHOCOLATE X 125 GR 2 CERRITO</t>
  </si>
  <si>
    <t>CHOCOMONEDAS DE ORO 125GR 2 CERRITOS</t>
  </si>
  <si>
    <t>BOMBON D/PASA BORRACHA X125 GR 2CERRITOS</t>
  </si>
  <si>
    <t>VINO DOÑA PAULA MALBEC ESTATE X 750 ML</t>
  </si>
  <si>
    <t>VINO LOS CARDOS CABERNET SAUVIGNON X 750</t>
  </si>
  <si>
    <t>BOLSA AROMATERAPIA ENERGIZANTE CHICA</t>
  </si>
  <si>
    <t>BOLSA AROMATERAPIA RELAJANTE CHICA</t>
  </si>
  <si>
    <t>BOLSA AROMATERAPIA REVITALIZANTE CHICA</t>
  </si>
  <si>
    <t>BOLSA AROMATERAPIA ENERGIZANTE GRANDE</t>
  </si>
  <si>
    <t>VINO CONO SUR RSVA CABERNET BOT 750ML</t>
  </si>
  <si>
    <t>BOLSA AROMATERAPIA RELAJANTE GRANDE</t>
  </si>
  <si>
    <t>SPAGHETTI INTEGRAL X500GR MISURA</t>
  </si>
  <si>
    <t>VINO CONO SUR RSVA PINOT NOIR BOT 750ML</t>
  </si>
  <si>
    <t>FUSILLI  INTEGRAL MISURA X 500 GR.</t>
  </si>
  <si>
    <t>PENNE INTEGRAL  MISURA X 500 GR.</t>
  </si>
  <si>
    <t>RON APPLETON ESTATE SIGNATURE BLEND 1LT</t>
  </si>
  <si>
    <t>VINO N.SENETINER ESTATE MERLOT BOT 750ML</t>
  </si>
  <si>
    <t>VINO N.SENETINER ESTATE MALBEC BOT 750ML</t>
  </si>
  <si>
    <t>VINO TINTO NIETO SENETINER DON NICANOR</t>
  </si>
  <si>
    <t>RON POMALCA 3 AÑOS RUBIO X 1 LT</t>
  </si>
  <si>
    <t>ESPEJO NAT PERF MESA PARED C/SPTE X1</t>
  </si>
  <si>
    <t>ESPEJO NATURE PERFECT RED C/SOPORTE X1</t>
  </si>
  <si>
    <t>PONJITA ANATOMICA + FACIAL GRATIS - 3M</t>
  </si>
  <si>
    <t>ESPONJA P/DUCHA REVITALIZANTE PONJITA</t>
  </si>
  <si>
    <t>LIMPIADOR  X 1000  ML LA OCA BRILLIANT</t>
  </si>
  <si>
    <t>WHISKY MALTA GLENMORANGIE 10 AÑOS 750ML</t>
  </si>
  <si>
    <t>VINO ALTOS LAS HORMIGAS CLASICO MB 750ML</t>
  </si>
  <si>
    <t>VINO A.LAS HORMIGAS RESERVA MB 750ML</t>
  </si>
  <si>
    <t>VINO ALTOS DEL PLATA CAB.SAUVX 750</t>
  </si>
  <si>
    <t>CAFE MOLIDO EXPRESS TOST.OSC X250GR ILLY</t>
  </si>
  <si>
    <t>TRATAM CAPI ELVIVE COL VIVE PROF POT300G</t>
  </si>
  <si>
    <t>VINO ALTOS DEL PLATA MALBEC  X 750</t>
  </si>
  <si>
    <t>CREMA NIVEA BODY P/NORMAL BOT X 400ML</t>
  </si>
  <si>
    <t>VINO OCUCAJE SEMISECO BORGOÑA X 750 ML</t>
  </si>
  <si>
    <t>BEBIDA ENERGETICA RED BULL X 250 ML</t>
  </si>
  <si>
    <t>VINO VALDIVIESO MERLOT BOT 750ML</t>
  </si>
  <si>
    <t>VINO LA LINDA MALBEC 750 ML</t>
  </si>
  <si>
    <t>ESPUMANTE CINZANO ASTI BOT 750 ML</t>
  </si>
  <si>
    <t>VINO CASA LAPOSTOLLE CABERNET SAUV 750ML</t>
  </si>
  <si>
    <t>BLOQ NIVEA SUN PROT&amp;HYDRA FPS50 LOC125ML</t>
  </si>
  <si>
    <t>REPELENTE SPRAY X 100ML PREMIER FORTE</t>
  </si>
  <si>
    <t>ESPJ NAT PERF DOB C/SPTE METAL HB447 X1</t>
  </si>
  <si>
    <t>DESODORANTE SPRAY X 150ML ISANA</t>
  </si>
  <si>
    <t>VINAGRE DE MANZANA 500 ML OLIVOS DEL SUR</t>
  </si>
  <si>
    <t>CERA EN PASTA TEKNO NEGRA 300 ML</t>
  </si>
  <si>
    <t>EDULCORANTE X 150 SOBRES STEVITA</t>
  </si>
  <si>
    <t>VINO TABERNERO FINA RESERVA 1.5 LT</t>
  </si>
  <si>
    <t>LICOR DE CAFE SHERIDAN´S 750 ML</t>
  </si>
  <si>
    <t>VINO CASILLERO DEL DIABLO MALBEC X 750ML</t>
  </si>
  <si>
    <t>VINO CASILLERO DIABLO CARMENERE  X750ML</t>
  </si>
  <si>
    <t>RIZADOR TERRA PESTAÑA METAL MANICURE X1</t>
  </si>
  <si>
    <t>VINO LA LINDA CHARDONAY 750 ML</t>
  </si>
  <si>
    <t>BEB.ENERGIZANTE RED BULL X 250 FOUR PACK</t>
  </si>
  <si>
    <t>LAVAVAJ. ANTIB.MANZANA VERDEX1 LT LA OCA</t>
  </si>
  <si>
    <t>CREMA NIVEA Q10 PLUS REAF TUBO X 400ML</t>
  </si>
  <si>
    <t>CREMA NIVEA Q10 PLUS REAF TUBO X 250ML</t>
  </si>
  <si>
    <t>MAQ AFT SCHICK XTREME3 X2 MUJER</t>
  </si>
  <si>
    <t>VINO N.SENETINER ESTATE CHARD BOT 750ML</t>
  </si>
  <si>
    <t>SAMBUCA EXTRA MOLINARI X 750 ML</t>
  </si>
  <si>
    <t>ARROZ ATOMICO NEVADO X 125GR FORTE GOLPE</t>
  </si>
  <si>
    <t>RON FLOR DE CAÑA 5 AÑOS 1 LT</t>
  </si>
  <si>
    <t>ELICHE TRICOLOR X500GR. AGNESI</t>
  </si>
  <si>
    <t>RON FLOR DE CAÑA 4 AÑOS 1 LT</t>
  </si>
  <si>
    <t>CHICHA  DE JORA  X750ML. LORENZA</t>
  </si>
  <si>
    <t>VINO LOS CARDOS MALBEC X 750ML</t>
  </si>
  <si>
    <t>VINO DOÑA PAULA ESTATE CAB.SAUV X 750 ML</t>
  </si>
  <si>
    <t>GERMEN DE TRIGO X 180GR COSECHA PARAISO</t>
  </si>
  <si>
    <t>VINO BLANCO ALAMOS CHARDONNAY X 750 ML</t>
  </si>
  <si>
    <t>VINO LAN RIOJA CRIANZA 750 ML</t>
  </si>
  <si>
    <t>GEL AFEITAR NIVEA MEN P/SENS TUB 200ML</t>
  </si>
  <si>
    <t>PISCO QUEIROLO ACHOLADO X 750 ML</t>
  </si>
  <si>
    <t>BITTER AMARGO CORTESANO X 75 ML</t>
  </si>
  <si>
    <t>COLONIA BEBES PRIM DIASX100ML DR.ZAIDMAN</t>
  </si>
  <si>
    <t>VINO ROSE SEMISECO X 750 OCUCAJE</t>
  </si>
  <si>
    <t>CORAZONES DE ALCACHOFA X410GR VALLE FERT</t>
  </si>
  <si>
    <t>CHAMPIÑONES X310GR VALLE FERTIL</t>
  </si>
  <si>
    <t>PISCO VARGAS ACHOLADO RESERVA BOT 750ML</t>
  </si>
  <si>
    <t>CEPILLO 2499+PEINE 953-9 VANDUX 2UND</t>
  </si>
  <si>
    <t>CEPILLO 2489+PEINE 981-9 VANDUX 2UND</t>
  </si>
  <si>
    <t>PISCO VARGAS QUEBRANTA RESERVA BOT 750ML</t>
  </si>
  <si>
    <t>VINO SIGLO XVI SANTIAGO QUEIROLO X750 ML</t>
  </si>
  <si>
    <t>TORTILLAS MAIZ MORADO PERU NACHOS X 90GR</t>
  </si>
  <si>
    <t>RON BACARDI AÑEJO 750 ML</t>
  </si>
  <si>
    <t>CORTA UÑA TERRA METAL GDE MNCUR HB458 UN</t>
  </si>
  <si>
    <t>CHOCLITOS BEBE X310GR  VALLE FERTIL</t>
  </si>
  <si>
    <t>PACK 2ESPONJA LA AUTEN.FORMA 8 SCOTCH BR</t>
  </si>
  <si>
    <t>VINAGRE BALSAMICO X 500 ML CREMONINI</t>
  </si>
  <si>
    <t>INFUSION ASMACHILCA X 12 UND WAWASANA</t>
  </si>
  <si>
    <t>GALL.ASSORTED SHORTBREAD X160GR WALKERS</t>
  </si>
  <si>
    <t>BASE VARGAS PARA SOUR 125GR</t>
  </si>
  <si>
    <t>ALCOHOL ISOPROPILICO C/ATOMOZADX650ML SB</t>
  </si>
  <si>
    <t>VINO LAN RIOJA GRAN RESERVA 750 ML</t>
  </si>
  <si>
    <t>VINO LAN RIOJA RESERVA 750 ML</t>
  </si>
  <si>
    <t>VINO VALDIVIESO SAUVIGNON BLANC X 750 ML</t>
  </si>
  <si>
    <t>PILA ENERGIZER AA X4 + AA X2 GRATIS</t>
  </si>
  <si>
    <t>SHAMPOO MANZANILLA X 610ML SIMONDS</t>
  </si>
  <si>
    <t>ACONDICIONADOR MANZANILL X 610ML SIMONDS</t>
  </si>
  <si>
    <t>CARAM HALLOWEEN RELLSANGRE 312GR 60U ARC</t>
  </si>
  <si>
    <t>ESPONJA BAÑO PONJITA 3M</t>
  </si>
  <si>
    <t>BLOQ NIVEA SUN KIDS PRO&amp;PLAY FPS50 200ML</t>
  </si>
  <si>
    <t>CAVA CASTILLO PERELADA BRUT ROSE 750 ML</t>
  </si>
  <si>
    <t>WHISKY JOHNNIE WALKER GREEN LABEL 750ML</t>
  </si>
  <si>
    <t>VINO LOS ARBOLES CAB/MB 750 ML</t>
  </si>
  <si>
    <t>BOLDO RENACER X 40 GR</t>
  </si>
  <si>
    <t>CEBADA RENACER X 150 GR</t>
  </si>
  <si>
    <t>COLA DE CABALLO RENACER X 30 GR</t>
  </si>
  <si>
    <t>SARDINAS EN AC. DE OLIVA X120G VIGILANTE</t>
  </si>
  <si>
    <t>LINAZA RENACER X 150 GR</t>
  </si>
  <si>
    <t>VINO MISIONES D.RENGO CARMENERE RSVA.750</t>
  </si>
  <si>
    <t>VINO PERELADA 5 FINCAS RESERVA 750 ML</t>
  </si>
  <si>
    <t>SARDINAS EN AC.AL LIMONX120GR  VIGILANTE</t>
  </si>
  <si>
    <t>VINO PERELADA FINCA MALAVEINA 750 ML</t>
  </si>
  <si>
    <t>ROTESSA COL ROJA C/MANZAN X680G HENGSTEN</t>
  </si>
  <si>
    <t>SAUERKRAUT CHUCRUT C/VINOX720 HENGSTENBE</t>
  </si>
  <si>
    <t>VINO FOND DE CAVE RESERVA MALBEC 750 ML</t>
  </si>
  <si>
    <t>EGUE BUC LISTER PROT DINT/ENCI BOT 500ML</t>
  </si>
  <si>
    <t>SIROPE SABOR A MAPLE X 800 GR SPITZE</t>
  </si>
  <si>
    <t>GEL LIMPIEZA NEUTROG DEEP CLEAN TUB 150G</t>
  </si>
  <si>
    <t>ESTUCHE RISITAS Y COSQUILLITAS 4PZA</t>
  </si>
  <si>
    <t>JABON GLICERINA X 80 GR DR. ZAIDMAN</t>
  </si>
  <si>
    <t>PAPEL P/CIGARROS SMOKING SLIM KING SIZE</t>
  </si>
  <si>
    <t>ESPONJA HORNO Y ESTUFAS SCOTCH BRITE</t>
  </si>
  <si>
    <t>BOCADITO SALTLETTS MINI BREZEL X 150GR</t>
  </si>
  <si>
    <t>CERVEZA S/A ERDINGER BOT 500 ML</t>
  </si>
  <si>
    <t>CERVEZA ERDINGER WEISSBIER BOT 500 ML</t>
  </si>
  <si>
    <t>CERVEZA ERDINGER WEISSBIER BOT 300 ML</t>
  </si>
  <si>
    <t>POLENTA BRAMATA X 1 KG AGNESI</t>
  </si>
  <si>
    <t>PROTEC.UV3 300ML PICADURA TABACO</t>
  </si>
  <si>
    <t>VINO NIETO SENETINER DON NICANOR MALBEC</t>
  </si>
  <si>
    <t>CHOCOLATE  MILKY  PACK X 6 LA IBERICA</t>
  </si>
  <si>
    <t>TOFFEE CHOCOLATE X 300GR LA IBERICA</t>
  </si>
  <si>
    <t>CHOCOLATE BITTER C/CAFÉ BRITT 170 GR</t>
  </si>
  <si>
    <t>CHOCOLATE BLANCO C/ CAFÉ BRITT 170 GR</t>
  </si>
  <si>
    <t>CARAM.BLANDOS CAFE X 50UND BRITT</t>
  </si>
  <si>
    <t>SPECIAL MIX VALLEALTO BOLSA X150G</t>
  </si>
  <si>
    <t>PISCO VARGAS X 2 L</t>
  </si>
  <si>
    <t>JABON DE AVENA X 80GR DR. ZAIDMAN</t>
  </si>
  <si>
    <t>VINO TINTO SEMI SECO DE LA MANCHA X 750</t>
  </si>
  <si>
    <t>VINO ROSE SEMI SECO DE LA MANCHA X 750</t>
  </si>
  <si>
    <t>VINO BORGOÑA DE LA MANCHA X 750</t>
  </si>
  <si>
    <t>BASE PARA CEBICHE PROVENZAL X 30 GR</t>
  </si>
  <si>
    <t>ALGODON HIDROFILO X 25 GR.  METRO</t>
  </si>
  <si>
    <t>ALGODON HIDROFILO X 50 GR.  METRO</t>
  </si>
  <si>
    <t>ALGODON HIDROFIL X100GR METR/FAMILY CARE</t>
  </si>
  <si>
    <t>ALGODON X HIDROFILO 25 GR.  WONG</t>
  </si>
  <si>
    <t>ALGODON HIDROFILO X50GR WONG/FAMILY CARE</t>
  </si>
  <si>
    <t>ALGODON HIDROFILO X 100 GR.  WONG</t>
  </si>
  <si>
    <t>VINO FINCA FLICHMAN ROBLE MALBEC X 750</t>
  </si>
  <si>
    <t>CORAZON DE CHOCOLATE X 80GR LA IBERICA</t>
  </si>
  <si>
    <t>GOMAS MOGUL JELLY BUTTONS 1 KG ARCOR</t>
  </si>
  <si>
    <t>BOLSA BASURERITOS CHICAS X 50 UN. HORDEX</t>
  </si>
  <si>
    <t>BOLSA BASURERITO MEDIANAS X 50 UN HORDEX</t>
  </si>
  <si>
    <t>BOLSA BASURERITO GRANDESX 50 UN HORDEX</t>
  </si>
  <si>
    <t>GALLETA CHOCOL.CHUNK X 150GR WALKERS</t>
  </si>
  <si>
    <t>BOMBONES SELECTOS X 170GR LA IBERICA</t>
  </si>
  <si>
    <t>LECHE LIMP NIVEA VISAGE P/SC BOT 200ML</t>
  </si>
  <si>
    <t>ENCENDEDOR DESHECHABLE TOKAI / GLOBAL</t>
  </si>
  <si>
    <t>PISCO QUEIROLO QUEBRANTA X 2 L</t>
  </si>
  <si>
    <t>GALL. BISCUITS TOFFEE&amp;PECAN 150G WALKER</t>
  </si>
  <si>
    <t>VINO CONCHA Y TORO FRONTERA CAR 750 ML</t>
  </si>
  <si>
    <t>PAÑO SUP.ABSORBENTEX 3 X 4 SCOTCH BRITE</t>
  </si>
  <si>
    <t>CREMA LIQUIDA AVENA X 400 ML BABY JOHNSO</t>
  </si>
  <si>
    <t>COLONIA ANTES DORMIR X 200M BABY JOHNSON</t>
  </si>
  <si>
    <t>ALGARROBINA SPITZE X 480 GR</t>
  </si>
  <si>
    <t>PACK 3 ESPONJA VERDE SCOTCH BRITE</t>
  </si>
  <si>
    <t>GERMEN DE TRIGO X 500 GR. COSECHA DEL PA</t>
  </si>
  <si>
    <t>TRAPEDOR DE FELPA C/OJAL 77X50 GAF</t>
  </si>
  <si>
    <t>QUITAMANCHAS VANISH 450GR, ROSA</t>
  </si>
  <si>
    <t>VINO FANTINI FARNESE SANGIOVESE 750 ML</t>
  </si>
  <si>
    <t>3080 SILICONA UV3 400ML FRESA AEROSOL</t>
  </si>
  <si>
    <t>POLENTA INSTANTANEA X 500 GR AGNESI</t>
  </si>
  <si>
    <t xml:space="preserve"> EDULCORANTE STEVITA X 100 SOBRES</t>
  </si>
  <si>
    <t>PAPEL P/CIGARRILLO BOB MARLEY X 50 HOJAS</t>
  </si>
  <si>
    <t>MARSHMELLOW C/CHOCO.YO-YO X 60UND (270G)</t>
  </si>
  <si>
    <t>VINO NIETO SENETINER DON NICANOR CAB.SAU</t>
  </si>
  <si>
    <t>OPORTO DE LA MANCHA X 750 ML</t>
  </si>
  <si>
    <t>CEBO RATICIDA X 40 GR CAMPEON</t>
  </si>
  <si>
    <t>WHISKY SOMETHING SPECIAL X 1 L</t>
  </si>
  <si>
    <t>VINO RUTINI COLECCIÓN MALBEC X 750 ML.</t>
  </si>
  <si>
    <t>VINO SANGRE DE TORO X 187.5 ML FOUR PACK</t>
  </si>
  <si>
    <t>PAÑO SECATODO 4 X 3 SCOTCH BRITE</t>
  </si>
  <si>
    <t>VINO RUTINI BLEND CABERNET/MALBEC X750ML</t>
  </si>
  <si>
    <t>FIDEO PAPPARDELLE X 250 GR AGNESI</t>
  </si>
  <si>
    <t>CANELLONI #85 X 250 GR AGNESI</t>
  </si>
  <si>
    <t>DET LIQ LA OCA 2LT ROPA COLOR CON ALOE</t>
  </si>
  <si>
    <t>PISCO OCUCAJE ACHOLADO  X700ML</t>
  </si>
  <si>
    <t>SIROPE DE CHANCACA SPITZE X480 G</t>
  </si>
  <si>
    <t>MUSS CREMINO CHOCO TURRON SIX PACK X84GR</t>
  </si>
  <si>
    <t>VINO TACAMA DON MANUEL TANNAT 750 ML</t>
  </si>
  <si>
    <t>VINO MORA NEGRA BLEND 750 ML</t>
  </si>
  <si>
    <t>PILA ENERGIZER X4 AAA + 2 AAA GRATIS</t>
  </si>
  <si>
    <t>GRAN PANETTONE MAINA 750GRS.</t>
  </si>
  <si>
    <t>BANDA DEPILAR VEET CERA FRIA X 12</t>
  </si>
  <si>
    <t>VINO LAS MORAS RSVA CHARDONNAY 750ML</t>
  </si>
  <si>
    <t>DEPILE CREMA FACIAL MANZ  X50ML + PAL</t>
  </si>
  <si>
    <t>CHOC PARA TAZA S/AZUCAR 100G LA IBERICA</t>
  </si>
  <si>
    <t>CHOC PARA TAZA C/AZUCAR 100G LA IBERICA</t>
  </si>
  <si>
    <t>HISOPO  X 500 TUINIES</t>
  </si>
  <si>
    <t>BOMBON DULCE ARMONIA 300 LA IBERICA</t>
  </si>
  <si>
    <t>VINO N.SENETINER ESTATE CAB SAUV 750ML</t>
  </si>
  <si>
    <t>VINO BLANCO AUGUSTUS LIEBLICH X 750 ML.</t>
  </si>
  <si>
    <t>TAGLIATELLE MEZZANE X 500 GR AGNESI</t>
  </si>
  <si>
    <t>CAFE GRANO TOST. OSCURO X 250 GR. BRITT</t>
  </si>
  <si>
    <t>CAFE GRANO PACHAMAMA BRITT X 250GR.</t>
  </si>
  <si>
    <t>CAFE GRANO VALLE SAGRADO BRITT X 250GR.</t>
  </si>
  <si>
    <t>CAFE GRANO ESPRESSO BRITT X 250 GR.</t>
  </si>
  <si>
    <t>PISCO VIÑAS DE ORO MV 500ML, ITALIA</t>
  </si>
  <si>
    <t>LINAZA 300GR RENACER</t>
  </si>
  <si>
    <t>CAFE DESCAFEINADOX250 MOLIDO VILLARICA</t>
  </si>
  <si>
    <t>TRIGO ATOMICO DORADO C/MACAX125GR FORTE</t>
  </si>
  <si>
    <t>MAIZ ATOMICO ANDINO C/MACAX125GR FORTE G</t>
  </si>
  <si>
    <t>CHOCOLATE DE LECHE X 100GR LA IBERICA</t>
  </si>
  <si>
    <t>TAB CHOC LA IBERICA FONDANT X100G</t>
  </si>
  <si>
    <t>CHOCOL.PASTILLAS DE LECHE X 300GR LA IBE</t>
  </si>
  <si>
    <t>ACEITE SACHA INCHI EX.VIR.X250INCA INCHI</t>
  </si>
  <si>
    <t>VINO CABALLERO D LA CEPA MALBEC X750</t>
  </si>
  <si>
    <t>PISCO DEMONIO DE LOS ANDES ACHOLAD 700ML</t>
  </si>
  <si>
    <t>VINO TRUMPETER CHARDONNAY X 750 ML</t>
  </si>
  <si>
    <t>PISCO BIONDI ACHOLADO X 500 ML</t>
  </si>
  <si>
    <t>AC.OLIVA XTRA VIRGEN 500ML HUERTO ALAMEI</t>
  </si>
  <si>
    <t>AC.OLIVA XTRA VIRGEN 1LT HUERTO ALAMEI</t>
  </si>
  <si>
    <t>AC.OLIVA PURO 500ML HUERTO ALAMEIN</t>
  </si>
  <si>
    <t>AC.OLIVA PURO 1LT HUERTO ALAMEIN</t>
  </si>
  <si>
    <t>CAFE INSTANTANEO X113GR MAXWELL HOUSE</t>
  </si>
  <si>
    <t>SIROPE SABOR MIEL DE ABEJA X 480GR</t>
  </si>
  <si>
    <t>VINAGRE BALSAMICO X 200CC HUERTO ALAMEIN</t>
  </si>
  <si>
    <t>VINAGRE BALSAMICO X 500CC HUERTO ALAMEIN</t>
  </si>
  <si>
    <t>CHAMPAGNE MOET&amp;CHANDON BRUT ROSE 750 ML</t>
  </si>
  <si>
    <t>JALEA REAL X500ML NECTAR DE REYNA</t>
  </si>
  <si>
    <t>MAQUINA ULTREX PIELSENSIBLE+5RPTO HOMBRE</t>
  </si>
  <si>
    <t>CAFE ZENA SELECTO X 200GR</t>
  </si>
  <si>
    <t>PEPINILLOS A LA POLACA  FRASCO X670G</t>
  </si>
  <si>
    <t>PACK 2 VINOS QUEIROLO BORGOÑA 750ML</t>
  </si>
  <si>
    <t>LAVAVAJILLA  JABON NATURAL X 1LT LA OCA</t>
  </si>
  <si>
    <t>PACK 2 FOSFOROS  INTI X 200 UNID.</t>
  </si>
  <si>
    <t>WHISKY CHIVAS REGAL X 1 LITRO</t>
  </si>
  <si>
    <t>EGUE BUC LISTER PROT DINT/ENCI BOT 180ML</t>
  </si>
  <si>
    <t>VODKA RUSSKAYA CLASSIC 750 ML</t>
  </si>
  <si>
    <t>TORTILLAS NACHOS MIX X 260GR</t>
  </si>
  <si>
    <t>FCO DE AJOS MOLIDOS X215GR WONG</t>
  </si>
  <si>
    <t>FRASCO DE AJI PANCA X195 GRS WONG</t>
  </si>
  <si>
    <t>FRASCO DE AJI MIRASOL X 195GRS WONG</t>
  </si>
  <si>
    <t>FRASCO DE AJI AMARILLO X195 GRS WONG</t>
  </si>
  <si>
    <t>FRASCO DE PASTA DE ROCOTOX195 GRS WONG</t>
  </si>
  <si>
    <t>FRASCO DE AJOS MOLIDOS X215 GRS METRO</t>
  </si>
  <si>
    <t>BROWNIE MIX X 625GRS  KATZEL</t>
  </si>
  <si>
    <t>MEZCLA KATZEL BROWNIE C/LENTEJAS X656G</t>
  </si>
  <si>
    <t>FRASCO DE AJI PANCA X195 GRS METRO</t>
  </si>
  <si>
    <t>FRASCO DE AJI MIRASOL X195 GRS METRO</t>
  </si>
  <si>
    <t>FRASCO DE AJI AMARILLO X195 GRS METRO</t>
  </si>
  <si>
    <t>FRASCO DE PASTA DE ROCOTOX195 GRS METRO</t>
  </si>
  <si>
    <t>VINO PROTOS ROBLE RIBERA DEL DUERO 750ML</t>
  </si>
  <si>
    <t>TRUFAS STDAS X 12 UN LA IBERICA</t>
  </si>
  <si>
    <t>VINO PROTOS G.RSVA RIB. DEL DUERO 750ML</t>
  </si>
  <si>
    <t>VINO PROTOS RESERVA RIB.DEL DUERO 750ML</t>
  </si>
  <si>
    <t>SILICONA PARA MELAMINEX500ML</t>
  </si>
  <si>
    <t>PLASTIC WRAP WONDER WRAP 31M</t>
  </si>
  <si>
    <t>VINO TRAPICHE BROQUEL BONARDA X 750ML</t>
  </si>
  <si>
    <t>INFUSIÓN MENTA&amp;MUÑA WAWASANA X12 UNIDS</t>
  </si>
  <si>
    <t>QUITAMANCHAS VANISH 900ML, ROSA</t>
  </si>
  <si>
    <t>TRUFAS SURTIDAS X 6 PZAS LA IBERICA</t>
  </si>
  <si>
    <t>VINO LOS CARDOS SAUVIGON BLANC X 750ML</t>
  </si>
  <si>
    <t>BABY TALCO DR ZAIDMAN X600G</t>
  </si>
  <si>
    <t>DETERG LIQ LA OCA 5 LT WASH</t>
  </si>
  <si>
    <t>DETERG LIQ LA OCA 5 LT JABON NATURAL</t>
  </si>
  <si>
    <t>LIMPIADOR ANTISARRO C/GAT X750 OCA BAÑO</t>
  </si>
  <si>
    <t>CARAMELOS RELLENO MIEL 68UX340GRX12 B AR</t>
  </si>
  <si>
    <t>LICOR BAILEYS  X 375 ML</t>
  </si>
  <si>
    <t>LIMP.ABRILLA.PISO LAMINADO/DDX1LT MASTER</t>
  </si>
  <si>
    <t>TAPONES PARA OIDOS C/CORDON  X 2PARES 3M</t>
  </si>
  <si>
    <t>VENDA COBAN COLOR BEIGE</t>
  </si>
  <si>
    <t>BOLSA FRIO CALOR  NEXCARE</t>
  </si>
  <si>
    <t>PISCO VIEJO TONEL QUEBRANTA 500ML</t>
  </si>
  <si>
    <t>CRE NIVEA BODY G BYE CELLULITE CAJ 200ML</t>
  </si>
  <si>
    <t>VINO LOS ARBOLES MALBEC 750 ML</t>
  </si>
  <si>
    <t>ANIS X20 SOBRES WAWASANA</t>
  </si>
  <si>
    <t>MANZANILLA X20 SOBRES WAWASANA</t>
  </si>
  <si>
    <t>TE, CANELA Y CLAVO X20 SOBRES WAWASANA</t>
  </si>
  <si>
    <t>VINO FANTINI FARNESE  DON CAMILO 750 ML</t>
  </si>
  <si>
    <t>PISCO BIONDI PURO QUEBRANTA X 500 ML</t>
  </si>
  <si>
    <t>VINO LOS ARBOLES CAB.SAUVIGNON 750 ML</t>
  </si>
  <si>
    <t>CAVA CASTELFINO BRUT BOT 750ML</t>
  </si>
  <si>
    <t>VINO TRUMPETER MALBEC X 750 ML</t>
  </si>
  <si>
    <t>VINO TRUMPETER CABERNET SAUV. X 750ML</t>
  </si>
  <si>
    <t>VINO M. RENGO CAB.SAUV.CUVEE X750</t>
  </si>
  <si>
    <t>BABY SHAMPOO MANZANILLAX750ML DR ZAIDMAN</t>
  </si>
  <si>
    <t>AC.OLIVA EXTRAVIRGEN 200C HUERTO ALAMEIN</t>
  </si>
  <si>
    <t>AGUA MINERAL SAN PELLEGRINO X 250 ML</t>
  </si>
  <si>
    <t>AGUA M. C/GAS SAN PELLEGRINO GLASS 505ML</t>
  </si>
  <si>
    <t>LIMPIADOR ANTISARRO RECAMB X750ML LA OCA</t>
  </si>
  <si>
    <t>ADEREZO P/HORNEAR PAV/CERD X220G PERU-PR</t>
  </si>
  <si>
    <t>ADEREZO ESPEC.PARRILLEROX400G PERU-PRIDE</t>
  </si>
  <si>
    <t>ADEREZO CANTONES SAB.ORIENTX85G PERU-PR</t>
  </si>
  <si>
    <t>ADEREZO ESP SAB.CRIOLLO X90G PERU-PRIDE</t>
  </si>
  <si>
    <t>PAPEL ALUMINIO 8MT X30CM  C/SIERRA UTHIL</t>
  </si>
  <si>
    <t>PAPEL ALUMINIO 8MT  X45CM  C/SIERRA</t>
  </si>
  <si>
    <t>PAPEL ALUMINIO 16MT. X30CM  C/SIERRAA</t>
  </si>
  <si>
    <t>VINO FUZION SYRAH-MALBEC 750 ML</t>
  </si>
  <si>
    <t>FILM PLASTICO 30MT X29CM C/SIERRA</t>
  </si>
  <si>
    <t>BARRA TRAIL MIX FRUIT&amp;NUT X6 NATURE VALL</t>
  </si>
  <si>
    <t>TORTILLAS D/ HARINA 10CT X232GR OLD PASO</t>
  </si>
  <si>
    <t>VINAGRE BALSAMICO X250ML EL OLIVAR</t>
  </si>
  <si>
    <t>PISCO LABLANCO QUEBRANTA X 500 ML</t>
  </si>
  <si>
    <t>VINO SANTA JULIA RESERVA MALBEC 750 ML</t>
  </si>
  <si>
    <t>VINO ZUCCARDI "Q" MALBEC 750 ML</t>
  </si>
  <si>
    <t>SALSA DE PESTO X 185 GR. AGNESI.</t>
  </si>
  <si>
    <t>VINAGRE BALSAMICO 250 ML CREMONINI</t>
  </si>
  <si>
    <t>BANDA DEPILATORIA VEET FACIAL CAJA X 12</t>
  </si>
  <si>
    <t>BANDAS DEPIL PIEL SECA VEET CJX12 UNS</t>
  </si>
  <si>
    <t>CHIMICHURRI E/FRASCO SPITZE X 210GR.</t>
  </si>
  <si>
    <t>HARPIC MULTIACCION MANZANA VERDEX500CC</t>
  </si>
  <si>
    <t>TEQUILA JOSE CUERVO TRADICIONAL 695 ML</t>
  </si>
  <si>
    <t>PISCO DON SANTIAGO MV TORONTEL BOT 500ML</t>
  </si>
  <si>
    <t>PISCO SANTIAGO QUEIROLO ITALIA X 750 ML</t>
  </si>
  <si>
    <t>VINO D FIN DEL MUNDO RSVA.CAB.SAUVIG750M</t>
  </si>
  <si>
    <t>VINO DEL FIN DEL MUNDO RSVA MALBEC 750ML</t>
  </si>
  <si>
    <t>VINO POSTALES FIN DEL MUNDO CHARDO 750ML</t>
  </si>
  <si>
    <t>VINO POSTALES FIN DEL MUNDO MALBEC 750ML</t>
  </si>
  <si>
    <t>BANDEJA RECTANGULAR UTHIL</t>
  </si>
  <si>
    <t>BANDEJA OVALADA UTHIL</t>
  </si>
  <si>
    <t>LIP CARE NIVEA SUN FPS30 BLISTER X4.7G</t>
  </si>
  <si>
    <t>LIMA MNO+REMOV CUT+TIJ+P.N MNCUR SETX5</t>
  </si>
  <si>
    <t>CEPILLO FACIAL X UND</t>
  </si>
  <si>
    <t>TIJERA NATURE P/UÑA PEQ HB460 UN</t>
  </si>
  <si>
    <t>VINO SANTA JULIA RESERVA CAB SAUV 750 ML</t>
  </si>
  <si>
    <t>LIMA NATURE P/UÑA CRTON HB500 UN</t>
  </si>
  <si>
    <t>JABON LIQUIDO COSMETICO X 750 ML DAINA</t>
  </si>
  <si>
    <t>VINO SEPTIMA  GRAN RESERVA 750 ML</t>
  </si>
  <si>
    <t>VINO ERRAZURIZ MAX RSVA SHIRAZ 750 ML</t>
  </si>
  <si>
    <t>RON SANTA TERESA DE SOLER 1796 BOT 750ML</t>
  </si>
  <si>
    <t>BANDEJA POLLIPAVO</t>
  </si>
  <si>
    <t>PACK 2 BOLSAS X 35 X 10 UN. SUPER BAG</t>
  </si>
  <si>
    <t>CHICA DE JORA X500ML LORENZA</t>
  </si>
  <si>
    <t>COCO RALLADO X 35 GR WONG</t>
  </si>
  <si>
    <t>DEO ROLL ON NIVEA PEARL BEAUTY X50ML</t>
  </si>
  <si>
    <t>DEO PEARL &amp; BEAUTY SPRAY X150ML NIVEA</t>
  </si>
  <si>
    <t>KETCHUP CHISQUETE PET X400GR METRO</t>
  </si>
  <si>
    <t>KETCHUP CHISQUETE PET X400GR WONG</t>
  </si>
  <si>
    <t>LIMA NATURE P/UÑA MET C/MGO PLAST UND</t>
  </si>
  <si>
    <t>PISCO LABLANCO ACHOLADO X 500 ML</t>
  </si>
  <si>
    <t>CERVEZA PERONI PACK 6 BOT 330 ML</t>
  </si>
  <si>
    <t>SILLAO CLARO X 500 ML. LKK.</t>
  </si>
  <si>
    <t>RON FLOR DE CAÑA 18 AÑOS 750 ML</t>
  </si>
  <si>
    <t>RON BLANCO CON COCO MALIBU BOT 750 ML</t>
  </si>
  <si>
    <t>TOAL DESMAQ NEUTROGENA BOL X25</t>
  </si>
  <si>
    <t>CHOCOLATE RELLENO DE MARACUYA BRITT 170</t>
  </si>
  <si>
    <t>CERVEZA OLD SPECKLED BOT 500 ML</t>
  </si>
  <si>
    <t>CERVEZA ABBOT ALE BOT 500 ML</t>
  </si>
  <si>
    <t>SIROPE SABOR A MAPLE X 480 GR SPITZE</t>
  </si>
  <si>
    <t>PAÑO MULTIUSOS X 6 VIRUTEX</t>
  </si>
  <si>
    <t>PANQUEQUES &amp; CREPES MIX X420GR KATZEL</t>
  </si>
  <si>
    <t>PISCO VIÑAS DE ORO MV 500ML, QUEBRANTA</t>
  </si>
  <si>
    <t>LINAZA MOLIDA X 300GR.RENACER</t>
  </si>
  <si>
    <t>CAVA CORDON ROSADO BRUT  FREIXENET X750M</t>
  </si>
  <si>
    <t>MOSTAZA X 370 GR METRO</t>
  </si>
  <si>
    <t>MAYONESA METRO X 350CC. METRO</t>
  </si>
  <si>
    <t>PAPEL MANTEQUILLA X23MT</t>
  </si>
  <si>
    <t>VODKA GREY GOOSE 750 ML</t>
  </si>
  <si>
    <t>CHOCOLATE PELOTITAS X 125 GR 2 CERRITOS</t>
  </si>
  <si>
    <t>CEPILLO Y PEINE P/BEBES TUINIES</t>
  </si>
  <si>
    <t>COBERTURA BITTER X 300 GR DIPERUGIA</t>
  </si>
  <si>
    <t>COBERTURA LECHE X 300 GR DIPERUGIA</t>
  </si>
  <si>
    <t>PISCO BIONDI TORONTEL X 500 ML</t>
  </si>
  <si>
    <t>PISCO BIONDI MOSCATEL X 500 ML</t>
  </si>
  <si>
    <t>PISCO BIONDI ALBILLA X 500 ML</t>
  </si>
  <si>
    <t>SNICKERS FUN SIZE 6PACK 96.4 GR</t>
  </si>
  <si>
    <t>VINO PASCUAL TOSO RESERVA MALBEC X 750ML</t>
  </si>
  <si>
    <t>VINO TINTO PASCUAL TOSO CAB.SAU X 750 ML</t>
  </si>
  <si>
    <t>VINO TINTO PASCUAL TOSO MALBEC X 750 ML</t>
  </si>
  <si>
    <t>GALLETAS DE AVENA X 100 GR.</t>
  </si>
  <si>
    <t>ROSQUITAS X 90GR.</t>
  </si>
  <si>
    <t>DET LIQ LA OCA 2LT BLACK</t>
  </si>
  <si>
    <t>MAYONESA X 350CC WONG</t>
  </si>
  <si>
    <t>MOSTAZA X 370 GR WONG</t>
  </si>
  <si>
    <t>VINO QUEIROLO COSECHA 125 BOT 750 ML</t>
  </si>
  <si>
    <t>AJI PARRILLERO FCO SPITZE X 200GR.</t>
  </si>
  <si>
    <t>VINO TINTO PEQ.VASIJA CAB/SYRAHX 750 ML</t>
  </si>
  <si>
    <t>VINO SAUV/SEMILLON PEQ.VASIJA X 750 ML</t>
  </si>
  <si>
    <t>VINO RUTINI COLECCIÓN MERLOT X 750 ML</t>
  </si>
  <si>
    <t>SECRET WEAPON TOUCH-UPX113GR JOHNFRIEDA</t>
  </si>
  <si>
    <t>AGUA MNRL C/GAS SAN PELLEGRINO PET 500ML</t>
  </si>
  <si>
    <t>AGUA MINERAL S/GAS ACQUA PANNA PET 500ML</t>
  </si>
  <si>
    <t>ROCOTO PARRILLERO FCOX 200GR SPITZE</t>
  </si>
  <si>
    <t>PISCO VIEJO TONEL GRAN COMOD MV QUE 500</t>
  </si>
  <si>
    <t>ESPONJA CERO RAYAS COCINAX1 SCOTCH BRITE</t>
  </si>
  <si>
    <t>ESPONJA CERO RAYAS COCINAX2 SCOTCH BRITE</t>
  </si>
  <si>
    <t>ESPJ.CERO RAYAS 2EN1 COCINAX2 SCOTCH BR.</t>
  </si>
  <si>
    <t>HISOPOS X 350UND POTE TUINIES</t>
  </si>
  <si>
    <t>#VODKA BELVEDERE X 750 ML</t>
  </si>
  <si>
    <t>EMOLIENTE X 140 GR RENACER</t>
  </si>
  <si>
    <t>OPORTO SANDEMAN RUBY X 750 ML</t>
  </si>
  <si>
    <t>ACEITE XTRA VIRG.SAB.INTENSO X500 OLIVAR</t>
  </si>
  <si>
    <t>VINO MATEUS ROSE X 750ML</t>
  </si>
  <si>
    <t>AC.EXT VIRGEN AJONJOLI FCOX250ML Q'INTI</t>
  </si>
  <si>
    <t>AC.EXT VIRGEN SACHA INCHI X250ML Q'INTI</t>
  </si>
  <si>
    <t>AC. AJONJOLI TOSTADO X100ML Q'INTI</t>
  </si>
  <si>
    <t>AC. UCHU(ROCOTO) FCO X100ML Q'INTI</t>
  </si>
  <si>
    <t>BOLSA ZIPP CHICA X50UN UTHIL</t>
  </si>
  <si>
    <t>BOLSA ZIPP MEDIANA X25UN UTHIL</t>
  </si>
  <si>
    <t>BOLSA ZIPP GRANDE X20UN UTHIL</t>
  </si>
  <si>
    <t>PIROTIN  N° 7 KRAFT</t>
  </si>
  <si>
    <t>ESPUMANTE CHANDON BRUT ROSE X 750ML</t>
  </si>
  <si>
    <t>TAJADOR L'OREAL PARIS 07 X1</t>
  </si>
  <si>
    <t>CAVA JUVE&amp;CAMPS CINTA PURPURA R.BRUT 750</t>
  </si>
  <si>
    <t>CAVA JUVE&amp;CAMPS BRUT ROSE P.NOIR 750ML</t>
  </si>
  <si>
    <t>POLVO DE HORNEAR FLEISCHMANN X 20 GR</t>
  </si>
  <si>
    <t>CREMA CHANTILLY X 380GR FLEISCHMANN</t>
  </si>
  <si>
    <t>AZUCAR IMPALPABLE X 200GR FLEISCHMANN</t>
  </si>
  <si>
    <t>RON BARCELO AÑEJO X 750ML</t>
  </si>
  <si>
    <t>RON BARCELO AÑEJO X 1.75 ML</t>
  </si>
  <si>
    <t>RON BARCELO IMPERIAL 10 AÑOS X 750ML</t>
  </si>
  <si>
    <t>REPUESTO MOPA ALGODON TASK/VIRUTEX</t>
  </si>
  <si>
    <t>#PISCO LABLANCO ITALIA X 500ML</t>
  </si>
  <si>
    <t>JABON LAVAR ESCAMA DIAMANTE 1KG BB</t>
  </si>
  <si>
    <t>COCOA GOURMET BRITT X 400GR</t>
  </si>
  <si>
    <t>DESITIN CREAMY 57 GM JOHNSON</t>
  </si>
  <si>
    <t>VINO TINTO CLOS DE LOS SIETE X 750 ML</t>
  </si>
  <si>
    <t>AMARGO EL QUIJOTE X 120ML</t>
  </si>
  <si>
    <t>MANI TOSTADO X 100GR METRO</t>
  </si>
  <si>
    <t>AJI PIZZA X 15GR METRO</t>
  </si>
  <si>
    <t>AJI MIRASOL X 10GR METRO</t>
  </si>
  <si>
    <t>JALAPEÑOS X 225 GRS VALLE FERTIL</t>
  </si>
  <si>
    <t>MANI TOSTADO X 100GR WONG</t>
  </si>
  <si>
    <t>AJI PIZZA X 15GR WONG</t>
  </si>
  <si>
    <t>AJI MIRASOL X 10GR WONG</t>
  </si>
  <si>
    <t>VINO N.CORREAS COLEC.PRIV ROSE 750 ML</t>
  </si>
  <si>
    <t>VINO ANGELICA ZAPATA CAB.FRANC 750 ML</t>
  </si>
  <si>
    <t>VINO ANGELICA ZAPATA MALBEC 750 ML</t>
  </si>
  <si>
    <t>PUDIN CHOCOLAT AZUCARAD X100GR UNIVERSAL</t>
  </si>
  <si>
    <t>VINO ALTAS CUMBRES RSVA MALBEC 750 ML</t>
  </si>
  <si>
    <t>VINO ALTAS CUMBRES RSVA CAB SAUVIG 750ML</t>
  </si>
  <si>
    <t>AJI PANCA ROJO X 10 GR. METRO</t>
  </si>
  <si>
    <t>ANIS ENTERO X 8 GRS METRO</t>
  </si>
  <si>
    <t>ALFAJOR HAR ALFA PACK X 515GR CASA ALFAJ</t>
  </si>
  <si>
    <t>CANELA CHINA X 10 GR METRO</t>
  </si>
  <si>
    <t>ALFAJOR MAI ALFA PACK X 450GR CASA ALFAJ</t>
  </si>
  <si>
    <t>CANELA ENTERA X 12 GRS METRO</t>
  </si>
  <si>
    <t>CANELA MOLIDA X 8 GR METRO</t>
  </si>
  <si>
    <t>CLAVO DE OLOR X 8 GRS METRO</t>
  </si>
  <si>
    <t>COMINO MOLIDO  X 18 GRS METRO</t>
  </si>
  <si>
    <t>VINO SANTA JULIA MALBEC X 750ML</t>
  </si>
  <si>
    <t>CURRY HINDU POLVOX 6 GR METRO</t>
  </si>
  <si>
    <t>MAUR.LORCA OPALO MALBEC X 750 ML.</t>
  </si>
  <si>
    <t>HONGO SECO X 10 GRS METRO</t>
  </si>
  <si>
    <t>HONGO CON LAUREL X 10 GRS METRO</t>
  </si>
  <si>
    <t>LAUREL X 3 GRS METRO</t>
  </si>
  <si>
    <t>MEJORANA X 4 GR METRO</t>
  </si>
  <si>
    <t>NUEZ MOSCADA X 3 UNID. METRO</t>
  </si>
  <si>
    <t>OREGANO ENTERO X 8 GRS METRO</t>
  </si>
  <si>
    <t>OREGANO MOLIDO X 8 GRS METRO</t>
  </si>
  <si>
    <t>VINO ESCORIHUELA GASCON VIOGNIER X 750NL</t>
  </si>
  <si>
    <t>MEZCLA P/GALLETA AVENA C/CHO.430G KATZEL</t>
  </si>
  <si>
    <t>PALILLO X 15GR METRO</t>
  </si>
  <si>
    <t>PAPRIKA X 15 GR METRO</t>
  </si>
  <si>
    <t>PIMIENTA BLANCA MOLIDA X 15 GRS METRO</t>
  </si>
  <si>
    <t>PIMIENTA NEGRA ENTERA X 15 GR METRO</t>
  </si>
  <si>
    <t>PIMIENTA NEGRA MOLIDA   X 18 GR METRO</t>
  </si>
  <si>
    <t>ROMERO X 4 GRS METRO</t>
  </si>
  <si>
    <t>TOMILLO X 4 GR METRO</t>
  </si>
  <si>
    <t>CREMA DE COCO HAK FCOX 240ML</t>
  </si>
  <si>
    <t>VINO ANDELUNA 1300 MALBEC 750 ML</t>
  </si>
  <si>
    <t>DURAZNO EN MITADES x 820 GRS. ARICA</t>
  </si>
  <si>
    <t>PACK X 3 ESPONJI.LA MAQUINA SCOTCH BRITE</t>
  </si>
  <si>
    <t>VINO PASCUAL TOSO RSVA CAB.SAUV X 750ML</t>
  </si>
  <si>
    <t>VINO MATEUS BLANCO X 750ML</t>
  </si>
  <si>
    <t>BLO NIVEA SUN PIEL SENSIBLE FPS50+ 125ML</t>
  </si>
  <si>
    <t>BLOQ NIVEA SUN KIDS PRO&amp;PLAY FPS60 125ML</t>
  </si>
  <si>
    <t>MIEL DE ABEJA X 1 KG QUEEN BEE'S</t>
  </si>
  <si>
    <t>KING KONG SAN ROQUE X 900GRS.PIÑ-MANI-M</t>
  </si>
  <si>
    <t>MIEL DE ABEJA REYNA DE OXAPAMPA X 1100G</t>
  </si>
  <si>
    <t>ALFAJOR BON O BON 6 UNID ARCOR</t>
  </si>
  <si>
    <t>JABON LIQ ANTIB BACTERION 300ML 2EN1</t>
  </si>
  <si>
    <t>VINO QUEIROLO TANNAT BOT 750 ML</t>
  </si>
  <si>
    <t>VINO VIU MANENT GRAN RSVA CARMENERE750ML</t>
  </si>
  <si>
    <t>ACEITE DE OLIVA OLIVOS DEL SUR PUROX500M</t>
  </si>
  <si>
    <t>ACEITE DE OLIVA OLIVOS DEL SUR PURO X1LT</t>
  </si>
  <si>
    <t>ALGARROBINA SPITZE X 800 GRS</t>
  </si>
  <si>
    <t>ACEITE EXT.VIRG.SABOR INTENSOX1LT EL OLI</t>
  </si>
  <si>
    <t>FONDOS DE ALCACHOFA X 410GR VALLE FERTIL</t>
  </si>
  <si>
    <t>AGUARDIENTE ANTIOQUEÑO BOT 750 ML</t>
  </si>
  <si>
    <t>VINO SALENTEIN RESER MALBEC BOT 750ML</t>
  </si>
  <si>
    <t xml:space="preserve"> VINO SALENTEIN RESER CAB.SAU BOT 750ML</t>
  </si>
  <si>
    <t>VINO FINCA EL PORTILLO MALBEC BOT 750ML</t>
  </si>
  <si>
    <t>VINO FINCA EL PORTILLO CAB/SAU 750ML</t>
  </si>
  <si>
    <t>RON CARTAVIO BLANCO 750 ML</t>
  </si>
  <si>
    <t>PIMIENTO DEL PIQUILLO 290GR VALLE FERTIL</t>
  </si>
  <si>
    <t>RON CARTAVIO SUPERIOR 750 ML</t>
  </si>
  <si>
    <t>VINO FINCA FLICHMAN ROBLE CHARDONNAYX750</t>
  </si>
  <si>
    <t>VINO QUEIROLO SAUVIGNON BLANC BOT 750 ML</t>
  </si>
  <si>
    <t>RON BARCELO GRAN AÑEJO X 750ML</t>
  </si>
  <si>
    <t>GEL DE BAÑO C/PROTEI DE LECHE X750 DAINA</t>
  </si>
  <si>
    <t>SAL DE ANDREWS TRIPLE ACCION X 12 SOBRES</t>
  </si>
  <si>
    <t>PISCO LABLANCO MOST.VERD GR.HERENCIAX500</t>
  </si>
  <si>
    <t>RON FLOR DE CAÑA EXTRA SECO 750 ML</t>
  </si>
  <si>
    <t>VINO FUZION CHENIN BLANC-CHARDON. X750ML</t>
  </si>
  <si>
    <t>PAÑO SECATODO X3+ESPONJA 2EN1 SCOTCH BRI</t>
  </si>
  <si>
    <t>KING KONG MANJAR/PIÑA X 900 GR SAN ROQUE</t>
  </si>
  <si>
    <t>SHAMPOO MANZANILLA x 400 ML SIMOND'S</t>
  </si>
  <si>
    <t>VINO CASILLERO DEL DIABLO ROSÉ 750ML</t>
  </si>
  <si>
    <t>VINO CABALLERO DE LA CEPA SYRAH X 750</t>
  </si>
  <si>
    <t xml:space="preserve"> TALCO ISANA X 60 GR +TALCO ISANA X60GR</t>
  </si>
  <si>
    <t>ESPUMOSO TACAMA ROSA SALVAJE ROSE 750ML</t>
  </si>
  <si>
    <t>ACEITE EN SPRAY ORIGINAL MAZOLA 142GR</t>
  </si>
  <si>
    <t>CHOCOLATE C/ MACADAMIA BRITT 142 GR</t>
  </si>
  <si>
    <t>CHOCOLATE RELLENO DE CASHEW BRITT 142</t>
  </si>
  <si>
    <t>ALGODON  X 100 GR. COPPON ZIG ZAG</t>
  </si>
  <si>
    <t>VINO ESTANCIA MENDOZA MERLOT-MALBE.X 750</t>
  </si>
  <si>
    <t>ENDULZANTE X 50SOB. VIDA ESTEVIA</t>
  </si>
  <si>
    <t>ENDULZANTE NATURAL X 100 SOB.VIDA ESTEVI</t>
  </si>
  <si>
    <t>ACEITE DE MAIZ ORIGINAL X 710 ML MAZOLA</t>
  </si>
  <si>
    <t>EDULZANTE NATURAL X 100TAB.VIDA ESTEVIA</t>
  </si>
  <si>
    <t>TE VERDE X 20 SOB WAWASANA</t>
  </si>
  <si>
    <t>DIETTE CON TE VERDE X21 SOB WAWASANA</t>
  </si>
  <si>
    <t>MIEL DULCE NATURA SILVESTRE X 600GR</t>
  </si>
  <si>
    <t>MIEL DULCE NATURA SILVESTRE X 300GR</t>
  </si>
  <si>
    <t>MIEL DULCE NATURA EUCALIPTO X 600GR</t>
  </si>
  <si>
    <t>MIEL DULCE NATURA EUCALIPTO X 300GR</t>
  </si>
  <si>
    <t>VINO BLACK TOWER ROSE 750 ML</t>
  </si>
  <si>
    <t>ANCHOVETA A/VEGETAL X 125 GR  A-1</t>
  </si>
  <si>
    <t>PAÑO MAX ABSORCION X2 SCOTCH BRITE</t>
  </si>
  <si>
    <t>CERA TEKNO AUTOBRILLANTE NEGRA 300 ML</t>
  </si>
  <si>
    <t>PINZA NAT PERFECT DEP PUNTA RECTA BLIS 1</t>
  </si>
  <si>
    <t>ALICATE NAT PERFECT CORTCUT MNCUR BLIS 1</t>
  </si>
  <si>
    <t>CARAMELO PUSH POP TOPPS 15 GR.</t>
  </si>
  <si>
    <t>VINO NORTON RESERVA MALBEC X 750ML</t>
  </si>
  <si>
    <t>PAPEL ALUMINIO 24MT ESTUCHE</t>
  </si>
  <si>
    <t>VINO TACAMA ALBILLA DE ICA X 750ML</t>
  </si>
  <si>
    <t>PACK 2 VINOS V.VIEJA BORGOÑA 750ML C/U</t>
  </si>
  <si>
    <t>PACK 2 VINOS VIÑA VIEJA ROSE 750ML C/U</t>
  </si>
  <si>
    <t>VINO PROTOS VERDEJO RUEDA 750 ML</t>
  </si>
  <si>
    <t>PASTILLA FONDANT X 100GR LA IBERICA</t>
  </si>
  <si>
    <t>PASTILLA CHOC DE LECHE LA IBERICA 100GR</t>
  </si>
  <si>
    <t>CEREAL BANANA NUT X439GR POST</t>
  </si>
  <si>
    <t>CEREAL HONEY BUNCHES C/ALM X411GR POST</t>
  </si>
  <si>
    <t>CEREAL HONEY BUNCHES ROASTEDX411GR POST</t>
  </si>
  <si>
    <t>LACTACYD FEMINA X 200 ML.( SANOFI AVENTI</t>
  </si>
  <si>
    <t>PISCO DON SANTIAGO MV QUEBRANTA 500ML</t>
  </si>
  <si>
    <t>MIEL D ABEJ DULCE NATURA EUCALIPTX1.100K</t>
  </si>
  <si>
    <t>MIEL D ABEJ DULCE NATURA SILVESTRX1.100K</t>
  </si>
  <si>
    <t>PACK 2 VINOS VIÑA VIEJA MALBEC 750ML C/U</t>
  </si>
  <si>
    <t>CAVA GRAN CLAUSTRO CASTILLO PERELADAX750</t>
  </si>
  <si>
    <t>PISCO VIÑAS DE ORO MV 500ML, TORONTEL</t>
  </si>
  <si>
    <t>FILETE DE ATUN X 170 GR A-1</t>
  </si>
  <si>
    <t>COLONIA HENO DE PRAVIA BOT X1000ML</t>
  </si>
  <si>
    <t>HISOPOS COPPON X 200 UNID</t>
  </si>
  <si>
    <t>SHAMPOO AMMENS ORIG X 400ML</t>
  </si>
  <si>
    <t>RON CARTAVIO BLACK 750 ML</t>
  </si>
  <si>
    <t>#VINO NORTON MALBEC D.O.C X 750ML</t>
  </si>
  <si>
    <t>MOISTURE BARRIER SPRAYX340GR JOHN FRIEDA</t>
  </si>
  <si>
    <t>CREMA CHANTILLY FLEISCHMANN X 60 GR</t>
  </si>
  <si>
    <t>MIEL DE ABEJA TOYVA X 250GR BOL</t>
  </si>
  <si>
    <t>VINO LAGARDE DOC MALBEC X 750 ML.</t>
  </si>
  <si>
    <t>VINO MARQUES DE RISCAL BCO RUEDA 375 ML</t>
  </si>
  <si>
    <t>VINO MARQUES DE RISCAL RESERVA 375 ML</t>
  </si>
  <si>
    <t>TURRON  X 30GR LA IBERICA</t>
  </si>
  <si>
    <t>CHOCOLATE BARRA MILKY X 50GR LA IBERICA</t>
  </si>
  <si>
    <t>LACTACYD INFANTILX 200ML.(SANOFI AVENTIS</t>
  </si>
  <si>
    <t>EDULCORANTE X440TAB SUGAFOR</t>
  </si>
  <si>
    <t>EDULCORANTE X110 TAB SUGAFOR</t>
  </si>
  <si>
    <t>EDULCORANTE LIQUIDO .X100ML SUGAFOR</t>
  </si>
  <si>
    <t>SHAMPOO MANZAN ORIG X 400ML</t>
  </si>
  <si>
    <t>TE VERDE X 25 SOBRES SCHAGREEN</t>
  </si>
  <si>
    <t>TE VERDE EN HOJA X 100GR SCHAGREEN</t>
  </si>
  <si>
    <t>MOPA DE ALGODON + PALO TASK/VIRUTEX</t>
  </si>
  <si>
    <t>CHOCOTEJAS MIXTA CAJA X6 SAN ROQUE</t>
  </si>
  <si>
    <t>PACK 2 VINOS QUEIROLO MAG/BORG 750ML</t>
  </si>
  <si>
    <t>PISCO DEMONIO DE LOS ANDES ALBILLA 700ML</t>
  </si>
  <si>
    <t>PASTILLAS DE LECHE X500 GR LA IBERICA</t>
  </si>
  <si>
    <t>WHISKY BALLANTINES 12 AÑOS BOT 700 ML</t>
  </si>
  <si>
    <t>CHOCOLATE C/ HAZELNUT BRITT 142 GR</t>
  </si>
  <si>
    <t>EDULCORANTE X 50 SOBRES POLVO SUGAFOR</t>
  </si>
  <si>
    <t>EDULCORANTE X 100 SOBRES POLVO SUGAFOR</t>
  </si>
  <si>
    <t>WHISKY THE GLENLIVET 18 AÑOS BOT 700 ML</t>
  </si>
  <si>
    <t>GALLETA CHOC.CROCANTE X 100GR JULES DEST</t>
  </si>
  <si>
    <t>LAVAVAJILLA LIMON X 1 LT LA OCA</t>
  </si>
  <si>
    <t>EGUE BUC LISTERINE CUIDADO TOT BOT 180ML</t>
  </si>
  <si>
    <t>EGUE BUC LISTERINE CUIDADO TOT BOT 500ML</t>
  </si>
  <si>
    <t>SUPER DESENGRAS. C/GATIL.X750ML LA OCA</t>
  </si>
  <si>
    <t>VINO LA LINDA ROSE BOT 750 ML</t>
  </si>
  <si>
    <t>VINO ZUCCARDI "Q" TEMPRANILLO 750 ML</t>
  </si>
  <si>
    <t>CHUÑO FLEISCHMANN X 200 GR.</t>
  </si>
  <si>
    <t>SUPER DESENGRAS.RECAMBIO X750ML LA OCA</t>
  </si>
  <si>
    <t>CURL REVIVER MOUSSEX204GR JOHN FRIEDA</t>
  </si>
  <si>
    <t>VODKA  KIEV X 1 LITRO</t>
  </si>
  <si>
    <t>VINO ANDELUNA 1300 CAB SAUV 750 ML</t>
  </si>
  <si>
    <t>RON BACARDI GOLD 980 ML</t>
  </si>
  <si>
    <t>VINO CASAS PATRONALES RSVA CSA 750 ML</t>
  </si>
  <si>
    <t>VINO CASAS PATRONALES RSVA CAR 750 ML</t>
  </si>
  <si>
    <t>VINO CASAS PATRONALES CARMENERE X750 ML</t>
  </si>
  <si>
    <t>VINO CASAS PATRONALES CAB. SAUV. X 750ML</t>
  </si>
  <si>
    <t>VINO QUEIROLO SHIRAZ BOT 750 ML</t>
  </si>
  <si>
    <t>VINO SIBARIS G.RESERVA CAB.SAUV 750ML</t>
  </si>
  <si>
    <t>VINO SIBARIS G.RESERVA CARMENERE 750ML</t>
  </si>
  <si>
    <t>EGUE BUC LISTERINE CUIDADO TOTAL BOT 1 L</t>
  </si>
  <si>
    <t>SALSA  OCOPA PERU-PRIDE X 70GR</t>
  </si>
  <si>
    <t>SALSA HUANCAINA PERU - PRIDE X  64 GR</t>
  </si>
  <si>
    <t>RON BACARDI GOLD 750 ML</t>
  </si>
  <si>
    <t>RON BACARDI SUPERIOR 980 ML</t>
  </si>
  <si>
    <t>RON BACARDI SUPERIOR 750 ML</t>
  </si>
  <si>
    <t>VODKA LITHUANIAN CLASSIC (ROJO)X 1000ML</t>
  </si>
  <si>
    <t>PIÑA EN RODAJAS X 567GR BALI</t>
  </si>
  <si>
    <t>PIÑA EN TROZOS X 567GR BALI</t>
  </si>
  <si>
    <t>PIÑA EN RODAJAS X 227 GR BALI</t>
  </si>
  <si>
    <t>GOMAS SUGAR FREE ASSORTED FLAVORS 80 GR</t>
  </si>
  <si>
    <t>GOMAS SUGAR FREE GUMMY BEARS X 85 GR</t>
  </si>
  <si>
    <t>JELLY BEAN TROPICAL MIX  99GR</t>
  </si>
  <si>
    <t>JELLY BEAN FRUIT BOWL X 99GR</t>
  </si>
  <si>
    <t>VINO BICICLETA RSVA PINOT NOIR BOT 750ML</t>
  </si>
  <si>
    <t>GIN THE LONDON BLUE BOT 700ML.</t>
  </si>
  <si>
    <t>DESOD ETIQUET SECRETO DE MUJER CAJ X36G</t>
  </si>
  <si>
    <t>DESOD ETIQUET SECRETO DE MUJER CAJ X75G</t>
  </si>
  <si>
    <t>DESOD ETIQUET FORMULA HOMBRE CAJ X75G</t>
  </si>
  <si>
    <t>LIMA DIREMASA P/UÑA AGUA ACOLCH UND</t>
  </si>
  <si>
    <t>CEPILLO DIREMASA P/UÑA UND</t>
  </si>
  <si>
    <t>RIZADOR DIREMASA DE PESTAÑA X UND</t>
  </si>
  <si>
    <t>PINZA DIREMASA P/UÑA RECTA FLORDA X UND</t>
  </si>
  <si>
    <t>#COCTEL DE LECHE CREAM LOVE X 750ML+CAJA</t>
  </si>
  <si>
    <t>VINO CICCHITTI BLEND MALBEC CAB X 750ML</t>
  </si>
  <si>
    <t>VINO TINTO CICCHITTI  MALBEC X 750ML</t>
  </si>
  <si>
    <t>ALICATE DIREMASA P/UÑA X UND</t>
  </si>
  <si>
    <t>CORTA UÑA DIREMASA GRANDE X UND</t>
  </si>
  <si>
    <t>MAQ. DESECHABLE SCHICK QUATTRO X2 HOMBRE</t>
  </si>
  <si>
    <t>SCHICK  RPTO. MAQ. QUATTRO TIT X2 HOMBRE</t>
  </si>
  <si>
    <t>CTCHO AFT SCHICK QUATTRO CJ 2UN MUJER</t>
  </si>
  <si>
    <t>CEREAL HONEY BUNCH STRAWBERRIEX368G POST</t>
  </si>
  <si>
    <t>PASTA TAGLIATELLE FESTAIOLA X250G AGNESI</t>
  </si>
  <si>
    <t>RPTO QUATTRO TITANIUM X 4UN HOMBRE</t>
  </si>
  <si>
    <t>FOSFOROS PARRILLEROS INTI X 10 UNID</t>
  </si>
  <si>
    <t>VINO CICCHITTI GRAN RSVA MALBEC X 750ML</t>
  </si>
  <si>
    <t>CHOC. FONDANT PASTIL.X 150GR LA IBERICA</t>
  </si>
  <si>
    <t>CHOC. FONDANT PASTIL.X  300GR LA IBERICA</t>
  </si>
  <si>
    <t>BANDA DEPILAR VEET MI PRIMERA VEZ CAJ3UN</t>
  </si>
  <si>
    <t>ALFAJOR CHOC.C/MANJAR X 45GR TINKAY</t>
  </si>
  <si>
    <t>CJA DE ALFAJORES TINKAY X 6UND</t>
  </si>
  <si>
    <t>LIMPIADOR Y RENOVADOR DE LLANT  500ML</t>
  </si>
  <si>
    <t>ARROZ ARBORIO RISOTTO X1KG SCOTTI</t>
  </si>
  <si>
    <t>DEO ROLL ON NIVEA SENSITIVE TB X50ML</t>
  </si>
  <si>
    <t>ARROZ BASMATI X 500GR SCOTTI</t>
  </si>
  <si>
    <t>EXFOL NEUTR D-CLEAN ENERG SCRUB TB 100G</t>
  </si>
  <si>
    <t>BAVETTE X 500GR AGNESI</t>
  </si>
  <si>
    <t>VODKA LITHUANIAN GOLD X 1000ML</t>
  </si>
  <si>
    <t>VINAGRE DE MANZANA X 500ML PERU PRIDE</t>
  </si>
  <si>
    <t>PACK VINAGRE DE MANZANA X 1L+1/2L PERU P</t>
  </si>
  <si>
    <t>FIAMBRE DE MAGRO DE CERDO X 220GR LOURIÑ</t>
  </si>
  <si>
    <t>JARABE DE GOMA ESPUMANTE BURGOS X750ML</t>
  </si>
  <si>
    <t>JABON LIQUIDO ANTIBAC BACTERION 300ML</t>
  </si>
  <si>
    <t>CJ D/CHOCOLATES STD EN PIRAMIDES X 28GR</t>
  </si>
  <si>
    <t>CERVEZA HEINEKEN BARRIL 5 L</t>
  </si>
  <si>
    <t>QUITAMANCHAS VANISH 450GR, BLANCO</t>
  </si>
  <si>
    <t>CREMA DENTAL SENSODYNE MULTIPROT CAJ 90G</t>
  </si>
  <si>
    <t>PACK 2 BOLSAS X 50LTX10UN SUPER BAG</t>
  </si>
  <si>
    <t>CORAZON DE PALMITO X190GR VALLE FERTIL</t>
  </si>
  <si>
    <t>CORAZON DE PALMITO X 280GR VALLE FERTIL</t>
  </si>
  <si>
    <t>VINO FAMILIA GASCON ROBLE MALBEC X 750ML</t>
  </si>
  <si>
    <t>CREMA P/PEINAR EXT HUMECTAN X200ML JOHNS</t>
  </si>
  <si>
    <t>CREMA PARA ESCALDADURA X 113 GR DESITIN</t>
  </si>
  <si>
    <t>EDULCORANTE X200 SOBRES SUGAFOR POLVO</t>
  </si>
  <si>
    <t>ACOND ELVIVE REPARACION TOTAL5 TB 370ML</t>
  </si>
  <si>
    <t>CRE PEINAR ELVIVE REPAR TOTAL 5 BOT250ML</t>
  </si>
  <si>
    <t>MASCARA CAPI ELVIVE REPAR TOTAL5 PTE300G</t>
  </si>
  <si>
    <t>VINO TINTO CICCHITTI CABERNET SAUVX750ML</t>
  </si>
  <si>
    <t>MAIZ MOTE DESGRANADO BOLSA X 425GR.KUSKI</t>
  </si>
  <si>
    <t>WHISKY MALTA GLENMORANGIE SHERRY 750ML</t>
  </si>
  <si>
    <t>WHISKY MALTA GLENMORANGIE NECTAR 750ML</t>
  </si>
  <si>
    <t>VINO LUIGI BOSCA RSVA CHARDONAY 750 ML</t>
  </si>
  <si>
    <t>PURE D/MANZANA D'MARCO X 500GR</t>
  </si>
  <si>
    <t>VINO FAMILIA GASCON ROBLE CAB.SAUV 750ML</t>
  </si>
  <si>
    <t>MIEL DE ABEJA EUCALIPTO X500GRCALL HUAYL</t>
  </si>
  <si>
    <t>VINO TINTO BRAMARE CAB/SAUV 750 ML</t>
  </si>
  <si>
    <t>VINO FELINO MALBEC 750 ML</t>
  </si>
  <si>
    <t>VINO FELINO CABERNET SAUVIGNON 750 ML</t>
  </si>
  <si>
    <t>VINO TINTO BRAMARE MALBEC 750 ML</t>
  </si>
  <si>
    <t>VINO FELINO CHARDONNAY 750 ML</t>
  </si>
  <si>
    <t>ESPUMOSO NAVARRO CORREAS ROSE X 750 ML</t>
  </si>
  <si>
    <t>SALSA BBQ AL CARBON KRAFT X 510 GR</t>
  </si>
  <si>
    <t>COLLARIN TERAPEUTICO</t>
  </si>
  <si>
    <t>AGUA NATURAL EVIAN PACK 6 BOT 500 ML</t>
  </si>
  <si>
    <t>DETERG LIQ LA OCA 2 LT ROPA FINA</t>
  </si>
  <si>
    <t>LICOR JAGERMEISTER  X 700ML</t>
  </si>
  <si>
    <t>PAÑOS HUMEDO SILICONA MADERAS X30 PORFIN</t>
  </si>
  <si>
    <t>PAÑOS HUMEDOS SILICONA CUEROS X30 PORFIN</t>
  </si>
  <si>
    <t>BABY SHAMPOO ORIG. FCO X 750ML ZAIDMAN</t>
  </si>
  <si>
    <t>AJI DE GALLINA X 100GR PERU- PRIDE</t>
  </si>
  <si>
    <t>ARROZ CON POLLO X 35GR PERU- PRIDE</t>
  </si>
  <si>
    <t>FUSILLI SIN GLUTEN DR.SCHAR X 250 GR</t>
  </si>
  <si>
    <t>LASAGNA SIN GLUTEN X 250GR DR SCHAR</t>
  </si>
  <si>
    <t>ROYAL REGIMENT LEATHER COLONIA X 5O ML</t>
  </si>
  <si>
    <t>BABY SHAMPOO ORIGINAL FCO X400ML DR.ZAID</t>
  </si>
  <si>
    <t>VINO INTIPALKA VARIETAL TANNAT 750ML</t>
  </si>
  <si>
    <t>VINO INTIPALKA VARIETAL MALBEC 750ML</t>
  </si>
  <si>
    <t>VINO INTIPALKA VARIETAL SYRAH 750ML</t>
  </si>
  <si>
    <t>VINO INTIPALKA VARIETAL SAUV BLANC 750ML</t>
  </si>
  <si>
    <t>VINO INTIPALKA VARIETAL CHARDONNAY 750ML</t>
  </si>
  <si>
    <t>RON CARTAVIO XO 750 ML</t>
  </si>
  <si>
    <t>BEBIDA ENERG.RED BULL SUGAR FREE X250ML</t>
  </si>
  <si>
    <t>ESPUMANTE CHANDON BRUT NATURE X 750ML</t>
  </si>
  <si>
    <t>GALLETAS SALTY RICE SNACK SCOTTI X 100GR</t>
  </si>
  <si>
    <t>GALLETAS SESAMO RICE SNACK SCOTTI X100GR</t>
  </si>
  <si>
    <t>RICE GALLETE RISETTE SCOTTI X 150 GR</t>
  </si>
  <si>
    <t>BOLSA FISIO TERAPIA CADERA  COLUMNA</t>
  </si>
  <si>
    <t>TRIPACK JABON HENO DE PRAVIA NATUR X85GR</t>
  </si>
  <si>
    <t>TRIPACK JABON HENO CREMA HIDRATAN X150GR</t>
  </si>
  <si>
    <t>ESPARRAGOS BLANCOS X 565GR VALLE FERTIL</t>
  </si>
  <si>
    <t>SALSA BBQ AHUMADA KRAFT X 510 GR</t>
  </si>
  <si>
    <t>ACEITE SACHA INCHI X 250GR NUTRIOMEGA</t>
  </si>
  <si>
    <t>TRIPACK JABON HENO CREMA HIDRATAN X 85GR</t>
  </si>
  <si>
    <t>TRIPACK JABON HENO DE PRAV ANTIBAC X150G</t>
  </si>
  <si>
    <t>VINO MARQUES DE CASA CONCHA CAR 750 ML</t>
  </si>
  <si>
    <t>HARINA DE AJONJOLI X 200GRS</t>
  </si>
  <si>
    <t>VINO DON MATIAS C.MACUL RSVA MERLOTX750M</t>
  </si>
  <si>
    <t>SACABRILLO POLAR DOBLEC/OJAL75X50 GAF</t>
  </si>
  <si>
    <t>TRAPEADOR FELPA CREMA C/OJAL77X50 GAF</t>
  </si>
  <si>
    <t>TRAPEADOR DOB.FELPA CREMA C/OJAL77X50GAF</t>
  </si>
  <si>
    <t>TRAPEADOR DOB.YUTE GRIS C/OJAL70X50 GAF</t>
  </si>
  <si>
    <t>MAQ AF SCHICK  XTREME 3 P/SENX6UN HOMBRE</t>
  </si>
  <si>
    <t>VINO FINCA FLICHMAN ROBLE ROSE X 750ML</t>
  </si>
  <si>
    <t>PROTECT. CAREFREE BRISA S/PERFUME X150</t>
  </si>
  <si>
    <t>KETCHUP X 24OZ DEL MONTE</t>
  </si>
  <si>
    <t>PROTECT. CAREFREE ORIGINA S/PERFUME X150</t>
  </si>
  <si>
    <t>QUITAMANCHAS VANISH 1.8ML, ROSA</t>
  </si>
  <si>
    <t>DEO RLL NIVEA F/MEN SLV PROTECT TB X50ML</t>
  </si>
  <si>
    <t>VINO BERONIA RESERVA X 750 ML</t>
  </si>
  <si>
    <t>VINO BERONIA GRAN RESERVA BOT 750 ML</t>
  </si>
  <si>
    <t>VINO BERONIA CRIANZA BOT 750 ML</t>
  </si>
  <si>
    <t>VINO LOS HAROLDOS RSV FAMIL MALBEC 750ML</t>
  </si>
  <si>
    <t>MAQ AFT SCHICK BLIS X2MUJER</t>
  </si>
  <si>
    <t>VINO TRIVENTO GOLDEN RSVA MALBEC 750 ML</t>
  </si>
  <si>
    <t>#CHANDON EXTRA BRUT MAGNUM 1.5 LT</t>
  </si>
  <si>
    <t>VINO LA GIOIOSA FRAGOLINO 750ML</t>
  </si>
  <si>
    <t>PAPEL P/ CIGARRILLO MANTRA VAINILLA</t>
  </si>
  <si>
    <t>PAPEL P/CIGARRILLOS MANTRA STRABERRY</t>
  </si>
  <si>
    <t>TABACO P/CIGARRILLO NO NAME</t>
  </si>
  <si>
    <t>PANETON KUSI RAYMI CAJA 500 GR</t>
  </si>
  <si>
    <t>VINO 1865 CABERNET SAUVIGNON BOT 750 ML</t>
  </si>
  <si>
    <t>VINO 1865 CARMENERE BOT 750 ML</t>
  </si>
  <si>
    <t>JB JABON CREMO HUMEC 24X75</t>
  </si>
  <si>
    <t>JB JABON LAVAND Y MANZAN 48X75</t>
  </si>
  <si>
    <t>INSUFLADOS VITAPLUSS MIX FIVEPACK 125GR</t>
  </si>
  <si>
    <t>TOALLA HUMEDA NINET BOL X100UNF X 2UND</t>
  </si>
  <si>
    <t>CRE L'OREAL FAC REVTF DIA FPS30 CAJA 50G</t>
  </si>
  <si>
    <t>RON ZACAPA XO 750 ML</t>
  </si>
  <si>
    <t>RON ZACAPA 23 AÑOS 750 ML</t>
  </si>
  <si>
    <t>TABLETA P/TAZA X 90GR HERBI</t>
  </si>
  <si>
    <t>RON BACARDI RESERVA OCHO 750 ML</t>
  </si>
  <si>
    <t>CAPELLI D'ANGELO S/GLUTEN DR.SCHAR X250</t>
  </si>
  <si>
    <t>COCTEL DE CAFE CREAM LOVE X 750ML</t>
  </si>
  <si>
    <t>COCTEL DE LUCUMA CREAM LOVE X 750ML</t>
  </si>
  <si>
    <t>ANELLINI SIN GLUTEN X 250 GR DR. SCHAR</t>
  </si>
  <si>
    <t>CHOCOLATE C/ALMENDRA BRITT X 142 GR</t>
  </si>
  <si>
    <t>GALLETA ARROZ NIÑOS 50GR MUM MUM</t>
  </si>
  <si>
    <t>EDULCORANTE X 600 TAB SUGAFOR</t>
  </si>
  <si>
    <t>PAÑO ESPONJA ABSORBENTE VIRUTEX  X8UN</t>
  </si>
  <si>
    <t>ACEITE DE MAIZ ORIGINAL X40Z MAZOLA</t>
  </si>
  <si>
    <t>CHUÑO X 180GR UNIVERSAL</t>
  </si>
  <si>
    <t>MAICENA  X 180GR UNIVERSAL</t>
  </si>
  <si>
    <t>PERAS MITADES X 822 GR DEL MONTE</t>
  </si>
  <si>
    <t>VINO SANTA JULIA CHARDONNAY X 750ML</t>
  </si>
  <si>
    <t>PUDIN VAINILLA UNIVERSAL SOBRE X 100GR</t>
  </si>
  <si>
    <t>SOPA INST.C/FIDEOS GRUES UDON BOWL X111G</t>
  </si>
  <si>
    <t>ONION RING  X 50GR NONG SHIM</t>
  </si>
  <si>
    <t>MOPA PLANA MICROACTIVA CLÁSICA VIRUTEX</t>
  </si>
  <si>
    <t>RPTO. DE MOPA PLANA MICROACTIVA CLÁSICA</t>
  </si>
  <si>
    <t>EDULCORANTE X 330TAB.SUGAFOR</t>
  </si>
  <si>
    <t>CEREAL ORG MAIZx284GR ENVIROKIDZ GORILLA</t>
  </si>
  <si>
    <t>CEREAL ORG M/MANIx300GR ENVIROKIDZ PANDA</t>
  </si>
  <si>
    <t>FIDEOS FETTUCCELLE DE CECCO 500 GR</t>
  </si>
  <si>
    <t>FIDEOS SPAGHETTI DE CECCO 500 GR</t>
  </si>
  <si>
    <t>FIDEOS FUSILLI DE CECCO 500 GR</t>
  </si>
  <si>
    <t>FIDEOS PENNE RIGATE DE CECCO 500 GR</t>
  </si>
  <si>
    <t>FIDEO FUSILLI TRICOLORE DE CECCO 500 GR</t>
  </si>
  <si>
    <t>VINO INTIPALKA RSVA.CABERNE/P.VERDOT 750</t>
  </si>
  <si>
    <t>VINO INTIPALKA RSVA.CABERNET/SYRAH 750ML</t>
  </si>
  <si>
    <t>VINO SANTA JULIA TEMPRANILLO 750 ML</t>
  </si>
  <si>
    <t>VINO INTIPALKA RSVA. MALBEC/MERLOT 750ML</t>
  </si>
  <si>
    <t>PACK 2 ESPONJAS SCOTCH BRITE BORRA MANCH</t>
  </si>
  <si>
    <t>PAN ARROZ INTEGRAL X454GR ENERG</t>
  </si>
  <si>
    <t>PISCO MOSTO VERDE TABERN COL PRIVADAX500</t>
  </si>
  <si>
    <t>VINO NORTON COSECH TARDIA BLANCO X 750ML</t>
  </si>
  <si>
    <t>CUTTLEFISH SNACK X 55GR NONG SHIM</t>
  </si>
  <si>
    <t>FLAN DIET VAINILLA  X 19GRS UNIVERSAL</t>
  </si>
  <si>
    <t>VINO LA LINDA TORRONTES 750ML</t>
  </si>
  <si>
    <t>MAZAMORRA MORADA UNIVERSAL DIET X 60GR</t>
  </si>
  <si>
    <t>TORTILLAS MULTIGRANO PERU NACHOS 90 GR</t>
  </si>
  <si>
    <t xml:space="preserve"> LIQUIDO SPRINGFIELD</t>
  </si>
  <si>
    <t>VINO VIÑA COLLADA RIOJA 750 ML</t>
  </si>
  <si>
    <t>HARPIC LIQUIDO POWER PLUS X 500ML</t>
  </si>
  <si>
    <t>HARPIC LIQUIDO POWER PLUS CITRUS X 500ML</t>
  </si>
  <si>
    <t>VINO TACAMA AMORE DE ICA 750 ML</t>
  </si>
  <si>
    <t>CHOCOLATE RELL. AGUAYMANTO BRITT X142GR</t>
  </si>
  <si>
    <t>VINO ERRAZURIZ MAX RSVA CARMENERE 750 ML</t>
  </si>
  <si>
    <t>VINO MONTE SUR CABERNET SAUVIGNON X 750</t>
  </si>
  <si>
    <t>VINO MONTE SUR MERLOT X 750 ML</t>
  </si>
  <si>
    <t>VINO MONTE SUR CHARDONNAY X 750 ML</t>
  </si>
  <si>
    <t>VINO AMALAYA COLOME BLEND 750 ML</t>
  </si>
  <si>
    <t>MAIZ CON MIEL VITAPLUSS X 140GR</t>
  </si>
  <si>
    <t>CODITOS CON MIEL VITAPLUSS X 120 GR</t>
  </si>
  <si>
    <t>JAB LIQ LACTACYD DLICAT INTIM TB 200ML</t>
  </si>
  <si>
    <t>AGUA TÓNICA BRITVIC LOW CAL 150ML</t>
  </si>
  <si>
    <t>VINO BORGOÑA QUEIROLO SEMI/SECO x 4.05 L</t>
  </si>
  <si>
    <t>VINO GRAN MAGDALENA S/S QUEIROLO X 4.05L</t>
  </si>
  <si>
    <t>VINO ROSE SEMI-SECO QUEIROLO X 4.05LT</t>
  </si>
  <si>
    <t>PISCO VIÑAS DE ORO MV 500ML, MOSCATEL</t>
  </si>
  <si>
    <t>ENFAMIL PREMIUM 1 X 375G</t>
  </si>
  <si>
    <t>ENFAMIL PREMIUM 2 X 375G</t>
  </si>
  <si>
    <t>ESCOBA SUPERIOR MARAVILLA VIRUTEX</t>
  </si>
  <si>
    <t>ALCOHOL CASABLANCA DE 96° X L (BOT X 4L)</t>
  </si>
  <si>
    <t>CERVEZA HEINEKEN PACK 6 LATA 330 ML</t>
  </si>
  <si>
    <t>DESHUM BOLASECA DUO RECAMB MALLA X400GR</t>
  </si>
  <si>
    <t>CRE DEPILAR VEET PRIMERA VEZ 50ML</t>
  </si>
  <si>
    <t>VINO QUEIROLO ROSE SHIRAZ 750ML</t>
  </si>
  <si>
    <t>QUITAMANCHAS VANISH 900ML, BLANCO</t>
  </si>
  <si>
    <t>VINO CATENA CHARDONNAY 750 ML</t>
  </si>
  <si>
    <t>DETERGENTE LIQUIDO X 2000 WOOLITE, BLACK</t>
  </si>
  <si>
    <t>TE VERDE X20SOB BIGELOW</t>
  </si>
  <si>
    <t>TE VERDE DESCAFEINADO X 20 SOB BIGELOW</t>
  </si>
  <si>
    <t>QUITAMANCHAS VANISH 3.785L, ROSA</t>
  </si>
  <si>
    <t>AGUA MINERAL SAN PELLEGRINO C/GAS X750ML</t>
  </si>
  <si>
    <t>MOSTAZA DIJON ORIGINAL x 200GR CLOVIS F</t>
  </si>
  <si>
    <t>AGUA MINERAL ACQUA PANNA S/GAS  X 750 ML</t>
  </si>
  <si>
    <t>PAÑO SCOTCH BRITE ABSORBENTE X8</t>
  </si>
  <si>
    <t>PAÑO SECATODO PAGA6 LLEVA 8 SCOTCH BRITE</t>
  </si>
  <si>
    <t>TE GREEN TEA C/GINSE&amp;HONEY ARIZONAX680LT</t>
  </si>
  <si>
    <t>VINO COLOME ESTATE MALBEC 750 ML</t>
  </si>
  <si>
    <t>VINO COLOME ESTATE TORRONTES 750 ML</t>
  </si>
  <si>
    <t>SHAMPOO BABY NEUTR EV.LAGR.400ML SIMONDS</t>
  </si>
  <si>
    <t>SHAMPOO BABY NEUTR EV.LAGR.610ML SIMONDS</t>
  </si>
  <si>
    <t>FILM FREEZE X 25 MTS UTHIL</t>
  </si>
  <si>
    <t>VINO LAS MORAS BLACK LBL CABER-CABERX750</t>
  </si>
  <si>
    <t>VINO LAS MORAS BLACK LABEL MALBEC X750ML</t>
  </si>
  <si>
    <t>VINO LAS MORAS BLACK LABEL BONARDA X 750</t>
  </si>
  <si>
    <t>DESOD.PIES SPRAY 150ML ACTIVE HANSAPLAS</t>
  </si>
  <si>
    <t>QUITAMANCHAS VANISH 1.8ML, BLANCO</t>
  </si>
  <si>
    <t>QUITAMANCHAS VANISH 900GR, ROSA</t>
  </si>
  <si>
    <t>VINO MISION RENGO CARME CUVEEX750</t>
  </si>
  <si>
    <t>PROSECO IL VINO DEL POETA BOTTEGA X750ML</t>
  </si>
  <si>
    <t>VINO ABALO MENDEZ ALBARIÑO 750 ML</t>
  </si>
  <si>
    <t>GALLETA DE ARROZ C/ALGA WANT WANT 102 GR</t>
  </si>
  <si>
    <t>ESPUMANTE CHANDON DEMI SEC X 750 ML</t>
  </si>
  <si>
    <t>VINO VIU MANENT SECRETO CARMENERE X 750</t>
  </si>
  <si>
    <t>DEO ROLL ON NIVEA ACLARADO NAT TB X50ML</t>
  </si>
  <si>
    <t>BASE PARA PISCO SOUR WASSKA X 125 GRS</t>
  </si>
  <si>
    <t>BASE PARA CHICHA SOUR WASSKA X 125 GRS</t>
  </si>
  <si>
    <t>BASE PARA MARACUYA SOUR WASSKA X 125 GRS</t>
  </si>
  <si>
    <t>BASE MIXTA FUN PACK WASSKA X 3 UBDS</t>
  </si>
  <si>
    <t>SAL GRUESA ROSADA GOURMET X 400 GR LEGEN</t>
  </si>
  <si>
    <t>SAL GRUESA AHUMADA GOURMET X 400 GR LEGE</t>
  </si>
  <si>
    <t>ACEITUNA VERDE C/ROCOTO X240GR CALE</t>
  </si>
  <si>
    <t>ACEITUNA VERDE C/PIMIENTO X240GR CALE</t>
  </si>
  <si>
    <t>ACEITUNA VERDE C/CASTAÑA X240GR CALE</t>
  </si>
  <si>
    <t>ACEITUNA NEGRA EXTRA X240GR CALE</t>
  </si>
  <si>
    <t>CHUPETE RING POP TOPPS 10 GR</t>
  </si>
  <si>
    <t>VINO ROSE SEMI SECO DE LA MANCHA X 2LT</t>
  </si>
  <si>
    <t>AGUA TÓNICA BRITVIC REGULAR 4 UN X 150ML</t>
  </si>
  <si>
    <t>TEQUILA OLMECA REPOSADO 700 ML</t>
  </si>
  <si>
    <t>TEQUILA OLMECA SILVER 700 ML</t>
  </si>
  <si>
    <t>GUINDONES 40/50 S/PEPA X KG GRANEL</t>
  </si>
  <si>
    <t>CARAMELO ROLL ON BARBIE CONFITECA UND</t>
  </si>
  <si>
    <t>JUGO CRANBERRY REGULAR L'ONDAX 64 OZ PET</t>
  </si>
  <si>
    <t>JUGO CRANBERRY LIGTH L'ONDA X 64OZ PET</t>
  </si>
  <si>
    <t>JUGO DE UVA L'ONDA X 64 OZ PET</t>
  </si>
  <si>
    <t>JUGO DE UVA LIGHT L'ONDAX 64 OZ PET</t>
  </si>
  <si>
    <t>ENCENDEDOR METALICO HALLEY</t>
  </si>
  <si>
    <t>BLOQ NEUTROGENA U-SHEER FPS70 50G</t>
  </si>
  <si>
    <t>CIGARROS BLACKSTONE TIP VANILLA X 5 UNID</t>
  </si>
  <si>
    <t>TEQUILA PATRON SILVER 750 ML</t>
  </si>
  <si>
    <t>TEQUILA PATRON AÑEJO 750 ML</t>
  </si>
  <si>
    <t># TEQUILA PATRON REPOSADO X 750 ML</t>
  </si>
  <si>
    <t>LUSTRAMUEBLES ALEGRA 600CC</t>
  </si>
  <si>
    <t>AGUA TÓNICA BRITVIC REGULAR 150ML</t>
  </si>
  <si>
    <t>JUGO BRITVIC TOMATE X 150ML</t>
  </si>
  <si>
    <t>PEDIASURE PLUS TRIPLESURE VAINILLA 400GR</t>
  </si>
  <si>
    <t>PEDIASURE PLUS TRIPLESURE VAINILLA 900GR</t>
  </si>
  <si>
    <t>PEDIASURE PLUS TRIPLESURE CHOCOLA 400G</t>
  </si>
  <si>
    <t>PEDIASURE PLUS TRIPLESURE CHOCOLA 900GR</t>
  </si>
  <si>
    <t>PEDIASURE PLUS TRIPLESURE FRESA 400GR</t>
  </si>
  <si>
    <t>DUREX MÁXIMO PLACER X 3 UND</t>
  </si>
  <si>
    <t>VINO TRAPICHE BROQUEL CABERNE FRANC X750</t>
  </si>
  <si>
    <t>PISCO COLECCIÓN PRIVADA MV QUEBRANTAX500</t>
  </si>
  <si>
    <t>SILLAO OSCURO X 5 LB (1.79 L) - SB</t>
  </si>
  <si>
    <t>MACARONI &amp; CHEESE X 226 GR METRO</t>
  </si>
  <si>
    <t>AGUA SAN PELLEGRINO 330ML ARANCIATA NAR</t>
  </si>
  <si>
    <t>AGUA SAN PELLEGRINO 330ML LIMONATA LIMON</t>
  </si>
  <si>
    <t>ACEITE AJONJOLI GALON - PC</t>
  </si>
  <si>
    <t>SANGRIA QUEIROLO TETRA PACK  1LT</t>
  </si>
  <si>
    <t>VODKA ABSOLUT PEARS  X 750 ML.</t>
  </si>
  <si>
    <t>WHISKY JOHN JAMESON IRISH X 750 ML</t>
  </si>
  <si>
    <t>TAB CHOC LA IBERICA FONDANT 40G</t>
  </si>
  <si>
    <t>GINGER ALE BRITVIC 4 UN X 150ML</t>
  </si>
  <si>
    <t>JUGO BRITVIC TOMATE PACK X 150ML X 4</t>
  </si>
  <si>
    <t>CREMA DE COCO X 350 ML BIZARRO</t>
  </si>
  <si>
    <t>HARINA MACA GELATINIZADA 250GR ECOANDINO</t>
  </si>
  <si>
    <t>HARINA MACA EN POLVO 250GR ECOANDINO</t>
  </si>
  <si>
    <t>VINO TINTO PAIS TABERNERO X 750 ML</t>
  </si>
  <si>
    <t>RON MEDELLIN AÑEJO 12 AÑOS BOT 750 ML</t>
  </si>
  <si>
    <t>RON MEDELLIN AÑEJO 8 AÑOS BOT 750 ML</t>
  </si>
  <si>
    <t>DEO BARRA NIVEA ACLARADO NAT TB X54G</t>
  </si>
  <si>
    <t>BOMBONES TOFFIFEE AVELLANA C/CARAM 125GR</t>
  </si>
  <si>
    <t>CARAMELOS WERTHER´S ORIGI SUGAR FREE 70G</t>
  </si>
  <si>
    <t>GALLETA CEREALES MISURA 330GR</t>
  </si>
  <si>
    <t>GALLETA INTEGRAL MISURA 330 GR</t>
  </si>
  <si>
    <t>COLAPEZ EN LAMINA X 1 HOJA METRO</t>
  </si>
  <si>
    <t>VINO SANGRE DE TORO TEMPRANILLO X 750ML</t>
  </si>
  <si>
    <t>MIX UP VALLEALTO BOLSA X150G</t>
  </si>
  <si>
    <t>SCHICK INT LEMON BERRY MAQ X1 MUJER</t>
  </si>
  <si>
    <t>CREMA L'OREAL FAC HT5 PL SECA CAJ 50G</t>
  </si>
  <si>
    <t>JABON TRIPACK 150GR HENO DE PRAVIA</t>
  </si>
  <si>
    <t>3-DAY STRAIGHT STYLING SPRAYX103ML FE</t>
  </si>
  <si>
    <t>RON HAVANA SELECCION DE MAESTROS X700ML</t>
  </si>
  <si>
    <t>INSUFLADO CANCHITA NUCLEAR 110GR CHUR CE</t>
  </si>
  <si>
    <t>17081BLK COMMAND GANCHO NEGRO</t>
  </si>
  <si>
    <t>17081SP COMMAND GANCHO DISENO MEDIANO</t>
  </si>
  <si>
    <t>17201BLK-SP COMMAND SUJETADOR MEDIANO NE</t>
  </si>
  <si>
    <t>17201ES COMMAND SUJETADOR MEDIANO BLANCO</t>
  </si>
  <si>
    <t>ENSURE ADVANCE VAINILLA  X 400GR ABBOTT</t>
  </si>
  <si>
    <t>ENSURE ADVANCE VAINILLA  X850GR ABBOTT</t>
  </si>
  <si>
    <t>VINO ALTOS LAS HORMIGAS TERROIR 750 ML</t>
  </si>
  <si>
    <t>VINO AMALAYA GRAN CORTE BLEND 750 ML</t>
  </si>
  <si>
    <t>PISCO MV ACHOLADO PORTON X 750M C/CAJA</t>
  </si>
  <si>
    <t>VINO ALMA MORA MALBEC X 750ML</t>
  </si>
  <si>
    <t>VINO ALMA MORA CAB.SAUV X 750ML</t>
  </si>
  <si>
    <t>VINO DUQUESA DE VALLADOLID RUEDA X750ML</t>
  </si>
  <si>
    <t>BOLSA BASURA X 220 LTX10UN SUPER BAG</t>
  </si>
  <si>
    <t>CRE CORPORAL NIVEA SOS BOT X 400ML</t>
  </si>
  <si>
    <t>VINO EMILIA NIETO SENETINER MALBEC X 750</t>
  </si>
  <si>
    <t>VINO EMILIA NIETO SENET MALB/BONAR X750</t>
  </si>
  <si>
    <t>VINO EMILIA N.SENETINER CHARDONNAY 750ML</t>
  </si>
  <si>
    <t>VINO SANTA JULIA CABERNET SAUVIG. X750ML</t>
  </si>
  <si>
    <t>MOSTAZA DIJON ANTIGUA x 200GR CLOVIS F</t>
  </si>
  <si>
    <t>VINO EMILIA NIETO SENET ROSE BOT 750ML</t>
  </si>
  <si>
    <t>VODKA STOLICHNAYA GOLD 750ML</t>
  </si>
  <si>
    <t>AGUA MINERAL NATURAL PERRIER X 330 ML</t>
  </si>
  <si>
    <t>WHISKY JOHNNIE WALKER DOUBLEBLACK 750ML</t>
  </si>
  <si>
    <t>BL NIVEA SUN KIDS SWIM&amp;PLAY FPS50+ 150ML</t>
  </si>
  <si>
    <t>CER.BARRA CRUNCHY DARK CHOCOLATE 253 GR</t>
  </si>
  <si>
    <t>ENFAMIL PREMIUM 1 X 1.1KG</t>
  </si>
  <si>
    <t>ENFAMIL PREMIUM 2 X 1.1KG</t>
  </si>
  <si>
    <t>RTD BACARDI MOJITO 750 ML</t>
  </si>
  <si>
    <t>ESPUMOSO INTIPALKA EXTRA BRUT 750 ML</t>
  </si>
  <si>
    <t>JARABE DE GOMA VARGAS CHAVALIER X 750ML</t>
  </si>
  <si>
    <t>VINO QUEIROLO MALBEC BOT 750 ML</t>
  </si>
  <si>
    <t>VINO ORG. LAS  MULAS CAB.SAUVIGNON 750ML</t>
  </si>
  <si>
    <t>VINO ORG. LAS MULAS CARMENERE 750ML</t>
  </si>
  <si>
    <t>VINO ORG. LAS  MULAS CAB.SAUV ROSE 750ML</t>
  </si>
  <si>
    <t>VINO ORG. LAS  MULAS SAUV.BLANC 750ML</t>
  </si>
  <si>
    <t>VINO TINTO ALMA NEGRA X 750ML</t>
  </si>
  <si>
    <t>VINO PADRILLOS MALBEC X 750ML</t>
  </si>
  <si>
    <t>VINO AMALAYA BLANCO 750ML</t>
  </si>
  <si>
    <t>VINO BORGOÑA SEÑORÍO DE NAJAR X 750ML</t>
  </si>
  <si>
    <t>MOSTAZA DIJON C/HIERBAS x 200GR CLOVIS F</t>
  </si>
  <si>
    <t>VINO BLANCO CICCHITTI NECTAR X 750ML</t>
  </si>
  <si>
    <t>SALSA TABASCO CHIPOTLEX60 ML MC ILHENNY</t>
  </si>
  <si>
    <t>SALSA TABASCO CHIPLOTEX150 ML MC ILHENNY</t>
  </si>
  <si>
    <t>VINO RUTINI SAUVIGNON BLANC X 750 ML</t>
  </si>
  <si>
    <t>VINO RUTINI CHARDONNAY X 750 ML</t>
  </si>
  <si>
    <t>MOSTAZA DIJON AL CURRY x 200GR CLOVIS F</t>
  </si>
  <si>
    <t>VINO TACAMA TINTO DULCE X 750ML</t>
  </si>
  <si>
    <t>MOSTAZA DIJON C/PIMIENT x 200GR CLOVIS F</t>
  </si>
  <si>
    <t>ALFAJOR HAR ALFA PACK X 260GR CASA ALFAJ</t>
  </si>
  <si>
    <t>ALFAJOR MAIZE ALFA PACK X 260GR CASA ALF</t>
  </si>
  <si>
    <t>VODKA ABSOLUT ELYX BOT 700 ML</t>
  </si>
  <si>
    <t>ACEITUNA BOTIJA ENTERA  X 180 G OLIVALLE</t>
  </si>
  <si>
    <t>ACEITUNA VERD DESHUESADA X 160G OLIVALLE</t>
  </si>
  <si>
    <t>MAUR.LORCA FANTASIA MALBEC X 750 ML</t>
  </si>
  <si>
    <t>CR. DEPILATORIA FACIAL VEET P/Sx30ML</t>
  </si>
  <si>
    <t>COLOR VIBRAN SHAMPOOX250ML JOHN FRIEDA</t>
  </si>
  <si>
    <t>COLOR VIBRANCY ACOX250ML JOHN FRIEDA</t>
  </si>
  <si>
    <t>VINO PROTOS ROSADO RIB.DEL DUERO 750ML</t>
  </si>
  <si>
    <t>VINO M.DE RISCAL ARIENZO CRIANZA 750ML</t>
  </si>
  <si>
    <t>CEREAL GREAT GRAINS CRUNCHY PEC.CJX453GR</t>
  </si>
  <si>
    <t>ESTUCHE BOMBON CORAZON DOS CERRITOS 150</t>
  </si>
  <si>
    <t>VINO ALMA NEGRA BLANCO X 750ML</t>
  </si>
  <si>
    <t>ESPUMANTE ALMA NEGRA ROSE X 750ML</t>
  </si>
  <si>
    <t>BASE P/ PISCO WASSKA MANGO X 125 GRS</t>
  </si>
  <si>
    <t>WHISKY JACK DANIELS SINGLE BARREL X750ML</t>
  </si>
  <si>
    <t>MAUR.LORCA FANT. CABER SAUVIG X 750 ML.</t>
  </si>
  <si>
    <t>FUSILLI X 500 GR AGNESI</t>
  </si>
  <si>
    <t>SOPA DE CARNE/VERD.PICANTE BOWL NONG SH</t>
  </si>
  <si>
    <t>SALSA DE TOMATE X 100G WONG</t>
  </si>
  <si>
    <t>TUCO X 200GR METRO</t>
  </si>
  <si>
    <t>MAYONESA X 100CC METRO</t>
  </si>
  <si>
    <t>MAYONESA LIGHT X 500CC METRO</t>
  </si>
  <si>
    <t>FLAN  VAINILLA  150 GRS.UNIVERSAL</t>
  </si>
  <si>
    <t>MAYONESA LIGHT X 500CC WONG</t>
  </si>
  <si>
    <t>KETCHUP X 100GR WONG</t>
  </si>
  <si>
    <t>FLAN  LUCUMA 150 GRS. UNIVERSAL</t>
  </si>
  <si>
    <t>KETCHUP X 500GR METRO</t>
  </si>
  <si>
    <t>KETCHUP X 500GR WONG</t>
  </si>
  <si>
    <t>MOSTAZA X 200GR METRO</t>
  </si>
  <si>
    <t>MOSTAZA X 200GR WONG</t>
  </si>
  <si>
    <t>REPELENTE PREMIER.15% SPRAYx160ML</t>
  </si>
  <si>
    <t>VINO TINTO INTIPALKA N° 1 GRAN RESERVA</t>
  </si>
  <si>
    <t>VENDA COBAN ADHERE  3 X 5  NEGRO NEXCARE</t>
  </si>
  <si>
    <t>FLAN  CHOCOLATE 150 GRS. UNIVERSAL</t>
  </si>
  <si>
    <t>VENDA COBAN ADHEREN  3 X 5  AZUL NEXCARE</t>
  </si>
  <si>
    <t>GASA ESTERIL X 12 SOBRES NEXCARE</t>
  </si>
  <si>
    <t>CUBREAUTO SOFT T-L POLIPROPILENO</t>
  </si>
  <si>
    <t>CUBREAUTO SOFT T-XL POLIPROPILENO</t>
  </si>
  <si>
    <t>PAN ARROZ BLANCO LIGHT X 228GR ENERG</t>
  </si>
  <si>
    <t>CARAMELOS SKITTLES ORIGINAL BOLSA 204.1</t>
  </si>
  <si>
    <t>FRUNAS STARBURST ORIGINAL BOLSA X 204.1</t>
  </si>
  <si>
    <t>LIMPIA VIDRIO X 40 CM VIRUTEX</t>
  </si>
  <si>
    <t>BALDE CON MOPA X10LT VIRUTEX</t>
  </si>
  <si>
    <t>CERA SIEMPRE NUEVO SIMONIZ X 200 GRS</t>
  </si>
  <si>
    <t>CERA 300GR SIEMPRE NUEVO</t>
  </si>
  <si>
    <t>*LIMP.DE ESPUMA 400ML AEROSOL</t>
  </si>
  <si>
    <t>RENOV.DE LLANTAS 400ML GRATIS 80ML</t>
  </si>
  <si>
    <t>CANUTOS X 4UND CHICKEN TMC-31</t>
  </si>
  <si>
    <t>ENROLLADO DE POLLO X 4UND CHICKEN  TMC-3</t>
  </si>
  <si>
    <t>BISCUIT X 15UND CHICKEN  TMC-36</t>
  </si>
  <si>
    <t>SNACKS CAMOTE Y POLLOX10UN TREATS TMC-45</t>
  </si>
  <si>
    <t>SNACKS BANANA Y POLLOX10UN TREATS TMC-46</t>
  </si>
  <si>
    <t>JAB LIQ LACTACYD BREEZE INTIM TB 200ML</t>
  </si>
  <si>
    <t>EGUE BUC LISTERINE ZERO BOT 500ML</t>
  </si>
  <si>
    <t>COLONIA GOTAS DE SOL X 200 C/U JB</t>
  </si>
  <si>
    <t>COLONIA X 100 GR GOTAS DE SOL/SONRISAS J</t>
  </si>
  <si>
    <t>BOMBONES BELGIAN HEARTS 65G HEARTS 65 GR</t>
  </si>
  <si>
    <t>CADUS MALBEC X750ML BLEND DE LAS ALTURAS</t>
  </si>
  <si>
    <t>CREMA DE ESPARRAGOS X 70 GR METRO</t>
  </si>
  <si>
    <t>CREMA DE ALCACHOFA X 70 GR METRO</t>
  </si>
  <si>
    <t>CREMA DE CHAMPIGNONES X 70 GR METRO</t>
  </si>
  <si>
    <t>CREMA DE CHOCLO X 70 GR METRO</t>
  </si>
  <si>
    <t>BANDITAS WATERPROOF REGULARES X 20</t>
  </si>
  <si>
    <t>BANDITAS WATERPROOF SURTIDAS X 20</t>
  </si>
  <si>
    <t>TERRA FERTIL ARANDANOS DELEITE 70 GR</t>
  </si>
  <si>
    <t>BOLSA FISIOTERAPIA   RODILLA</t>
  </si>
  <si>
    <t>VINO MARQUES DE RISCAL TEMPRANILLO 375ML</t>
  </si>
  <si>
    <t>VINO ALEGORIA GRAN RSVA CHARDONNAY 750ML</t>
  </si>
  <si>
    <t>VINO LAS MORAS SAUVIGNON BLANC X 750ML</t>
  </si>
  <si>
    <t>VINO LAS MORAS TINTO PACK 4BOT X 187ML</t>
  </si>
  <si>
    <t>VINO LAS MORAS BLANCO PACK 4BOT X 187ML</t>
  </si>
  <si>
    <t>RON HAVANA CLUB AÑEJO 3 AÑOS 700 ML</t>
  </si>
  <si>
    <t>GEL ANTB INSTANT CLEAN S/FRAG BOT 100ML</t>
  </si>
  <si>
    <t>SOPA SEAFOOD RAMYUN  X120GR.NONG SHIM</t>
  </si>
  <si>
    <t>CHAPAGUET.FIDEOS E/SALSA D/SOYA X140 N.S</t>
  </si>
  <si>
    <t>NASTIZOL COMPOSITUM NF X 20 COMP.</t>
  </si>
  <si>
    <t>NASTIZOL COMPOSITUM JR NF X 20 COMP.</t>
  </si>
  <si>
    <t>WHISKY JOHNNIE WALKER RED 750 ML LATA</t>
  </si>
  <si>
    <t>DESMAQ NEUTROG OJOS O-FREE BOT 162ML</t>
  </si>
  <si>
    <t>DEO RLL NIVEA ACLAR BEAUTY TCH TB X50G</t>
  </si>
  <si>
    <t>DEO NIVEA ACLAR NAT BEAUTY TCH AER 150ML</t>
  </si>
  <si>
    <t>REPUESTO SCHICK INT P/SENS BLISX2 MUJER</t>
  </si>
  <si>
    <t>CHUPETE GLOBO POP XXL 180 GR</t>
  </si>
  <si>
    <t>SHRIMP CRACKER PICANTE 75GR NONG SHIM</t>
  </si>
  <si>
    <t>VINO SEPTIMA OBRA CHARDONNAY 750ML</t>
  </si>
  <si>
    <t>VINO CASAS PATRONALES SAUV BLANC X 750ML</t>
  </si>
  <si>
    <t>VINO CASAS PATRONALES RSVA ME 750 ML</t>
  </si>
  <si>
    <t>VINO CASAS PATRONALES RSV PRIV CSA 750ML</t>
  </si>
  <si>
    <t>VINO C.PATRONALES G.RSVA CARMENERE 750ML</t>
  </si>
  <si>
    <t>SALSA  BBQ X 450 GR METRO</t>
  </si>
  <si>
    <t>COCO RAYADO A GRANEL</t>
  </si>
  <si>
    <t>JABON LIQUIDO BALLERINA DPCKX750 VIOLETA</t>
  </si>
  <si>
    <t>JABON LIQUIDO BALLERINA DPCKX750 CREM HU</t>
  </si>
  <si>
    <t>SWEET POTATO 55GR NONG SHIM</t>
  </si>
  <si>
    <t>JABON LIQUIDO BALLERINA 350ML CREMA HUME</t>
  </si>
  <si>
    <t>TABACO P/PIPA KING BLACK CAPUCCINO X50GR</t>
  </si>
  <si>
    <t>HERB TEA X20SOB BIGELOW, SWEET DREAMS</t>
  </si>
  <si>
    <t>WHISKY DEWAR'S 18 AÑOS 750 ML</t>
  </si>
  <si>
    <t>VINO N.CORREAS SELEC PARCELAS MB 750 ML</t>
  </si>
  <si>
    <t>VINO N.CORREAS S.PARCELAS CAB SAUV 750ML</t>
  </si>
  <si>
    <t>VINO N.CORREAS SELEC PARCELAS CH 750 ML</t>
  </si>
  <si>
    <t>CERVEZA DELIRIUM TREMENS BOT 330 ML</t>
  </si>
  <si>
    <t>CERVEZA CHIMAY ROJA BOT 330 ML</t>
  </si>
  <si>
    <t>CERVEZA CHIMAY TRIPLE BOT 330 ML</t>
  </si>
  <si>
    <t>CERVEZA CHIMAY AZUL BOT 330 ML</t>
  </si>
  <si>
    <t>POTATO 55GR NONG SHIM</t>
  </si>
  <si>
    <t>CERVEZA DUVEL BOT 330 ML</t>
  </si>
  <si>
    <t>CERVEZA LA CHOUFFE BOT 330 ML</t>
  </si>
  <si>
    <t>CERVEZA SAPPORO LATA 355 ML</t>
  </si>
  <si>
    <t>CERVEZA SAPPORO LATA 650 ML</t>
  </si>
  <si>
    <t>VINO LAN RIOJA CRIANZA 500 ML</t>
  </si>
  <si>
    <t>VINO VIU MANENT RSVA CARMENERE BOT 750ML</t>
  </si>
  <si>
    <t>VINO FANTI FARNESE MONTEPULCIANO 750ML</t>
  </si>
  <si>
    <t>ALGARROBINA DULKEN X 480GR</t>
  </si>
  <si>
    <t>SALSA DE AJI CRIOLLO X 100G WONG</t>
  </si>
  <si>
    <t>GALLETA  ARROZ MANZANA X 50gr,BABYMUM-MU</t>
  </si>
  <si>
    <t>GALLETA DE ARROZ BANANA x 50 TODDLERMUM</t>
  </si>
  <si>
    <t>SOPA SHIN CUP NOODLE X 75GR NONG SHIM</t>
  </si>
  <si>
    <t>VINO NORTON RSV CABERNET SAUVIGNONX750ML</t>
  </si>
  <si>
    <t>VINO LA FLOR MALBEC X 750ML</t>
  </si>
  <si>
    <t>VINO LA FLOR SAUVIGNON BLANC X 750ML</t>
  </si>
  <si>
    <t>WHISKY THE GLENLIVET 15 AÑOS BOT 700 ML</t>
  </si>
  <si>
    <t>ESPUMOSO MARTINI ASTI BOT 750 ML</t>
  </si>
  <si>
    <t>VINO TINTO CATARSIS X 750ML</t>
  </si>
  <si>
    <t>VINO ESTIVAL BLANCO X 750ML</t>
  </si>
  <si>
    <t>CERVEZA SAPPORO BOT 355 ML</t>
  </si>
  <si>
    <t>CAVA CASTELFINO ROSE BRUT BOT 750ML</t>
  </si>
  <si>
    <t>CAVA CASTELFINO SEMI SECO BOT 750ML</t>
  </si>
  <si>
    <t>FOURPACK JABON NEKO 75GR, FRESH</t>
  </si>
  <si>
    <t>VINO LA FLOR ROSE MALBEC X 750ML</t>
  </si>
  <si>
    <t>CREMA DE ESPARRAGOS X 70 GR WONG</t>
  </si>
  <si>
    <t>CREMA DE ALCACHOFA X 70 GR WONG</t>
  </si>
  <si>
    <t>CREMA DE CHAMPIGNONES X 70 GR WONG</t>
  </si>
  <si>
    <t>CREMA DE CHOCLO X 70 GR WONG</t>
  </si>
  <si>
    <t>SOPA SABOR POLLO CON FIDEOS X 75G WONG</t>
  </si>
  <si>
    <t>SOPA SABOR CARNE CON FIDEOS X 75G WONG</t>
  </si>
  <si>
    <t>VINO PULENTA ESTATE I MALBEC X 750ML</t>
  </si>
  <si>
    <t>RON ABUELO AÑEJO ESPECIAL X 750ML</t>
  </si>
  <si>
    <t>RON ABUELO 7 AÑOS AÑEJO SUPERIOR X 750ML</t>
  </si>
  <si>
    <t>RON ABUELO 12 AÑOS GRAN RESERVA X 750ML</t>
  </si>
  <si>
    <t>GLUCERNA 900GR</t>
  </si>
  <si>
    <t>BLOQ NIVEA SUN PROT&amp;HYDRA FPS50 LOC200ML</t>
  </si>
  <si>
    <t>BLO NIVEA SUN KIDS SENSITIVE FPS60 125ML</t>
  </si>
  <si>
    <t>BL NIVEA SUN SPORT PROT&amp;REFR FPS50 200ML</t>
  </si>
  <si>
    <t>LIP BALM HAWAIIAN TROPIC ORIG SPF30 4GR</t>
  </si>
  <si>
    <t>RON BARCELO IMPERIAL BLEND 30 ANIVERSARI</t>
  </si>
  <si>
    <t>APERITIVO APEROL X 750 ML</t>
  </si>
  <si>
    <t>BALSAMO EXTRA SUAVE x 400 ML.SIMOND'S</t>
  </si>
  <si>
    <t>BALSAMO MANZANILLA x 400 ML SIMOND´S</t>
  </si>
  <si>
    <t>JB. DERMOPROT. CREMOSO x 360ML SIMOND'S</t>
  </si>
  <si>
    <t>NUTTY BERRY MIX 150 GR TERRA FERTIL</t>
  </si>
  <si>
    <t>VINO TACAMA S.ESPECIAL PETIT VERDOT750ML</t>
  </si>
  <si>
    <t>HARPIC POWER PLUS DESINFECTANTE X 500ML</t>
  </si>
  <si>
    <t>BEBIDA ALMENDRA NATURES HEART 946ML</t>
  </si>
  <si>
    <t>LICOR PISCANO SABOR LIMON X 275 ML</t>
  </si>
  <si>
    <t>LICOR PISCANO SABOR MARACUYA X 275 ML</t>
  </si>
  <si>
    <t>HARINA INST. 7 SEMILLAS 400GR PERU INKA</t>
  </si>
  <si>
    <t>HARINA SIETE SEMILLAS X 200 G NATURANDES</t>
  </si>
  <si>
    <t>SAL EN SACHET (CJx1000UN) PC</t>
  </si>
  <si>
    <t>ESPUMANTE CHANDON DELICE X 750ML</t>
  </si>
  <si>
    <t>S/B CERO R. 2EN1 BAÑO X 1</t>
  </si>
  <si>
    <t>S/B PAÑO MICROFIBRA COCINA</t>
  </si>
  <si>
    <t>S/B ESCOBA DOLLY MULTIUSOS</t>
  </si>
  <si>
    <t>S/B PANO MULTIUSO x 5</t>
  </si>
  <si>
    <t>S/B ESP. 2EN1 PACKx3 NUEVA PRES</t>
  </si>
  <si>
    <t>PISCO PORTON M VERDE QUEBRANTAX 750M</t>
  </si>
  <si>
    <t>PISCO PORTON MOSTO VERDE ITALIA X 750M</t>
  </si>
  <si>
    <t>PISCO PORTON M VERDE TORONTELX 750M</t>
  </si>
  <si>
    <t>LICOR PISCANO SABOR NARANJA X 275 ML</t>
  </si>
  <si>
    <t>MARLBORO BURST DOUBLE CAPPS KS BOX 20S</t>
  </si>
  <si>
    <t>TRIPACK JABON NEKO FRESH X125GR</t>
  </si>
  <si>
    <t>ALGODON X 60 PAÑOS COPPON BEBE</t>
  </si>
  <si>
    <t>TEQUILA REPOSADO DON JULIO 750 ML</t>
  </si>
  <si>
    <t>SAL DE MARAS PARRILLERA X 150 GR NAT CRY</t>
  </si>
  <si>
    <t>SAL DE MARAS FINA X 150 GR NAT CRYST SAL</t>
  </si>
  <si>
    <t>PACK PISCO VARGAS PURO+JARABE+SHAKER</t>
  </si>
  <si>
    <t>PACK PISCO FINCA ROTONDO+JARABE+SHAKER</t>
  </si>
  <si>
    <t>DISCO COPPON DEMAQUILLADOR BOL X 70UND</t>
  </si>
  <si>
    <t>EGUE BUC LISTERINE ZERO BOT X 1 L</t>
  </si>
  <si>
    <t>LA IBERICA PASTILLAS SURTIDAS X180GR</t>
  </si>
  <si>
    <t>PILA AAA x 8 ENERGIZER</t>
  </si>
  <si>
    <t>CLIP CAB FOGGY TIPO CAREY EX GDE BLIS X1</t>
  </si>
  <si>
    <t>CERVEZA S/A ERDINGER BOT 330 ML</t>
  </si>
  <si>
    <t>PISTACHOS TOSTADOS/SALADOS WONDERFU 227G</t>
  </si>
  <si>
    <t>VINO PULENTA ESTATE VII CHARDONN X 750ML</t>
  </si>
  <si>
    <t>CORN FLAKES S/GLUTEN 250GR DR. SCHAR</t>
  </si>
  <si>
    <t>FOSFORO PARRILLERO X 5 UNIDADES</t>
  </si>
  <si>
    <t>VINO CONCHA Y TORO FRONTERA ME 750 ML</t>
  </si>
  <si>
    <t>VINO LAGARDE PRIMERAS VIÑAS MALBEC 750ML</t>
  </si>
  <si>
    <t>VINO LAGARDE RSVA BLANC D/ NOIR 750 ML</t>
  </si>
  <si>
    <t>VINO INTIPALKA COSECHA TARDIA 375ML</t>
  </si>
  <si>
    <t>PACK 2 VINOS QUEIROLO MAGDALENA 750ML</t>
  </si>
  <si>
    <t>VINO PATA NEGRA RESERVA x 750 ML</t>
  </si>
  <si>
    <t>VINO PATA NEGRA ROBLE x 750 ML</t>
  </si>
  <si>
    <t>JUGO CRANBERRY ZERO SUGAR LANGERS 64ONZ</t>
  </si>
  <si>
    <t>HISOPOS COPPON PREMIUM  P300</t>
  </si>
  <si>
    <t>GINGER ALE METRO X 1.5 LTRS.</t>
  </si>
  <si>
    <t>GINGER ALE X1.5LT WONG</t>
  </si>
  <si>
    <t>ENDULZANTE X 200 SOBRES VIDA STEVIA</t>
  </si>
  <si>
    <t>ENDULZANTE POLVOX180GR VIDA STEVIA</t>
  </si>
  <si>
    <t>AMMENS SHAMPOO AVENA X 200 ML</t>
  </si>
  <si>
    <t>FRIJOLES TRADICIONALES X 453 OLD EL PASO</t>
  </si>
  <si>
    <t>PASTA D/AJONJOLI GOURMET S/GLUTEN X 280G</t>
  </si>
  <si>
    <t>VINO LUIGI BOSCA DE SANGRE X 750 ML</t>
  </si>
  <si>
    <t>PASTA D/AJONJOLI INTEGRAL S/GLUTEN X280G</t>
  </si>
  <si>
    <t>VINO EPICO TEMPRANILLO MALBEC X 750ML</t>
  </si>
  <si>
    <t>ESPUMOSO ZONIN PROSSECO 750 ML</t>
  </si>
  <si>
    <t>ESPARRAGOS VERDES X535GR VALLE FERTIL</t>
  </si>
  <si>
    <t>CEREAL BLUEBERRY MORNING POST</t>
  </si>
  <si>
    <t>GIN BEEFEATER "24" BOT 700 ML</t>
  </si>
  <si>
    <t>ESPUMOSO LA GIOIOSA PROSECCO DOC 750 ML</t>
  </si>
  <si>
    <t>PURO CORONA DOÑA INES</t>
  </si>
  <si>
    <t>PURO ROBUSTO DOÑA INES</t>
  </si>
  <si>
    <t>PURO PETIT TORPEDO DOÑA INES</t>
  </si>
  <si>
    <t>PURO FIGURADO PREMIUM DOÑA INES</t>
  </si>
  <si>
    <t>ALCACHOFA MARINADA X 340 GR VALLE FERTIL</t>
  </si>
  <si>
    <t>GINGER ALE BRITIVIC 150 ML</t>
  </si>
  <si>
    <t>TE VERDE FRUTOS ROJOS HORNIMMANS X 300ML</t>
  </si>
  <si>
    <t>TE VERDE NATURAL HORNIMMANS X 300ML</t>
  </si>
  <si>
    <t>TE VERDE SABOR MANZANAHORNIMMANS X 300ML</t>
  </si>
  <si>
    <t>MIEL DE ABEJA X 175GR REYNA DE OXAPAMPA</t>
  </si>
  <si>
    <t>VINO LAS MORAS RSVA TANANT 750ML</t>
  </si>
  <si>
    <t>ESTANCIA MENDOZA CABERNET MALBEC</t>
  </si>
  <si>
    <t>CRE DEN SENSODYNE REP PROTGE CAJ 100G</t>
  </si>
  <si>
    <t>VINO FOND DE CAVE RESERVA CAB SAUV 750ML</t>
  </si>
  <si>
    <t>TERRA FERTIL INFUSIÓN MNZ Y CAN 6X10G</t>
  </si>
  <si>
    <t>TERRA FERTIL INFUSIÓN FRUT ROJOS 6X10G</t>
  </si>
  <si>
    <t>VODKA PRAVDA X 750 ML</t>
  </si>
  <si>
    <t>JUGO DE MANZANA LANGERS X 64 ONZ</t>
  </si>
  <si>
    <t>LUSTRAMUEBLES CREMA REVIVE 250ML</t>
  </si>
  <si>
    <t>DESMAQ .BIFASICO OJOS DUAL NIVEA X 125ML</t>
  </si>
  <si>
    <t>TRAT CAPI ELVIVE ACTE EXTRAORD BOT100ML</t>
  </si>
  <si>
    <t>DEO  PIES PIEDRALUMBRE X 260 ML</t>
  </si>
  <si>
    <t>RON CARTAVIO SELECTO 750 ML</t>
  </si>
  <si>
    <t>SIMILAC 3 EYE Q PLUS INMUNUFY  X 400 GR.</t>
  </si>
  <si>
    <t>GNOCCHI DE PAPA GRANORO X 500 GRS.</t>
  </si>
  <si>
    <t>BEBIDA ENERGETICA RED BULL X 355 ML</t>
  </si>
  <si>
    <t>PACK ISANA SPRAY 150GR + TALCO 140</t>
  </si>
  <si>
    <t>MAQ.AFEITAR 3HOJAS X 4 FAMILY CARE</t>
  </si>
  <si>
    <t>MAQ.AFEITAR 4HOJAS X 3 FAMILY CARE</t>
  </si>
  <si>
    <t>PISCO TABERNERO MV TORONTELX500ML</t>
  </si>
  <si>
    <t>SIMILAC 2 EYE Q PLUS INMUNIFY  X 400 GR.</t>
  </si>
  <si>
    <t>SIMILAC 1 EYE Q PLUS INMUNIFY  X 400 GR.</t>
  </si>
  <si>
    <t>JARABE DE GRANADINA BURGOS X750ML</t>
  </si>
  <si>
    <t>SHRIMP CHIPS  NONG SHIM 45 GR</t>
  </si>
  <si>
    <t>SNACK CHO CHUNG ARROZ NONG SHIM 80 GR</t>
  </si>
  <si>
    <t>WHISKY KING GEORGE V 750 ML</t>
  </si>
  <si>
    <t>QUITAMANCHAS VANISH 900GR, BLANCO</t>
  </si>
  <si>
    <t>APLICADOR COSMETICO TYPPYS X 90UND</t>
  </si>
  <si>
    <t>TOAL DESMAQ TIPPYS ALGO BIO BOL X 65</t>
  </si>
  <si>
    <t>ALCAPARRAS X 100 GR VALLEFERTIL</t>
  </si>
  <si>
    <t>VINO E.GASCON P.PRODUCCIONES CSA 750ML</t>
  </si>
  <si>
    <t>SOPA INST. OOLONGMEN CUP POLLO X 75 GR</t>
  </si>
  <si>
    <t>TOAL DESMAQ TIPPYS ALGODON BOL X 80</t>
  </si>
  <si>
    <t>TOAL DESMAQ TIPPYS ALGODON BOL X 100</t>
  </si>
  <si>
    <t>LICOR FRUTADO DE MARACUYA BURGOS 750ML</t>
  </si>
  <si>
    <t>LICOR FRUTADO DE GUANABANA BURGOSX750 ML</t>
  </si>
  <si>
    <t>LICOR FRUTADO DE PIÑA BURGOS X 750 ML</t>
  </si>
  <si>
    <t>TOAL DESMAQ BABARIA ALOE VERA BOL X24UND</t>
  </si>
  <si>
    <t>DESHUM BOLASECA GEL 2X50GR, NEUTRO</t>
  </si>
  <si>
    <t>DESHUM BOLASECA GEL 2X50GR, BEBE</t>
  </si>
  <si>
    <t>CEPILLO DENTAL CONDOR 4+ LILICA X1UND</t>
  </si>
  <si>
    <t>PISCO QUEBRANTA PAGO DE LOS FRAILES X1LT</t>
  </si>
  <si>
    <t>PISCO TORONTEL PAGO DE LOS FRAILES X1LT</t>
  </si>
  <si>
    <t>PISCO ACHOLADOPAGO DE LOS FRAILES X1LT</t>
  </si>
  <si>
    <t>VIRUTEX TRAP.ULT.ABS.SIMPLE OJAL40X40</t>
  </si>
  <si>
    <t>VIRUTEX MOPA RED.MICROFIBRA SET</t>
  </si>
  <si>
    <t>VIRUTEX MOPA RED.MICROFIBRA RPTO.</t>
  </si>
  <si>
    <t xml:space="preserve"> MAZAMORRA MORADA 150GR UNIVERSAL</t>
  </si>
  <si>
    <t>ACEITUNA NEGRA ENT. 1 KG BLS  OLIVALLE</t>
  </si>
  <si>
    <t>ACEITUNA NEGRA DESHUES.1 KG BLS OLIVALLE</t>
  </si>
  <si>
    <t>GELATINA EXTRA COLAGENO FRESA 30GR UNIVE</t>
  </si>
  <si>
    <t>ACEIT.VERDE RELL.PIMIEN 1KG BLS OLIVALLE</t>
  </si>
  <si>
    <t>ALMENDRAS SALADAS X KG</t>
  </si>
  <si>
    <t>GELATINA EXTRA FIBRA FRESA 38GR UNIVERSA</t>
  </si>
  <si>
    <t>MAZAMORRA  DURAZNO x 150g. UNIVERSAL</t>
  </si>
  <si>
    <t>CASHEWS SALADOS KG</t>
  </si>
  <si>
    <t>MANI FRITO SALADO X KG</t>
  </si>
  <si>
    <t>MIXTURA DE FRUTAS X KG</t>
  </si>
  <si>
    <t>PISTACHOS SALADOS X KG</t>
  </si>
  <si>
    <t>CREMA L'OREAL HT5 MATIFICANTE CAJA 50ML</t>
  </si>
  <si>
    <t>FETTUCCINE FLAT AGNESI X 500 GR.</t>
  </si>
  <si>
    <t>VINO SOTTANO RESERVA BLEND BOT 750ML</t>
  </si>
  <si>
    <t>AGUA SAN BENEDETTO C/GAS X 500ML PET</t>
  </si>
  <si>
    <t>AGUA SAN BENEDETTO S/GAS X 500ML PET</t>
  </si>
  <si>
    <t>AGUA SAN BENEDETTO EASY PET X 1LT</t>
  </si>
  <si>
    <t>GALLETA BON A BON X 95 GR ARCOR</t>
  </si>
  <si>
    <t>DOÑA PAULA ESTATE SAUV. BLANC X 750</t>
  </si>
  <si>
    <t>TERRA FERTIL INFUSIÓN HIERBA LUISA ORGAN</t>
  </si>
  <si>
    <t>TERRA FERTIL INFUSIÓN MANZANILLAORGANICO</t>
  </si>
  <si>
    <t>PURE DE MENBRILLO 500GR DMARCO</t>
  </si>
  <si>
    <t>VINO ESCORIHUELA GASCON PINOT NOIR 750ML</t>
  </si>
  <si>
    <t>RON BOTRAN 5 BOT 750ML</t>
  </si>
  <si>
    <t>TERRA FERTIL INFUSIÓN TORONJIL ORGANICO</t>
  </si>
  <si>
    <t>TOAL DESMAQ NEUTRG NIGHT CALM BOL X25</t>
  </si>
  <si>
    <t>AGUA TÓNICA BRITVIC LOW CAL 4 UN X 150ML</t>
  </si>
  <si>
    <t>VINO EL COTO REAL RIOJA 750 ML</t>
  </si>
  <si>
    <t>VINO EL COTO BLANCO RIOJA 750 ML</t>
  </si>
  <si>
    <t>VINO EL COTO ROSADO RIOJA 750 ML</t>
  </si>
  <si>
    <t>VINO EL COTO DE IMAZ RIOJA G.RSVA 750 ML</t>
  </si>
  <si>
    <t>JUGO DE MANZANA 100% L'ONDAX 64 OZ PET</t>
  </si>
  <si>
    <t>JUGO DE MANZANA 100%L'ONDAX 32 OZ PET</t>
  </si>
  <si>
    <t>OJO CICLOPE C/CARAMELOS HALLOWEEN ARCOR</t>
  </si>
  <si>
    <t>RON BOTRAN 8 BOT 750ML</t>
  </si>
  <si>
    <t>TE VERDE X 50 SOBRES SCHAGREEN</t>
  </si>
  <si>
    <t>VINO GRAN ALMA NEGRA TINTO</t>
  </si>
  <si>
    <t>FE CLEARLY DEFINED GEL 141GR JOHN FRIEDA</t>
  </si>
  <si>
    <t>MULTIUSE DUCTTAPE 1.88'' X 10YD</t>
  </si>
  <si>
    <t>17091 GANCHO CLEAR MEDIANO</t>
  </si>
  <si>
    <t>17067 GANCHO CLEAR COCINA</t>
  </si>
  <si>
    <t>17006 GANCHO CLEAR MINI</t>
  </si>
  <si>
    <t>GANCHO SCOTCH GRANDE</t>
  </si>
  <si>
    <t>GANCHO SCOTCH UTILIDADES</t>
  </si>
  <si>
    <t>VINO VITTORIA MALBEC 750ML</t>
  </si>
  <si>
    <t>VINO VITTORIA CABERNET 750ML</t>
  </si>
  <si>
    <t>RON BOTRAN 12 BOT 750ML</t>
  </si>
  <si>
    <t>SCHICK MAQSIS QUATTRO TIT+2RPT HOMBRE</t>
  </si>
  <si>
    <t>SCHICK MAQDES QUATTRO TI  X3UN HOMBRE</t>
  </si>
  <si>
    <t>GALL. PETIT  150GR DR SCHAR</t>
  </si>
  <si>
    <t>CRACKERS  ORIGINAL SIN GLUT DR SCHARX210</t>
  </si>
  <si>
    <t>CRACKERS AL ROSMARINO X 210GR DR SHAR</t>
  </si>
  <si>
    <t>BISCOTTI CON CIOCCOLATO X150 GR DR SCHAR</t>
  </si>
  <si>
    <t>SUPER GLUE GELX1 SCOTCH</t>
  </si>
  <si>
    <t>SUPER GLUE GELX4 SCOTH</t>
  </si>
  <si>
    <t>DET LIQ TIDE 1.36LT-32LAV, ORIGINAL</t>
  </si>
  <si>
    <t>TIDE TO GO LAPIZ CORRECTOR 1 UNID</t>
  </si>
  <si>
    <t>DET LIQ DREFT 1.36LT-32LAV,RECIEN NACIDO</t>
  </si>
  <si>
    <t>SUAV SECADORA BOUNCE 40LAMINAS</t>
  </si>
  <si>
    <t>RON BOTRAN 18 BOT 750ML</t>
  </si>
  <si>
    <t>CHAMPAGNE LOUIS ROEDERER BRUT PREMIER</t>
  </si>
  <si>
    <t>DUREX  PLACER PROLONGADO X 3 UND.</t>
  </si>
  <si>
    <t>BLOQ HAWAII TROP SHEER TOUCH SPF50 240ML</t>
  </si>
  <si>
    <t>FEBREZE CARROS CAMPOS Y LLUVIA X1</t>
  </si>
  <si>
    <t>FEBREZE CARROS TORMENTA DE MEDIANOCHE X1</t>
  </si>
  <si>
    <t>FEBREZE CARROS HAWAIIAN ALOHA X1</t>
  </si>
  <si>
    <t>FEBREZE CARROS FRESCURA AIRE LIBRE X1</t>
  </si>
  <si>
    <t>FEBREZE CARROS HAWAIIAN ALOHA X2</t>
  </si>
  <si>
    <t>FEBREZE CARROS FRESCURA AIRE LIBRE X2</t>
  </si>
  <si>
    <t>SOMETHING SPECIAL BOTX750 M+BOTX350 ML</t>
  </si>
  <si>
    <t>COLN250ML+JAB LIQ300 HENO PRAVIA EST X2</t>
  </si>
  <si>
    <t>ACEITE OLIVA EXT VIRG SPRAYX 275CC HUERT</t>
  </si>
  <si>
    <t>ACEITE OLIVA EXT VIRG X 2LT HUERTO ALAME</t>
  </si>
  <si>
    <t>FUDGE X 480G SPITZE</t>
  </si>
  <si>
    <t>ESPUMANTE PROSECCO GOLD  BOTTEGA 750 ML</t>
  </si>
  <si>
    <t>CAVA STARS PERELADA BRUT NATURE 750 ML</t>
  </si>
  <si>
    <t>MONTES ALPHA CARMENERE X 750ML</t>
  </si>
  <si>
    <t>MONTES ALPHA MALBEC X 750ML</t>
  </si>
  <si>
    <t>ESPUMANTE SEÑORIO DE NAJAR x750ml</t>
  </si>
  <si>
    <t>VINO SOTTANO JUDAS</t>
  </si>
  <si>
    <t>PAELLA ESMALTADA MAR KIT CARMENCITA 470G</t>
  </si>
  <si>
    <t>CAVA GRAN JUVE&amp;CAMPS GRAN RESERVA 750 ML</t>
  </si>
  <si>
    <t>CIGARROS LUCKY C&amp;R X 10</t>
  </si>
  <si>
    <t>ADEREZO PAVO X 500GR EL OLIVAR</t>
  </si>
  <si>
    <t>ADEREZO PAVO X 200GR EL OLIVAR</t>
  </si>
  <si>
    <t>PITA CHIPS OREGANO X 90G WONG</t>
  </si>
  <si>
    <t>PITA CHIPS MANZANA X 90G WONG</t>
  </si>
  <si>
    <t>PITA CHIPS NATURAL X 90G WONG</t>
  </si>
  <si>
    <t>PITA CHIPS INTEGRAL X 90G WONG</t>
  </si>
  <si>
    <t>VINO TACAMA S.ESPECIAL A.BOUSCHET 750ML</t>
  </si>
  <si>
    <t>VINO TACAMA S.ESPECIAL CARMENERE 750ML</t>
  </si>
  <si>
    <t>VINO TACAMA S.ESPECIAL MALBEC 750ML</t>
  </si>
  <si>
    <t>VINO TACAMA GRAN TINTO CRIANZA 750 ML</t>
  </si>
  <si>
    <t>Diclotrin pulverizador x 500ml</t>
  </si>
  <si>
    <t>CRE DEPILAR DEPILE FOR MEN CAJ X 200ML</t>
  </si>
  <si>
    <t>SALSA ENSAL.FAT FREE RANCH 473 KRAFT</t>
  </si>
  <si>
    <t>VASO ENTREN DOBLE PARED HELLO KITTY</t>
  </si>
  <si>
    <t>JUGO DE UVA CRANBERRY 64 L'ONDA</t>
  </si>
  <si>
    <t>VINO RUTINI GEWURZTRAMINER XC 750 ML</t>
  </si>
  <si>
    <t>VINO DOÑA PAULA BLACK EDITION X 750 ML</t>
  </si>
  <si>
    <t>VINO TRUMPETER BLEND MALBEC SYRAH X750ML</t>
  </si>
  <si>
    <t>VINO SANGRE DE TORO BLANCO X 750 ML</t>
  </si>
  <si>
    <t>ANTIPOLILLA BOLASECA X7G, LIMON</t>
  </si>
  <si>
    <t>ANTIPOLILLA BOLASECA X7G,MANZAN/CANELA</t>
  </si>
  <si>
    <t>ANTIPOLILLA BOLASECA X7G,BLUE FRESH</t>
  </si>
  <si>
    <t>VINO SANTA JULIA RESERVA MERLOT X 750 ML</t>
  </si>
  <si>
    <t>BASE NORTEÑA   X  220 G AREZZO</t>
  </si>
  <si>
    <t>BASE CRIOLLA  X 220 G  AREZZO</t>
  </si>
  <si>
    <t>BASE PARA PACHAMANCA X 220 G   AREZZO</t>
  </si>
  <si>
    <t>VINO SANTA JULIA RESERVA SYRAH X 750 ML</t>
  </si>
  <si>
    <t>ACEIT RELLENA C/ PIMIENTO X 300GR ODS</t>
  </si>
  <si>
    <t>ACEITUNA BOTIJA ENT 850GR OLIVOS DEL SUR</t>
  </si>
  <si>
    <t>ACEITUNA BOTIJA DESH 850GR OLIVOS DEL SU</t>
  </si>
  <si>
    <t>LICOR MITJANS CACAO X 750 ML.</t>
  </si>
  <si>
    <t>PISCO QOLLQE ITALIA X 500 ML.</t>
  </si>
  <si>
    <t>PISCO QOLLQE ACHOLADO X 500 ML.</t>
  </si>
  <si>
    <t>PISCO QOLLQE QUEBRANTA X 500 ML.</t>
  </si>
  <si>
    <t>VINO TACAMA DON MANUEL P.VERDOT 750ML</t>
  </si>
  <si>
    <t>WHISKEY JACK DANIELS X 1 LT.</t>
  </si>
  <si>
    <t>PEDIASURE TRIPLESURE VAINILLA 220ML</t>
  </si>
  <si>
    <t>ENSURE ADVANCE VAINILLA 220 ML</t>
  </si>
  <si>
    <t>CREMA L'OREAL HT5 ANTIMANCHAS CAJ 50ML</t>
  </si>
  <si>
    <t>WHISKY OLD TIMES RED 750 ML</t>
  </si>
  <si>
    <t>WHISKY OLD TIMES BLACK 750 ML</t>
  </si>
  <si>
    <t>MARTIN MILLERS LONDON GIN 40</t>
  </si>
  <si>
    <t>CRE DEN SENSODYNE REP PRTGE BLQ CAJ 100G</t>
  </si>
  <si>
    <t>SPAGHETTI ORGANICO BIO GRANORO X  500 GR</t>
  </si>
  <si>
    <t>PISCANO ZERO LIMON X 275 ML</t>
  </si>
  <si>
    <t>PISCANO ZERO MARACUYA X 275 ML</t>
  </si>
  <si>
    <t>PISCANO ZERO NARANJA X 275 ML</t>
  </si>
  <si>
    <t>MERMELADA DE NARANJA X 5 KG - CT</t>
  </si>
  <si>
    <t>TRIPACK SALSAS WONG</t>
  </si>
  <si>
    <t>FRIJOLES CON TOCINO CUISINE&amp;CO X425GR</t>
  </si>
  <si>
    <t>LENTEJAS PREPARADAS CUISINE&amp;CO X425GR</t>
  </si>
  <si>
    <t>PALLARES EN SALMUERA CUISINE&amp;CO X425GR</t>
  </si>
  <si>
    <t>LICOR DE CREMA DE LECHE BURGOS X 750ML</t>
  </si>
  <si>
    <t>GARBANZOS EN SALMUERA CUISINE&amp;CO X425GR</t>
  </si>
  <si>
    <t>LICOR DE CREMA DE LUCUMA BURGOS X 750ML</t>
  </si>
  <si>
    <t>LICOR DE CREMA DE CAFE BURGOS X 750ML</t>
  </si>
  <si>
    <t>LIMP PISOS MADERA LAMINADOS  LA OCA x 1L</t>
  </si>
  <si>
    <t>SUSTAGEN PRO VAINILLA X 400 GR</t>
  </si>
  <si>
    <t>SUSTAGEN PRO VAINILLA X 900 GR</t>
  </si>
  <si>
    <t>PIMIENTO MORRON VALLE FERTIL X 360 G.</t>
  </si>
  <si>
    <t>GALLETA FIBRA INTEG S/AZUCAR 170G GULLON</t>
  </si>
  <si>
    <t>GALL GULLÓN CHIP CHOC/FIBRA S/AZUC 150G</t>
  </si>
  <si>
    <t>DISCO DESMAQ F&amp;C/W ALGODON BOL X 70UND</t>
  </si>
  <si>
    <t>JABON LAV ESCAMAS DIAMANTE TRAD X 900GR</t>
  </si>
  <si>
    <t>LIMPIA LAVADORAS ORIG DR BECKMANN 250 ML</t>
  </si>
  <si>
    <t>PACK BOLSAS ZIPP PARA  VIAJE X3 UN UTHIL</t>
  </si>
  <si>
    <t>RPTO.MOPA TIRAS AMAR. VIRUTEX CLASICA</t>
  </si>
  <si>
    <t>MOPA MICROFIBRA PLANA 45 CM SET-CREATIVA</t>
  </si>
  <si>
    <t>TRAP.MICROFIBRA 50X60 VIRUTEX CREATIVA</t>
  </si>
  <si>
    <t>BOTADOR DE AGUA 40CM</t>
  </si>
  <si>
    <t>GLUCERNA  VAINILLA X 237 ML. ABBOTT</t>
  </si>
  <si>
    <t>BEPANTHEN X 100 GR, BAYER</t>
  </si>
  <si>
    <t>SIMILAC 1 5HMO FORM INFANTIL 800 GR</t>
  </si>
  <si>
    <t>SIMILAC 2 5HMO FORM INFANTIL 800 GR</t>
  </si>
  <si>
    <t>SIMILAC 3 5HMO FORM INFANTIL 800 GR</t>
  </si>
  <si>
    <t>CALAVERA HALLOWEEN C/CARAM 100 GR ARCOR</t>
  </si>
  <si>
    <t>SH LIMA UÑAS HARD AS NAILS</t>
  </si>
  <si>
    <t>CANUTOS RELLENOS DE CAMOTE X 105 GR.</t>
  </si>
  <si>
    <t>GALLETITAS DE POLLO X 100 GR.</t>
  </si>
  <si>
    <t>BL NIVEA SPORT PRO&amp;REFR FPS50 SPRAY200ML</t>
  </si>
  <si>
    <t>BLOQ HAWAI TROPIC SILK SPRAY SPF50 180ML</t>
  </si>
  <si>
    <t>CHOCOLATE TREE DECORATIONS JACQUOT 150G</t>
  </si>
  <si>
    <t>VINO FINCA ROTONDO RSVA MALBEC 750 ML</t>
  </si>
  <si>
    <t>VINO FINCA ROTONDO MALBEC 750 ML</t>
  </si>
  <si>
    <t>VINO FINCA ROTONDO BLEND 750 ML</t>
  </si>
  <si>
    <t>VINO FINCA ROTONDO CABERNET SAUV 750 ML</t>
  </si>
  <si>
    <t>NOGLUT TOSTADAS 100GR</t>
  </si>
  <si>
    <t>SCOTCH BRITE ESCOBA JUMBO</t>
  </si>
  <si>
    <t>LICOR PISCANO CRANBERRY X 275 ML</t>
  </si>
  <si>
    <t xml:space="preserve"> MOSTAZA FS X 9 OZ HEINZ</t>
  </si>
  <si>
    <t>PANETON CHOCOLUCUMA 500GR RICCOS</t>
  </si>
  <si>
    <t>GIN TANQUERAY N° TEN 750 ML</t>
  </si>
  <si>
    <t>CEPILLO GEL GRIP VENT BRUSH CONAIR</t>
  </si>
  <si>
    <t>CEPILLO GEL GRIP ALL PURPOSE CONAIR</t>
  </si>
  <si>
    <t>CEPILLO GEL GRIP CUSHION BRUSH CONAIR</t>
  </si>
  <si>
    <t>CEPILLO GEL GRIP PADDLE BRUSH CONAIR</t>
  </si>
  <si>
    <t>GIN BULLDOG X750ML</t>
  </si>
  <si>
    <t>VODKA SKYY X1.75ML</t>
  </si>
  <si>
    <t>AGUA MICELAR L'OREAL DESMAQ HT5 BOT200ML</t>
  </si>
  <si>
    <t>VINO EL GRAN ENEMIGO BLEND 750 ML</t>
  </si>
  <si>
    <t>BARRA MINI MILKY X 20 UN</t>
  </si>
  <si>
    <t>BARRA MINI MILKY X 10 UN</t>
  </si>
  <si>
    <t>VINO PATA NEGRA GRAN RESERVA X 750  ML</t>
  </si>
  <si>
    <t>CRE DEN AQUAFRESH LITTLE TEETH CAJ 63G</t>
  </si>
  <si>
    <t>VINO INTIPALKA VARIETAL ROSE 750ML</t>
  </si>
  <si>
    <t>FOSFORO PREMIUM EXTRA LARGO 50 LUCES</t>
  </si>
  <si>
    <t>VINO BLANCO SANTIAGO RUIZ</t>
  </si>
  <si>
    <t>LIMPIAD   DE ALF POD DR BECKMANN 650ML</t>
  </si>
  <si>
    <t>LIMPIA PLATA DR BECKMANN</t>
  </si>
  <si>
    <t>LIM.ESTUFAS VITROCERAMX250M DR. BECKMANN</t>
  </si>
  <si>
    <t>LIMPIA REFRIGERADORAS250ML DR.BECKMANN</t>
  </si>
  <si>
    <t>VINO SALENTEIN RESEERVA PINOT NOIR</t>
  </si>
  <si>
    <t>VINO SALENTEIN RESERVA CHARDONAY</t>
  </si>
  <si>
    <t>VINO FINCA EL PORTILLO SAUV BLANC</t>
  </si>
  <si>
    <t>VINO PULENTA ESTATE PINOT NOIR IX</t>
  </si>
  <si>
    <t>VINO PULENTA ESTATE GRAN CAB.FRANC XI</t>
  </si>
  <si>
    <t>CHOCLO DULCE DESGRANADO VALLE F X 432 G.</t>
  </si>
  <si>
    <t>CHOCLO DULCE DESGRANADO VALLE F X 248 G.</t>
  </si>
  <si>
    <t>FOUR PACK LICOR PISCANO SURTIDO X275ML</t>
  </si>
  <si>
    <t>VINO LAPOSTOLLE SAUVIGNON BLANC 750 ML</t>
  </si>
  <si>
    <t>VINO MARQ D/CACERES RUEDA VERDEJO 750 ML</t>
  </si>
  <si>
    <t>VINO EL ENEMIGO CHARDONNAY X 750 ML</t>
  </si>
  <si>
    <t>CLLO DEN AQUAFRESH MY BIG TEETH X 1UND</t>
  </si>
  <si>
    <t>SPRAY PEINAR J.BABY GOT D/BRILLO 200ML</t>
  </si>
  <si>
    <t>CAVA ANNA CODORNIU BRUT ROSE 750 ML</t>
  </si>
  <si>
    <t>VINO CABALLO LOCO GRAND CRU MAIPO X750ML</t>
  </si>
  <si>
    <t>VINO TRUMPETER MERLOT X 750 ML.</t>
  </si>
  <si>
    <t>VINO DOÑA PAULA ESTATE CHARDONNAY X750ML</t>
  </si>
  <si>
    <t>VINO LOS CARDOS CHARDONNAY X 750 ML.</t>
  </si>
  <si>
    <t>VINO 1100 DOÑA PAULA X 750 ML.</t>
  </si>
  <si>
    <t>VINO CELESTE TORRES X 750 ML.</t>
  </si>
  <si>
    <t>INSECTICIDA X 432G WONG, MATA CUCARACHA</t>
  </si>
  <si>
    <t>INSECTICIDA X 432G WONG, MATA ZANCUDOS</t>
  </si>
  <si>
    <t>INSECTICIDA X 432G METRO, MATA ZACUNDOS</t>
  </si>
  <si>
    <t>BOLSAS EN ROLLO 35 LITROS X 30UN WONG</t>
  </si>
  <si>
    <t>SCOTCH BRITE CERO RAYAS BAÑO FIBRAX1</t>
  </si>
  <si>
    <t>SCOTCH BRITE CERO RAYAS BAÑO FIBRAX2</t>
  </si>
  <si>
    <t>SCOTCH BRITE CERO RAYAS BAÑO 2EN1 X 2</t>
  </si>
  <si>
    <t>SALSA ITALIAN TRES QUESOS X 396 GR PREGO</t>
  </si>
  <si>
    <t>FILETE DE ATUN LIGHT X 170 GR A-1</t>
  </si>
  <si>
    <t>Shampoo 3 en 1 2D Frozen 300 ml</t>
  </si>
  <si>
    <t>MARLBORO KRETEK MINT MNT KS BOX 20</t>
  </si>
  <si>
    <t>ESPJ.CERO RAYAS 2EN1 COCINAX1 SCOTCH BR.</t>
  </si>
  <si>
    <t>BERRY MIX VALLEALTO BOLSA X150G</t>
  </si>
  <si>
    <t>CASTAÑAS BAÑADAS C/CHOC DIPERUGIA 120 GR</t>
  </si>
  <si>
    <t>CANELA EN POLVO POTE X55G WONG</t>
  </si>
  <si>
    <t>COMINO EN POLVO POTE X50G WONG</t>
  </si>
  <si>
    <t>OREGANO POTE X10G WONG</t>
  </si>
  <si>
    <t>PAPRIKA POTE X55G WONG</t>
  </si>
  <si>
    <t>PIMIENTA BLANCA EN POLVO POTE X60G WONG</t>
  </si>
  <si>
    <t>PIMIENTA NEGRA EN POLVO POTE X60G WONG</t>
  </si>
  <si>
    <t>PIMIENTA NEGRA ENTERA POTE X50G WONG</t>
  </si>
  <si>
    <t>ROMERO POTE X 15G WONG</t>
  </si>
  <si>
    <t>PEINE HARD RUBBER SUPER COMB CONAIR</t>
  </si>
  <si>
    <t>CLLO DEN AQUAFRESH LITTLE TEETH BLIS X1</t>
  </si>
  <si>
    <t>PISCANO SOUR LIMON X 700 ML</t>
  </si>
  <si>
    <t>PISCANO SOUR MARACUYA X 700 ML</t>
  </si>
  <si>
    <t>CRE DEN AQUAFSH COMP CARE WHT CAJ 100ML</t>
  </si>
  <si>
    <t>ARVEJITAS VALLE FERTIL X 425 G.</t>
  </si>
  <si>
    <t>ARVEJITAS VALLE FERTIL X 241 G.</t>
  </si>
  <si>
    <t>VINO MORAVISTA MALBEC X 750 ML</t>
  </si>
  <si>
    <t>VINO MORAVISTA CABERNET SAUVIGNON X750ML</t>
  </si>
  <si>
    <t>VINO MORAVISTA CABERNET MALBEC X750ML</t>
  </si>
  <si>
    <t>VINO MORAVISTA CHENIN CHARDONAY X750 ML</t>
  </si>
  <si>
    <t>VINO KAIKEN ESTATE CAB.SAUV 750ML</t>
  </si>
  <si>
    <t>VINO KAIKEN ESTATE MALBEC 750 ML</t>
  </si>
  <si>
    <t>KAIKEN ULTRA CABERNET SAUVIGNON 750ML</t>
  </si>
  <si>
    <t>VINO KAIKEN ULTRA MALBEC 750ML</t>
  </si>
  <si>
    <t>VINO CONDADO DE HAZA CRIANZA X 750 ML</t>
  </si>
  <si>
    <t>PISTACHOS  WONDERFUL TOSTADOS 141 GR</t>
  </si>
  <si>
    <t>GALLETA CHOCO CHIP DR SCHAR 100 GR</t>
  </si>
  <si>
    <t>ENCENDEDOR DJEEP PARIS</t>
  </si>
  <si>
    <t>BEBIDA TERRAFERTIL COCO   X 330ML</t>
  </si>
  <si>
    <t>BEBIDA TERRAFERTIL COCO X 1000ML</t>
  </si>
  <si>
    <t>CERVEZA GROLSCH PACK 4 BOT 450 ML</t>
  </si>
  <si>
    <t>PUROS  ALMA NEGRA ROBUSTO</t>
  </si>
  <si>
    <t>PUROS ALMA NEGRA  FIGURADO</t>
  </si>
  <si>
    <t>WHISKY GLENLIVET FOUNDERS RESERVE 700 ML</t>
  </si>
  <si>
    <t>HARINA LUCUMA 250G ECOANDINO</t>
  </si>
  <si>
    <t>HARINA MAIZ MORADO 250G ECOANDINO</t>
  </si>
  <si>
    <t>HARINA CAMU CAMU 100G ECOANIDNO</t>
  </si>
  <si>
    <t>HARINA QUINUA GELATINIZADA 250G ECOANDIN</t>
  </si>
  <si>
    <t>CEREAL SUNRISE NATURE'S PATH VAINILLA</t>
  </si>
  <si>
    <t>VINO ANDELUNA 1300 MERLOT 750 ML</t>
  </si>
  <si>
    <t>VINO VIU MANENT RSVA CHARDONNAY BOT750ML</t>
  </si>
  <si>
    <t>VINO RUFFINO ORVIETO CLASSICO 750 ML</t>
  </si>
  <si>
    <t>VINO LOS CARDOS BLEND X 750 ML.</t>
  </si>
  <si>
    <t>GEL ANTB INSTANT CLEAN BOT 1L</t>
  </si>
  <si>
    <t>RON ZACAPA 23 AÑOS 750 ML + 2 VASOS</t>
  </si>
  <si>
    <t>VINO AMALAYA TERRITORIO MALBEC 750 ML</t>
  </si>
  <si>
    <t>JUGO DE GRANADA POMEGRANATE X 64 OZ</t>
  </si>
  <si>
    <t>VINO SALENTEIN RESERVA MERLOT 750 ML</t>
  </si>
  <si>
    <t>CRE DEN SENSODYNE RAPIDO ALIVIO CAJ 100G</t>
  </si>
  <si>
    <t>VODKA RUSSKAYA CITRUS 750 ML</t>
  </si>
  <si>
    <t>VODKA RUSSKAYA CLASSIC 1 LT</t>
  </si>
  <si>
    <t>DESHUM BOLASECA GANCHO X 400G</t>
  </si>
  <si>
    <t>PACK SAL MARAS EXQUIS.COLEC.NAT.CRYSTAL</t>
  </si>
  <si>
    <t>CAFE EN GRANO GOURMET X 250GR ZENA</t>
  </si>
  <si>
    <t>VINO DADA"3"FINCA LAS MORAS BLEND 750ML</t>
  </si>
  <si>
    <t>BOMBONES DOS CERRITOS CARTERITA 100 GR</t>
  </si>
  <si>
    <t>SCOTCH BRITE CORNER CADDY</t>
  </si>
  <si>
    <t>BOWL QUINUA C/SAL/ ALCA/ PIMIE X 225GR</t>
  </si>
  <si>
    <t>PACK CHILCANERO TABERNERO</t>
  </si>
  <si>
    <t>PISCO QOLLQE X 50 ML. TRI PACK (UND)</t>
  </si>
  <si>
    <t>GOLOSINAS SURT CHANCHITO ALCANCIA X34G</t>
  </si>
  <si>
    <t>SCOTCH-BRITE PAÑO SECATODO COLORESX3</t>
  </si>
  <si>
    <t>EGUE BUC LISTER WHT XTRM TRMBLE 236MLX12</t>
  </si>
  <si>
    <t>EGUE BUC LISTER WHT XTRM TRMBLE 473MLX12</t>
  </si>
  <si>
    <t>CHOCOLATE MILKY FONDY PACK X6 LA IBERICA</t>
  </si>
  <si>
    <t>BEBIDA PACIFIC ORG COCO ORIG 946ML</t>
  </si>
  <si>
    <t>BEBIDA PACIFIC ORG COCOVAIN S/AZUC 946ML</t>
  </si>
  <si>
    <t>BOMBON BELGIAN DARK CHOCO SEASHELL250G</t>
  </si>
  <si>
    <t>BOMBONES BELGIAN DARK CHOCO SEASHELL60G</t>
  </si>
  <si>
    <t>DEO SECRET SCENT GEL LAVx45GR</t>
  </si>
  <si>
    <t>ROLLO 200BOLSAS DESECHOS PLASTIC 20X29.5</t>
  </si>
  <si>
    <t>VEGETALES MIXTOS VALLE FERTIL X 425 G.</t>
  </si>
  <si>
    <t>SALSA BBQ HONEY 510GR KRAFT</t>
  </si>
  <si>
    <t>CERVEZA ESTRELLA DAMM PACK 6 BOT 330 ML</t>
  </si>
  <si>
    <t>CRE CORP I-ESPÑ UREA LCH HID TB 500ML</t>
  </si>
  <si>
    <t>ACEITUNA MARIANA C/ALCAPARRA 240GR CALE</t>
  </si>
  <si>
    <t>VINO VITTORIA RESERVA  MALBEC 750</t>
  </si>
  <si>
    <t>VINO VITTORIA RESERVA CABERNET 750</t>
  </si>
  <si>
    <t>VINO VITTORIA RESERVA SYRAH 750</t>
  </si>
  <si>
    <t>VINO VITTORIA CHARDONNAY 750ML</t>
  </si>
  <si>
    <t>VINO SEPTIMA OBRA CABERNET SAUV 750ML</t>
  </si>
  <si>
    <t>VINO SEPTIMA OBRA MALBEC BOT 750ML</t>
  </si>
  <si>
    <t>VINO LOS ARBOLES CHARDONNAY 750 ML</t>
  </si>
  <si>
    <t>VINO RAMON BILBAO SEL.ESPECIAL BOT 750ML</t>
  </si>
  <si>
    <t>RAMON BILBAO CRIANZA</t>
  </si>
  <si>
    <t>RAMON BILBAO RESERVA</t>
  </si>
  <si>
    <t>CREMA NIVEA CUIDADO NUTRITIVA POTE 50ML</t>
  </si>
  <si>
    <t>CREMA NIVEA CUIDADO NUTRITIVA POTE 100ML</t>
  </si>
  <si>
    <t>CRE NIVEA CUID ACLARADO NAT POTE 50ML</t>
  </si>
  <si>
    <t>CRE NIVEA CUID ACLARADO NAT POTE 100ML</t>
  </si>
  <si>
    <t>CRE NIVEA CUIDADO ANTIARRUGAS POTE 50ML</t>
  </si>
  <si>
    <t>CRE NIVEA CUIDADO ANTIARRUGAS POTE 100ML</t>
  </si>
  <si>
    <t>TAMAL DE ALCACHOFA X230GR CASA VERDE</t>
  </si>
  <si>
    <t>S-B ESPONJA CELULOSA TRABAJO DELICADOX2</t>
  </si>
  <si>
    <t xml:space="preserve"> VODKA PRISCAIA BOT X 1L</t>
  </si>
  <si>
    <t>VINO MONTESIERPE BORGONA X 750 ML</t>
  </si>
  <si>
    <t>VINO MONTESIERPE MALBEC S/S X 750 ML</t>
  </si>
  <si>
    <t>VINO MONTESIERPE ROSE X  750 ML</t>
  </si>
  <si>
    <t>VINO MONTESIERPE CHENIN BLANC S/S</t>
  </si>
  <si>
    <t>GEL HIDRATANTE INST ESP AVENAX750ML</t>
  </si>
  <si>
    <t>PISCO PURO HUAMANI QUEBRANTA 700 ML</t>
  </si>
  <si>
    <t>PISCO PURO HUAMANI ACHOLADO 700 ML</t>
  </si>
  <si>
    <t>SHAMPOO SPIDER-MAN 300ML</t>
  </si>
  <si>
    <t>COLONIA 2D SPIDER-MAN 175 ML</t>
  </si>
  <si>
    <t>DET LIQ TIDE 1.47LT-24LAV, ULTRA STAIN</t>
  </si>
  <si>
    <t>DET LIQ TIDE 1.36LT-24LAV, DOWNY</t>
  </si>
  <si>
    <t>ESPUMANTE VITTORIA MUSCAT 750</t>
  </si>
  <si>
    <t>ESPUMANTE VITTORIA MUSCAT ROSSO 750</t>
  </si>
  <si>
    <t>VINO ANGELICA ZAPATA CAB.SAUV 750 ML</t>
  </si>
  <si>
    <t>SCOTCH BRITE PAÑO SECATODO X10</t>
  </si>
  <si>
    <t>SCOTCH BRITE ESPONJA VERDE X10</t>
  </si>
  <si>
    <t>GARBANZO FRITO SALADO X KILO</t>
  </si>
  <si>
    <t>SCOTCH BRITE PAÑO MICROFIBRA COLORES X4</t>
  </si>
  <si>
    <t>CHIVAS 12YO 750ML + ABSOLUT 750ML</t>
  </si>
  <si>
    <t>JABON LIQ ANTIB BACTERION 300ML AVENA</t>
  </si>
  <si>
    <t>JABON LIQ ANTIB BACTERION 500ML AVENA</t>
  </si>
  <si>
    <t>WHISKY JOHNNIE WALKER BLACK 750 ML LATA</t>
  </si>
  <si>
    <t>GEL CAB MOCO GOR PUNK TRAVEL SIZE BOT85G</t>
  </si>
  <si>
    <t>MDTECH LIQ ESPANTA PERRO Y GATO O.50 LT</t>
  </si>
  <si>
    <t>MDTECH LIQ ESPANTA PERRO Y GATO 1.0 LT</t>
  </si>
  <si>
    <t>PISCO SOUR LIMÓN TABERNEROX700 ML</t>
  </si>
  <si>
    <t>QUINUA EN GRANOS ORGANICA BOLSA 250 g.</t>
  </si>
  <si>
    <t>*LIMP. CUERO CON ACONDICIONADOR 240 ML</t>
  </si>
  <si>
    <t>RON CARTAVIO BLACK BARREL 750 ML</t>
  </si>
  <si>
    <t>GIN ANTAGONIC 750 ML</t>
  </si>
  <si>
    <t>VINO SELECCIÓN DEL ENOLOGO MALBEC 750 ML</t>
  </si>
  <si>
    <t>JUGO LONDA NARANJA 100% 1.89 LTS</t>
  </si>
  <si>
    <t>PISTACHOS  WONDERFUL TOSTD / SLDO  35 gr</t>
  </si>
  <si>
    <t>PISTCHOS WONDFL TOSTD/ LIGERO SAL 227g</t>
  </si>
  <si>
    <t>VINO INTIPALKA VARIETAL MALBEC 375ML</t>
  </si>
  <si>
    <t>VINO INTIPALKA VARIETAL SYRAH 375ML</t>
  </si>
  <si>
    <t>VINO INTIPALKA VARIETAL SAUV BLANC 375ML</t>
  </si>
  <si>
    <t>PAN DE ARROZ&amp;PLATANO ENER-G 397G</t>
  </si>
  <si>
    <t>PAN BLANCO DELI STYLE ENER-G 454G</t>
  </si>
  <si>
    <t>WALKERS OATFLAKE &amp; CRANBERRY 150G</t>
  </si>
  <si>
    <t>VINO TABERNERO GRAN TINTO SEMI SECO 750</t>
  </si>
  <si>
    <t>ACOND KATIVA OLEO ARGAN 4-OILS 120ML</t>
  </si>
  <si>
    <t>SHAMPOO KATIVA KERATINA X 1L</t>
  </si>
  <si>
    <t>ACOND KATIVA KERATINA BALSAMO  1LT</t>
  </si>
  <si>
    <t>SHAMPOO KATIVA KERATINA X 250ML</t>
  </si>
  <si>
    <t>ACOND KATIVA KERATINA BALSAMO  250ML</t>
  </si>
  <si>
    <t>GIN G'INCA 700 ML</t>
  </si>
  <si>
    <t>GIN AMAZONIAN COMPANY 700 ML</t>
  </si>
  <si>
    <t>TALCO HANSAPLAST FOOT TRI-ACTIONX300GR</t>
  </si>
  <si>
    <t>BLOQ FACIAL BAHIA FACES SPF90  60GR</t>
  </si>
  <si>
    <t>BLOQ BAHIA FACES SPF90 120GR</t>
  </si>
  <si>
    <t>ESPUMANTE NVY MAQUI BLUEBERRY</t>
  </si>
  <si>
    <t>ESPUMANTE NVY PASSION FRUIT BOT 750ML</t>
  </si>
  <si>
    <t>CIGARRILLO MARLBORO FUSION X20</t>
  </si>
  <si>
    <t>CHIA ORGANICA VIDA&amp;CHIA 250GR</t>
  </si>
  <si>
    <t>GIN HENDRICKS X 700 ML</t>
  </si>
  <si>
    <t>BEBIDA PACIFIC ORG ALMEND S/AZUC 946ML</t>
  </si>
  <si>
    <t>BEBIDA ALMENDRA VAINILLA S/AZUCAR NH 946</t>
  </si>
  <si>
    <t>HARINA DE ARROZ BOB'S RED MILL</t>
  </si>
  <si>
    <t>HARINA DE ALMENDRAS BOB'S RED MILL</t>
  </si>
  <si>
    <t>CERVEZA ESTRELLA DAMM INEDIT BOT 330 ML</t>
  </si>
  <si>
    <t>CREMA DE CHOCLO DESGRANADO X 418 G.</t>
  </si>
  <si>
    <t>NOGLUT GALLETAS CHIPS CHOCOLATE 150G</t>
  </si>
  <si>
    <t>MEZCLA DE HARINAS 1 A 1 BOB'S RED MILL</t>
  </si>
  <si>
    <t>NOGLUT GALLETAS JUNGLA 100G</t>
  </si>
  <si>
    <t>NOGLUT GALLETAS MARIA 210 GR</t>
  </si>
  <si>
    <t>MEZCLA P/ PANQUEQUES&amp;CREPES 210G KATZEL</t>
  </si>
  <si>
    <t>HOJUELAS DE AVENA BOB'S RED MILL</t>
  </si>
  <si>
    <t>GUANTE MULTIPROPOSITO X100 ETERNA</t>
  </si>
  <si>
    <t>GIN LA REPUBLICA ANDINO BOT 700ML</t>
  </si>
  <si>
    <t>CO SCUNCI SPORT 3 LIGAS ELASTICS  6 UND</t>
  </si>
  <si>
    <t>CO SCUNCI SPORT SOLID LIGAS ELASTICS 32U</t>
  </si>
  <si>
    <t>CO SCUNCI SPORT KNOTED PONYTAILERS 6UND </t>
  </si>
  <si>
    <t>PISCO DEMONIO DE LOS ANDES ITALIA 700ML</t>
  </si>
  <si>
    <t>DIETTE ORIGINAL X 50 B X 1.5. G</t>
  </si>
  <si>
    <t>DIETTE CON TE VERDE X 50 B X 1.5 G</t>
  </si>
  <si>
    <t>BOL.BASURA TACHITO BIO RLL 80X110 10UN</t>
  </si>
  <si>
    <t>BOL.BASURA TACHITO BIO RLL 70X90 10UN</t>
  </si>
  <si>
    <t>BOL.BASURA TACHITO BIO RLL 50X700 10UN</t>
  </si>
  <si>
    <t>SCOTCH BRITE DISHWAND</t>
  </si>
  <si>
    <t>SCOTCH BRITE PAÑO PARA BAÑO X3</t>
  </si>
  <si>
    <t>SCOTCH BRITE PAÑO PARA COCINA X3</t>
  </si>
  <si>
    <t>CLLO DEN SENSODYNE MULTIPROT BLIS X 1UND</t>
  </si>
  <si>
    <t>VINO VALDIVIESO GC CABALLO LOCO LIMARI</t>
  </si>
  <si>
    <t>RADARCAN ENCHUFE REPELE MOSQUITOS</t>
  </si>
  <si>
    <t>RADARCAN ENCHUFE REPELE HORMIGAS</t>
  </si>
  <si>
    <t>RADARCAN PORTATIL REPELE RATON/CUCARACHA</t>
  </si>
  <si>
    <t>RADARCAN ENCHUFE REPELE RATON/CUCARACHA</t>
  </si>
  <si>
    <t>VINO TACAMA B.DE BLANCOS SB 750ML</t>
  </si>
  <si>
    <t>SOL ECLAIR ACLARADOR CAB FR 150ML</t>
  </si>
  <si>
    <t>TAMAL DE QUINUA 230GR CASA VERDE</t>
  </si>
  <si>
    <t>ADELGAZANTE 40 GR NUESTRA SALUD</t>
  </si>
  <si>
    <t>HIGASAN 40 GR NUESTRA SALUD</t>
  </si>
  <si>
    <t>DIABESTISAN 40 GR NUESTRA SALUD</t>
  </si>
  <si>
    <t>GEL LIMP NEUTROG ULTRAGENTLE BOT 354ML</t>
  </si>
  <si>
    <t>MEZCLA PARA BROWNIES 313G KATZEL</t>
  </si>
  <si>
    <t>ACIDO ECOLOGICO DIAMANTE 1KG</t>
  </si>
  <si>
    <t>ACIDO ECOLOGICO DIAMANTE 2KG</t>
  </si>
  <si>
    <t>PATE DE FOIE HIGADO CERDO 130GR HENAFF</t>
  </si>
  <si>
    <t>PATE DE CAMPAGNE DE CERDO 130GR HENAFF</t>
  </si>
  <si>
    <t>MOUSSE CANARD HIGADO PATO 115GR HENAFF</t>
  </si>
  <si>
    <t>REFIELL PAELLA MARIS KIT CARMENCITA 470G</t>
  </si>
  <si>
    <t>CERVEZA S/G DAURA DAMM PACK 6 BOT 330 ML</t>
  </si>
  <si>
    <t>CERVEZA S/A FREE DAMM PACK 6 BOT 250 ML</t>
  </si>
  <si>
    <t>SPAGHETTI INTEGRAL AGNESI 500G</t>
  </si>
  <si>
    <t>PENNE RIGATE INTEGRAL AGNESI 500G</t>
  </si>
  <si>
    <t>ALCAPARRAS EN VINAGRE  S/G 145 GR.HELIOS</t>
  </si>
  <si>
    <t>VINO ESCORIHUELA GASCON SAUVIG BLANC.750</t>
  </si>
  <si>
    <t>SIROPE SABOR A MAPLE X 480 GR DULKEN</t>
  </si>
  <si>
    <t>SIROPE DE CHANCACA 480 GR DULKEN</t>
  </si>
  <si>
    <t>MOUSSE CANARD OLIV-PATO OLI 115G HENAFF</t>
  </si>
  <si>
    <t>INTIPALKA PISCO 750ML QUEBRANTA</t>
  </si>
  <si>
    <t>INTIPALKA PISCO 750ML ACHOLADO</t>
  </si>
  <si>
    <t>INTIPALKA PISCO 750ML ITALIA</t>
  </si>
  <si>
    <t>PISCO MV DON ESTEBAN ITALIA 500 ML</t>
  </si>
  <si>
    <t>PISCO MV DON ESTEBAN TORONTEL 500 ML</t>
  </si>
  <si>
    <t>PISCO MV DON ESTEBAN QUEBRANTA 500 ML</t>
  </si>
  <si>
    <t>PISCO MV DON ESTEBAN ACHOLADO 500 ML</t>
  </si>
  <si>
    <t>ESTUCHE  02 BOTELLAS LAN CRIANZA</t>
  </si>
  <si>
    <t>ESTUCHE LAS MORAS VARIETAL 02 BOTELLAS</t>
  </si>
  <si>
    <t>RON SANTA TERESA GRAN RESERVA  X 750ML</t>
  </si>
  <si>
    <t>RON SANTA TERESA LINAJE  X 750ML</t>
  </si>
  <si>
    <t>PISCANO SOUR PIÑA COLADA 700ML</t>
  </si>
  <si>
    <t>PISCANO SOUR MANGO 700ML</t>
  </si>
  <si>
    <t>SH SUERO UÑAS X13.3ML NAILGROWTH</t>
  </si>
  <si>
    <t>AEROSOL TERNURA DE BEBE WONG RPTO 250ML</t>
  </si>
  <si>
    <t>AEROSOL FRESCURA TROPICAL WONG RPT 250ML</t>
  </si>
  <si>
    <t>AEROSOL PERA SILVESTRE WONG RPTO 250ML</t>
  </si>
  <si>
    <t>AEROSOL TERNURA DE BEBE METRO RPTO 250ML</t>
  </si>
  <si>
    <t>AEROS. FRESCURA TROPICAL METRO RPT 250ML</t>
  </si>
  <si>
    <t>AEROSOL PERA SILVESTRE METRO RPTO 250ML</t>
  </si>
  <si>
    <t>STEVIA NUTRASTEVIA CAJA X 50 SOBRES</t>
  </si>
  <si>
    <t>STEVIA NUTRASTEVIA CAJA X 80 SOBRES</t>
  </si>
  <si>
    <t>STEVIA NUTRASTEVIA CAJA X 120 SOBRES</t>
  </si>
  <si>
    <t>SCOTCH BRITE EXTREME FIBRA X2</t>
  </si>
  <si>
    <t>SCOTCH BRITE EXTREME CELULOSA X1</t>
  </si>
  <si>
    <t>SCOTCH BRITE EXTREME CELULOSA X2</t>
  </si>
  <si>
    <t>CHOCOLATE SINAZUCAR ARANDANO70G DOMENICO</t>
  </si>
  <si>
    <t>CHOCOLATE AVELLANAS S/AZUCAR72% DOMENICO</t>
  </si>
  <si>
    <t>SUJETA ESCOBA 17007-ES BROOM GRIPPER 3M</t>
  </si>
  <si>
    <t>HARINA DE LINAZA X 200 GR MARIMIEL</t>
  </si>
  <si>
    <t>ELECTROLIGHT SIX PACK X 475 ML 3 SABORES</t>
  </si>
  <si>
    <t>VINO TRUMPETER RESERVA MALBEC</t>
  </si>
  <si>
    <t>VINO TRUMPETER RESERVA BLEND</t>
  </si>
  <si>
    <t>DET LIQ TIDE 1.36LT-32LAV, HE FREE</t>
  </si>
  <si>
    <t>DET LIQ TIDE 4.2LT-96LAV, ORIGINAL</t>
  </si>
  <si>
    <t>DET LIQ DREFT 1.36LT-32LAV, ACT BABY</t>
  </si>
  <si>
    <t>MIEL DE MAPLE ORGÁNICA NOKOMIS 250ML</t>
  </si>
  <si>
    <t>MIEL DE MAPLE ORG. NOKOMIS 250ML JARRITA</t>
  </si>
  <si>
    <t>MIEL DE MAPLE ORGÁNICA NOKOMIS 500ML</t>
  </si>
  <si>
    <t>DELIN CEJ MAYBELL MSTR SHAP SOFT BRW X1</t>
  </si>
  <si>
    <t>DELIN CEJ MAYBELL MSTR SHAP DEEP BRW X1</t>
  </si>
  <si>
    <t>GEL INSTITUTO ESP DE UREA DE BAÑOX750ML</t>
  </si>
  <si>
    <t>REPELENTE PREMIERE SP KIDS NATUREX120ML</t>
  </si>
  <si>
    <t>TOAL HUMEDA TUINIES HELLO KITTY BOL X 25</t>
  </si>
  <si>
    <t>VINO ROSÉ GRAN SELECCIÓN BOT 750ML</t>
  </si>
  <si>
    <t>DESOD SECRET CLINICAL LGH&amp;FRESH CAJ 45G</t>
  </si>
  <si>
    <t>GRANOLA AVENA, MANZANA Y CANELA CROSOY</t>
  </si>
  <si>
    <t>GRANOLA AVENA, CAST Y VAINILLA CROSOY</t>
  </si>
  <si>
    <t>GRANOLA AVENA,ALMEND,PASAS Y COC CROSOY</t>
  </si>
  <si>
    <t>ESTUCHE GRANDE NEW PE X 6</t>
  </si>
  <si>
    <t>VINAG.ACETO BALSAMIC 250ML HENGSTENBERG</t>
  </si>
  <si>
    <t>AGUA TÓNICA SAN PELLEGRINO 330ML</t>
  </si>
  <si>
    <t>SOL ECLAIR POLVO DECOLORANTE BLI12GR</t>
  </si>
  <si>
    <t>SCOTCH BRITE PAÑO COLLECTION ABS X3</t>
  </si>
  <si>
    <t>RON SANTA TERESA CLARO X 700ML</t>
  </si>
  <si>
    <t>CERV SIERRA ANDINA 330, SHAMAN IPA</t>
  </si>
  <si>
    <t>CERV SIERRA ANDINA 330, PACHACUTEC IMP</t>
  </si>
  <si>
    <t>GALLETA BALLCAKES -VAINIL120GR</t>
  </si>
  <si>
    <t>PACK 2 VINOS QUEIROLO BORG/ROSE 750ML</t>
  </si>
  <si>
    <t>PACK 2 VINOS QUEIROLO BORG/COSECHA 750ML</t>
  </si>
  <si>
    <t>CHOCOLATE SAPITO BOLSA 270G</t>
  </si>
  <si>
    <t>CHOCOLATE MINI GOLPE BOLSA 288G</t>
  </si>
  <si>
    <t>CERVEZA MAHOU CLÁSICA LATA 330 ML</t>
  </si>
  <si>
    <t>RON FLOR DE CAÑA 7 AÑOS 1 LT</t>
  </si>
  <si>
    <t>GUANTE MULTIUSOS ECONOMICO WONG TALLA S</t>
  </si>
  <si>
    <t>GUANTE MULTIUSOS ECONOMICO WONG TALLA M</t>
  </si>
  <si>
    <t>GUANTE MULTIUSOS ECONOMICO WONG TALLA L</t>
  </si>
  <si>
    <t>GUANTE ANTIDESLIZANTE WONG TALLA S</t>
  </si>
  <si>
    <t>GUANTE ANTIDESLIZANTE WONG TALLA M</t>
  </si>
  <si>
    <t>GUANTE ANTIDESLIZANTE WONG TALLA L</t>
  </si>
  <si>
    <t>GUANTE EXTRALARGO DECORADO WONG TALLA S</t>
  </si>
  <si>
    <t>GUANTE EXTRALARGO DECORADO WONG TALLA M</t>
  </si>
  <si>
    <t>GUANTE EXTRALARGO DECORADO WONG TALLA L</t>
  </si>
  <si>
    <t>GUANTE MULTIUSO ECONOMICO METRO TALLA S</t>
  </si>
  <si>
    <t>GUANTE MULTIUSO ECONOMICO METRO TALLA L</t>
  </si>
  <si>
    <t>GUANTE ANTIDESLIZANTE METRO TALLA S</t>
  </si>
  <si>
    <t>HARINA 7 SEMILLAS X 200 GR MARIMIEL</t>
  </si>
  <si>
    <t>GUANTE ANTIDESLIZANTE METRO TALLA M</t>
  </si>
  <si>
    <t>GUANTE ANTIDESLIZANTE METRO TALLA L</t>
  </si>
  <si>
    <t>GUANTE EXTRALARGO DECORADO METRO TALLA S</t>
  </si>
  <si>
    <t>GUANTE EXTRALARGO DECORADO METRO TALLA L</t>
  </si>
  <si>
    <t>CAFÉ MOLIDO ORG BLUE LLAMA AMAZONAS 284G</t>
  </si>
  <si>
    <t>DEO BARRA SECRET SCENT LAVENDER X73G</t>
  </si>
  <si>
    <t>PECANA ACARAMELADA</t>
  </si>
  <si>
    <t>CERVEZA CANDELARIA LA PERUANA BOT 330ML</t>
  </si>
  <si>
    <t>CERVEZA CANDELARIA PERU PACK 4 BOT 330ML</t>
  </si>
  <si>
    <t>AGUA SAN PELLEGR C/GAS SIXPACK PET 500ML</t>
  </si>
  <si>
    <t>PACK PAÑO SECAX8+MULTIX5+ESPON2EN1X2</t>
  </si>
  <si>
    <t>CAVA STARS PERELADA BRUT ROSE 750 ML</t>
  </si>
  <si>
    <t>JARABE AGAVE ORGANICO 330G AMERICA ORG.</t>
  </si>
  <si>
    <t>NOPAL FLAX 454 GR NUESTRA SALUD</t>
  </si>
  <si>
    <t>NOPAL FLAX PIÑA 454 GR NUESTRA SALUD</t>
  </si>
  <si>
    <t>GEL LIMP NEUTROG FAC PNK GRAPE BOT 177ML</t>
  </si>
  <si>
    <t>EXFOL FAC NEUTR PINK GRAPEFRUIT TB 124ML</t>
  </si>
  <si>
    <t>PROTECT CAREFREE MULTIFLEXI BRISAX60</t>
  </si>
  <si>
    <t>PROTECT CAREFREE MULTIFLEXI BRISAX150</t>
  </si>
  <si>
    <t>QUINUA BLANCA ORGANICA VIDA&amp;QUINUA 454GR</t>
  </si>
  <si>
    <t>CHOCOLATE FONDY MINI LA IBERICA 200GR</t>
  </si>
  <si>
    <t>CHOCOLATE FONDY MINI LA IBERICA 400GR</t>
  </si>
  <si>
    <t>VINO LOS HAROLDOS ESTATE BLEND X 750ML</t>
  </si>
  <si>
    <t>VINO LOS HAROLDOS ESTATE SAU BLANCX750ML</t>
  </si>
  <si>
    <t>VINO LOS HAROLDOS ESTATE CAB SAUV X750ML</t>
  </si>
  <si>
    <t>VINO LOS HAROLDOS ESTATE MALBEC X 750ML</t>
  </si>
  <si>
    <t>VINO RESERVA DE FAMILIA CAB. SAUV X750ML</t>
  </si>
  <si>
    <t>VERMOUTH NOILLY PRAT EXTRA DRY 750ML</t>
  </si>
  <si>
    <t>RODILLO QUITAPELUSAS 3M ERA DE HIELO</t>
  </si>
  <si>
    <t>PAÑITOS SECADORA X 40 HOJAS ARM&amp;HAMMER</t>
  </si>
  <si>
    <t>ALMENDRAS NATURALES</t>
  </si>
  <si>
    <t>ARVEJAS FRITAS</t>
  </si>
  <si>
    <t>ARVEJAS PICANTES</t>
  </si>
  <si>
    <t>GARBANZO PICANTE</t>
  </si>
  <si>
    <t>MANI CON PASAS</t>
  </si>
  <si>
    <t>FILTRO PARA CAFETERA  TRU BREW CONO 100</t>
  </si>
  <si>
    <t>TOALLAS P/MASCOTA REFIIL 50UNID STRAWBE</t>
  </si>
  <si>
    <t>TOALLAS P/MASCOTA REFIIL 50UNID VAINILL</t>
  </si>
  <si>
    <t>TOALLAS P/MASCOTA REFIIL 50UNID LEMON</t>
  </si>
  <si>
    <t>CHOCOLATE SORINI VASO 900 G 400</t>
  </si>
  <si>
    <t>VINO SALENTEIN NUMINA CAB FRANC 750 ML</t>
  </si>
  <si>
    <t>VINO SALENTEIN RESERVA MALBEC 375 ML</t>
  </si>
  <si>
    <t>FILTRO PARA CAFETERA  GOURMAY # 4</t>
  </si>
  <si>
    <t>VINO SALENTEIN NUMINA MALBEC 750 ML</t>
  </si>
  <si>
    <t>SB PAÑO ABSX4+SECX1+ESPON2EN1X3</t>
  </si>
  <si>
    <t>CREMA PEINAR ELVIVE OLEO RIZOS BOT300ML</t>
  </si>
  <si>
    <t>ACEITUNA MEDITERRANEA ENTERA 300G CALE</t>
  </si>
  <si>
    <t>PAN BLANCO S/GLUT 480G MOLINOS DEL MUNDO</t>
  </si>
  <si>
    <t>TOSTADAS LIGERAS AVENA BIO 100GR</t>
  </si>
  <si>
    <t>EGUE BUC LISTER CUID TOT ZERO BOT 180ML</t>
  </si>
  <si>
    <t>EGUE BUC LISTER CUID TOT ZERO BOT 500ML</t>
  </si>
  <si>
    <t>JABON LIQ ANTIB BACTERION 500ML VAIN-COC</t>
  </si>
  <si>
    <t>M&amp;MS PRETZEL CHOCOLATE 1.14OZ 24CT 12/CA</t>
  </si>
  <si>
    <t>PISCO MV HUAMANI QUEBRANTA 700 ML</t>
  </si>
  <si>
    <t>SILICONA UV3 AEROSOL+RENOV. LLANTAX PREC</t>
  </si>
  <si>
    <t>VINO TERRANOBLE GRAN RESERVA CARMENERE</t>
  </si>
  <si>
    <t>VINO TERRANOBLE GRAN RSVA CABERNT SAUVGN</t>
  </si>
  <si>
    <t>VINO TERRANOBLE GRAN RESERVA MERLOT</t>
  </si>
  <si>
    <t>CALABAZA DIABLITO HALLOWEEN 100GR ARCOR</t>
  </si>
  <si>
    <t>ESPUMOSO MARTINI ROSE BOT 750 ML</t>
  </si>
  <si>
    <t>BLOQ NEUTROGENA FPS50 200ML</t>
  </si>
  <si>
    <t>BLOQ NEUTROGENA SUN FRESH FPS70 200ML</t>
  </si>
  <si>
    <t>BLOQ NEUTROGENA SUN FRESH FPS70 120ML</t>
  </si>
  <si>
    <t>BRON NIVEA SUN INTENSE&amp;BRONZ FPS6 200ML</t>
  </si>
  <si>
    <t>TALCO ISANA PARA PIESX240G+MEDIAS</t>
  </si>
  <si>
    <t>PANETTONE GRAN PANDORO MAINA 1000GR</t>
  </si>
  <si>
    <t>YERBA MATE CON PALO ROSAMONTE X500GR</t>
  </si>
  <si>
    <t>YERBA MATE CON PALO ROSAMONTE X1KG</t>
  </si>
  <si>
    <t>VINO FINCA ROTONDO CHEN BLANC SAUVIG 750</t>
  </si>
  <si>
    <t>PISCO SOUR MARACUYA TABERNEROX700 ML</t>
  </si>
  <si>
    <t>TOALLAS P/MASCOTAS REFILL X 10UND LIMON</t>
  </si>
  <si>
    <t>HARINA DE LUCUMAX 200 GR MARIMIEL</t>
  </si>
  <si>
    <t>TOALLAS P/MASCOTAS REFILL X 10UND STRAW</t>
  </si>
  <si>
    <t>TOALLAS P/MASCOTAS REFILL X 10UND VAINI</t>
  </si>
  <si>
    <t>PEDIASURE TRIPLESURE CHOCO X220ML ABBOTT</t>
  </si>
  <si>
    <t>PEDIASURE TRIPLE VAINILLA  4PACK 220ML</t>
  </si>
  <si>
    <t>BRUSCHETAS TOM,ACEIT,OREG  150GR MARETTI</t>
  </si>
  <si>
    <t>ESPUMANTE LIMITED DOLCE BIANCO</t>
  </si>
  <si>
    <t>PISCO VARGAS CT X 0.750CC</t>
  </si>
  <si>
    <t>PANETON S/GLUTEN MOLINOS 200 GRS.</t>
  </si>
  <si>
    <t>DET POLVO MAGIA BLANCA X2KG, FLORAL</t>
  </si>
  <si>
    <t>CHOCOLATE INTENSO 85% CACAO DOMENICO</t>
  </si>
  <si>
    <t>TWOPACK WHISKY OLD PARR 750ML</t>
  </si>
  <si>
    <t>ORGANIC LEM.GINGER HERB TEA BIGELOW 20UN</t>
  </si>
  <si>
    <t>ORGANIC ROOIBOS HERB TEA BIGELOW 20UN</t>
  </si>
  <si>
    <t>ORGANIC CHAI BLACK TEA BIGELOW 20UN</t>
  </si>
  <si>
    <t>ORGANIC EARL GREY BLACK TEA BIGELOW 20UN</t>
  </si>
  <si>
    <t>ORGANIC PURE GREEN TEA BIGELOW 20UN</t>
  </si>
  <si>
    <t>ORGANIC OOLONG&amp;JASMINE GTEA BIGELOW 20UN</t>
  </si>
  <si>
    <t>BLOQ HAWA TROP AIR SOFT SILK SPF50 150ML</t>
  </si>
  <si>
    <t>BRILLO COLOR CERA ROJO 300ML SIMONIZ</t>
  </si>
  <si>
    <t>BRILLO COLOR CERA PLATA 300ML SIMONIZ</t>
  </si>
  <si>
    <t>BRILLO COLOR CERA NEGRO 300ML SIMONIZ</t>
  </si>
  <si>
    <t>CREMA QUITA RAYON PLATA 120ML SIMONIZ</t>
  </si>
  <si>
    <t>CREMA QUITA RAYON NEGRO 120ML SIMONIZ</t>
  </si>
  <si>
    <t>CEREZAS ROJAS MARRASQUINO 10OZ PENNAT</t>
  </si>
  <si>
    <t>CEREZAS ROJAS MARRASQUINO 16OZ PENNAT</t>
  </si>
  <si>
    <t>GIN CITADELLE 750 ML</t>
  </si>
  <si>
    <t>RON PLANTATION X0 20 ANNIVERSARY 750 ML</t>
  </si>
  <si>
    <t>MARSHMALLOWS BOTA NAVIDAD GUANDY 125GR</t>
  </si>
  <si>
    <t>ROMBOIDE CHOCOLATES PIRAMIDE BRITT 330G</t>
  </si>
  <si>
    <t>PIÑA EN RODAJAS ARICA X 565GR</t>
  </si>
  <si>
    <t>COCKTAIL DE FRUTAS ARICA X 820GR</t>
  </si>
  <si>
    <t>CHOCO SORINI BOTTIGLIA SORINETTE G.280</t>
  </si>
  <si>
    <t>CERVEZA CANDELARIA LAGER BOT 330ML</t>
  </si>
  <si>
    <t>CERVEZA CANDELARIA PACK 6 BOT LAGER</t>
  </si>
  <si>
    <t>WHISKY CHIVAS REGAL ULTIS BOT 700 ML</t>
  </si>
  <si>
    <t>RON PLANTATION GRAN RESERVA 750 ML</t>
  </si>
  <si>
    <t>CICCHITTI PRIMO MALBEC  X 750 ML.</t>
  </si>
  <si>
    <t>DETERG LIQUI WOOLITE TODOS LOS DIASX2LT</t>
  </si>
  <si>
    <t>2PACK MONTESIERPE BORG/ROSE + PETACA</t>
  </si>
  <si>
    <t>DURAZNO EN MITADES GRAN DANUBIO FCO 550G</t>
  </si>
  <si>
    <t>MONDADIENTES INTI  x 250 und</t>
  </si>
  <si>
    <t>BROCHETAS INTI 25 CM X 100 UND.</t>
  </si>
  <si>
    <t>EST HENO DE PRAVIA COL500+LOCX400+100</t>
  </si>
  <si>
    <t>RON CARTAVIO SOLERA 750ML X 2 UN</t>
  </si>
  <si>
    <t>MAUR.LORCA FANTASIA CHARDONAY X 750 ML</t>
  </si>
  <si>
    <t>ESTUCHE LAN RIOJA C+ DUQUESA VALLADOLID</t>
  </si>
  <si>
    <t>REP PREMIER  SPF 30 AER TOP X100ML</t>
  </si>
  <si>
    <t>PANETTONE CIOCCOLOTTO MAINA 750G</t>
  </si>
  <si>
    <t>VINTO TINTO PESQUERA RESERVA X 75 CL.</t>
  </si>
  <si>
    <t>BOMBONES PERUGINA 175G BACI</t>
  </si>
  <si>
    <t>BOMBON EN CAJA 150G BACI</t>
  </si>
  <si>
    <t>V. BORGOÑA SN. COLECC. DE FAM. X 750 ML</t>
  </si>
  <si>
    <t>MAUR.LORCA OPALO CABERN SAUVIG X 750</t>
  </si>
  <si>
    <t>RON DIPLOMATICO SINGLE VINTAGE 700ML</t>
  </si>
  <si>
    <t>WHISKY MACALLAN 12 AÑOS BOT 700 ML</t>
  </si>
  <si>
    <t>PISCO COLECCIÓN PRIVADA TRES CEPAS 500ML</t>
  </si>
  <si>
    <t>PISCO MOSTO V. TABERNERO PACK 3BOT 50ML</t>
  </si>
  <si>
    <t>QUINUA BLANCA  VIDA&amp;QUINUA X 454 GR</t>
  </si>
  <si>
    <t>QUINUA NEGRA VIDA&amp;QUINUA  X 454 GR</t>
  </si>
  <si>
    <t>QUINUA ROJA VIDA&amp;QUINUA  X 454 GR</t>
  </si>
  <si>
    <t>QUINUA TRICOLOR  VIDA&amp;QUINUA X 454 GR</t>
  </si>
  <si>
    <t>VINO MISIONES D RENGO CAB.SAUV RSVA.X750</t>
  </si>
  <si>
    <t>ESPUMANTE VALDIVIESO LIMITED BRUT</t>
  </si>
  <si>
    <t>Terrafertil Coco-Tropica caj x 20 sobres</t>
  </si>
  <si>
    <t>Terrafertil Frutos Rojos x20 sobres</t>
  </si>
  <si>
    <t>Terrafertil Mix 5 sabores x20 sobres</t>
  </si>
  <si>
    <t>Terrafertil Te Chai c/specias x20 sobres</t>
  </si>
  <si>
    <t>TORTILLA MEXINACHOS PICANTES 90G COEXPRA</t>
  </si>
  <si>
    <t>SECRET CLINICAL BARRA POWDER 45GR</t>
  </si>
  <si>
    <t>CEREAL HEARTY FLAKES ORGANICO 300 g.</t>
  </si>
  <si>
    <t>CACAO MORNINGS ORGANICO  200 g.</t>
  </si>
  <si>
    <t>MERMELADA ECOANDINO ORG AGUAY AGAVE 240G</t>
  </si>
  <si>
    <t>MERMELADA ECOANDINO ORG PIÑA YACON 240G</t>
  </si>
  <si>
    <t>MERMELADA ECOANDINO ORG CAMU CAMU 240G</t>
  </si>
  <si>
    <t>BARRA NUTRIBREAK AGUAYM ORGAN SIXPACK</t>
  </si>
  <si>
    <t>BARRA NUTRIBREAK NUECES ORGAN SIXPACK</t>
  </si>
  <si>
    <t>MERMELADA ECOANDINO ORG LUCUMA YACO 240G</t>
  </si>
  <si>
    <t>PACK ESCOL SCOTCH BRITE SEx4+ABx1+MICx4</t>
  </si>
  <si>
    <t>ESPONJA SCOTCH BRITE 2EN1 X6</t>
  </si>
  <si>
    <t>BANDAS DEPILE FACIALX6UN MANZANIL</t>
  </si>
  <si>
    <t>PALL MALL CLICK ON BLUE x 10UN</t>
  </si>
  <si>
    <t>PAN INTEG S/GLUT 480G MOLINOS DEL MUNDO</t>
  </si>
  <si>
    <t>Harina de Maca Negra x 200 gr Marimiel</t>
  </si>
  <si>
    <t>MIRACULOUS RECOVERY SHX250M JOHN FRIEDA</t>
  </si>
  <si>
    <t>MIRACULOUS RECOV REPAIRX250M JOHN FRIEDA</t>
  </si>
  <si>
    <t>HONEY MUSTARD X 350ML METRO</t>
  </si>
  <si>
    <t>VINAGRETA BALSAMICA X350ML METRO</t>
  </si>
  <si>
    <t>VINAGRETA CLASICA X350ML METRO</t>
  </si>
  <si>
    <t>SALSA RANCHERA X 350ML METRO</t>
  </si>
  <si>
    <t>SALSA ITALIANA X 350ML METRO</t>
  </si>
  <si>
    <t>VINAGRETA HONEY MUSTARD X350G CUISINE&amp;CO</t>
  </si>
  <si>
    <t>VINAGRETA BALSAMICA X350ML WONG</t>
  </si>
  <si>
    <t>VINAGRETA CLASSIC&amp;TASTY X350G CUISINE&amp;CO</t>
  </si>
  <si>
    <t>SALSA RANCHERA X 350ML WONG</t>
  </si>
  <si>
    <t>VINAGRETA ITALIAN STYLE X350G CUISINE&amp;CO</t>
  </si>
  <si>
    <t>DETERGENTE CARICIA 100 GRS, ROPA DELI</t>
  </si>
  <si>
    <t>DETEGENTE CARICIA 700 GRS, ROPA DELI</t>
  </si>
  <si>
    <t>DETERGENTE CARICIA 1400GRS, ROPA DELI</t>
  </si>
  <si>
    <t>RON DIPLOMATICO MANTUANO 750ML</t>
  </si>
  <si>
    <t>VINO ALAMOS SAUVIGNON BLANC BOT X 750ML</t>
  </si>
  <si>
    <t>VINO ALAMOS TORRONTES BOT X 750ML</t>
  </si>
  <si>
    <t>ENJ.BUC.LISTERINE C.TOTAL CARE ZEROX1.5</t>
  </si>
  <si>
    <t>Harina de cañihua x 200 gr Marimiel</t>
  </si>
  <si>
    <t>Harina de Trigo integralx500 grMarimiel</t>
  </si>
  <si>
    <t>harina de trigo integral x 1kg Marimiel</t>
  </si>
  <si>
    <t>PASTA ANDINA SPAGUETTI AMÉRICAORGX227G</t>
  </si>
  <si>
    <t>ESPONJA DE BAÑO PONJITA EXF PROFX24</t>
  </si>
  <si>
    <t>ESPONJA DE BAÑO PONJITA ESPUMA ABUX  24</t>
  </si>
  <si>
    <t>AZUCAR BLANCA LIGHT C/ STEVIA 500G ONZA</t>
  </si>
  <si>
    <t>AZUCAR RUBIA LIGHT C/ STEVIA 500G ONZA</t>
  </si>
  <si>
    <t>ARITOS NUCLEAR X 110GR CEREAL</t>
  </si>
  <si>
    <t>ESCOBA NO RAYA SCOTCH BRITE</t>
  </si>
  <si>
    <t>ESCOBA INTERIORES CON BUMPERS</t>
  </si>
  <si>
    <t>RECOGEDOR DE MANGO LARGO</t>
  </si>
  <si>
    <t>NV PROTEIN BARS ALMOND &amp; DARK CHOCOLATE</t>
  </si>
  <si>
    <t>VASO DOBLE PARED INSULADO 9 ONZ CARS</t>
  </si>
  <si>
    <t>VASO DOBLE PARED INSULADO 9 ONZ SOFIA</t>
  </si>
  <si>
    <t>VASO DOBLE PARED 9 ONZ CARS</t>
  </si>
  <si>
    <t>VASO DOBLE PARED  9 ONZ SOFIA</t>
  </si>
  <si>
    <t>LIQ. MDTECH ESPANTA ZANCUDOS 500ML</t>
  </si>
  <si>
    <t>LIQ. MDTECH ESPANTA HORMIGAS 500ML</t>
  </si>
  <si>
    <t>ESPANTA MOSCAS MDTECH 500ML</t>
  </si>
  <si>
    <t>LIQ. MDTECH ESPANTA POLILLAS 500ML</t>
  </si>
  <si>
    <t>LIQ. MDTECH ESPANTA MOSCAS 250ML</t>
  </si>
  <si>
    <t>LIQ. MDTECH ESPANTA HORMIGAS 250ML</t>
  </si>
  <si>
    <t>LIQ. MDTECH ESPANTA CUCARACHAS 250ML</t>
  </si>
  <si>
    <t>LIQ. MDTECH ESPANTA POLILLAS 250ML</t>
  </si>
  <si>
    <t>LIQ. MDTECH ESPANTA ACAROS 250ML</t>
  </si>
  <si>
    <t>PASTA ANDINA FUSILLI AMÉRICAORGX227G</t>
  </si>
  <si>
    <t>PASTA TRIGRANOSPAGUETTI AMÉRICAORGX227G</t>
  </si>
  <si>
    <t>LIQ. MDTECH ESPANTA ACAROS 500ML</t>
  </si>
  <si>
    <t>LIQ. MDTECH ESPANTA PULG Y GARRAP 250ML</t>
  </si>
  <si>
    <t>LIQ. MDTECH ESPANTA PULG Y GARRAP 500ML</t>
  </si>
  <si>
    <t>DET POLVO MAGIA BLANCA X4KG, FLORAL</t>
  </si>
  <si>
    <t>ESPUMANTE FREIXENET ICE X 750ML</t>
  </si>
  <si>
    <t>GATO NEGRO CARMENERE X 750ML</t>
  </si>
  <si>
    <t>ENSURE ADVANCE VAINILLA 4PACK 220ML</t>
  </si>
  <si>
    <t>ENSURE ADVANCE CHOCOLATE 220ML        </t>
  </si>
  <si>
    <t>GLUCERNA FOURPACK 237ML CU</t>
  </si>
  <si>
    <t>AGUA NATURAL EVIAN PACK 6 BOT 330 ML</t>
  </si>
  <si>
    <t>PACKSCOTCH BRITE MFx4+CEX1+ES2n1x1+COx1</t>
  </si>
  <si>
    <t>PACKSCOTCH BRITE SEx4+ESP2n1x1+ESP VEx3</t>
  </si>
  <si>
    <t>BROCHETAS INTI 20 CM  X 100 UND.</t>
  </si>
  <si>
    <t>ACONDICIONADOR KATIVA COCONUTX 250ML</t>
  </si>
  <si>
    <t>SHAMPOO KATIVA COCONUTX 250ML</t>
  </si>
  <si>
    <t>SHAMPOO AMMENS AVENA FRASCO X 400 mL</t>
  </si>
  <si>
    <t>VINO DR LOOSEN RIESLING DRY 750 ML</t>
  </si>
  <si>
    <t>VINO VIU MANENT RSVA MALBEC ROSE 750ML</t>
  </si>
  <si>
    <t>ESPUMANTE VITTORIA BRUT ROSE 750</t>
  </si>
  <si>
    <t>LOCION CORPORAL INSTITUTO ESP COLX500ML</t>
  </si>
  <si>
    <t>LOC PIERNAS CANSADAS INSTIT ESP ARX500</t>
  </si>
  <si>
    <t>LECHE HIDRAT INSTITUTO ESPAÑOLX500ML</t>
  </si>
  <si>
    <t>CR POTE INT ESPAÑOL UREAX400ML</t>
  </si>
  <si>
    <t>VINO CARTA VIEJA RESERVADO CSA 750 ML</t>
  </si>
  <si>
    <t>VINO CARTA VIEJA RESERVADO SBL 750 ML</t>
  </si>
  <si>
    <t>ELSA BIANCHI MALBEC 750ML</t>
  </si>
  <si>
    <t>RAMON BILBAO ROSADO 750ML</t>
  </si>
  <si>
    <t>VINO COLUMBIA CREST"H3"LES CHEVAUX 750ML</t>
  </si>
  <si>
    <t>VINO COLUMBIA CREST G.STATES CSA 750ML</t>
  </si>
  <si>
    <t>VINO COLUMBIA CREST G.STATES ME 750ML</t>
  </si>
  <si>
    <t>VINO COLUMBIA CREST G.STATES CHARD 750ML</t>
  </si>
  <si>
    <t>TERRAFERTIL ARANDANO 500 G</t>
  </si>
  <si>
    <t>TAMAL DE ALCACHOFA 180GR</t>
  </si>
  <si>
    <t>CO SCUNCI SPORT GEL PONYTAILERS 14UND</t>
  </si>
  <si>
    <t>VINO TINTO EL VINCULO CRIANZA X 750 CL.</t>
  </si>
  <si>
    <t>TERMOMETRO DIGITAL VICK</t>
  </si>
  <si>
    <t>POUCHES PERRO POLLO 45455</t>
  </si>
  <si>
    <t>POUCHES PERRO PESCADO AL VAPOR 45451</t>
  </si>
  <si>
    <t>POUCHES GATOS SABORES MARINOS 45457</t>
  </si>
  <si>
    <t>POUCHES GATOS ATUN 45458 PET CARE</t>
  </si>
  <si>
    <t>ENDULZANTE LIQ. FR 110ML NUTRASTEVIA</t>
  </si>
  <si>
    <t>SCOTCH BRITE PAÑO MULTIUSOS X 3</t>
  </si>
  <si>
    <t>SCOTCH BRITE PAÑO MULTIUSOS X 6</t>
  </si>
  <si>
    <t>Paño secatodo x 14 Scotch Brite</t>
  </si>
  <si>
    <t>LIMA RECTA LIMADER DE COLORES X 2</t>
  </si>
  <si>
    <t>PASTA TRIGRANO FUSILLI AMÉRICAORGX227G</t>
  </si>
  <si>
    <t>PASTA TRIGRANO PENNE AMÉRICAORGX227G</t>
  </si>
  <si>
    <t>PALETA/REMOVEDOR DE CALLOS LIMADER X 1</t>
  </si>
  <si>
    <t>MEZCLA PARA FUDGE BROWNIE X 376G</t>
  </si>
  <si>
    <t>PIEDRA POMEZ CON MANGO DE PLAST LIMADX1</t>
  </si>
  <si>
    <t>PIEDRA POMEZ COLORES Y  SOGA LIMADERX 1</t>
  </si>
  <si>
    <t>GELATINA DIET C/ STEVIA  NARANJA 12/19G</t>
  </si>
  <si>
    <t>LIMA 7 PASOS LIMADERX 1</t>
  </si>
  <si>
    <t>CORTA CALLOS CON 5 CUCHILLAS LIMADER</t>
  </si>
  <si>
    <t>HARPIC POWER ULTRA ORIGINAL X200 ML</t>
  </si>
  <si>
    <t>RON MILLONARIO SOLERA 15 RESR ESP 700ML</t>
  </si>
  <si>
    <t>RON MILLONARIO XO 700ML</t>
  </si>
  <si>
    <t>GEL CREMA NEUTROGENA HYDRO BOSTX15GR</t>
  </si>
  <si>
    <t>GEL HIDRA FAC NEUTROG HYDRO BOOSTX50</t>
  </si>
  <si>
    <t>CHICHA DE MAIZ MORADO FRUMAS BOT 500 ml</t>
  </si>
  <si>
    <t>LOCION ANTI-MOSQUITO X 200 ML BABY JOHN</t>
  </si>
  <si>
    <t>BOMBON DLECHE X 125GR BLS BACI</t>
  </si>
  <si>
    <t>TALCO ISANAX140G + CORTA UÑAS</t>
  </si>
  <si>
    <t>INFUSION WAWASANA DIGESTIVO X 50 UND</t>
  </si>
  <si>
    <t>INFUSION WAWASANA RELAX X 50 UND</t>
  </si>
  <si>
    <t>INFUSION WAWASANA GRIPAL X 50 UND</t>
  </si>
  <si>
    <t>WAWASANA DIETTE X 50 UND</t>
  </si>
  <si>
    <t>VODKA GREY GOOSE 375 ML</t>
  </si>
  <si>
    <t>BOMB.CHOCOLATE 450GR BON O BON ARCOR</t>
  </si>
  <si>
    <t>DUREX CLIMAX MUTUO X 3 UND</t>
  </si>
  <si>
    <t>GEL LUBRICANTE DUREX PLAY CEREZASX50G</t>
  </si>
  <si>
    <t>CONDONES DUREXX3 CLIMAX CLASICO</t>
  </si>
  <si>
    <t>DUREX INVISIBLE X 3 UND</t>
  </si>
  <si>
    <t>HIERBA LUISA 50GR RENACER</t>
  </si>
  <si>
    <t>HIERBA LUISA CON TE VERDE 50GR RENACER</t>
  </si>
  <si>
    <t>TE FLOR DE JAMAICA 60GR RENACER</t>
  </si>
  <si>
    <t>UÑA DE GATO CORTEZA 100GR RENACER</t>
  </si>
  <si>
    <t>MUÑA- CULEN 40GR RENACER</t>
  </si>
  <si>
    <t>GELATINA DIET C/ STEVIA  PIÑA 12/19G</t>
  </si>
  <si>
    <t>TE VERDE FLORES DE JAZMIN 60GR RENACER</t>
  </si>
  <si>
    <t>PACK CHILCANERO PISCO PURO CUATRO GALLO</t>
  </si>
  <si>
    <t>SIMILAC 1 X 1400GR</t>
  </si>
  <si>
    <t>SIMILAC 2 X 1400GR</t>
  </si>
  <si>
    <t>SIMILAC 3 X 1400GR</t>
  </si>
  <si>
    <t>MEZ P/BEB C/LECHE POLVO METRO X120G</t>
  </si>
  <si>
    <t>CHUPON CON SUJETADOR PEPPA PIG</t>
  </si>
  <si>
    <t>MORDEDOR COLUMPIO PEPPA PIG</t>
  </si>
  <si>
    <t>GIN THOMAS DAKIN  700 ML</t>
  </si>
  <si>
    <t>RON VIEJO DE CALDAS 5 AÑOS 750 ML</t>
  </si>
  <si>
    <t>VINO BORGOÑA SEMI SECO TUYO 750ML</t>
  </si>
  <si>
    <t>VINO ROSE SEMI SECO TUYO 750ML</t>
  </si>
  <si>
    <t>CARAMELOS SOUR 51 GR SKITTLES</t>
  </si>
  <si>
    <t>ESTUCHE MIXOLOGY KIT GO BARMAN</t>
  </si>
  <si>
    <t>GALLETAS DIGESTIVE CACAO NOGLUT 200GR</t>
  </si>
  <si>
    <t>GALLETAS DIGESTIVE NARANJA NOGLUT 150GR</t>
  </si>
  <si>
    <t>VINO ZUCCARDI "Q" CHARDONNAY 750 ML</t>
  </si>
  <si>
    <t>VINO ZUCCARDI "Q" CABERNET SAUV 750 ML</t>
  </si>
  <si>
    <t>GIN THE BOTANIST 700 ML</t>
  </si>
  <si>
    <t>PENNE DE MAIZ  LIB GLUT 250G EL DORADO</t>
  </si>
  <si>
    <t>SCOTCH BRITE PAÑO ABS1+SEC1+ ESPON 2EN1</t>
  </si>
  <si>
    <t>SCOTCH BRITE PAÑO ABSORBX3 + SECATODOX3</t>
  </si>
  <si>
    <t>BROCHETAS INTI 30 CM X 100 UND.</t>
  </si>
  <si>
    <t>VINO CASA LAPOSTOLLE CARMENERE 750ML</t>
  </si>
  <si>
    <t>MAQ SCHICK INT PIEL SUAVE COC&amp;AL MUJER</t>
  </si>
  <si>
    <t>PACK SCHICKX4 HOJ AFEIT INT COC&amp;AL MUJER</t>
  </si>
  <si>
    <t>BOMBONES CHOCO CON AVELL 150G DELAVIUDA</t>
  </si>
  <si>
    <t>BOMB CHOCOLECHE SINAZUCAR 150G DELAVIUDA</t>
  </si>
  <si>
    <t>QUITAMANCHAS VANISH DP 450GR, BLANCO</t>
  </si>
  <si>
    <t>QUITAMANCHAS VANISH DP 450GR, ROSA</t>
  </si>
  <si>
    <t>CREMA NIVEA CELL ANTI AGE FPSX30X50 DIA</t>
  </si>
  <si>
    <t>CR NIVEA CELL ANTI AGE FPSX30X50 NOCHE</t>
  </si>
  <si>
    <t>SCOTCH BRITE ESPONJA CELUL TRAB PESADx3</t>
  </si>
  <si>
    <t>SCOTCH BRITE ESPONJA CELUL CERO RAYx3</t>
  </si>
  <si>
    <t>SCOTCH BRITE ESP 2N1+0RAY COCIN+0R BAÑO</t>
  </si>
  <si>
    <t>VINO EL ENEMIGO BONARDA 750 ML</t>
  </si>
  <si>
    <t>PACK GUANTES ETERNA MONOCOLOR</t>
  </si>
  <si>
    <t>GALLE CRISPARROZ ORIGINAL 100G WANT WANT</t>
  </si>
  <si>
    <t>GALLE CRISPARROZ AJONJOLI 100G WANT WANT</t>
  </si>
  <si>
    <t>GALLE CRISPARROZ MULTIGRA 100G WANT WANT</t>
  </si>
  <si>
    <t>W JACK DANIELS 150 ANIV. PREMIUM X750ML</t>
  </si>
  <si>
    <t>ATUN X KG PC (BOL 1KG) CAJA 16 BOL</t>
  </si>
  <si>
    <t>ATUN X KG CP (BOL 1KG) CAJA 16 BOL</t>
  </si>
  <si>
    <t>MAYO ORIGINAL EGGLESS X 352G</t>
  </si>
  <si>
    <t>MAYO AJO SUAVE EGGLESS X 352G</t>
  </si>
  <si>
    <t>EDULCORANTE EN POLVO POTE 120GR STEVITA</t>
  </si>
  <si>
    <t>EDULCORANTE POLVO CULINARIA 400G STEVITA</t>
  </si>
  <si>
    <t>EDULCORANTE PASTILLER 100UNX45MG STEVITA</t>
  </si>
  <si>
    <t>VINO PEQUEÑA VASIJA SYRAH MALBEC X750 ML</t>
  </si>
  <si>
    <t>ESPUMANTE RICCADONNA ASTI  BOT 200ML</t>
  </si>
  <si>
    <t>LECHE DE MAGNESIA PHILLIPSX5ML CIRUELA</t>
  </si>
  <si>
    <t>ESP SCOTCH BRITE CELUL CERO RAYAS DISEX2</t>
  </si>
  <si>
    <t>COLAGENO EN POLVO BIOCOLAGEN NATX500G</t>
  </si>
  <si>
    <t>AC ELVIVE CAIDA RESIST ARGININA X370ML</t>
  </si>
  <si>
    <t>PISCO MV HUAMANI ACHOLADO 700 ML</t>
  </si>
  <si>
    <t>TABLETA CHOCO QUINOACRUNCH 70G CACAOSUYO</t>
  </si>
  <si>
    <t>TABLETA CHOCO AMAZONAS 70% 70G CACAOSUYO</t>
  </si>
  <si>
    <t>TABLETA CHOCO PIURA MILK 70G CACAOSUYO</t>
  </si>
  <si>
    <t>TABLETA CHOCO PIURA NIBS 70GR CACAOSUYO</t>
  </si>
  <si>
    <t>TABLETA CHOCO PIURA SELECT 70G CACAOSUYO</t>
  </si>
  <si>
    <t>LISTERINE ANTICARIES ZERO ALCOHOLX500ML</t>
  </si>
  <si>
    <t>LISTERINE ANTICARIES ZERO ALCOHOLX180ML</t>
  </si>
  <si>
    <t>PENNE DE ARROZ LIB GLUT 250G EL DORADO</t>
  </si>
  <si>
    <t>LISTERINE ANTICARIES ZERO ALCOHOLX1.5L</t>
  </si>
  <si>
    <t>TOALLITAS HUM REFILL X 25UN MINNIE MOUSE</t>
  </si>
  <si>
    <t>EFER-CX 1G PVO EFERVES 5G CJAX12</t>
  </si>
  <si>
    <t>LECHE MAGNESIA PHILLIPSX120ML</t>
  </si>
  <si>
    <t>LECHE MAGNESIA PHILLIPS CERX120ML</t>
  </si>
  <si>
    <t>VENDITAS UTILINE CAJAX100</t>
  </si>
  <si>
    <t>CEREAL 2CERRITOS CHOCOBOLITAS CJX350G.</t>
  </si>
  <si>
    <t>ACEITE OLIVA EXT VIRGEN 2L OLIVOS DEL SU</t>
  </si>
  <si>
    <t>ACEITE OLIVA PURO 2L OLIVOS DEL SUR</t>
  </si>
  <si>
    <t>SPAGHETTI DE ARROZ LIB GLUT 250 EL DORAD</t>
  </si>
  <si>
    <t>ACEITE DE AJONJOLI 1L OLIVOS DEL SUR</t>
  </si>
  <si>
    <t>BALDE REDONDO COMPLETO HOME CARE</t>
  </si>
  <si>
    <t>REPUESTO FREGONA ALGODÓN  HOME CARE</t>
  </si>
  <si>
    <t>FREGONA ALGODÓN C/MANG HOME CARE</t>
  </si>
  <si>
    <t>ESCOBON MULTIUSO C/MANGO HOME CARE</t>
  </si>
  <si>
    <t>ESCOBA INTERIORES C/MANG HOME CARE</t>
  </si>
  <si>
    <t>ESCOBA MULTIUSO MED C/MANGO HOME CARE</t>
  </si>
  <si>
    <t>RECOGEDOR HOME CARE</t>
  </si>
  <si>
    <t>MANGO METALICO HOME CARE</t>
  </si>
  <si>
    <t>JALADOR DE AGUA C/MANGO HOME CARE</t>
  </si>
  <si>
    <t>REP FREGA SUELO S/PALO HOME CARE</t>
  </si>
  <si>
    <t>CABEZAL ESCOBA LUJO HOME CARE</t>
  </si>
  <si>
    <t>SET ESCOBA + RECOGEDOR HOME CARE</t>
  </si>
  <si>
    <t>LIQ. ESPANTA CUCARACHAS 500ML</t>
  </si>
  <si>
    <t>CREMA DEPILADORA DEPILE BAJO LA DUCHX200</t>
  </si>
  <si>
    <t>Esponja Scotch Brite dobie pack x3</t>
  </si>
  <si>
    <t>CHOCOLATE CONFIT 46.2G M&amp;M PEANUT BUTTER</t>
  </si>
  <si>
    <t>PAN MINI BAGUETTE 200G MOLINOS DEL MUNDO</t>
  </si>
  <si>
    <t>VINO MISIONES DE RENGO SAUV/BLANC X750ML</t>
  </si>
  <si>
    <t>CHOCOLATE CHOKO PASAS 100G INCASUR</t>
  </si>
  <si>
    <t>ACEITE AJONJOLÍ OLIVOS DEL SUR 100 ML</t>
  </si>
  <si>
    <t>LA OCA GEL LAVAVJILLA MAQUINA X 740 ML</t>
  </si>
  <si>
    <t>GOMITAS ROLLO MOGUL X35GR</t>
  </si>
  <si>
    <t>CARAMELOS FRUTAS MISKY SURT 110UN X 275G</t>
  </si>
  <si>
    <t>CHOCOLATE SAPITO CLASICO 180GR</t>
  </si>
  <si>
    <t>CHOCOLATE SAPITO MANJAR X 20UN X 180GR</t>
  </si>
  <si>
    <t>CHOCOLATE BON O BON VENT 18 UN X 270GR</t>
  </si>
  <si>
    <t>DETERGENTE CARICIA 2.1 KG</t>
  </si>
  <si>
    <t>CHUPETE GROSSO SURTIDO 24UN X 432GR C/U</t>
  </si>
  <si>
    <t>CHICLE GROSSO SURTIDO BOLSA 325GR</t>
  </si>
  <si>
    <t>CHOCOLATE GOLPE X 24UN X 528GR</t>
  </si>
  <si>
    <t>CO SCUNCI SPORT NO DAMAGE ELASTICS 18UND</t>
  </si>
  <si>
    <t>SCUNCI SPACE DYE/SOLID ULTRA MINI TWIS</t>
  </si>
  <si>
    <t>DEO SPRAY PROTECT&amp;CARE  MEN 150ML NIVEA</t>
  </si>
  <si>
    <t>DEO ROLL-ON PROT&amp;CR MALE 50 ML NIVEA</t>
  </si>
  <si>
    <t>Pack secatodox4+absorbentex1+2en1x2</t>
  </si>
  <si>
    <t>VICK INHALADOR A VAPOR STEAM</t>
  </si>
  <si>
    <t>VICK VAPORIZADOR ELECTRICO COMFORTING</t>
  </si>
  <si>
    <t>DESMAQUILLADORES ALG TIPPYS CUADX40</t>
  </si>
  <si>
    <t>3161-3 CEPILLO BAMBINO 1 SNOOPY</t>
  </si>
  <si>
    <t>VICK PASTILLAS DE RESPUESTO?VAPOPADS</t>
  </si>
  <si>
    <t>RON DIPLOMATICO PLANAS BLANCO 750ML</t>
  </si>
  <si>
    <t>ESTUC AMMENS CASITA COL100+TAL60G+JAB80G</t>
  </si>
  <si>
    <t>BEB ENRGIZANTE RED BULL X 250ML SIX PACK</t>
  </si>
  <si>
    <t>ENERG RED BULL SUGARFREE X 250ML 4LATAS</t>
  </si>
  <si>
    <t>RISOTTO DE QUINUA X170GR PROVENZAL</t>
  </si>
  <si>
    <t>CARAMELO MASTICA EL CHAVO HALLOWEEN 330G</t>
  </si>
  <si>
    <t>SPAGHETTI DE QUINOA REAL L GLU 250 DORAD</t>
  </si>
  <si>
    <t>BEBIDA AVELLANA CHOCOLATE PACIFIC</t>
  </si>
  <si>
    <t>SOPA FUCHI FU X55GR PROVENZAL</t>
  </si>
  <si>
    <t>TARTA FRESA X 416G. POP TARTS</t>
  </si>
  <si>
    <t>TARTA CHOCOLATE  X 384G POP TARTS</t>
  </si>
  <si>
    <t>BARRA KIND CHOCOLATE  NUT X40G.</t>
  </si>
  <si>
    <t>SPAGHETTI DE CHÍA LIB GLUT 250 EL DORADO</t>
  </si>
  <si>
    <t>TAMAL POUCH MAIZ 180GR</t>
  </si>
  <si>
    <t>WHISKY JOHNNIE WALKER 18 AÑOS 750ML</t>
  </si>
  <si>
    <t>CHOCOLATE DARK 70% CUSCO ORGANICO MARANA</t>
  </si>
  <si>
    <t>CHOCOLATE DARK 80% CUSCO ORGANICO MARANA</t>
  </si>
  <si>
    <t>CHOCOLATE DARK 70% PIURA ORGANICO MARANA</t>
  </si>
  <si>
    <t>CHOCOLATE DARK 80% PIURA ORGANICO MARANA</t>
  </si>
  <si>
    <t>CHOCOLATE DARK 70% SNMART ORGANIC MARANA</t>
  </si>
  <si>
    <t>CHOCOLATE DARK 80% SNMART ORGANIC MARANA</t>
  </si>
  <si>
    <t>LICOR BAILEYS ESPRESSO 750 ML</t>
  </si>
  <si>
    <t>SPAGHETTI DE MAIZ L GLUT 250 EL DORADO</t>
  </si>
  <si>
    <t>EST SECRET L BODY M 120M  JAB 110G FLOW</t>
  </si>
  <si>
    <t>VINO RUTINI BLEND CABERNET/SYRAH X 750ML</t>
  </si>
  <si>
    <t>PROT SOLAR BB DRY BALANC SPORT FPS50X220</t>
  </si>
  <si>
    <t>ESPUMOSO CANTI ASTI DOCG 750 ML</t>
  </si>
  <si>
    <t>ESPUMOSO CANTI PROSECCO ICE 750 ML</t>
  </si>
  <si>
    <t>ESPUMOSO CANTI PROSECCO DOC 750 ML</t>
  </si>
  <si>
    <t>VINO CICCHITTI AMORE ROSE X 750ML</t>
  </si>
  <si>
    <t>ESPUMOSO CANTI MOSCATO 750 ML</t>
  </si>
  <si>
    <t>VINO OPI CHARDONNAY X 750 ML</t>
  </si>
  <si>
    <t>VINO LA MASCOTA CHARDONNAY X 750 ML</t>
  </si>
  <si>
    <t>TURRON BLANDO EL ALMENDRO 150GR</t>
  </si>
  <si>
    <t>TURRON CROCANTE CHOCOLATE 75GR ALMENDRO</t>
  </si>
  <si>
    <t>VINO OPI MALBEC X 750 ML</t>
  </si>
  <si>
    <t>VINO LA MASCOTA MALBEC X 750 ML</t>
  </si>
  <si>
    <t>VINO LA MASCOTA CARBENET X 750 ML</t>
  </si>
  <si>
    <t>GIFT PACK BARRITAS DE 75 GR EL ALMENDRO</t>
  </si>
  <si>
    <t>VINO LA GRAN MASCOTA MALBEC X 750 ML</t>
  </si>
  <si>
    <t>VINO LOS INTOCABLES  MORAS MALBEC 750ML</t>
  </si>
  <si>
    <t>VINO LOS INTOCABLES MORAS CABERNET 750ML</t>
  </si>
  <si>
    <t>ESPONJA VERDE SCOTCH BRITE DISP X 15UN</t>
  </si>
  <si>
    <t>PAÑO SECA TODO SCOTCH BRITE X 20UN</t>
  </si>
  <si>
    <t>VASO ENTRENAMIENTO TAPA GIRATORIA MICKEY</t>
  </si>
  <si>
    <t>VASO ENTRENAMIENTO TAPA GIRATORIA MINNIE</t>
  </si>
  <si>
    <t>VASO DOBLE PARED INSULADO MICKEY</t>
  </si>
  <si>
    <t>VASO DOBLE PARED INSULADO MINNIE</t>
  </si>
  <si>
    <t>ANTOJO 12 UNIDADES SAN ROQUE</t>
  </si>
  <si>
    <t>CHOKO MANI 100GR INCASUR </t>
  </si>
  <si>
    <t>ALMENDRA NATURAL VALLEALTO BOLSA X90G</t>
  </si>
  <si>
    <t>PECANA PELADA VALLEALTO BOLSA X90G</t>
  </si>
  <si>
    <t>NUEZ PELADA VALLEALTO BOLSA X90G</t>
  </si>
  <si>
    <t>PREMIUM COCKTAIL VALLEALTO BOLSA X90G</t>
  </si>
  <si>
    <t>Pack Sec x4 + Abs x4</t>
  </si>
  <si>
    <t>CERVEZA TRES CRUCES 355ML LATA SIXPACK</t>
  </si>
  <si>
    <t>AGUAYMANTO DESHI. ORGAN ECOANDINO X200G</t>
  </si>
  <si>
    <t>ARRACACHA EN POLVO ORG. ECOANDINO X 250G</t>
  </si>
  <si>
    <t>MARSHMAL NAVIDAD LOONEYTUNES 283G GUANDY</t>
  </si>
  <si>
    <t>NATURANDES LINAZAX300GR</t>
  </si>
  <si>
    <t>NATURANDES HIERBA LUISAX50g</t>
  </si>
  <si>
    <t>NATURANDES TE VERDEX50g</t>
  </si>
  <si>
    <t>NATURANDES MANZANILLAX50g</t>
  </si>
  <si>
    <t>NATURANDES EMOLIENTE X100g</t>
  </si>
  <si>
    <t>NATURANDES EMOLIENTE X200g</t>
  </si>
  <si>
    <t>BASTONES CARAMELO 12UN 150GR SPANGLER</t>
  </si>
  <si>
    <t>BASTONES COLOR 12 UNDS 150GR SPANGLER</t>
  </si>
  <si>
    <t>CHOCOLATE ORGAN70% PUCACACA 70G SHATTELL</t>
  </si>
  <si>
    <t>CHOCOLATE ORGAN 70% CHUNCHO 70G SHATTELL</t>
  </si>
  <si>
    <t>CHOCOLATE ORGAN70% KIMBIRI 70G SHATTELL</t>
  </si>
  <si>
    <t>CHOCOLATE C/LECHE Y MANI 60GR SHATTELL</t>
  </si>
  <si>
    <t>CHOCOLAT C/LECH MANI Y PASA 60G SHATTELL</t>
  </si>
  <si>
    <t>CHOCOLAT C/LECHE Y ALMEND 60G SHATTELL</t>
  </si>
  <si>
    <t>PACK TEQUILA CUERVO ESPCL 750ML+MARGRT1L</t>
  </si>
  <si>
    <t>VODKA RUSSKAYA BLACK 750 ML</t>
  </si>
  <si>
    <t>BLOQ  BAHIA FACES SPF90 COLOR1 60GR</t>
  </si>
  <si>
    <t>RON MILLONARIO 10MO ANIVERSARI BOT 700ML</t>
  </si>
  <si>
    <t>PISCO CUATRO FUNDOS ITALIA BOT 500ML</t>
  </si>
  <si>
    <t>ESPUMOSO MARTINI PROSECCO BOT 750 ML</t>
  </si>
  <si>
    <t>ESPUMANTE DIAMANTE MONTESIERPE X 750 ML</t>
  </si>
  <si>
    <t>ESPUMANTE RUBY MONTESIERPE X 750 ML</t>
  </si>
  <si>
    <t>VINO FANTINI FARNESE P.GRIGIO 750ML</t>
  </si>
  <si>
    <t>QUINUA TRICOLOR ORG VIDA&amp;QUINUAX454GR</t>
  </si>
  <si>
    <t>QUINUA ROJA ORGANICA VIDA&amp;QUINUAX454GR</t>
  </si>
  <si>
    <t>QUINUA NEGRA ORGANICA VIDA&amp;QUINUAX454GR</t>
  </si>
  <si>
    <t>TURRON DURO CRUNCHY ALMOND 75G ALMENDRO</t>
  </si>
  <si>
    <t>VODKA TITO'S 750ML</t>
  </si>
  <si>
    <t>FRESAS DESHIDRATADAS 15G WELL B</t>
  </si>
  <si>
    <t>ALBARICOQUES DESHIDRATADOS WELL B X14G</t>
  </si>
  <si>
    <t>FRESAS Y PLATANOS DESHIDRATADOS16GWELL B</t>
  </si>
  <si>
    <t>OPORTO FERREIRA TAWNY</t>
  </si>
  <si>
    <t>FERREIRINHA PAPA FIGOS DOURO TINTO</t>
  </si>
  <si>
    <t>DURAZNOS DESHIDRATADOS 14G WELL B</t>
  </si>
  <si>
    <t>MANZANAS DESHIDRATADAS 12G WELL B</t>
  </si>
  <si>
    <t>GEL DE BAÑO LACTOVIT NUTRITIVO X600ML</t>
  </si>
  <si>
    <t>GEL DE BAÑO LACTOVIT LACTOUREA X600ML</t>
  </si>
  <si>
    <t>CHOC RELL PASA GORDIS DOYPCK 85G DIPERUG</t>
  </si>
  <si>
    <t>CHOC RELL MANI GORDIS DOYPCK 85G DIPERUG</t>
  </si>
  <si>
    <t>CHOC RELL GALL GORDIS DOYPCK 85G DIPERUG</t>
  </si>
  <si>
    <t>CHOC RELL CAST GORDIS DOYPCK 85G DIPERUG</t>
  </si>
  <si>
    <t>JARABE DE YACON ORGANICO ECOANDINO X250G</t>
  </si>
  <si>
    <t>GALLETAS MINIS 126G JULES DESTROOPER</t>
  </si>
  <si>
    <t>CASHEW VALLEALTO BOLSA X90G</t>
  </si>
  <si>
    <t>PISTACHO C/CASCARA VALLEALTO BOLSA X90G</t>
  </si>
  <si>
    <t>PACK PISCO LA BOTIJA ACHOLADO+GINGER ALE</t>
  </si>
  <si>
    <t>VINO KIDIA RESERVA CAB.SAU 750ML</t>
  </si>
  <si>
    <t>VINO KIDIA RESERVA MERLOT 750ML</t>
  </si>
  <si>
    <t>VINO KIDIA VARIETAL CAB. SAU 750ML</t>
  </si>
  <si>
    <t>VINO KIDIA VARIETAL SAU.BLANC 750ML</t>
  </si>
  <si>
    <t>VINO KIDIA VARIETAL MERLOT ROSE 750ML</t>
  </si>
  <si>
    <t>TWOPACK JHONNIE WALKER RED 750ML</t>
  </si>
  <si>
    <t>ESPUMANTE DOLCE ROSSO 750ML</t>
  </si>
  <si>
    <t>FERREIRINHA VINHA GRANDE DOURO TINTO</t>
  </si>
  <si>
    <t>FERREIRINHA VINO VERDE QUINTA AZEVEDO</t>
  </si>
  <si>
    <t>MANTEQUILLA DE ALMENDRA SANTA MANIA 185G</t>
  </si>
  <si>
    <t>CERVEZA TRES CRUCES LATA 473ML SIX PACK</t>
  </si>
  <si>
    <t>SALSA ALCACHOFAPARMESA X200GR CASA VERDE</t>
  </si>
  <si>
    <t>TAPENADE ALCACHOFA X200GR CASA VERDE</t>
  </si>
  <si>
    <t>TAPENADE PIMTO PIQUILL X200GR CASA VERDE</t>
  </si>
  <si>
    <t>TAMAL DE MAIZ X230GR CASA VERDE</t>
  </si>
  <si>
    <t>STEVIA NUTRASTEVIA LIQUIDA 50 ML</t>
  </si>
  <si>
    <t>STEVIA NUTRASTEVIA EN POLVO FRASCO X 50G</t>
  </si>
  <si>
    <t>STEVIA NUTRASTEVIA EN POLVO  X 30SOBRES</t>
  </si>
  <si>
    <t>VICK VAPORUB UNGUENTO 50GR</t>
  </si>
  <si>
    <t>VICK BABYBALM CAJA X 1 POTE X50 GR</t>
  </si>
  <si>
    <t>CHOCO SORINI BOL MAXI LAT/ROSSO G.500</t>
  </si>
  <si>
    <t>PROT BRILLO PISO PORCEL BINNER RPT 500ml</t>
  </si>
  <si>
    <t>LIMPIAD PISO PORCELAN BINNER RPTO 500ml</t>
  </si>
  <si>
    <t>LIMPIADOR PISO DE MADERA BINNER 700ml</t>
  </si>
  <si>
    <t>LIMPIADOR PISO PORCELANATO BINNER 500ml</t>
  </si>
  <si>
    <t>PROTEC,BRILLO PISO PORCELAN BINNER 500ml</t>
  </si>
  <si>
    <t>PROTECTOR PISOS DE MADERA BINNER 700ml</t>
  </si>
  <si>
    <t>REMOVEDOR CERA PISO MADERA BINNER 700ml</t>
  </si>
  <si>
    <t>LIMPIAD PISO DE PIEDRAS NAT BINNER 700ml</t>
  </si>
  <si>
    <t>Tippys, Discos Exfoliantes, Maxi OvalX40</t>
  </si>
  <si>
    <t>Tippys, Discos para unas * 50</t>
  </si>
  <si>
    <t>PACK 2 BOT EL VINCULO CRIANZA 750ML C/U</t>
  </si>
  <si>
    <t>TOALLITAS DESMAQ MICELAR x 25 U NIVEA</t>
  </si>
  <si>
    <t>RON ZACAPA AMBAR 750 ML</t>
  </si>
  <si>
    <t>WHISKY SINGLETON DUFFTOWN 12 AÑOS 700ML</t>
  </si>
  <si>
    <t>WHISKY SINGLETON DUFFTOWN 15 AÑOS 700ML</t>
  </si>
  <si>
    <t>WHISKY SINGLETON DUFFTOWN 18 AÑOS 700ML</t>
  </si>
  <si>
    <t>PACK NAVIDEÑO PAÑO SECX4+GANCHO COMMAND</t>
  </si>
  <si>
    <t>PACK NAVIDEÑO PAÑO ABSX4+GANCHO COMMAND</t>
  </si>
  <si>
    <t>PACK METRO PAÑO SECX4+PAÑO MULTX3+2EN1</t>
  </si>
  <si>
    <t>CAVA PATA NEGRA BRUT 750ML</t>
  </si>
  <si>
    <t>CAVA PATA NEGRA DEMIC SEC 750ML</t>
  </si>
  <si>
    <t>VINO PATA NEGRA RUEDA VERDEJO 750 ML</t>
  </si>
  <si>
    <t>VINO PATA NEGRA RUEDA SAUV BLANC 750 ML</t>
  </si>
  <si>
    <t>PATA NEGRA ROBLE D.O RIBERA DEL RUEDO750</t>
  </si>
  <si>
    <t>PATA NEGRA D.O RIOJA 750ML</t>
  </si>
  <si>
    <t>JALEA DE MENTA Y ROMERO X235GR MACKAYS</t>
  </si>
  <si>
    <t>SALSA AGRI MANZANA HIGO X225GR MACKAYS</t>
  </si>
  <si>
    <t>TURRON DURO LA VIUDA 150 GR</t>
  </si>
  <si>
    <t>SALSA AGRI TOMATE CHILE X225 GR MACKAYS</t>
  </si>
  <si>
    <t>SALSA AGRI PIMIEN PAPRIKA X205GR MACKAYS</t>
  </si>
  <si>
    <t>VODKA 14 INKAS BOT 750ML</t>
  </si>
  <si>
    <t>EQUIPO MATA ZANCUDOS MD TECH</t>
  </si>
  <si>
    <t>LIMONCELLO VILLA MASSA BOT 700ML</t>
  </si>
  <si>
    <t>CAFÉ MEDIUM CAPSULAS X 18 ILLY</t>
  </si>
  <si>
    <t>CAFÉ DARK CAPSULAS X 18 ILLY</t>
  </si>
  <si>
    <t>CAFÉ DESCAFEINADO CAPSULAS X 21 ILLY</t>
  </si>
  <si>
    <t>CAFÉ ESPRESSO LUNGO CAPSX21 ILLY</t>
  </si>
  <si>
    <t>ACEITUNA NEGRA ENTERA POTE X 480G</t>
  </si>
  <si>
    <t>ACEITUNA NEGRA DESHUES POTE X 450G</t>
  </si>
  <si>
    <t>VINO TRIVENTO GOLDEN RSVA CFR 750 ML</t>
  </si>
  <si>
    <t>Freshmint, Spray Bucal, 20 ml</t>
  </si>
  <si>
    <t>SECRET AERO FRESH EXPR LAVANDA 107GR</t>
  </si>
  <si>
    <t>SECRET AERO FRESH EXPR BOHOBERRY 107GR</t>
  </si>
  <si>
    <t>MIX NUTS PRERMIUM</t>
  </si>
  <si>
    <t>SEMILLAS DE AJONJOLI RENACER X 200 GR</t>
  </si>
  <si>
    <t>SEMILLAS DE CHIA RENACER X 200 GR</t>
  </si>
  <si>
    <t>HARINA DE LINAZA X 300 GR NATURANDES</t>
  </si>
  <si>
    <t>SEMILLA CHIA X 150 GR NATURANDES</t>
  </si>
  <si>
    <t>TORTA IMPERIAL LA VIUDA 200 GR</t>
  </si>
  <si>
    <t>AJONJOLI TOSTADO X 250 GR NATURANDES</t>
  </si>
  <si>
    <t>TURRON BLANDO LA VIUDA 150 GR</t>
  </si>
  <si>
    <t>KIWICHA POPEADA X 100 GR NATURANDES</t>
  </si>
  <si>
    <t>BARRA DE MANJAR BLANCO SAN ROQUE X230 GR</t>
  </si>
  <si>
    <t>BARRA DE MANJAR LUCUMA SAN ROQUE X230 GR</t>
  </si>
  <si>
    <t>BARRA DE MANJAR CHIRIMYA SAN ROQUE X230G</t>
  </si>
  <si>
    <t>KING KONG MARACUYA SAN ROQUE X230G</t>
  </si>
  <si>
    <t>CEREALES CACAO MIEL NOGLUT 225 G</t>
  </si>
  <si>
    <t>CEREALES CORNFLAKES NOGLUT 250 G</t>
  </si>
  <si>
    <t>VINO LAPOSTOLLE ROSE BOT 750ML</t>
  </si>
  <si>
    <t>CHOCOLATE ORIGINAL 70% CACAO DOMENICO</t>
  </si>
  <si>
    <t>CHOCOLATE ORIGINAL 80GR NACIONAL</t>
  </si>
  <si>
    <t>CHOCOLATE MANI C/SAL 80GR NACIONAL</t>
  </si>
  <si>
    <t>CHOCOLATE COCO 80GR NACIONAL</t>
  </si>
  <si>
    <t>CHOCOLATE ESTUCHE NIÑAS DOMENICO X2UN</t>
  </si>
  <si>
    <t>JABON LIQ BALLERINA DPCK 750ML COCO&amp;LIMA</t>
  </si>
  <si>
    <t>ENDULZANTE X30 SOB VIDA STEVIA</t>
  </si>
  <si>
    <t>POTE CORAZON 105G BON O BON</t>
  </si>
  <si>
    <t>TEQUILA OLMECA ALTOS REPOSADO 700 ML</t>
  </si>
  <si>
    <t>TEQUILA OLMECA ALTOS PLATA 700 ML</t>
  </si>
  <si>
    <t>REDONDITO CHOCOLATE X 276G SAN ROQUE</t>
  </si>
  <si>
    <t>VINO GATO MALBEC PREMIUM BOT 750ML</t>
  </si>
  <si>
    <t>CREMA DENTRAL AQUAFRESH Big teeth X75</t>
  </si>
  <si>
    <t>ENSURE ADVANCE VAIN PACK 850gr + 400gr</t>
  </si>
  <si>
    <t>PEDIASURE VAIN PACK 900gr + 400gr</t>
  </si>
  <si>
    <t>PEDIASURE CHOCO PACK 900gr + 400gr</t>
  </si>
  <si>
    <t>PURE DE CAMOTE CAMOFIT X 75 GR</t>
  </si>
  <si>
    <t>DULCES SUEÑOS DETOX X20UNID WAWASANA</t>
  </si>
  <si>
    <t>DULCES SUEÑOS STEVIAX 20UN WAWASANA</t>
  </si>
  <si>
    <t>ENFAMIL PREMIUM 1 PWD 850G</t>
  </si>
  <si>
    <t>ENFAMIL PREMIUM 2 PWD 850G</t>
  </si>
  <si>
    <t>WHISKY SANDY MAC BOT 750ML</t>
  </si>
  <si>
    <t>ESPUMANTE RICCADONNA RUBY BOT 200ML</t>
  </si>
  <si>
    <t>VINO BANFI COL DI SASSO BLEND 750ML</t>
  </si>
  <si>
    <t>TOSTADAS SALVADO BIO 125G</t>
  </si>
  <si>
    <t>QUITASARRO BRIXIL 1LT</t>
  </si>
  <si>
    <t>QUITASARRO BRIXIL 500ML</t>
  </si>
  <si>
    <t>Brixil Espuma Alfombras x 180ml</t>
  </si>
  <si>
    <t>CHOCOLATE RASPBERRY DELIGHT 50G BELGIAN</t>
  </si>
  <si>
    <t>CHOCOLATE SEASHELLS 65GR BELGIAN</t>
  </si>
  <si>
    <t>CHOCOLATE CHERRY HEARTS X65GR BELGIAN</t>
  </si>
  <si>
    <t>CHOCOLATE PRALINES 200GR BELGIAN</t>
  </si>
  <si>
    <t>GIN SILENT POOL 700 ML</t>
  </si>
  <si>
    <t>VINO NORTON PRIVADA BLEND BOT 750ML</t>
  </si>
  <si>
    <t>RON VIEJO DE CALDAS 8 AÑOS X 750 ML</t>
  </si>
  <si>
    <t>RON VIEJO DE CALDAS 15 AÑOS X 750 ML</t>
  </si>
  <si>
    <t>DESODORANTE DEO PIES CLINICAL X260ML</t>
  </si>
  <si>
    <t>BLOQ BAHIA TOTAL SUNBLOCK SPF100 120GR</t>
  </si>
  <si>
    <t>BLOQ BAHIA SUNBLOCK SPF100 60GR</t>
  </si>
  <si>
    <t>VINO TRUMPETER ROSE MALBEC BOT 750 ML</t>
  </si>
  <si>
    <t>GALLETAS ARROZ SEMILLAS CHIA 90G KUPIEC</t>
  </si>
  <si>
    <t>TALCO DR.ZAIDMAN X600ML+JABON X80GR</t>
  </si>
  <si>
    <t>VINO CHIVITE LAS FINCAS ROSADO 750ML</t>
  </si>
  <si>
    <t>VINO CHIVITE COLECCIÓN 125 RSVA 750ML</t>
  </si>
  <si>
    <t>VINO CHIVITE VILLATUERTA ESPECIAL 750ML</t>
  </si>
  <si>
    <t>VODKA ROBERTO CAVALLI BOT 700 ML</t>
  </si>
  <si>
    <t>VINO CHIVITE VILLATUERTA CHARDONNAY750ML</t>
  </si>
  <si>
    <t>DESODORANTE PIE ISANA 48H150ML</t>
  </si>
  <si>
    <t>ACEITE SACHA INCHI HUERTO ALAMEIN 250CC</t>
  </si>
  <si>
    <t>AC.DE OLIVA XV PREMIUM H. ALAMEIN 1L</t>
  </si>
  <si>
    <t>AC.DE OLIVA XV PREMIUM H. ALAMEIN 500CC</t>
  </si>
  <si>
    <t>AC.DE OLIVA XV PREMIUM H. ALAMEIN 200CC</t>
  </si>
  <si>
    <t>BANDAS LIMP PROFUNDA NASAL 8UN BIORE</t>
  </si>
  <si>
    <t>LIMPIA POROS CARBON NATU200ML BIORE</t>
  </si>
  <si>
    <t>CEPILLO DENTAL PANDU</t>
  </si>
  <si>
    <t>CHOCOLATE CON ALMENDRA 80GR NACIONAL</t>
  </si>
  <si>
    <t>PACK BETTY BOOP SASSY COLONIA + BODY LOT</t>
  </si>
  <si>
    <t>LUCKY BLUE X 10</t>
  </si>
  <si>
    <t>DEO NIVEA MEN SPRAY B&amp;W FRESH 150ML</t>
  </si>
  <si>
    <t>VINO ORG. LAS MORAS MALBEC 750ML</t>
  </si>
  <si>
    <t>Pack ScotchBrite 4sectod+3multiuso+2esp</t>
  </si>
  <si>
    <t>Pack ScotchBrite sectodx4+MFx4+esp2en1</t>
  </si>
  <si>
    <t>ALMENDRA SALADA VALLEALTO BOLSA X90G</t>
  </si>
  <si>
    <t>HARINA DE MAIZ BLANCO PRECOCIDA 1KG PAN</t>
  </si>
  <si>
    <t>CAFÉ BRITT PERU CAJAMARCA GRANO 250GR</t>
  </si>
  <si>
    <t>CAFÉ BRITT PERU CAJAMARCA MOLIDO 250GR</t>
  </si>
  <si>
    <t>CHOCOLATE TAZA 100% CACAO 100G ORQUIDEA</t>
  </si>
  <si>
    <t>BOMBONES BOUQUET CREMA MANI 110G DI PERU</t>
  </si>
  <si>
    <t>BOMBONES CUORE CREMA MANI 118G DI PERUGI</t>
  </si>
  <si>
    <t>CASCADE ABRILLANT RINSE AID PLATIN 250ML</t>
  </si>
  <si>
    <t>GIN LA REPUBLICA AMAZÓNICO 700ML</t>
  </si>
  <si>
    <t>FRUIT SNACKS MIXED 63.7G WELCH'S</t>
  </si>
  <si>
    <t>FRUIT SNACKS BERRIES 63.7G WELCH'S</t>
  </si>
  <si>
    <t>FRUIT SNACKS MIXED 22.7G WELCH'S</t>
  </si>
  <si>
    <t>CHOCO LECHE 45%CACAO SINAZU 90G ORQUIDEA</t>
  </si>
  <si>
    <t>CHOCO BITTER 80%CACAO SINAZU90G ORQUIDEA</t>
  </si>
  <si>
    <t>GALLETAS DIGESTIVE SINGLUTEN 150G GULLON</t>
  </si>
  <si>
    <t>GALLETAS CRACKER SIN GLUTEN 200G GULLON</t>
  </si>
  <si>
    <t>GALLETAS SHARKIES SIN GLUTEN 250G GULLON</t>
  </si>
  <si>
    <t>VINO SOTTANO RESERVA DE LA FAMILIA 750ML</t>
  </si>
  <si>
    <t>SPRAY CABELLO JBABY FUERZA Y VITAM 200ML</t>
  </si>
  <si>
    <t>BOMBONES BOUQUET CREMA MANI 154G BRAVI</t>
  </si>
  <si>
    <t>BOMBONES BOUQUET CREMA MANI 88G DI PERUG</t>
  </si>
  <si>
    <t>BOMBONES CUORE CREMA MANI 91G DI PERUGIA</t>
  </si>
  <si>
    <t>BOMBON LICORINAS TRUFA PISCO 168G DI PER</t>
  </si>
  <si>
    <t>BOMBONES CASTAÑA MIA 192G DI PERUGIA</t>
  </si>
  <si>
    <t>BOMBONES LICORINAS CEREZAS 144G DI PERUG</t>
  </si>
  <si>
    <t>BOMBON LICORINAS PISCO PASA 144G DI PERU</t>
  </si>
  <si>
    <t>BOMBON LICORINAS TRUFA PISCO 144G DI PER</t>
  </si>
  <si>
    <t>BOMBON LICORINAS PISCO PASA 84G DI PERUG</t>
  </si>
  <si>
    <t>BOMBON BOUQUET TRUFA PISCO 110G DI PERUG</t>
  </si>
  <si>
    <t>CHOCOLATE BARRA MANJAR BLANCO 50G BRITT</t>
  </si>
  <si>
    <t>CHOCOLATE EN BARRA AGUAYMANTO 50G BRITT</t>
  </si>
  <si>
    <t>CHOCOLATE EN BARRA LUCUMA 50G BRITT</t>
  </si>
  <si>
    <t>CHOCOLATE SAL ROSAD 70% CACAO DOMENICO</t>
  </si>
  <si>
    <t>CHOCOLATE EXTREMO 100% DOMENICO X70G</t>
  </si>
  <si>
    <t>CERV. CANDELARIA BLANQUIRROJA BOT 330ML</t>
  </si>
  <si>
    <t>XTREME X2 SENSITIVE MUJER</t>
  </si>
  <si>
    <t>Lint Roller Tropical SCOTCH BRITE</t>
  </si>
  <si>
    <t>TRAPERO MICROFIBRA 50X60 VIRUTEX</t>
  </si>
  <si>
    <t>BOLSA BASURA ROLLO VIRUTEX 18L 10U</t>
  </si>
  <si>
    <t>BOLSA BASURA ROLLO VIRUTEX 50L 10U</t>
  </si>
  <si>
    <t>VINO RDM CHIANTI CLASSICO RISERVA 750ML</t>
  </si>
  <si>
    <t>VINO RDM CHIANTI CLASSICO 750ML</t>
  </si>
  <si>
    <t>VINO RDM SASYR IGT TOSCANA 750ML</t>
  </si>
  <si>
    <t>VINO TINTO DG DEHESA LA GRANJA BOT 750ML</t>
  </si>
  <si>
    <t>PISCO PURO QUEBRANTA 4 GALLOS X 2L</t>
  </si>
  <si>
    <t>PISCO PURO QUEBRANTA PANCHO FIERRO X 2L</t>
  </si>
  <si>
    <t>Inst Esp crema reparadora Urea 20% 150ml</t>
  </si>
  <si>
    <t>PELOTITAS MUNDIALISTAS 295G DOS CERRITOS</t>
  </si>
  <si>
    <t>FIBRAESPONJA CLASICA VIRUTEX X6</t>
  </si>
  <si>
    <t>PAÑO ABSORBENTE TRADIC VIRUTEX X20</t>
  </si>
  <si>
    <t>PAÑO PARA PISO C/OJAL VIRUTEX  X3</t>
  </si>
  <si>
    <t>PIMIENTO GRILLED X220GR CASA VERDE</t>
  </si>
  <si>
    <t>VINO B&amp;G PASSEPORT BOURDEAUX ME CSA750ML</t>
  </si>
  <si>
    <t>VINO B&amp;G PASSEPORT SBL/SEMILLON BOT750ML</t>
  </si>
  <si>
    <t>VINO BARTON &amp; GUESTIER CSA RESERVE 750ML</t>
  </si>
  <si>
    <t>VINO BARTON &amp; GUESTIER ME RESERVE 750ML</t>
  </si>
  <si>
    <t>VINO BARTON &amp; GUESTIER PN RESERVE 750ML</t>
  </si>
  <si>
    <t>VINO BARTON &amp; GUESTIER SBL RESERVE 750ML</t>
  </si>
  <si>
    <t>DEO EXTRACLARADO SPRAY SERUM NIVEA 100ML</t>
  </si>
  <si>
    <t>DEO NIVEAMEN FRESH ICE SPRAY 150ML</t>
  </si>
  <si>
    <t>DEO NIVEAMEN FRESH OCEAN SPRAY 150ML</t>
  </si>
  <si>
    <t>DEO NIVEAMEN FRESH SPORT SPRAY 150ML</t>
  </si>
  <si>
    <t>RON BARCELO IMPERIAL ONIX BOT 750 ML</t>
  </si>
  <si>
    <t>RON BACARDI GRAN RESERVA LIMITADA 750 ML</t>
  </si>
  <si>
    <t>ASEPXIA JABÓN CARBÓN 100G</t>
  </si>
  <si>
    <t>ASEPXIA EXFOLIANTE JABON EN BARRA X 100G</t>
  </si>
  <si>
    <t>CICATRICURE GEL X 60 G (LATAM)</t>
  </si>
  <si>
    <t>CICATRICURE  CONTORNO DE OJOS 8.5 G</t>
  </si>
  <si>
    <t>CICATRICURE ROLL ON OJOS 15 ML</t>
  </si>
  <si>
    <t>CICATRICURE CREMA X 60 G (LATAM)</t>
  </si>
  <si>
    <t>GOICOECHEA ÁRNICA Y MANZANILLA 400 ML</t>
  </si>
  <si>
    <t>SILUET 40 GEL TERMICO X 200 ML (LATAM)</t>
  </si>
  <si>
    <t>TIO NACHO ACONDICIONADOR ANTI EDAD 415ML</t>
  </si>
  <si>
    <t>TIO NACHO ACONDICIONADOR ACLARANTE 415ML</t>
  </si>
  <si>
    <t>TIO NACHO SHAMP ANTI CAIDA ACLARANT 415M</t>
  </si>
  <si>
    <t>TIO NACHO SHAMPOO ANTI EDAD 415ML</t>
  </si>
  <si>
    <t>TIO NACHO AC SISTEMA ENGROSADOR 415 ML</t>
  </si>
  <si>
    <t>TIO NACHO SH SISTEMA ENGROSADOR 415 ML</t>
  </si>
  <si>
    <t>TIO NACHO SPRAY SISTEMA ENGROSADOR 135ML</t>
  </si>
  <si>
    <t>CERVEZA TROOPER BOT 330 ML</t>
  </si>
  <si>
    <t>VINO SOTTANO RESERVA MALBEC BOT 750ML</t>
  </si>
  <si>
    <t>TEATRICAL  DESMAQUILLANTE X 200 GR</t>
  </si>
  <si>
    <t>TEATRICAL HUMECTANTE X 100 GR</t>
  </si>
  <si>
    <t>TEATRICAL ULTRA ACLARADORA X 100 GR</t>
  </si>
  <si>
    <t>GALLETA BISCOFF ORIGIN GRANDE 250G LOTUS</t>
  </si>
  <si>
    <t>GALLETA BISCOFF ORIGIN POCKET 124G LOTUS</t>
  </si>
  <si>
    <t>MEJILLONES A LA GALLEGA X111GR P.ORIENTE</t>
  </si>
  <si>
    <t>CALAMAR TROZO SALSTINTA X111GR P.ORIENTE</t>
  </si>
  <si>
    <t>ALCACHOFA GRILLED X220GR CASA VERDE</t>
  </si>
  <si>
    <t>BIGELOW GINGER/PEACH X 18 UN</t>
  </si>
  <si>
    <t>BIGELOW LEMON/ECHINACEA X18 UN</t>
  </si>
  <si>
    <t>BIGELOW BLUEBERRY/ALOEVERA X18UN</t>
  </si>
  <si>
    <t>CD SENSODYNE LIMPIEZA PROFUNDA 90GR</t>
  </si>
  <si>
    <t>CEPILLO DENT SENSODYNE LIMPIEZA PROFUNDA</t>
  </si>
  <si>
    <t>DET DERSA TERRA LIQUIDO X 2L, CLASICO</t>
  </si>
  <si>
    <t>BEBIDA SLOW COW LATA 250ML</t>
  </si>
  <si>
    <t>CERVEZA LIEFMANS FRUITESSE BOT 250 ML</t>
  </si>
  <si>
    <t>CERVEZA FULLER'S LONDON PORTER BOT 550ML</t>
  </si>
  <si>
    <t>CERVEZA LA CHOUFFE SOLEIL BOT 330 ML</t>
  </si>
  <si>
    <t>CERVEZA GULDEN DRAAK BOT 330 ML</t>
  </si>
  <si>
    <t>CERVEZA GULDEN DRAAK 9000 BOT 330 ML</t>
  </si>
  <si>
    <t>TERRA FERTIL POWER MIX 150 GR</t>
  </si>
  <si>
    <t>Mascara Colossal Big Shot WSH Very Blk</t>
  </si>
  <si>
    <t>Mascara Colossal Big Shot WTP Very Blk</t>
  </si>
  <si>
    <t>JARDIN TISANA X 15 FIL LA FIDELIA</t>
  </si>
  <si>
    <t>JARDIN ANCESTRL X15 FIL LA FIDELIA</t>
  </si>
  <si>
    <t>JARDIN HERBARIA X15 FIL LA FIDELIA</t>
  </si>
  <si>
    <t>TABLETA TANA PERU 64% CACAO X 70GR</t>
  </si>
  <si>
    <t>TABLETA TANA CHOC.NEGRO 55% CACAO X 70GR</t>
  </si>
  <si>
    <t>BOMBONES SURTIDOS TANA X 150GR</t>
  </si>
  <si>
    <t>BOMBONES TANA SURTIDOS  X 250 G ESTUCHE</t>
  </si>
  <si>
    <t>CHOCOLATE CORAZON TANA 55% CACAO X 300 G</t>
  </si>
  <si>
    <t>LOC DESENR MUSS KIDS 150ML EXTRACT PERLA</t>
  </si>
  <si>
    <t>CERVEZA ARTESANAL CURAKA 330ML LAGER</t>
  </si>
  <si>
    <t>PICARONES CON MIEL X165GR PROVENZAL</t>
  </si>
  <si>
    <t>SCHICK QUATTRO YOU MUJER</t>
  </si>
  <si>
    <t>JAB LIQ BACTERION FRUTOS ROJOS 300ML</t>
  </si>
  <si>
    <t>BOMBONESBON O BON LECHE 105GR ARCOR CAJA</t>
  </si>
  <si>
    <t>BOMBONES BON O BON LECHE 150G ARCOR LATA</t>
  </si>
  <si>
    <t>ACEITE SEMILLA DE UVA CRIN DORADA X 375G</t>
  </si>
  <si>
    <t>SMOOTH FRIZZ IMMUNE SHX250M JOHN FRIEDA</t>
  </si>
  <si>
    <t>SMOOTH FRIZZ IMMUNE ACO250M JOHN FRIEDA</t>
  </si>
  <si>
    <t>JF FE DAILY NOURISHMENT LEAVE IN 236ML</t>
  </si>
  <si>
    <t>NUTRIBELA 10 REGENERACION CAPILAR</t>
  </si>
  <si>
    <t>NIVEA MEN CREME 75ML</t>
  </si>
  <si>
    <t>Filtro Cafetera # 4 Essential Everyday</t>
  </si>
  <si>
    <t>Filtro Cafetera Cono Essential Everyday</t>
  </si>
  <si>
    <t>VINOS SOTTANO BARRELS SELECTIONS BLEND</t>
  </si>
  <si>
    <t>VINOS SOTTANO  TORRONTES</t>
  </si>
  <si>
    <t>VINOS SOTTANO CHARDONNAY</t>
  </si>
  <si>
    <t>VINO SOTTANO BARRELS SELECTIONS MALBEC</t>
  </si>
  <si>
    <t>PASTA ANDINA PENNE AMÉRICAORG X 227G</t>
  </si>
  <si>
    <t>HOME CARE MOPA CON MANGO CHENELLI</t>
  </si>
  <si>
    <t>HOME CARE MOPA CON MANGO CORAL</t>
  </si>
  <si>
    <t>HOME CARE LIMPIADOR DE VENTANA</t>
  </si>
  <si>
    <t>HOME CARE TRAPEADOR FLEXIBLE</t>
  </si>
  <si>
    <t>HOME CARE PLUMERO FLEXIBLE CON MAGO</t>
  </si>
  <si>
    <t>PISTACHO TOSTADO SALADO WONDERFUL 77GR</t>
  </si>
  <si>
    <t>CERVEZA TRES CRUCES PACK 12 LATAS 355ML</t>
  </si>
  <si>
    <t>CERVEZA PAULANER WEISSBIER BOT 330 ML</t>
  </si>
  <si>
    <t>CERVEZA PAULANER WEISSBIER BOT 500 ML</t>
  </si>
  <si>
    <t>CERVEZA PAULANER DUNKEL BOT 500 ML</t>
  </si>
  <si>
    <t>CERVEZA S/A PAULANER BOT 500 ML</t>
  </si>
  <si>
    <t>CERVEZA PAULANER WEISSBIER 330ML 4PACK</t>
  </si>
  <si>
    <t>CERVEZA PAULANER SALVATOR BOT 330 ML</t>
  </si>
  <si>
    <t>RON MANDATARIO 700 ML</t>
  </si>
  <si>
    <t>RTD WILD RUSSKAYA FRESH APPLE 355 ML</t>
  </si>
  <si>
    <t>RON CARTAVIO BLACK BARREL 1L</t>
  </si>
  <si>
    <t>WHISKY JOHNNIE WALKER RED 1L</t>
  </si>
  <si>
    <t>PREMEZCLA KATZEL FUDGE BROWNIE SGX360G</t>
  </si>
  <si>
    <t>WHISKY JOHNNIE WALKER BLACK 1L</t>
  </si>
  <si>
    <t>PACK TALCO ISANA 240G+60G MENTOL</t>
  </si>
  <si>
    <t>CEPILLO BUCAL TRIPACK PANDU</t>
  </si>
  <si>
    <t>BEBIDA COCO S/AZUCAR NATURES HEART 946ML</t>
  </si>
  <si>
    <t>VINO NIETO BLEND COLL CS/CFR/PV BOT750ML</t>
  </si>
  <si>
    <t>VINO NIETO BLEND COLL MB/CFR/PV BOT750ML</t>
  </si>
  <si>
    <t>VINO CADUS APELLATION MALBEC BOT 750ML</t>
  </si>
  <si>
    <t>NEUTROGENA SPOT PROOFING SCRUB 100G</t>
  </si>
  <si>
    <t>NEUTROGE SPOT PROOFING GEL CLEANSER 200M</t>
  </si>
  <si>
    <t>VINO ESCORIHUELA GASCON G.RSVA MB 750ML</t>
  </si>
  <si>
    <t>ACOND HASK KERATIN PROTEIN X355ML</t>
  </si>
  <si>
    <t>POLVO DE HORNEAR BOB'S RED MILL 397G</t>
  </si>
  <si>
    <t>HARINA DE YUCA BOB'S RED MILL  454G</t>
  </si>
  <si>
    <t>ACEITE WELEDA P/MASAJE C/ARNICA X100ML</t>
  </si>
  <si>
    <t>ACEITE WELEDA P/MASAJE P/ESTRIAS X100ML</t>
  </si>
  <si>
    <t>ACEITE WELEDA C/ABEDUL P/CELULITISX100ML</t>
  </si>
  <si>
    <t>ACEITE WELEDA REGENERAD C/GRANADAX100ML</t>
  </si>
  <si>
    <t>ACEITE WELEDA RELAX DE LAVANDA X100ML</t>
  </si>
  <si>
    <t>LOCIÓN LIMPIADORA 2EN1 WELEDA X75ML</t>
  </si>
  <si>
    <t>CRE MANOS WELEDA HIDRAT ESPINO AMARX50ML</t>
  </si>
  <si>
    <t>CRE MANOS WELEDA REGENERAD GRANADA X50M</t>
  </si>
  <si>
    <t>CONTORNO OJOS REAFIRM WELEDA GRANADX10ML</t>
  </si>
  <si>
    <t>PROTECTOR LABIAL EVERON WELEDA</t>
  </si>
  <si>
    <t>CUIDADO NUTRITIVO ESENCIAL WELEDA X75ML</t>
  </si>
  <si>
    <t>CREMA DE AFEITAR WELEDA x75ml</t>
  </si>
  <si>
    <t>DESODORANTE CITRUS WELEDA  X 130 ML</t>
  </si>
  <si>
    <t>GEL DENTRIFICO NIÑOS WELEDA X 50 ML</t>
  </si>
  <si>
    <t>PASTA DENTAL SALINA WELEDA X 75 ML</t>
  </si>
  <si>
    <t>PASTA DENTAL DE RATANIA WELEDA X 75 ML</t>
  </si>
  <si>
    <t>DESODORANTE SALVIA WELEDA  X 130 ML</t>
  </si>
  <si>
    <t>PREMEZCLA KATZEL  KEKE PLATANO SGX466G</t>
  </si>
  <si>
    <t>GIN GREENALLS LONDON DRY BOT 750ML</t>
  </si>
  <si>
    <t>JABON VEGETAL DE CALENDULA WELEDA 100 GR</t>
  </si>
  <si>
    <t>GEL DENTRIFICO VEGETAL WELEDA X 50 ML</t>
  </si>
  <si>
    <t>SHAMPOO PERT REP ACEITE DE OLIVA 1.2L</t>
  </si>
  <si>
    <t>MASCARILLA NEGRA BABARIA X 100ML</t>
  </si>
  <si>
    <t>LACA ORO NORMAL BABARIA X 400ML</t>
  </si>
  <si>
    <t>ESPUMA DE AFEITAR BABARIA ALOE VERA300ML</t>
  </si>
  <si>
    <t>BANDAS LIMP PROFUNDA CARBÓN 6UN BIORE</t>
  </si>
  <si>
    <t>EXFOLI CARBÓN GRANO/ESPINILLA127 BIORE</t>
  </si>
  <si>
    <t>CARACOLITOS S/GLUTEN MOL.DEL MUNDO 400G.</t>
  </si>
  <si>
    <t>MOSTACHOLI S/GLUTEN MOL.DEL MUNDO 400G.</t>
  </si>
  <si>
    <t>STRAIGHT FIXATION CRX141GR JOHN FRIEDA</t>
  </si>
  <si>
    <t>Weleda Caléndula Crema Pañal 75ml</t>
  </si>
  <si>
    <t>Weleda Caléndula Champú y Gel Ducha BEBE</t>
  </si>
  <si>
    <t>Weleda Caléndula Aceite para Bebé</t>
  </si>
  <si>
    <t>Weleda Caléndula Leche Corporal</t>
  </si>
  <si>
    <t>COLONIA PACHA IBIZA 24/7 EDT 80ML</t>
  </si>
  <si>
    <t>ENCEDEDOR DE COCINA SURTIDO</t>
  </si>
  <si>
    <t>CREMA PEINAR ELVIVE OLEO COCO X300ML</t>
  </si>
  <si>
    <t>WHISKY OLD TIMES RED X 1L</t>
  </si>
  <si>
    <t>HYDRO BOOST WATER GEL NEUTROG FPS25 55GR</t>
  </si>
  <si>
    <t>VINO BERONIA VERDEJO RUEDA 750ML</t>
  </si>
  <si>
    <t>SHOWER GEL DIAL 354ML PERLAS EXFOLIANTES</t>
  </si>
  <si>
    <t>SHOWER GEL DIAL 354ML NUTRISKIN BERRY</t>
  </si>
  <si>
    <t>SHOWER GEL DIAL 354ML MINERALES ROSADOS</t>
  </si>
  <si>
    <t>JABON LIQUIDO DIAL 221ML MINERALES ROSAD</t>
  </si>
  <si>
    <t>JABON LIQUIDO DIAL 221ML GRANADA-MANDA</t>
  </si>
  <si>
    <t>Jab liq doypack Dial Pouch Lily 450ml</t>
  </si>
  <si>
    <t>JABON LIQUIDO DIAL DPCK 450ML GRANADA-MA</t>
  </si>
  <si>
    <t>Jabón liquido Dial Leche de Coco 221ml</t>
  </si>
  <si>
    <t>FETUCCINI S/GLUTEN MOL.DEL MUNDO 400 G.</t>
  </si>
  <si>
    <t>SHOWER GEL DIAL 354ML LECHE DE COCO</t>
  </si>
  <si>
    <t>Jab Liq doypack Dial Leche de Coco 450ml</t>
  </si>
  <si>
    <t>CALABAZA LED CARAMELOS ARCOR 200G (HW)</t>
  </si>
  <si>
    <t>CARAMELO PEPPA PIG 330GR ARCOR (HW)</t>
  </si>
  <si>
    <t>MARSHMELLOWS MORF. FANTASMAS ARCOR (HW)</t>
  </si>
  <si>
    <t>VINO B&amp;G PASSEPORT SAINTEMILION AOC750ML</t>
  </si>
  <si>
    <t>VINO B&amp;G PASSEPORT COTEPROVANC ROSE750ML</t>
  </si>
  <si>
    <t>GIN BOTTEGA BACUR BOT 1L</t>
  </si>
  <si>
    <t>GIN BOTTEGA BACUR BOT 500ML</t>
  </si>
  <si>
    <t>VINO KIDIA VARIETAL CARMENERE 750ML</t>
  </si>
  <si>
    <t>SPAGHETTI S/GLUTEN MOL.DEL MUNDO 400G.</t>
  </si>
  <si>
    <t>VINO KIDIA RESERVA CARMENERE 750ML</t>
  </si>
  <si>
    <t>PROTECTORES DE INODORO COVERSIT SIXPACK</t>
  </si>
  <si>
    <t>VINO FAUSTINO ICON 750ML</t>
  </si>
  <si>
    <t>VINO FAUSTINO I GRAN RESERVA 750ML</t>
  </si>
  <si>
    <t>VINO FAUSTINO V RESERVA 750ML</t>
  </si>
  <si>
    <t>VINO FAUSTINO CRIANZA 750ML</t>
  </si>
  <si>
    <t>VINO FAUSTINO VII SEMI CRIANZA 750ML</t>
  </si>
  <si>
    <t>VINO TARAPACA ETIQUETA AZUL BLEND 750ML</t>
  </si>
  <si>
    <t>VINO TARAPACA ETIQUE NEGRA CAB SAU 750ML</t>
  </si>
  <si>
    <t>VINO GRAN SOMBRERO MALBEC 750ML</t>
  </si>
  <si>
    <t>DET LIQ TIDE SIMPLY 2.72LT-64LAV, C&amp;F</t>
  </si>
  <si>
    <t>DET LIQ TIDE SIMPLY 1.09LT-25LAV, C&amp;F</t>
  </si>
  <si>
    <t>DET LIQ TIDE SIMPLY 1.63LT-38LAV, C&amp;F</t>
  </si>
  <si>
    <t>PAÑOS VIRUTEX EASY CLEAN X35 - COCINA</t>
  </si>
  <si>
    <t>PAÑOS VIRUTEX EASY CLEAN X35 - VIDRIOS</t>
  </si>
  <si>
    <t>RON BOTRAN 15 BOT 750ML</t>
  </si>
  <si>
    <t>FID.CODITOS D/LENTEJ S/GLUT.EL DORADO250</t>
  </si>
  <si>
    <t>Maca Gelat. Org. 170g AmericaOrganica</t>
  </si>
  <si>
    <t>PAÑOS DESINFECT VIRUTEX MULTIUSO X 35 UN</t>
  </si>
  <si>
    <t>PAÑOS VIRUTEX EASY CLEAN X35 - BAÑOS</t>
  </si>
  <si>
    <t>NUNATURA ANDEAN SUPERDRINK, BOLSA 200 GR</t>
  </si>
  <si>
    <t>NUNATURA ANDEAN SUPERDRINK, BOLSA 350 GR</t>
  </si>
  <si>
    <t>HARD GEL MAXIMA FIJACION BARBERIA 220ML</t>
  </si>
  <si>
    <t>HARD GEL MAXIMA FIJACION BARBERIA 500ML</t>
  </si>
  <si>
    <t>CURITAS DE TELA ELÁSTICA X 8 UNID</t>
  </si>
  <si>
    <t>STEVIA NUTRASTEVIA 150 TAB 9G</t>
  </si>
  <si>
    <t>STEVIA NUTRASTEVIA 350 TAB 21G</t>
  </si>
  <si>
    <t>Gomita Redoxitos x5 checkout</t>
  </si>
  <si>
    <t>Gomita Redoxitos 10 sachets gond</t>
  </si>
  <si>
    <t>BRONCEA NIVEA SUN PROT&amp;BRONZ FPS30 200ML</t>
  </si>
  <si>
    <t>CHOCOLATE BRITT RELL DE PISC BIONDI 120G</t>
  </si>
  <si>
    <t>TIO NACHO SHAMPOO COCO X 415ML</t>
  </si>
  <si>
    <t>LIMPIADOR MULTI ECO HOUSE CITRICO 4000ML</t>
  </si>
  <si>
    <t>LAVAVAJILLAS ECO HOUSE MANZANA 900ML</t>
  </si>
  <si>
    <t>LIMPIAVIDRIOS ECO HOUSE GATILLO 650ML</t>
  </si>
  <si>
    <t>FILM 304MX30CM</t>
  </si>
  <si>
    <t>BLOQ H TROP ISLA SPORT SPF50 SPRAY 170GR</t>
  </si>
  <si>
    <t>BL BANANA BOAT AQUAPROTECT FPS50+ 236ML</t>
  </si>
  <si>
    <t>BL BANANA BOAT DRY BALANCE FPS50+ 180ML</t>
  </si>
  <si>
    <t>ENJ  LISTERINE CONTROL SARRO ZERO 500ML</t>
  </si>
  <si>
    <t>AGUA MICELAR GARNIER TODOEN1 400 ML</t>
  </si>
  <si>
    <t>AGUA MICELAR GARNIER ACEITE/OLEO 400 ML</t>
  </si>
  <si>
    <t>GELATINA DIET FRESA X19GR WONG MP</t>
  </si>
  <si>
    <t>GELATINA DIET PIÑA X19GR WONG MP</t>
  </si>
  <si>
    <t>GELATINA DIET NARANJA X19GR WONG MP</t>
  </si>
  <si>
    <t>MAZAMORRA MORADA DIET X60GR WONG MP</t>
  </si>
  <si>
    <t>FLAN DIET VAINILLA X19GR WONG MP</t>
  </si>
  <si>
    <t>PUDIN DIET CHOCOLATE X19GR WONG MP</t>
  </si>
  <si>
    <t>PUDIN DIET VAINILLA X19GR WONG MP</t>
  </si>
  <si>
    <t>CAFE MOLIDO  X250GR ARTIDORO</t>
  </si>
  <si>
    <t>CAFE GRANO  X250GR ARTIDORO</t>
  </si>
  <si>
    <t>RPTO TRAPERO #16 ECOLÓGICO 200gr VIRUTEX</t>
  </si>
  <si>
    <t>RECOGEDOR ECOLÓGICO VIRUTEX</t>
  </si>
  <si>
    <t>TRAPERO PISO VIRUTEX  LIMON C/OJAL 10 UN</t>
  </si>
  <si>
    <t>TRAPERO PISO VIRUTEX LAVANDA C/OJAL 10UN</t>
  </si>
  <si>
    <t>TRAPERO  PISO VIRUTEX COCO C/OJAL 10 UN</t>
  </si>
  <si>
    <t>PACK CERVEZA PAULANER OKTOBERFEST</t>
  </si>
  <si>
    <t>PACK RON CARTAVIO BLACK 1L+OLD T. RED 1L</t>
  </si>
  <si>
    <t>PK RON CARTAVIO SELECTO+RESERV 750ML C/U</t>
  </si>
  <si>
    <t>SET BM75ML+BL57ML DREAM SENSUAL BEAUTY</t>
  </si>
  <si>
    <t>PACK PLATOS DE 9 PULGADAS BIODEGRADABLES</t>
  </si>
  <si>
    <t>PACK PLATOS D 10 PULGADAS BIODEGRADABLES</t>
  </si>
  <si>
    <t>PACK ENVASE BOWL 30 ONZAS BIODEGRADABLES</t>
  </si>
  <si>
    <t>ROCOCHOFA X190GR CASA VERDE</t>
  </si>
  <si>
    <t>ENJ LISTERINE CONTROL SARRO ZERO 1LT</t>
  </si>
  <si>
    <t>Fusilli a la Napolitana Macador 150 g</t>
  </si>
  <si>
    <t>Fideo Hindu Macador 150g</t>
  </si>
  <si>
    <t>Arroz Asiatico Macador 150g</t>
  </si>
  <si>
    <t>Risotto Champiñones Macador 150g</t>
  </si>
  <si>
    <t>CERVEZA CZECHVAR LATA 500 ML</t>
  </si>
  <si>
    <t>PISCO DEMONIO DE LOS ANDE MOSCATEL 700ML</t>
  </si>
  <si>
    <t>VODKA BELUGA TRANSATLANTIC BOT 700 ML</t>
  </si>
  <si>
    <t>VODKA BELUGA NOBLE BOT 700 ML</t>
  </si>
  <si>
    <t>PACK ALIANZA LIMA COL50ML+BODY SPR150ML</t>
  </si>
  <si>
    <t>PACK UNIVERSITARIO COL50ML+BODY SPR150</t>
  </si>
  <si>
    <t>PELOTITAS NAVIDEÑAS 295G 2 CERRITOS</t>
  </si>
  <si>
    <t>PAPA NOEL CHOCO NAVID 2CERRITOS CJ X150G</t>
  </si>
  <si>
    <t>BOMBONES CUORE BRAVI CRM DE MANI CJ 182G</t>
  </si>
  <si>
    <t>BOMBONES CREMA DE LUCUMA 144G DI PERUGIA</t>
  </si>
  <si>
    <t>BOMBONES SURTIDOS 164G DI PERUGIA</t>
  </si>
  <si>
    <t>RON ABUELO AÑEJO XV AÑOS OLOROSO 750ML</t>
  </si>
  <si>
    <t>RON ABUELO AÑEJO XV AÑOS NAPOLEON 750ML</t>
  </si>
  <si>
    <t>RON ABUELO AÑEJO XV AÑOS TAWNY 750ML</t>
  </si>
  <si>
    <t>CAFÉ MOLIDO 250 G IYARI</t>
  </si>
  <si>
    <t>HARPIC POW.ULTRA PAST. TANQ.X1 DE 45G</t>
  </si>
  <si>
    <t>HARP POW.ULTRA PAST. TANQ.X2 DE 45G C/U</t>
  </si>
  <si>
    <t>HARP POW ULTRA PASTTANQUE X5 DE 45G C/U</t>
  </si>
  <si>
    <t>HARPIC WH&amp;SH PAST.C/AROMACLORO X2.45GC/U</t>
  </si>
  <si>
    <t>HARP WH&amp;SH.PAST.CON ARO.CLORO X5.45G C/U</t>
  </si>
  <si>
    <t>FINISH DET. MAQ. 13 TAB. DE 18,1G C/U</t>
  </si>
  <si>
    <t>DOWNY APRIL FRESH 34 LÁMINAS</t>
  </si>
  <si>
    <t>DOWNY APRIL FRESH 80 LÁMINAS</t>
  </si>
  <si>
    <t>FEBREZE AIR DOWNY APRIL FRESH 250G</t>
  </si>
  <si>
    <t>RON CARUPANO BLACK 700ML</t>
  </si>
  <si>
    <t>QUINUA BLANCA X 340G AMERICA ORG</t>
  </si>
  <si>
    <t>RON REAL CARUPANO EXTRA 700ML</t>
  </si>
  <si>
    <t>RON CARUPANO ORO 12 EXCLUSIVA 750ML</t>
  </si>
  <si>
    <t>RON CARUPANO RESERVA 6 ESPECIAL 750ML</t>
  </si>
  <si>
    <t>RON CARUPANO SOLERA 21 CENTENARIA 750ML</t>
  </si>
  <si>
    <t>TERRA FERTIL ARANDANOS DELEITE S/A 150GR</t>
  </si>
  <si>
    <t>GIN BEEFEATER PINK BOT 700 ML</t>
  </si>
  <si>
    <t>VEET CREMA DEPILAT. PIEL SENSIBLE 50ML</t>
  </si>
  <si>
    <t>CEPILLO IMPRESSION PADDLE CONAIR</t>
  </si>
  <si>
    <t>CEPILLO IMPRESSION CUSHION CONAIR</t>
  </si>
  <si>
    <t>CEPILLO IMPRESSION VENT CONAIR</t>
  </si>
  <si>
    <t>CEPILLO IMPRES M/S CUSHION CONAIR</t>
  </si>
  <si>
    <t>PEINE ICY PASTEL SHOWER COMB CONAIR</t>
  </si>
  <si>
    <t>QUINUA TRICOLOR X 340G AMERICA ORG</t>
  </si>
  <si>
    <t>DAWN ULTRA ORIGINAL 709ML</t>
  </si>
  <si>
    <t>VINO LAN BLANCO RIOJA VIURA 750 ML</t>
  </si>
  <si>
    <t>PASTILLAS DE CHOCOLATE 70% CACAO 150 GR</t>
  </si>
  <si>
    <t>CHOCOLATE MILKY SIN AZUCAR X 300 GR</t>
  </si>
  <si>
    <t>MISTELA TABERNERO 750ML</t>
  </si>
  <si>
    <t>JAB LIQ BACTERION FRUTOS ROJOS 1LT</t>
  </si>
  <si>
    <t>MINI SAPITO 275G ARCOR</t>
  </si>
  <si>
    <t>PACK SCOTCH BRITE SECX4 + ESP2EN1X6</t>
  </si>
  <si>
    <t xml:space="preserve"> ESPONJA CELULOSA CERO RAYAS X6</t>
  </si>
  <si>
    <t>ESPONJA PARA PARRILLAS X6</t>
  </si>
  <si>
    <t xml:space="preserve"> ESPONJA RINSE SCRUB X2</t>
  </si>
  <si>
    <t>BROWNIE CON CHOCOLATE SUBLIME X50GR</t>
  </si>
  <si>
    <t>BROWNIE CON CHOCOLATE PRINCESA X50GR</t>
  </si>
  <si>
    <t>NUTRISHAKE 250 GR CACAO</t>
  </si>
  <si>
    <t>NUTRISHAKE 250 GR VAINILLA</t>
  </si>
  <si>
    <t>VINO TACAMA ORIGEN MALBEC 750ML</t>
  </si>
  <si>
    <t>VINO TACAMA AMBROSÍA ROSÉ X 750ML</t>
  </si>
  <si>
    <t>WHISKY JOHN WALKER &amp; SONS XR21 750ML</t>
  </si>
  <si>
    <t>NUTRISHAKE 500 GR CACAO</t>
  </si>
  <si>
    <t>NUTRISHAKE 500 GR VAINILLA</t>
  </si>
  <si>
    <t>RON CAPTAIN MORGAN 700ML</t>
  </si>
  <si>
    <t>ACEITE DE COCO MI TIERRA X 350G</t>
  </si>
  <si>
    <t>VINO JOSE ZUCCARDI MALBEC 750 ML</t>
  </si>
  <si>
    <t>VINO NORTON PRIVADA MALBEC BOT 750ML</t>
  </si>
  <si>
    <t>WHISKY VAT 69 700 ML</t>
  </si>
  <si>
    <t>TRIPACK JABON SPA BRONCEADO 130GR</t>
  </si>
  <si>
    <t>VINO MONTES CHERUB ROSE SHIRAZ750ML</t>
  </si>
  <si>
    <t>TINTE EXCELLENCE EXT PROF BRUNETTES 400</t>
  </si>
  <si>
    <t>TINTE EXCELLENCE EXT PROF BRUNETTES 300</t>
  </si>
  <si>
    <t>PASTILLAS CLORO PARA PISCINAS X 5</t>
  </si>
  <si>
    <t>VINO NORTON LOTE NEGRO BOT 750ML</t>
  </si>
  <si>
    <t>GIN JJ WHITLEY DRY 700 ML</t>
  </si>
  <si>
    <t>GIN WHITLEY NEILL HANDCRAFTED DRY  700ML</t>
  </si>
  <si>
    <t>GIN WHITLEY NEILL RHUBARB &amp; GINGER 750ML</t>
  </si>
  <si>
    <t>TINTE CG CASTING CAFÉ LATTE 610</t>
  </si>
  <si>
    <t>HARINA DE YUCA MARIMIEL X 200 GR</t>
  </si>
  <si>
    <t>AMARGO MR JIGGER X 75 ML</t>
  </si>
  <si>
    <t>HARINA DE COCO MI TIERRA X 400 GR</t>
  </si>
  <si>
    <t>SHAMPOO ELVIVE DREAM LONG 370ML</t>
  </si>
  <si>
    <t>ACONDICIONADOR  ELVIVE  DREAM LON  370ML</t>
  </si>
  <si>
    <t>CREMA DE PEINAR ELVIVE DREAM LONG 300ML</t>
  </si>
  <si>
    <t>ACO KATIVA COLOR THERAPY BLUE VIOL 250ML</t>
  </si>
  <si>
    <t>SH KATIVA COLOR THERAPY BLUE VIOL 250ML</t>
  </si>
  <si>
    <t>VINO LA MAS BONITA ROSE X 750 ML</t>
  </si>
  <si>
    <t>VINO NIETO SENETINER BELIEVEINROSE 750ML</t>
  </si>
  <si>
    <t>BIGELOW BENEFITS CINNAMON&amp;BBERRY X18UN</t>
  </si>
  <si>
    <t>BIGELOW BNEFIT CHAMOMILE&amp;LAVENDER X18UN</t>
  </si>
  <si>
    <t>Tea Tonic Kit - 24 filtrantes</t>
  </si>
  <si>
    <t>SALLY HANSEN ESMALTE PINK A CARD 171</t>
  </si>
  <si>
    <t>SALLY HANSEN FORTALEC HAN NATURAL 13.3ML</t>
  </si>
  <si>
    <t>SALLYHANSEN ESM HAN 310ROCK N ROLL 13.3M</t>
  </si>
  <si>
    <t>SALLY HANSEN CORTADOR CUTÍCULA 1UN</t>
  </si>
  <si>
    <t>SALLY HANSEN CREMA MASAJE CUTICUL 11.3GR</t>
  </si>
  <si>
    <t>SH ESMALTE INSTADRI SLICK SLATE</t>
  </si>
  <si>
    <t>SALLYHANSEN ESM INSTA DRI WHITEONTIME113</t>
  </si>
  <si>
    <t>SALLYHANSEN ESM INSTA DRI WATERMELON 313</t>
  </si>
  <si>
    <t>SALLYHANSEN ESM INSTA DRI SHAKIN SHER353</t>
  </si>
  <si>
    <t>SALLYHANSEN ESM INSTA DRI JUSTINWINE 423</t>
  </si>
  <si>
    <t>SALLY HANSEN ESMALTE MIDNIGHT DRIVE 493</t>
  </si>
  <si>
    <t>SALLY HANSEN ESMALTE CHERRY FAST 433</t>
  </si>
  <si>
    <t>SH ESMALTE INSTADRI CINNA SNAP</t>
  </si>
  <si>
    <t>SALLY HANSEN ESMALTE GO GARNET 403</t>
  </si>
  <si>
    <t>SALLY HANSEN ESMALTE PETAL PUSHER 233</t>
  </si>
  <si>
    <t>SALLY HANSEN ESMALTE PLUMMET 473</t>
  </si>
  <si>
    <t>SALLY HANSEN ESMALTE RE-TEAL THERAPY 513</t>
  </si>
  <si>
    <t>HOJUELAS DE VANE NATURE'S PATH</t>
  </si>
  <si>
    <t>PAN BLANCO-GLUTEN FREE DR SCHAR X250G</t>
  </si>
  <si>
    <t>PAN RUSTICO-GLUTEN FREE DR SCHAR X250G</t>
  </si>
  <si>
    <t>PAN CIABATTA-GLUTEN FREE DR SCHAR X200GR</t>
  </si>
  <si>
    <t>VODKA 14 INKAS ORIGENES 750ML</t>
  </si>
  <si>
    <t>RON MILLONARIO ANIVERS 10 AÑOS 50° 700ML</t>
  </si>
  <si>
    <t>HAYMANS LONDON DRY GIN 750ML</t>
  </si>
  <si>
    <t>VINO FAUSTINO V RIOJA VIURA-CHARDO 750ML</t>
  </si>
  <si>
    <t>VINO FAUSTINO V RIOJA ROSE 750ML</t>
  </si>
  <si>
    <t>TOALLAS DESINFECT. LYSOL LIMÓN X 80 UN</t>
  </si>
  <si>
    <t>MAYBELLINE POLVO NATURAL BUFF 230</t>
  </si>
  <si>
    <t>MAYBELLINE POLVO PURE BEIGE 235</t>
  </si>
  <si>
    <t>GIN MOM 700ML</t>
  </si>
  <si>
    <t>AZUCAR DE COCO ORGANICO COCO SUGAR 454G</t>
  </si>
  <si>
    <t>CICATRICURE CREMA ANTIMANCHAS X 50</t>
  </si>
  <si>
    <t>TEATRICAL CLS MADRE ANTI ARRUGAS 100 GR</t>
  </si>
  <si>
    <t>NEUTROGENA EXFOLIANTE PURIFIED SKIN 100G</t>
  </si>
  <si>
    <t>NEUTROGENA GEL CLEANSER PURIFIED 150G</t>
  </si>
  <si>
    <t>VINO CONO SUR RSVA CARMENERE BOT 750ML</t>
  </si>
  <si>
    <t>NEUTROGENA AGUA MICELAR PURIFICANT 200ML</t>
  </si>
  <si>
    <t>AGUA MICELAR GARNIER TODOEN1 100ML</t>
  </si>
  <si>
    <t>CERVEZA LA TRAPPE DUBBEL BOT 330 ML</t>
  </si>
  <si>
    <t>CERVEZA LA TRAPPE TRIPEL BOT 330 ML</t>
  </si>
  <si>
    <t>CERVEZA LA TRAPPE QUADRUPEL BOT 330 ML</t>
  </si>
  <si>
    <t>GALLETAS CHOCOCHIP 0%AZUC 185G SANTIVERI</t>
  </si>
  <si>
    <t>JABON LIQ BALLERINA DPCK 750ML AVENA&amp;ALM</t>
  </si>
  <si>
    <t>DEO WELEDA ROLL-ON CITRUS 24H</t>
  </si>
  <si>
    <t>DEO WELEDA SPRAY ROSA</t>
  </si>
  <si>
    <t>DEO WELEDA ROLL-ON GRANADA 24H</t>
  </si>
  <si>
    <t>DEO WELEDA ROLL-ON MEN 24H</t>
  </si>
  <si>
    <t>GELATINA FRESA X150G WONG MP</t>
  </si>
  <si>
    <t>GELATINA NARANJA X150G WONG MP</t>
  </si>
  <si>
    <t>GELATINA FRESA X150G METRO MP</t>
  </si>
  <si>
    <t>GELATINA NARANJA X150G METRO MP</t>
  </si>
  <si>
    <t>GELATINA PIÑA X150G METRO MP</t>
  </si>
  <si>
    <t>MAZAMORRA MORADA X160G WONG MP</t>
  </si>
  <si>
    <t>FLAN VAINILLA X150G WONG MP</t>
  </si>
  <si>
    <t>GALLET DIGEST ARAND 0%AZUC190G SANTIVERI</t>
  </si>
  <si>
    <t>GALLETA DIGESTCACAO 0%AZUC200G SANTIVERI</t>
  </si>
  <si>
    <t>VINAGRE BALSAMICO DI MODENA X500ML PONS</t>
  </si>
  <si>
    <t>PUDIN CHOCOLATE X110G WONG MP</t>
  </si>
  <si>
    <t>PUDIN VAINILLA X110G WONG MP</t>
  </si>
  <si>
    <t>MAZAMORRA MORADA X160G METRO MP</t>
  </si>
  <si>
    <t>COPA BEEFEATER PINK</t>
  </si>
  <si>
    <t>VINAGRE BALSAMICO DI MODENA X250ML PONS</t>
  </si>
  <si>
    <t>CREMA BALSAMICA DI MODENA X500ML PONS</t>
  </si>
  <si>
    <t>VINO EUGENIO BUSTOS CHARDONNAY 750ML</t>
  </si>
  <si>
    <t>CREMA JOHNSON'S BABY RECIEN NAC X200ML</t>
  </si>
  <si>
    <t>BODY MIST J. CHERRY 250MLSENSUAL BEAUTY</t>
  </si>
  <si>
    <t>BODY MIST SENSUAL BEAUTY SENS D X150ML</t>
  </si>
  <si>
    <t>NOVEX GAROTA KERATINA BRAS 2SACHETS 60GR</t>
  </si>
  <si>
    <t>PACK SECRET LOVE GOLDEN NIGHT BODLOT+COL</t>
  </si>
  <si>
    <t>PACK BETTYBOOP SEXY LADY TACÓN 100ML</t>
  </si>
  <si>
    <t>JARABE DE GOMA BIZARRO, LIGHT</t>
  </si>
  <si>
    <t>CHOCOLATE TAZA 100% CACAO AMADOR X90GR</t>
  </si>
  <si>
    <t>CHOCOLATE TAZA 65% CACAO AMADOR X90GR</t>
  </si>
  <si>
    <t>BEBIDA COCOMANIA LIMÓN X 300ML</t>
  </si>
  <si>
    <t>PACK BETTYBOOP BEAUTY LADY TACÓN 100ML</t>
  </si>
  <si>
    <t>EST COLONIA 50 ML + BILLET ALIANZA LIMA</t>
  </si>
  <si>
    <t>EST COLONIA 50 ML + BILLETERA UNIVERSIT</t>
  </si>
  <si>
    <t>Vaso de Café 8oz</t>
  </si>
  <si>
    <t>Vaso de Café 12oz</t>
  </si>
  <si>
    <t>Pack Platos de 6 pulgadas biodegradables</t>
  </si>
  <si>
    <t>PAN HAMB S/GLUTEN 300G MOLS DEL MUNDO</t>
  </si>
  <si>
    <t>ENFAGROW PREMIUM 2.2KG</t>
  </si>
  <si>
    <t>ENFAGROW PREMIUM VAINILLA 2.2KG</t>
  </si>
  <si>
    <t>Limp Multiusos Eco House Lav. X 1800ml</t>
  </si>
  <si>
    <t>Filtro Cafetera # 2 Essential Everyday</t>
  </si>
  <si>
    <t>VINO EL CHICO MALO BOT 750 ML</t>
  </si>
  <si>
    <t>VINO DEMUERTE GOLD BOT 750 ML</t>
  </si>
  <si>
    <t>VINO DEMUERTE BOT 750 ML</t>
  </si>
  <si>
    <t>VINO FINCA EL PORTILLO DULCENATURAL750ML</t>
  </si>
  <si>
    <t>VINO FINCA EL PORTILLO ROSE 750ML</t>
  </si>
  <si>
    <t>CINTA ALCOCHADA IMPERMEABLE NEXCARE</t>
  </si>
  <si>
    <t>BARRA FRUTOS ROJOS SAN ROQUE X230GR</t>
  </si>
  <si>
    <t>MAYBELLINE LABIAL MATTE INK FOUNDER</t>
  </si>
  <si>
    <t>MAYBELLINE LABIAL MATTE INK SELF-STARTER</t>
  </si>
  <si>
    <t>MAYBELLINE LABIAL MATTE INK GLOBETROTTER</t>
  </si>
  <si>
    <t>MAYBELLINE LABIAL MATTE INK DANCER</t>
  </si>
  <si>
    <t>MAYBELLINE CORRECTOR DARK CIRCLES TAN</t>
  </si>
  <si>
    <t>MAYBELLINE CORRECTOR DARK CIRCLES LIGHT</t>
  </si>
  <si>
    <t>MAYBELLINE CORRECT DARK CIRC LIGHT NEUTR</t>
  </si>
  <si>
    <t>BOLSA BASURA HOME CARE BIO X 75 LT</t>
  </si>
  <si>
    <t>BOLSA BASURA HOME CARE BIO X 35 LT</t>
  </si>
  <si>
    <t>BOLSA BASURA HOME CARE BIO X 50 LT</t>
  </si>
  <si>
    <t>BOLSA BASURA HOME CARE BIO X 140 LT</t>
  </si>
  <si>
    <t>VINO LA MAS BONITA BLANCO X 750ML</t>
  </si>
  <si>
    <t>VINO ALTOS LAS HORMIGAS BLEND 750 ML</t>
  </si>
  <si>
    <t>VINO CANTI VENETO PINOT GRIGIO 750 ML</t>
  </si>
  <si>
    <t>CIGARRILLOS KENT BLUE RC 20UND</t>
  </si>
  <si>
    <t>CIGARRILLOS KENT FRESH RC 20UND</t>
  </si>
  <si>
    <t>DETERG LIQ LA OCA 5 LT BEBE</t>
  </si>
  <si>
    <t>DEO NIVEA INVISIBLE B&amp;W SILKY 150ML</t>
  </si>
  <si>
    <t>PISCO VARGAS X 4LT</t>
  </si>
  <si>
    <t>CAFÉ´ILLY INSTANTÁNEO SMOOTH X95GR</t>
  </si>
  <si>
    <t>CAFÉ ILLY INSTANTÁNEO INTENSO X95GR</t>
  </si>
  <si>
    <t>GEL SHOWER INSTIT ESPAÑL ARGAN X750 ML</t>
  </si>
  <si>
    <t>COLONIA PACHA IBIZA SEXY EDT 80ML</t>
  </si>
  <si>
    <t>VINO SALENTEIN RESERVA SAUV BLANC 750 ML</t>
  </si>
  <si>
    <t>WHISKY CHIVAS REGAL XV AÑOS BOT 700 ML</t>
  </si>
  <si>
    <t>EMOLIENTE PIÑA&amp;MEMBRI X150G NATURANDES</t>
  </si>
  <si>
    <t>EMOLIENTE MANZ&amp;CANELA X150G NATURANDES</t>
  </si>
  <si>
    <t>MENTA Y MUÑA X50G NATURANDES</t>
  </si>
  <si>
    <t>NIVEA BIFASICO MICELLAIR EXPERT 400ML</t>
  </si>
  <si>
    <t>NIVEA ARCILLA DETOX 3-IN-1 150ML</t>
  </si>
  <si>
    <t>TWOPACK GIN TANQUERAY 700 ML</t>
  </si>
  <si>
    <t>ENSURE ADVANCE CHOCOLATE 850GR</t>
  </si>
  <si>
    <t>ENSURE ADVANCE CHOCO 850G+400G</t>
  </si>
  <si>
    <t>AMARETTO LUXARDO BOT 750ML</t>
  </si>
  <si>
    <t>WHISKY JAPONÉS IWAI BOT 750ML</t>
  </si>
  <si>
    <t>ENFAMIL CONFORT 800G</t>
  </si>
  <si>
    <t>ENFAMIL PREMIUM 1  1.65KG</t>
  </si>
  <si>
    <t>ENFAMIL PREMIUM 2  1.65KG</t>
  </si>
  <si>
    <t>CLAVO DE OLOR SELECTOX250G SANTIS</t>
  </si>
  <si>
    <t>COMINO MOLIDO X250GR SANTIS</t>
  </si>
  <si>
    <t>HONGO SECO SELECTOX250G SANTIS</t>
  </si>
  <si>
    <t>PALILLO MOLIDO X500G SANTIS</t>
  </si>
  <si>
    <t>PIMIENTA NEGRA X500G SANTIS</t>
  </si>
  <si>
    <t>CANELA ENTERA X250G SANTIS</t>
  </si>
  <si>
    <t>ANIS X 250G SANTIS</t>
  </si>
  <si>
    <t>HOJA DE LAUREL SELECTOX250G SANTIS</t>
  </si>
  <si>
    <t>OREGANO T/PIZZAX500 G SANTIS</t>
  </si>
  <si>
    <t>TAMAL VERDE 180G</t>
  </si>
  <si>
    <t>SERUM ACIDO HIALURONICO 30ML BABARIA</t>
  </si>
  <si>
    <t>SERUM FACIAL VITAMINA C 30ML BABARIA</t>
  </si>
  <si>
    <t>SERUM FACIAL RETIMOL 30ML BABARIA</t>
  </si>
  <si>
    <t>ENFAGROW PREMIUM 375G</t>
  </si>
  <si>
    <t>ENFAGROW PREMIUM VAINILLA 375G</t>
  </si>
  <si>
    <t>ENFAGROW PREMIUM 1650G</t>
  </si>
  <si>
    <t>ENFAGROW PREMIUM VAINILLA 1650G</t>
  </si>
  <si>
    <t>ENFAGROW PREMIUM PREESCOLAR 1100G</t>
  </si>
  <si>
    <t>WHISKY GLENFIDDICH 15 AÑOS 750ML</t>
  </si>
  <si>
    <t>PISCO BIONDI ACHOLADO X 700 ML</t>
  </si>
  <si>
    <t>WHISKY GLENFIDDICH 21 AÑOS 750ML</t>
  </si>
  <si>
    <t>TERMOFORMADO RECTANGULAR CAKE</t>
  </si>
  <si>
    <t>MYN BRONCEADOR CITY BRONZE DEEP</t>
  </si>
  <si>
    <t>MYN BASE FIT ME MATTE+PORE 128 WARM NUDE</t>
  </si>
  <si>
    <t>MYN BASE FIT ME MATTE+PORE 220 NAT BEIGE</t>
  </si>
  <si>
    <t>MYN BASE FIT ME MATTE+PORE 222 TRUE BEIG</t>
  </si>
  <si>
    <t>MYN BASE FITME MATTE+PORE 235 PURE BEIGE</t>
  </si>
  <si>
    <t>MYN BASE FIT ME MATTE+PORE 330 TOFFEE</t>
  </si>
  <si>
    <t>MYN DELINEAD TATTOO ST NEGR (DEEP ONYX)</t>
  </si>
  <si>
    <t>MYN DELINEAD TATTOO ST MARR (BOLD BROWN)</t>
  </si>
  <si>
    <t>WHISKY JACK DANIELS 150 ANIV 750ML</t>
  </si>
  <si>
    <t>DUREX REAL FEEL X 3 UND</t>
  </si>
  <si>
    <t>DUREX ANILLO VIBRADOR x1 UN</t>
  </si>
  <si>
    <t>PETAL FRESH TOALL DESMAQ ULTR MOIST COCO</t>
  </si>
  <si>
    <t>BRANDY VIÑAS DE ORO 500ML</t>
  </si>
  <si>
    <t>PISCO ACHOLAD VIÑAS DE ORO MV ED ESP 500</t>
  </si>
  <si>
    <t>DUO CERA INSTABRILLO + SILICONA</t>
  </si>
  <si>
    <t>PACK SIEMPRE NUEVO</t>
  </si>
  <si>
    <t>AZÚCAR DE COCO MI TIERRA 250G</t>
  </si>
  <si>
    <t>NOVEX QUERATINA BRASILEÑA CR TRAT 400G</t>
  </si>
  <si>
    <t>Novex Blindagem Salon Zero Frizz 90gr</t>
  </si>
  <si>
    <t>ACEITUNA NEGRA SIN PEPA X1KG EL OLIVAR</t>
  </si>
  <si>
    <t>ACEITUNA VERDE C/PIMNTO. X1KG EL OLIVAR</t>
  </si>
  <si>
    <t>ACEITUNA VERDE C/ROCOTO X 1 KG EL OLIVAR</t>
  </si>
  <si>
    <t>ACEITUNA VERDE SIN PEPA X 1 KG EL OLIVAR</t>
  </si>
  <si>
    <t>ACEITUNA NEGRA CON PEPA X 1KG EL OLIVAR</t>
  </si>
  <si>
    <t>ACEITUNA NEGRA CON PEPA X 1 KG EL OLIVAR</t>
  </si>
  <si>
    <t>ACEITUNA NEGRA RODAJAS X 1 KGEL OLIVAR</t>
  </si>
  <si>
    <t>ACEITUNA VERDE RODAJAS X 1 KG EL OLIVAR</t>
  </si>
  <si>
    <t>ACEITUNA VERDE CON PEPAX 1KGEL OLIVAR</t>
  </si>
  <si>
    <t>ACEITE DE OLIVA SUAVE X1.9 LT EL OLIVAR</t>
  </si>
  <si>
    <t>PIROTIN/CAKE RECTANGULAR</t>
  </si>
  <si>
    <t>LOREAL REVITALIFT ACIDO HYALURO DIA 50ML</t>
  </si>
  <si>
    <t>LOREAL REVITALIFT ACIDO HYALURO NOCH 50M</t>
  </si>
  <si>
    <t>LOREAL REVITALIFT ACIDO HYALUR OJOS 15ML</t>
  </si>
  <si>
    <t>SALSA PARA LOMO SALTADO X445ML LEEKUMKEE</t>
  </si>
  <si>
    <t>KOLESTON RET.RAIZ 10 PERM-30 CAST.OSCURO</t>
  </si>
  <si>
    <t>KOLESTON RETOQUE RAIZ 3SEG TEMP NEGRO</t>
  </si>
  <si>
    <t>KOLESTON RETOQUE RAIZ 3SEG CAST OSCURO</t>
  </si>
  <si>
    <t>KOLESTON RETOQUE RAIZ 3SEG TEMP RUB MED</t>
  </si>
  <si>
    <t>PACK VIÑA VIEJA BORGOÑA + CHENIN X 750ML</t>
  </si>
  <si>
    <t>MANTEQUILLA DE MANI X230GR SANTA MANIA</t>
  </si>
  <si>
    <t>LEVADURA INSTANTANEA MAURIPAN 125 GR</t>
  </si>
  <si>
    <t>VINO ELSA BIANCHI CHARDONNAY 750ML</t>
  </si>
  <si>
    <t>VINO DURIGUTTI CABERNET FRANC 750ML</t>
  </si>
  <si>
    <t>VINO RAMON BILBAO VERDEJO 750ML</t>
  </si>
  <si>
    <t>VINO ZUCCARDI SERIE "A" CHARD/VIOG 750ML</t>
  </si>
  <si>
    <t>VINO RAMON BILBAO GRAN RESERVA 750ML</t>
  </si>
  <si>
    <t>SALSA ROJA PERUANA CASA VERDEX200G</t>
  </si>
  <si>
    <t>SALSA ROJA PERUANA CASA VERDE X350G</t>
  </si>
  <si>
    <t>Detergente Caricia Peques x700GR</t>
  </si>
  <si>
    <t>Detergente Caricia Peques x1.4KG</t>
  </si>
  <si>
    <t>GOMAS GUANDY BANANA X 100 GR</t>
  </si>
  <si>
    <t>GOMAS GUANDY CULEBRITAS X 100 GR</t>
  </si>
  <si>
    <t>PAÑO HOME CARE MULTIUSO X3</t>
  </si>
  <si>
    <t>PAÑO HOME CARE MULTIUSO X6</t>
  </si>
  <si>
    <t>PAÑO HOME CARE MULTIUSO X12</t>
  </si>
  <si>
    <t>PAÑO HOME CARE MULTIUSO ROLLO X20</t>
  </si>
  <si>
    <t>PAÑO HOME CARE SUPER ABSORBENTE X3</t>
  </si>
  <si>
    <t>PAÑO HOME CARE SUPER ABSORBENTE X6</t>
  </si>
  <si>
    <t>PAÑO HOME CARE SUPER ABSORBENTE X12</t>
  </si>
  <si>
    <t>PAÑO HOME CARE ULTRA LIMPIADOR X3</t>
  </si>
  <si>
    <t>PAÑO HOME CARE ULTRA LIMPIADOR X6</t>
  </si>
  <si>
    <t>TEATRICAL CREMA ULTRA ACLARADORA 200 G</t>
  </si>
  <si>
    <t>TEATRICAL CREMA HUMECTANTE 200 G</t>
  </si>
  <si>
    <t>TEATRICAL CREMA ANTI ARRUGAS 200 G</t>
  </si>
  <si>
    <t>CICATRICURE GEL 30G LAT</t>
  </si>
  <si>
    <t>CICATRICURE CREMA X 30 GR</t>
  </si>
  <si>
    <t>SCHICK QUATTRO YOU X2 MUJER</t>
  </si>
  <si>
    <t>TURRON MAXIMA 250 GR</t>
  </si>
  <si>
    <t>TURRON MAXIMA 500 GR</t>
  </si>
  <si>
    <t>ACEITUNA BOT EXTRAX400GR HUERTO MEJIA</t>
  </si>
  <si>
    <t>ACEITUNA BOT SIN HUESOX400G HUERTO MEJIA</t>
  </si>
  <si>
    <t>ACEITUNA VERDE ASCOLANX400G HUERTO MEJIA</t>
  </si>
  <si>
    <t>MATERO YERBA MATE 1KG+BOMB ROSAMONTE</t>
  </si>
  <si>
    <t>SIX PACK HEINZ X678GR</t>
  </si>
  <si>
    <t>CHOCLO SIN SAL LATA X432GR DEL MONTE</t>
  </si>
  <si>
    <t>ACEITE SACHA INCHI QHALIKAY 250ML</t>
  </si>
  <si>
    <t>PCAKE&amp;WAFFLE SIROPE SHOPPERS VALUEX24OZ</t>
  </si>
  <si>
    <t>ACEITUNA VERD SIN HUESX400G HUERTO MEJIA</t>
  </si>
  <si>
    <t>MERMELADA FRESA S/GLUTEN X340GR HELIOS</t>
  </si>
  <si>
    <t>AZAFRAN HEBRA X0.375GR CARMENCITA</t>
  </si>
  <si>
    <t>AZAFRAN MOLIDO X0.4GR CARMENCITA</t>
  </si>
  <si>
    <t>PAELLERO X20GR CARMENCITA</t>
  </si>
  <si>
    <t>CALDO DESHIDRA SOB PAELLA 45G CARMENCITA</t>
  </si>
  <si>
    <t>ACEITUNA VERD PIMIENTOX400G HUERTO MEJIA</t>
  </si>
  <si>
    <t>ACEITUNA VERDE CASTAÑAX400G HUERTO MEJIA</t>
  </si>
  <si>
    <t>CHUPETE G. POP YOG.SURTIDO X24 U</t>
  </si>
  <si>
    <t>CHUPETE G. POP FRESA X24 U</t>
  </si>
  <si>
    <t>PIMENTON DULCE AHUMADO X75GR CARMENCITA</t>
  </si>
  <si>
    <t>SAZONADOR POLLO MOLINIL X70G CARMENCITA</t>
  </si>
  <si>
    <t>PIMIENTA NEGRA MOLINIL X190G CARMENCITA</t>
  </si>
  <si>
    <t>VODKA MAGNIFIQUE 700 ML</t>
  </si>
  <si>
    <t>CHUPETE G. POP NEON X24 U</t>
  </si>
  <si>
    <t>CHUPETE G. POP SURTIDO X24U</t>
  </si>
  <si>
    <t>CHUPETE G. POP TRI X24 U</t>
  </si>
  <si>
    <t>CHUPETE G. POP LECHE CHOCOLA X 24U</t>
  </si>
  <si>
    <t>CHUPETE G. POP CEREZA ACIDA  X24 U</t>
  </si>
  <si>
    <t>PALITOS PREZLET ORIGINAL X 250 G</t>
  </si>
  <si>
    <t>PALITOS PREZLET PICANTE X 250 G</t>
  </si>
  <si>
    <t>PALITOS CHINOS SALADO X 166 G</t>
  </si>
  <si>
    <t>MONEDAS DEL PERU 2 CERRITOS 150 G</t>
  </si>
  <si>
    <t>AZUCAR BLANCA ONZA SACHET 5G X500</t>
  </si>
  <si>
    <t>AZUCAR RUBIA ONZA SACHET 5G X500</t>
  </si>
  <si>
    <t>ENDULZANTE SUCRALOSA ONZA SACH 1G X1000</t>
  </si>
  <si>
    <t>ENDULZANTE STEVIA ONZA SACHET 1G X1000</t>
  </si>
  <si>
    <t>ENDULZANTE STEVIA ONZA SACHET 1G X100</t>
  </si>
  <si>
    <t>CHOCOLATE MILK PERUGINA 86G</t>
  </si>
  <si>
    <t>CHOCOLATE HAZELNUTS PERUGINA 86G</t>
  </si>
  <si>
    <t>CHOCOLATE ALMONDS PERUGINA 86G</t>
  </si>
  <si>
    <t>CHOCOLATE DARK 70% PERUGINA 86G</t>
  </si>
  <si>
    <t>CHOCOLATE DARK 85% PERUGINA 86G</t>
  </si>
  <si>
    <t>VINO BORGOÑA VIÑA VIEJA BOT X 2L</t>
  </si>
  <si>
    <t>JARABE DE GRANADINA CHEVALIER X 750 ML</t>
  </si>
  <si>
    <t>AGUA OZONIZADA MERSS 630ML</t>
  </si>
  <si>
    <t>AGUA OZONIZADA MERSS 630ML MINERAL</t>
  </si>
  <si>
    <t>GIN TANQUERAY FLOR DE SEVILLA 700ML</t>
  </si>
  <si>
    <t>MAYBELLINE LABIAL MADE FOR ALL MAUVE FME</t>
  </si>
  <si>
    <t>MAYBELLINE LABIAL MADE FOR ALL PINK FME</t>
  </si>
  <si>
    <t>VINO JARDINS PERELADA CRIANZA BOT 750ML</t>
  </si>
  <si>
    <t>COSMIC LUMIROSA CUARZO PEELOF MASK10 FM</t>
  </si>
  <si>
    <t>MELTING SUGAR HUMECTA ROSE GUMMY 10ML FM</t>
  </si>
  <si>
    <t>BEBIDA ORG.SCOTTI  1L, ALMEND SIN AZUCAR</t>
  </si>
  <si>
    <t>VINO ANDELUNA RAICES MALBEC 750 ML</t>
  </si>
  <si>
    <t>VINO ANDELUNA RAICES CHARDONNAY 750 ML</t>
  </si>
  <si>
    <t>SKYY INFUSIONS CITRUS 750ML</t>
  </si>
  <si>
    <t>PACK CHILCANERO PISCO MONTESIERPE</t>
  </si>
  <si>
    <t>SB Gel Strawberries &amp; Chp 30ml</t>
  </si>
  <si>
    <t>SB Gel AB Japanese Cherry B. 30ml</t>
  </si>
  <si>
    <t>SB Gel AB Secret Angel 30ml</t>
  </si>
  <si>
    <t>SB Gel AB Sweet Scent 30ml</t>
  </si>
  <si>
    <t>QUITAMANCHAS VANISH DP 800ML, BLANCO</t>
  </si>
  <si>
    <t>QUITAMANCHAS VANISH DP 800ML, ROSA</t>
  </si>
  <si>
    <t>CHOCOLATE BRITT GUAYABA DOYPACK 170 GR</t>
  </si>
  <si>
    <t>CHOCOLATE BRITT PINA DOYPACK 170 GR</t>
  </si>
  <si>
    <t>CHOCOLATE BRITT NARANJA DOYPACK 170 GR</t>
  </si>
  <si>
    <t>VINO NORTON COSECHA TARDIA TINTO X 750ML</t>
  </si>
  <si>
    <t>CHOCOLATE BRITT COCO DOY PACK 170 GR</t>
  </si>
  <si>
    <t>APERITIVO BRANCA MENTA 750ML</t>
  </si>
  <si>
    <t>RON BLANCO CARTAVIO SELECTO 750 ML</t>
  </si>
  <si>
    <t>RON CARTAVIO RESERVA 750 ML</t>
  </si>
  <si>
    <t>RTD HIT CARTAVIO MOJITO 4PACK 355 ML</t>
  </si>
  <si>
    <t>RTD WILD RUSSKAYA S.O.T.B. 4PACK 355ML</t>
  </si>
  <si>
    <t>BOMBONERA BACI X 06 UND X75G</t>
  </si>
  <si>
    <t>ACEITE COCO XV ORG PERUVIAN HEALTH 250ML</t>
  </si>
  <si>
    <t>SHAMPOO MEDICASP 130 ML</t>
  </si>
  <si>
    <t>DEO ROLL ON NIVEA B&amp;W SILKY 50 ML</t>
  </si>
  <si>
    <t>LICOR JAGERMEISTER 350ML</t>
  </si>
  <si>
    <t>RON FLOR DE CAÑA 5 AÑOS 375 ML</t>
  </si>
  <si>
    <t>RON FLOR DE CAÑA SPRESSO 750ML</t>
  </si>
  <si>
    <t>GIN HENDRICKS 350 ML</t>
  </si>
  <si>
    <t>WHISKEY JACK DANIELS 375ML</t>
  </si>
  <si>
    <t>CERVEZA GROLSCH PACK 6 BOT 330 ML</t>
  </si>
  <si>
    <t>AZUCAR DE COCO ORG BOBS RED MILL 369G</t>
  </si>
  <si>
    <t>BARRA WILD PROTEIN X5UND, CHOCOLATE CLAS</t>
  </si>
  <si>
    <t>BARRA WILD PROTEIN X5UND, CHOCOLATE MANI</t>
  </si>
  <si>
    <t>ACEITE DE COCO ORG NUTIVA 14OZ</t>
  </si>
  <si>
    <t>ACEITE DE COCO LIQUIDO ORG NUTIVA 8OZ</t>
  </si>
  <si>
    <t>ACO TIO NACHO HERBOLARIA 415 ML</t>
  </si>
  <si>
    <t>SHAMPOO TIO NACHO HERBOLARIA 415ML</t>
  </si>
  <si>
    <t>SHAMPOO HASK BIOTIN 355 ml</t>
  </si>
  <si>
    <t>SHAMPOO HASK BLUE CHAMOMILLE 355 ml</t>
  </si>
  <si>
    <t>ACO HASK BIOTIN 355 ml</t>
  </si>
  <si>
    <t>ACO HASK BLUE CHAMOMILLE 355 ml</t>
  </si>
  <si>
    <t>COMPRESA TERMICA MULTITERAPIAS</t>
  </si>
  <si>
    <t>VINO VITTORIA CABERNET MERLOT 750ML</t>
  </si>
  <si>
    <t>VITTORIA MALBEC 375ML</t>
  </si>
  <si>
    <t>VINO VITTORIA SAUVIGNON BLANC 750ML</t>
  </si>
  <si>
    <t>PACK 2 VINOS TABERNERO BORG PASAP.ROSSO</t>
  </si>
  <si>
    <t>VINO DADA"8"FINCA LAS MORAS BLEND 750ML</t>
  </si>
  <si>
    <t>VINO LAS MORAS BONARDA BOT 750ML</t>
  </si>
  <si>
    <t>VINO ORG. LAN XTREME CRIANZA 750ML</t>
  </si>
  <si>
    <t>VINO RDM VERNAIOLO CHIANTI BOT 750ML</t>
  </si>
  <si>
    <t>VINO OSADO MALBEC BLANCO BOT 750ML</t>
  </si>
  <si>
    <t>GIN WHITLEY NEILL BLOOD ORANGE 700ML</t>
  </si>
  <si>
    <t>GIN WHITLEY NEILL QUINCE 700 ML</t>
  </si>
  <si>
    <t>TABERNERO SOUR CHICHA MORADA 700ML</t>
  </si>
  <si>
    <t>TABERNERO SOUR PIÑA COLADA 700ML</t>
  </si>
  <si>
    <t>TABERNERO CHILCANO 4P MIX CRANBERR 275ML</t>
  </si>
  <si>
    <t>AC SEMILLA UVA+AC OL XV CRIN DORAD 375ML</t>
  </si>
  <si>
    <t>SIMILAC 3 5HMO FORM INFANTIL 2100 GR</t>
  </si>
  <si>
    <t>PISCO MACERADO CARNAVAL LIMA 750 ML</t>
  </si>
  <si>
    <t>AGUA MICELAR GARNIER PURE ACTIVE 400ML</t>
  </si>
  <si>
    <t>GALLETA CON QUINUA NUTRISHAKE 6PACK 180G</t>
  </si>
  <si>
    <t>GALLETA QUINUA/NIBS CACAO 180G NUTRISHAK</t>
  </si>
  <si>
    <t>GALLETA QUINUA/BLUEBERRY 180G NUTRISHAKE</t>
  </si>
  <si>
    <t>SNACK PLATANO CHIFLETON SWEET CHILLI100G</t>
  </si>
  <si>
    <t>VERMOUTH MARTINI FIERO 750ML</t>
  </si>
  <si>
    <t>VINO TRAFUL BOT 750ML</t>
  </si>
  <si>
    <t>VINO RINCÓN FAMOSO BOT 750ML</t>
  </si>
  <si>
    <t>VINO CHATEUX VIEUX G.RSV BOT 750ML</t>
  </si>
  <si>
    <t>VINO MONTCHENOT G.RSVA BOT 750ML</t>
  </si>
  <si>
    <t>VINO G.FAMIGLIA BIANCHI MALBEC 750ML</t>
  </si>
  <si>
    <t>THE BARBERIA SHAMPOO ANTICASPA 300ML</t>
  </si>
  <si>
    <t>THE BARBERIA MEN GEL DE AFEITAR 150ML</t>
  </si>
  <si>
    <t>VINO SALENTEIN NUMINA CHARDONAY 750ML</t>
  </si>
  <si>
    <t>VINO AZAGADOR COSECHA BOT 750ML</t>
  </si>
  <si>
    <t>VINO AZAGADOR CRIANZA BOT 750ML</t>
  </si>
  <si>
    <t>VINO AZAGADOR RESERVA BOT 750ML</t>
  </si>
  <si>
    <t>VINO AZAGADOR SELEC ESPECIAL BOT 750ML</t>
  </si>
  <si>
    <t>SANGRIA LOLEA BOT 750ML ROSE</t>
  </si>
  <si>
    <t>VINO COCODRILO 750ML</t>
  </si>
  <si>
    <t>GRISSINIS CLASICOS X90G WONG</t>
  </si>
  <si>
    <t>GRISSINIS DE AJO X90G WONG</t>
  </si>
  <si>
    <t>GRISSINIS DE QUESO X90G WONG</t>
  </si>
  <si>
    <t>GRISSINI DE OREGANO X90G WONG</t>
  </si>
  <si>
    <t>PALITOS ANTICUCHEROS INTI X 50 UND</t>
  </si>
  <si>
    <t>SKYY INFUSIONS RASPBERRY 750 ML</t>
  </si>
  <si>
    <t>COVERGIRL BASE SIMPLY AGELESS 3-1 BBEIGE</t>
  </si>
  <si>
    <t>COVERGIRL BASE SIMPL AGELESS 3-1 CRBEIGE</t>
  </si>
  <si>
    <t>COVERGIRL BASE SIMP AGELESS 3-1 MEDBEIGE</t>
  </si>
  <si>
    <t>COVERGIRL BASE SIMP AGELESS 3-1 NATBEIGE</t>
  </si>
  <si>
    <t>COVERGIRL BASE SIMP AGELESS 3-1 NUDBEIGE</t>
  </si>
  <si>
    <t>COVERGIRL BASE SIMP AGELESS 3-1 SOFT HON</t>
  </si>
  <si>
    <t>COVERGIRL BASE CLEAN MATTE LIQ BEIGE 525</t>
  </si>
  <si>
    <t>COVERGIRL BASE CLEAN MATTE LIQ BEIGE 530</t>
  </si>
  <si>
    <t>COVERGIRL BASE CLEAN MATTE LIQ CR NAT520</t>
  </si>
  <si>
    <t>COVERGIRL BASE CLEAN MATTE LIQ NAT BE540</t>
  </si>
  <si>
    <t>COVERGIRL BASE CLEAN MATTE LIQ S-HONE555</t>
  </si>
  <si>
    <t>COVERGIRL BASE CLEAN MATTE LIQ W-BEIG545</t>
  </si>
  <si>
    <t>COVERGIRL BASE CLEAN LIQUID BUFF BEIGE</t>
  </si>
  <si>
    <t>COVERGIRL BASE CLEAN LIQUID CLASSI BEIGE</t>
  </si>
  <si>
    <t>COVERGIRL BASE CLEAN LIQUID CLASS IVORY</t>
  </si>
  <si>
    <t>COVERGIRL BASE CLEAN LIQUID CREAMY NATUR</t>
  </si>
  <si>
    <t>COVERGIRL BASE CLEAN LIQUID NATUR BEIGE</t>
  </si>
  <si>
    <t>COVERGIRL BASE CLEAN LIQUID SOFT HONEY</t>
  </si>
  <si>
    <t>COVERGIRL BASE TRUBLEND BUFF BEIGE</t>
  </si>
  <si>
    <t>COVERGIRL BASE TRUBLEND CREAMY BEIGE D1</t>
  </si>
  <si>
    <t>COVERGIRL BASE TRUBLEND GOLDEN BEIGE</t>
  </si>
  <si>
    <t>COVERGIRL BASE TRUBLEND MEDIUM LIGHT</t>
  </si>
  <si>
    <t>COVERGIRL BASE TRUBLEND NATURAL BEIGE</t>
  </si>
  <si>
    <t>COVERGIRL BASE TRUBLEND PERFECT BEIGE</t>
  </si>
  <si>
    <t>COVERGIRL BASE TRUBLEND WARM BEIGE</t>
  </si>
  <si>
    <t>COVERGIRL BASE TRUBL MAT LIQ G-IVORY L31</t>
  </si>
  <si>
    <t>COVERGIRL BASE TRUBL MAT LIQ CL-IVORYL41</t>
  </si>
  <si>
    <t>COVERGIRL BASE TRUBL MAT LIQ LIGHTNUDL61</t>
  </si>
  <si>
    <t>COVERGIRL BASE TRUBL MAT LIQ G-NATUR M11</t>
  </si>
  <si>
    <t>COVERGIRL BASE TRUBL MAT LIQ SOFT TA M51</t>
  </si>
  <si>
    <t>COVERGIRL BASE TRUBL MAT LIQ CAR BEIGEM8</t>
  </si>
  <si>
    <t>COVERGIRL BASE TRUBL MAT LIQ GOLD AMBT11</t>
  </si>
  <si>
    <t>COVERGIRL BASE TRUBL MAT LIQ SOFT HONT21</t>
  </si>
  <si>
    <t>COVERGIRL BASE TRUBL MAT LIQ WARM HONT31</t>
  </si>
  <si>
    <t>COVERGIRL BASE TRUBL MAT LIQ NAT TAN T51</t>
  </si>
  <si>
    <t>COVERGIRL BASE TRUBL MAT LIQ CARAMEL T71</t>
  </si>
  <si>
    <t>COVERGIRL BRONZE TRUBLEND</t>
  </si>
  <si>
    <t>COVERGIRL CORRECTOR CLEAN MATTE LIGHT</t>
  </si>
  <si>
    <t>COVERGIRL CORRECTOR CLEAN MATTE LIGHTMED</t>
  </si>
  <si>
    <t>COVERGIRL CORRECTOR CLEAN MATTE MEDIUM</t>
  </si>
  <si>
    <t>COVERGIRL CORRECTOR OUTLAST SOFT TO FAIR</t>
  </si>
  <si>
    <t>COVERGIRL CORREC TRUBLEND LIT CONC LIGHT</t>
  </si>
  <si>
    <t>COVERGIRL CORRECT TRUBLEND LIT CONC LMED</t>
  </si>
  <si>
    <t>COVERGIRL CORRECT TRUBLEND LIT CONC MED</t>
  </si>
  <si>
    <t>COVERGIRL DELINEAD LAB EXHIB CARAM NUDE</t>
  </si>
  <si>
    <t>COVERGIRL DELINEAD LAB EXHIB CHERRY RED</t>
  </si>
  <si>
    <t>COVERGIRL DELINEAD LAB EXHIB GARNET RED</t>
  </si>
  <si>
    <t>COVERGIRL DELINEAD LAB EXHIB MAYVELOUS</t>
  </si>
  <si>
    <t>COVERGIRL DELINEAD LAB EXHIB IN THE NUDE</t>
  </si>
  <si>
    <t>COVERGIRL DELINEAD LAB EXHIB PLUM PARTN</t>
  </si>
  <si>
    <t>COVERGIRL DEL OJOS GET IN LINE BLACVINYL</t>
  </si>
  <si>
    <t>COVERGIRL DEL OJOS GETINLINE BOLD BROWN</t>
  </si>
  <si>
    <t>COVERGIRL DEL OJOS GETINLINE MATTE BLACK</t>
  </si>
  <si>
    <t>COVERGIRL DELINEAD OJOS INK IT BLACK INK</t>
  </si>
  <si>
    <t>COVERGIRL DELINEAD OJOS INK IT COCOA INK</t>
  </si>
  <si>
    <t>COVERGIRL DEL OJOS P-BLEND PENCIL BBLACK</t>
  </si>
  <si>
    <t>COVERGIRL DEL OJOS P-BLEND PENCIL BBROWN</t>
  </si>
  <si>
    <t>COVERGIRL DEL OJOS PERF POINT BLACK ONYX</t>
  </si>
  <si>
    <t>COVERGIRL DELIN OJOS PERF POINT ESPRESSO</t>
  </si>
  <si>
    <t>COVERGIRL DEL OJOS INTENSIFY LIQ BLACK</t>
  </si>
  <si>
    <t>COVERGIRL DEL OJOS INTENSIFY LIQ SMOKED</t>
  </si>
  <si>
    <t>COVERGIRL LABIAL KATY KAT MATTE CATOURE</t>
  </si>
  <si>
    <t>COVERGIRL LABIAL KATY KAT MATTE COSMO-KI</t>
  </si>
  <si>
    <t>COVERGIRL LABIAL KATY KAT MATTE CRIMSON</t>
  </si>
  <si>
    <t>COVERGIRL LABIAL KATY KAT MATTE KITTYPUR</t>
  </si>
  <si>
    <t>COVERGIRL LABIAL KATY KAT MATTE MAGENTA</t>
  </si>
  <si>
    <t>COVERGIRL LABIAL KATY KAT MATTE MAROON-M</t>
  </si>
  <si>
    <t>COVERGIRL LABIAL KATY KAT MATTE SPHYNX</t>
  </si>
  <si>
    <t>COVERGIRL LABIAL MELITNG POUT RASBERRY-G</t>
  </si>
  <si>
    <t>COVERGIRL LABIAL MELTING POUT DONTBEGELL</t>
  </si>
  <si>
    <t>ACEITE OLIVA XV TRUFABLANCA PONS X250ML</t>
  </si>
  <si>
    <t>COVERGIRL LABIAL MELTING POUT EVANGELICA</t>
  </si>
  <si>
    <t>COVERGIRL LABIAL MELTING POUT GELEBRITY</t>
  </si>
  <si>
    <t>COVERGIRL LABIAL MELTING POUT GELFRIEND</t>
  </si>
  <si>
    <t>COVERGIRL LABIAL MELTING POUT GEL-FUL</t>
  </si>
  <si>
    <t>COVERGIRL LABIAL MELTING POUT GELLIE JEL</t>
  </si>
  <si>
    <t>COVERGIRL LABIAL MELTING POUT TANGELO</t>
  </si>
  <si>
    <t>COVERGIRL LAB EXHIB CREMES CARAMEL KISS</t>
  </si>
  <si>
    <t>COVERGIRL LAB EXHIB CREMES COFFEE CRAVE</t>
  </si>
  <si>
    <t>COVERGIRL LAB EXHIB CREMES COQUETTE ORCH</t>
  </si>
  <si>
    <t>COVERGIRL LAB EXHIB CREMES CREME 230</t>
  </si>
  <si>
    <t>COVERGIRL LAB EXHIB CREMES DARLING KISS</t>
  </si>
  <si>
    <t>PAPAS NATIVAS MIXTAS X 90G AM ORGANICA</t>
  </si>
  <si>
    <t>SIYAU KIKKO X 6 X 160CC</t>
  </si>
  <si>
    <t>COVERGIRL LAB EXHIB CREMES DECADENTPEACH</t>
  </si>
  <si>
    <t>COVERGIRL LAB EXHIB CREMES DELIGHT BLUSH</t>
  </si>
  <si>
    <t>RON ROYAL CENTENARIO 5 AÑOS 750 ML</t>
  </si>
  <si>
    <t>COVERGIRL LAB EXHIB CREMES ENCHATRESS BL</t>
  </si>
  <si>
    <t>COVERGIRL LAB EXHIB CREMES EUPHORIA 315</t>
  </si>
  <si>
    <t>COVERGIRL LAB EXHIB CREMES HOT 305</t>
  </si>
  <si>
    <t>COVERGIRL LAB EXHIB CREMES RAVISHINGROSE</t>
  </si>
  <si>
    <t>COVERGIRL LAB EXHIB CREMES ROMANCE MAUVE</t>
  </si>
  <si>
    <t>COVERGIRL LAB EXHIB CREMES SEDUCESCARLET</t>
  </si>
  <si>
    <t>COVERGIRL LAB EXHIB CREMES SPELLBOUND325</t>
  </si>
  <si>
    <t>COVERGIRL LAB EXHIB CREMES SUCCULENT CHE</t>
  </si>
  <si>
    <t>RON ROYAL CENTENARIO 7 AÑOS 750 ML</t>
  </si>
  <si>
    <t>RON ROYAL CENTENARIO 30 AÑOS 750 ML</t>
  </si>
  <si>
    <t>COVERGIRL LAB EXHIB CREMES SWEETHEART BL</t>
  </si>
  <si>
    <t>COVERGIRL LAB EXHIB CREMES TANTALIZE 335</t>
  </si>
  <si>
    <t>COVERGIRL LAB EXHIB CREMES TEMPTING TOFF</t>
  </si>
  <si>
    <t>COVERGIRL LAB EXHIB DEMI MATTE STREAKER</t>
  </si>
  <si>
    <t>COVERGIRL LAB EXHIB DEMI MATTE TRENDING</t>
  </si>
  <si>
    <t>COVERGIRL LAB EXHIB DEMI MATTE JUSTSAYIN</t>
  </si>
  <si>
    <t>COVERGIRL LAB EXHIB DEMI MATTE WORTHY451</t>
  </si>
  <si>
    <t>COVERGIRL LAB EXHIB DEMI MATTE INFAMOUS</t>
  </si>
  <si>
    <t>COVERGIRL LAB EXHIB DEMI MATTE FEELINGS</t>
  </si>
  <si>
    <t>COVERGIRL LAB EXHIB DEMI MATTE PEACOCK</t>
  </si>
  <si>
    <t>COVERGIRL LAB EXHIB METALLICS LOVE ME LA</t>
  </si>
  <si>
    <t>COVERGIRL LAB EXHIB METALLICS CANT STOP</t>
  </si>
  <si>
    <t>COVERGIRL LAB EXHIB METALLICS READYORNOT</t>
  </si>
  <si>
    <t>COVERGIRL LAB EXHIB METALLICS GETAWAY531</t>
  </si>
  <si>
    <t>COVERGIRL LAB EXHIB METALLICS RENDEZVOUS</t>
  </si>
  <si>
    <t>COVERGIRL LAB EXHIB METALLICS STEAL 546</t>
  </si>
  <si>
    <t>COVERGIRL LAB MELTING POUT MATTE ALLNIGH</t>
  </si>
  <si>
    <t>COVERGIRL LAB MELTING POUT MATTE BACKTAL</t>
  </si>
  <si>
    <t>COVERGIRL LAB MELTING POUT MATTE BALLER</t>
  </si>
  <si>
    <t>COVERGIRL LAB MELTING POUT MATTE CURNUDE</t>
  </si>
  <si>
    <t>COVERGIRL LAB MELT POUT MATTE PARAD LOST</t>
  </si>
  <si>
    <t>COVERGIRL LAB MELT POUT MATTE SEISMIC</t>
  </si>
  <si>
    <t>COVERGIRL LAB KATY KAT GLOSS CANDY CAT</t>
  </si>
  <si>
    <t>COVERGIRL LAB KATY KAT GLOSS CATELOUPE</t>
  </si>
  <si>
    <t>COVERGIRL LAB KATY KAT GLOSS CATNIP</t>
  </si>
  <si>
    <t>COVERGIRL LAB KATY KAT GLOSS INDIGO CAT</t>
  </si>
  <si>
    <t>COVERGIRL LAB KATY KAT GLOSS KITTY KARMA</t>
  </si>
  <si>
    <t>COVERGIRL LAB KATY KAT GLOSS NINTH LIFE</t>
  </si>
  <si>
    <t>COVERGIRL LAB KATY KAT GLOSS POUNCE</t>
  </si>
  <si>
    <t>COVERGIRL LAB KATY KAT GLOSS PURRPLE PAW</t>
  </si>
  <si>
    <t>COVERGIRL LAB KATY KAT GLOSS TABBY TEASE</t>
  </si>
  <si>
    <t>COVERGIRL LAB KATY KAT GLOSS WINE FELINE</t>
  </si>
  <si>
    <t>COVERGIRL LAB OUTLAST ALL DAY EVER RED D</t>
  </si>
  <si>
    <t>COVERGIRL LAB OUTLAST ALL DAY ETERNAL FL</t>
  </si>
  <si>
    <t>SIYAU KIKKO 5 LITROS</t>
  </si>
  <si>
    <t>SAMBUCA BUISE 700ML</t>
  </si>
  <si>
    <t>COVERGIRL LAB OUTLAST ALL DAY ALWAYSROSY</t>
  </si>
  <si>
    <t>COVERGIRL LAB OUTLAST ALL DAY BLUSH MAUV</t>
  </si>
  <si>
    <t>COVERGIRL LAB OUTLAST ALL DAY PLUM BERRY</t>
  </si>
  <si>
    <t>COVERGIRL LAB OUTLAST ALL DAY BRAZENRAIS</t>
  </si>
  <si>
    <t>COVERGIRL BROW BROW KIT HONEY BROWN 715</t>
  </si>
  <si>
    <t>COVERGIRL BROW BROW KIT RICH BROWN 705</t>
  </si>
  <si>
    <t>COVERGIRL BROW EASY BREEZY BROW HONEY BR</t>
  </si>
  <si>
    <t>COVERGIRL BROW EASY BREEZY BROW MIDNIG B</t>
  </si>
  <si>
    <t>COVERGIRL BROW EASY BREEZY BROW SOFT BR</t>
  </si>
  <si>
    <t>COVERGIRL BREASY BREEZY SCULPT+SETHONEYB</t>
  </si>
  <si>
    <t>COVERGIRL BREASY BREEZY SCULPT+SETRICHBR</t>
  </si>
  <si>
    <t>COVERGIRL BREASY BREEZY SCULPT+SETSOFTBR</t>
  </si>
  <si>
    <t>COVERGIRL BROW SHAPE&amp;DEF MASCARA HONEYBR</t>
  </si>
  <si>
    <t>COVERGIRL BROW MICROFINE PENCIL HONEY BR</t>
  </si>
  <si>
    <t>COVERGIRL BROW MICROFINE PENCIL SOFT BRO</t>
  </si>
  <si>
    <t>COVERGIRL BROW MICROFINE PENCIL RICH BRW</t>
  </si>
  <si>
    <t>COVERGIRL MASCARA CLUMPCRUSHER VERYBLACK</t>
  </si>
  <si>
    <t>COVERGIRL MÁSCARA CLUMPCRUSHER VERYBL WP</t>
  </si>
  <si>
    <t>COVERGIRL MASCARA PEACOCK FLARE EXTR BL</t>
  </si>
  <si>
    <t>COVERGIRL MÁSCARA PEACOCK FLARE EX BL-BR</t>
  </si>
  <si>
    <t>COVERGIRL MÁSCARA PEACOCK FLARE WP EX-BL</t>
  </si>
  <si>
    <t>COVERGIRL MASCARA KATY KAT VERY BLACK</t>
  </si>
  <si>
    <t>COVERGIRL MASCARA LASHBLAST VERY BLACK</t>
  </si>
  <si>
    <t>COVERGIRL MASCARA LASHBLAST VERYBLACK WP</t>
  </si>
  <si>
    <t>CORVERGIR MASCARA SO LASHY EXTREME BLACK</t>
  </si>
  <si>
    <t>COVERGIRL MASCARA SUPERSIZ FIBERS BLACKB</t>
  </si>
  <si>
    <t>COVERGIRL MASCARA SUPERSIZ FIBERS VERY-B</t>
  </si>
  <si>
    <t>COVERGIRL MASCARA SUPERSIZ VERY BLACK WP</t>
  </si>
  <si>
    <t>COVERGIRL MASCARA SUPERSIZ BIGCUR VERYBL</t>
  </si>
  <si>
    <t>COVERGIRL MASCARA SUPERSIZ BIGCURL WP BL</t>
  </si>
  <si>
    <t>COVERGIRL TRUBLEND SC CONTOUR ROSE NIGHT</t>
  </si>
  <si>
    <t>COVERGIRL TRUBL SUP STUNNER HIGHLIGHT GU</t>
  </si>
  <si>
    <t>COVERGIRL TRUBLEND SUP STUN HIGHLIGHT IL</t>
  </si>
  <si>
    <t>COVERGIRL MAQ POLVOS CLEAN BUFF BEIGE</t>
  </si>
  <si>
    <t>COVERGIRL MA POLVOS CLEAN CLASSIC BEIGE</t>
  </si>
  <si>
    <t>COVERGIRL MAQ POLVOS CLEAN CR NATURAL</t>
  </si>
  <si>
    <t>COVERGIRL MAQ POLVOS CLEAN NAT BEIGE</t>
  </si>
  <si>
    <t>COVERGIRL MAQ POLVOS CLEAN SOFT HONEY</t>
  </si>
  <si>
    <t>COVERGIRL MAQ POLVOS CLEAN MAT BUFF B525</t>
  </si>
  <si>
    <t>COVERGIRL MAQ POLVO CLEAN MAT MED LIG535</t>
  </si>
  <si>
    <t>COVERGIRL MAQ POLVOS CLEAN MAT WARM 545</t>
  </si>
  <si>
    <t>COVERGIRL MAQ POLVOS CLEAN MAT SOFT HON5</t>
  </si>
  <si>
    <t>COVERGIRL MAQ POLVOS OUTLAST MAT FPOW LD</t>
  </si>
  <si>
    <t>COVERGIRL MAQ POLVOS SUELTOS PROF HONEY</t>
  </si>
  <si>
    <t>COVERGIRL MAQ POLVOS SUELTOS PROF LIGHT</t>
  </si>
  <si>
    <t>COVERGIRL MAQ POLVOS SUELTOS PROF MEDIUM</t>
  </si>
  <si>
    <t>COVERGIRL POLVOS TRUBMIN LOOSE POW TFAIR</t>
  </si>
  <si>
    <t>COVERGIRL POLVOS TRUBMIN LOOSE POW TLIGH</t>
  </si>
  <si>
    <t>TWININGS PURE GREEN X10 BOL</t>
  </si>
  <si>
    <t>TWININGS STRAWBERRY+MANGO X10BOL</t>
  </si>
  <si>
    <t xml:space="preserve"> TWININGS B.TEA ENG. BREAKFAST X10BOL</t>
  </si>
  <si>
    <t>COVERGIRL POLVOS TRUB MIN LOOSE POW TMED</t>
  </si>
  <si>
    <t>COVERGIRL PRIMER TRUBLEND COLOR NEUTR200</t>
  </si>
  <si>
    <t>COVERGIRL PRIMER TRUBLEND ILUMINATING400</t>
  </si>
  <si>
    <t>COVERGIRL PRIMER TRUBLEND PORE MINIM300</t>
  </si>
  <si>
    <t>COVERGIRL PRIMER TRUBLEND SKIN SMOOTH100</t>
  </si>
  <si>
    <t>COVERGIRL RUBOR CHEEKERS ICED CAPPUCINO</t>
  </si>
  <si>
    <t>COVERGIRL RUBOR CHEEKERS PRETTY PEACH</t>
  </si>
  <si>
    <t>COVERGIRL RUBOR CHEEKERS SOFT SABLE</t>
  </si>
  <si>
    <t>COVERGIRL CUARTETO SOMBR EYE SQ BLOO BL</t>
  </si>
  <si>
    <t>COVERGIRL CUARTETO SOMBR EYE SQ GOFORGOL</t>
  </si>
  <si>
    <t>COVERGIRL CUARTETO SOMBR EYE SQ NOTMENUD</t>
  </si>
  <si>
    <t>COVERGIRL CUARTETO SOMBR EYE SQ SMOKEY</t>
  </si>
  <si>
    <t>COVERGIRL OCTETO SOMBR TRUNAKED NUDES</t>
  </si>
  <si>
    <t>COVERGIRL OCTETO SOMBR TRUNAKED ROSES</t>
  </si>
  <si>
    <t>COVERGIRL OCTETO SOMBRAS TRUNAKED SMOKY</t>
  </si>
  <si>
    <t>COVERGIRL BROCHA POLV/RUB MAKEUP MASTERS</t>
  </si>
  <si>
    <t>COVERGIRL BROCHA SOMBR/DEL MAKEUP MASTER</t>
  </si>
  <si>
    <t>COVERGIRL ESPONJA BASE MAKE UP MASTERS</t>
  </si>
  <si>
    <t>COVERGIRL ESPONJA POLV MAKEUP MASTERS</t>
  </si>
  <si>
    <t>COVERGIRL PINZAS CEJAS MAKE UP MASTERS</t>
  </si>
  <si>
    <t>COVERGIRL RIZADOR PESTAÑAS MAKE UP MAST</t>
  </si>
  <si>
    <t>COVERGIRL TAJADOR 3 EN 1 MAKE UP MASTERS</t>
  </si>
  <si>
    <t>VINO EL VINCULO RESERVA BOT 750ML</t>
  </si>
  <si>
    <t>VINO VIÑA VILANO ROBLE TEMPRANILLO 750ML</t>
  </si>
  <si>
    <t>VINO SANTA CRUZ DE ALPERA AZUL BOT 750ML</t>
  </si>
  <si>
    <t>LYSOL KITCHEN PRO ANTIBACT x650ML</t>
  </si>
  <si>
    <t>KIT KATIVA ALISADO BRASILEÑO</t>
  </si>
  <si>
    <t>ESTUCHE 2 SANGRIAS LOLEA</t>
  </si>
  <si>
    <t>MASCARILLA TELA GARNIER 32GR CHARCOAL</t>
  </si>
  <si>
    <t>VINO FAUSTINO ART COLLECTION BOT 750ML</t>
  </si>
  <si>
    <t>LIMPIA VIDRIOS DARYZA  X GALON</t>
  </si>
  <si>
    <t>DETERGENTE LIQUIDO DARYZA X GALÓN</t>
  </si>
  <si>
    <t>GEL LAVAVAJILLA DARYZA X GALON</t>
  </si>
  <si>
    <t>REMOVEDOR DE SARRO DARYZA  X GALON</t>
  </si>
  <si>
    <t>CAFE BRITT ESPRESSO PACHAMAMA X10 CAPS</t>
  </si>
  <si>
    <t>CAFE BRITT ESPRESSO CAJAMARCA X10 CAPS</t>
  </si>
  <si>
    <t>CHOCOLATE LECHE Y NUECES ORQUIDEA X90G</t>
  </si>
  <si>
    <t>CHOCOLATE LECHE Y QUINUA ORQUIDEA X80G</t>
  </si>
  <si>
    <t>Baby Shampoo Brillitos de Argán 400ml</t>
  </si>
  <si>
    <t>Spray para Peinar Brilli Simonds 210ml</t>
  </si>
  <si>
    <t>Baby Acondicion Brillitos Argán 400ml.</t>
  </si>
  <si>
    <t>PACK TIO NACHO SH + ACO MANZ ACL 415 ML</t>
  </si>
  <si>
    <t>VINO VIÑA VILANO CRIANZA TEMP 750ML</t>
  </si>
  <si>
    <t>PACK TIO NACHO SH+ ACO HERBOLARIA 415 ML</t>
  </si>
  <si>
    <t>PACK TIO NACHO SH + ACO ENGROSAD 415ML</t>
  </si>
  <si>
    <t>PISCO BIONDI ACHOLADO COCTELERO X 2L</t>
  </si>
  <si>
    <t>MINI OBLEAS HALLOWEEN ARCOR X 288GR</t>
  </si>
  <si>
    <t>MINI SAPITO HALLOWEEN ARCOR X 275GR</t>
  </si>
  <si>
    <t>TRINCHE HALLOWEEN ARCOR X 99GR</t>
  </si>
  <si>
    <t>GOMAS OJITOS GOMUL ARCOR X 500G</t>
  </si>
  <si>
    <t>GOMAS RATA N ROCK GOMUL ARCOR X500G</t>
  </si>
  <si>
    <t>GOMAS DIENTES MOGUL ARCOR X 500GR</t>
  </si>
  <si>
    <t>BALDE SR CARA DE PAPA HALLOWEEN X100G</t>
  </si>
  <si>
    <t>CREMA DE AVELLANAS SORINI X350GR</t>
  </si>
  <si>
    <t>WHISKY PASSPORT 700ML</t>
  </si>
  <si>
    <t>BOLSA BASURA X 25 LTS HOME CARE</t>
  </si>
  <si>
    <t>BOLSA BASURA X 35 LTS HOME CARE</t>
  </si>
  <si>
    <t>BOLSA BASURA X 50 LTS HOME CARE</t>
  </si>
  <si>
    <t>BOLSA BASURA X 50 LTS HOME CARE X100</t>
  </si>
  <si>
    <t>BOLSA BASURA X 75 LTS HOME CARE</t>
  </si>
  <si>
    <t>VINO VIÑA VILANO RESERVA TEMP 750ML</t>
  </si>
  <si>
    <t>BOLSA BASURA X 75 LTS HOME CARE X100</t>
  </si>
  <si>
    <t>BOLSA BASURA X 140 LTS HOME CARE</t>
  </si>
  <si>
    <t>BOLSA BASURA X 140 LTS HOME CARE X50</t>
  </si>
  <si>
    <t>BOLSA BASURA X 220 LTS HOME CARE X50</t>
  </si>
  <si>
    <t>BOLSA BASURA X 220 LTS HOME CARE</t>
  </si>
  <si>
    <t>PACK BOLSA BASURA X 35 LTS HOME CARE</t>
  </si>
  <si>
    <t>PACK BOLSA BASURA X 50 LTS HOME CARE</t>
  </si>
  <si>
    <t>BOLSA BASURA ROLLO X25LTS HOME CARE X40</t>
  </si>
  <si>
    <t>BOLSA BASURA ROLLO 25 LT HOME CARE X80</t>
  </si>
  <si>
    <t>BOL BASURA ROLLO x35LTS HOME CARE x30UN</t>
  </si>
  <si>
    <t>BOLSA BASURA ROLLO x35 LTS HOME CARE X70</t>
  </si>
  <si>
    <t>BOL BASURA ROLLOx50 LIT HOMECARE 25UN</t>
  </si>
  <si>
    <t>BOL BASURA ROLLO x50 LT HOME CARE X50UN</t>
  </si>
  <si>
    <t>BOL BASURA ROLLO x75 LT HOME CARE X15UN</t>
  </si>
  <si>
    <t>BOLSA BASURA ROLLO 75 LT HOME CARE X35</t>
  </si>
  <si>
    <t>BOL BASURA ROLLO 140 LTS HOME CARE 10UN</t>
  </si>
  <si>
    <t>BOL BASURA ROLLO x140 L HOME CARE X25UN</t>
  </si>
  <si>
    <t>AGUA MICEL NIVEA MICELLAIR NORMAL 400 ML</t>
  </si>
  <si>
    <t>SHAMPOO ANTI VANART COCO KERA 600 ML</t>
  </si>
  <si>
    <t>ACOND LISO VANART COCO KERA 600 ML</t>
  </si>
  <si>
    <t>ACOND ANTI VANART COCO KERA 600 ML</t>
  </si>
  <si>
    <t>LOTUS SPREAD ORIGINAL X400GR</t>
  </si>
  <si>
    <t>LOTUS SPREAD CRUNCHY X380GR</t>
  </si>
  <si>
    <t>TWOPACK WHISKY SANDY MAC 750 ML</t>
  </si>
  <si>
    <t>TE CANELA Y CLAVO   X100 SOBS DEL VALLE</t>
  </si>
  <si>
    <t>TE CANELA Y CLAVO   X25 SOBS DEL VALLE</t>
  </si>
  <si>
    <t>MANZANILLA  X100 SOBS DEL VALLE</t>
  </si>
  <si>
    <t>MANZANILLA  X25  SOBS DEL VALLE</t>
  </si>
  <si>
    <t>ANIS   X 100  SOBS DEL VALLE</t>
  </si>
  <si>
    <t>ANIS   X 25  SOBS DEL VALLE</t>
  </si>
  <si>
    <t>ANTIGRIPAL   X25 SOBS DEL VALLE</t>
  </si>
  <si>
    <t>MENTA  MUÑA  X100 SOBS DEL VALLE</t>
  </si>
  <si>
    <t>VINO VIÑA VILANO TEMP TERRA INCOG 750ML</t>
  </si>
  <si>
    <t>GIN GREENALLS WILD BERRY 700ML</t>
  </si>
  <si>
    <t>VINO CANALLAS BOT 750ML</t>
  </si>
  <si>
    <t>MATE  COCA X25  SOBS DEL VALLE</t>
  </si>
  <si>
    <t>BL NIVEA SUN F CNTRL BRI FPS50 50ML</t>
  </si>
  <si>
    <t>NUTRIBELA POTE BIOKERATINA</t>
  </si>
  <si>
    <t>LICOR JAGERMEISTER THE BEAST X 1.75L</t>
  </si>
  <si>
    <t>BM75ML+BL57ML STRAWB&amp;CH SENSUAL BEAUTY</t>
  </si>
  <si>
    <t>BM150ML+10ML+BL57ML DREAM SENSUAL BEAUTY</t>
  </si>
  <si>
    <t>Sensodyne Blanq Extra Fresh 90gr</t>
  </si>
  <si>
    <t>GIN BROKERS LONDON DRY 750ML</t>
  </si>
  <si>
    <t>GIN BROKERS PINK 700ML</t>
  </si>
  <si>
    <t>HANSAPLAST PARCHE ARNICA</t>
  </si>
  <si>
    <t>HARINA JUANA 950 G</t>
  </si>
  <si>
    <t>MASECA CACHAPAS 454 G</t>
  </si>
  <si>
    <t>CHUPETE BARBIE CONFITECA X 408G</t>
  </si>
  <si>
    <t>PASTILLAS DE LECHE TANA X 100 GR</t>
  </si>
  <si>
    <t>ARBOLITO NAVIDAD MINI GOLPE 130GR</t>
  </si>
  <si>
    <t>JBABY ESTUCHE PEQUENO</t>
  </si>
  <si>
    <t>SHAMPOO ELVIVE DREAM LONG 1LT</t>
  </si>
  <si>
    <t>SHAMPOO ELVIVE ÓLEO COCO 680ML</t>
  </si>
  <si>
    <t>CHOCOLATE TREE DECORATIONS JACQUOT 75G</t>
  </si>
  <si>
    <t>CHOCO CHRISTMAS GREETINGS JACQUOT 143G</t>
  </si>
  <si>
    <t>Toalla Higiénica Natracare Regular Alas</t>
  </si>
  <si>
    <t>Toalla Higiénica Natracare Súper Alas</t>
  </si>
  <si>
    <t>Protectores Diarios Natracare Curvo</t>
  </si>
  <si>
    <t>Protectores Diarios Natracare Tanga</t>
  </si>
  <si>
    <t>Protectores Diarios Natracare Mini</t>
  </si>
  <si>
    <t>Tampon c/aplicador Natracare regular</t>
  </si>
  <si>
    <t>Tampon c/aplicador Natracare súper</t>
  </si>
  <si>
    <t>ACEI COCO VIRG ORG PERUVIAN HEALTH 450ML</t>
  </si>
  <si>
    <t>Gel Champu x 400ML Denenes Naturals</t>
  </si>
  <si>
    <t>VINO CANALLAS  750ML</t>
  </si>
  <si>
    <t>Locion Corporal x 400ML Denenes Naturals</t>
  </si>
  <si>
    <t>Colonia s/alcoholX500ML Denenes Naturals</t>
  </si>
  <si>
    <t>LICOR IRISH CREAM LATA 750ML BAILEYS</t>
  </si>
  <si>
    <t>CERVEZA PAULANER WEISSBIER LATA 500ML</t>
  </si>
  <si>
    <t>VINO BERONIA ROSE TEMPRANILLO BOT 750ML</t>
  </si>
  <si>
    <t>BITTERS AMARGO BERNINA 75ML</t>
  </si>
  <si>
    <t>ACEITUNA NEGRA ENT COCKT 1KG OLIVALLE</t>
  </si>
  <si>
    <t>ACEITUNA VERDE DESHUESADA 1KG OLIVALLE</t>
  </si>
  <si>
    <t>ACEITUNA VERDE CON ROCOTO 1KG OLIVALLE</t>
  </si>
  <si>
    <t>Shampoo 3en1 Paw Patrol Mix 350ml</t>
  </si>
  <si>
    <t>Colonia Paw Patrol 2D 175ml</t>
  </si>
  <si>
    <t>SHAMPOO 3EN1 FORKY 350ml</t>
  </si>
  <si>
    <t>JABON LIQ 3D ALIEN 400ml</t>
  </si>
  <si>
    <t>JABON LIQ GUANTE THANOS 400ml</t>
  </si>
  <si>
    <t>SHAMPOO 3EN1 THANOS  350ML</t>
  </si>
  <si>
    <t>Shampoo 3en1  3D Spiderman 350ml</t>
  </si>
  <si>
    <t>CIGARROS LUCKY STRIKE FRESH TWIST X 20</t>
  </si>
  <si>
    <t>ESPUMANTE RICCADONNA PROSECCO BOT 200ML</t>
  </si>
  <si>
    <t>SIXPACK JABON NIVEA 90GR CREME CARE</t>
  </si>
  <si>
    <t>MANI ORIENTAL CUISINE&amp;CO 200GR</t>
  </si>
  <si>
    <t>MANI ORIENTAL-PICANT CUISINE&amp;CO 200GR</t>
  </si>
  <si>
    <t>MANI SALADO CUISINE&amp;CO 200GR</t>
  </si>
  <si>
    <t>MIX MANI C/PASAS CUISINE&amp;CO 200GR</t>
  </si>
  <si>
    <t>MIX NOVO ANDINO CUISINE&amp;CO 200GR</t>
  </si>
  <si>
    <t>CEREAL  MINIGORDIS X350GR</t>
  </si>
  <si>
    <t>CERVEZA CANDELARIA DORADA PACK 4LATA 355</t>
  </si>
  <si>
    <t>VINO BALA PERDIDA BOT 750ML</t>
  </si>
  <si>
    <t>CERVEZA CANDELARIA TRIGO PACK 4 LATA 355</t>
  </si>
  <si>
    <t>CERVEZA CANDELARIA PERU PACK 4 LATAS 355</t>
  </si>
  <si>
    <t>MYN BROW POMADE DEEP BROWN</t>
  </si>
  <si>
    <t>ENDULZANTE CLASSIC LAKANTO X 30 SOBRES</t>
  </si>
  <si>
    <t>ENDULZANTE GOLDEN LAKANTO X 30 SOBRES</t>
  </si>
  <si>
    <t>ENDULZANTE CLASSIC LAKANTO 454G</t>
  </si>
  <si>
    <t>ENDULZANTE GOLDEN LAKANTO 454G</t>
  </si>
  <si>
    <t>CARAMELO ALKA CRISTAL MENTA X360GR</t>
  </si>
  <si>
    <t>ESPUMA DE BAÑO 3D FROZEN 300ML</t>
  </si>
  <si>
    <t>VOKDA RUSSKAYA APPLE 750ML</t>
  </si>
  <si>
    <t>CARAMELOS SKITTLE TROPICAL 61.5G</t>
  </si>
  <si>
    <t>SUAV DE ROPA LIQ AROMA BB800ML</t>
  </si>
  <si>
    <t>SUAVDE ROPA LIQ AROMA BB 2600ML</t>
  </si>
  <si>
    <t>JABÓN BARRA CARICIAX200GR</t>
  </si>
  <si>
    <t>JABON BARRA DUOPACK CARICIAX400GR</t>
  </si>
  <si>
    <t>JABÓN BARRA DUOPACK ÑA PANCHAX400GR</t>
  </si>
  <si>
    <t>SUAVIZANTE CARICIA AROMA FAMILIAX2600ML</t>
  </si>
  <si>
    <t>MAPLE FLAVORED SYRUP X384 ML LAKANTO</t>
  </si>
  <si>
    <t>FOUR PACK GINGER BEER BRITVIC X 200 ML</t>
  </si>
  <si>
    <t>JABON LIQUIDO DIAL DOYPACK 800ML COCONUT</t>
  </si>
  <si>
    <t>CHAMPU SANANAW X 250ML</t>
  </si>
  <si>
    <t>REACONDICIONADOR SANANAW X250ML</t>
  </si>
  <si>
    <t>CABELLOS Y CUERPO SANANAW X250ML</t>
  </si>
  <si>
    <t>JABON LIQUIDO SANANAW X250ML</t>
  </si>
  <si>
    <t>COLONIA SANANAW X250ML</t>
  </si>
  <si>
    <t>PANETON VEGANO 500 GR CUISINE &amp; CO</t>
  </si>
  <si>
    <t>MASCARILLA FACIAL NIVEA Q10</t>
  </si>
  <si>
    <t>BOMBONES CORAZON 150G 2 CERRITOS</t>
  </si>
  <si>
    <t>BOMBONES SURTIDOS 150G 2 CERRITOS</t>
  </si>
  <si>
    <t>CARNE SECA PROTS X 40G</t>
  </si>
  <si>
    <t>CARNE SECA PROTS X 20G</t>
  </si>
  <si>
    <t>ENERGIZANTE RED BULL TROPICAL 250ML</t>
  </si>
  <si>
    <t>BOLSA BAÑO/COCINA HOME CARE 20 UNDS</t>
  </si>
  <si>
    <t>SHAMPOO 3 EN 1 PANTERA NEGRA X350ML</t>
  </si>
  <si>
    <t>MIEL DE ABEJA COSECHA PARAISO X500GR</t>
  </si>
  <si>
    <t>MIEL DE ABEJA COSECHA PARAISO X300GR</t>
  </si>
  <si>
    <t>MAQ AFEIT SHINE MUJ FAM CARE 3HOJASX4U</t>
  </si>
  <si>
    <t>MAQ AFEIT SHINE MUJ FAM CARE 3HOJASX2U</t>
  </si>
  <si>
    <t>SISTEM AFEIT INTIMATE FAM CARE 3HOJASX1U</t>
  </si>
  <si>
    <t>REPUEST AFEITAD FAM CARE MUJER 3HOJASX2U</t>
  </si>
  <si>
    <t>BEBIDA COCOMANIA FRUTOS ROJOS X 300ML</t>
  </si>
  <si>
    <t>SANDEMAN OLD TAWNY PORTO 10 AÑOS 750ML</t>
  </si>
  <si>
    <t>SIROPE CHOCOLATE LAKANTO 473 ML</t>
  </si>
  <si>
    <t>POTE CORAZON FRESA BON O BON 105GR</t>
  </si>
  <si>
    <t>DESHUM BOLASECA CAJA X400GR</t>
  </si>
  <si>
    <t>DESHUM BOLASECA TRIO RECAMBIO X400GR</t>
  </si>
  <si>
    <t>WHISKY VAT 69 APPLE 700 ML</t>
  </si>
  <si>
    <t>CR NEUTROGENA HYDRO BOOST GEL400ML</t>
  </si>
  <si>
    <t>CRE NEUTROGENA BODY INTENS CONFORT400ML</t>
  </si>
  <si>
    <t>MASK PURIFICADORA CARBÓN 110GR BIORE</t>
  </si>
  <si>
    <t>BOLSA BASURA ROLLO VIRUTEX 14L 15U,COMPO</t>
  </si>
  <si>
    <t>GUANTE BIODEGRADABLE VIRUTEX</t>
  </si>
  <si>
    <t>AGUA SP ESSENZA 330ML, CEREZA Y GRAN</t>
  </si>
  <si>
    <t>AGUA SP ESSENZA 330ML, MAND Y FRESA</t>
  </si>
  <si>
    <t>SHAMPOO KONZIL OLEO COCO 375ML</t>
  </si>
  <si>
    <t>ACO KONZIL OLEO COCO 375ML</t>
  </si>
  <si>
    <t>LIMP MULTIUSOS ECO HOUSE BEBE X1800ML</t>
  </si>
  <si>
    <t>LIMP MULTIUSOS ECO HOUSE BEBE X900ML</t>
  </si>
  <si>
    <t>SACAGRASA MANDARINA ECO HOUSE X650ML</t>
  </si>
  <si>
    <t>HASK  DRY SHAMPOO BIOTIN 122 GR</t>
  </si>
  <si>
    <t>HASK  DRY SHAMPOO COCONUT 122 GR</t>
  </si>
  <si>
    <t>VERMOUTH NOILLY PRAT ROUGE 750ML</t>
  </si>
  <si>
    <t>HARINA DE COCO ORG S/GLUTEN X 453 G</t>
  </si>
  <si>
    <t>MEZCLA DE PANQUEQUES X 680G SIN GLUTEN</t>
  </si>
  <si>
    <t>PREMEZ GALLETAS CHISPAS CHOCO GFX623G</t>
  </si>
  <si>
    <t>MEZCLA PARA BROWNIE X 595 G SIN GLUTEN</t>
  </si>
  <si>
    <t>QUITAESMALTE C/AC LIMON FAMILY CARE 70ML</t>
  </si>
  <si>
    <t>QUITAESMALTE C/AC FRESA FAMILY CARE 70ML</t>
  </si>
  <si>
    <t>QUITAESMALTE C/A LIMON FAMILY CARE 175ML</t>
  </si>
  <si>
    <t>QUITAESMALTE C/A FRESA FAMILY CARE 175ML</t>
  </si>
  <si>
    <t>PAÑO MICROFIBRA MULTIUSO HOME CARE X3UND</t>
  </si>
  <si>
    <t>PAÑO MICROFIBRA COCINA HOME CARE X3UND</t>
  </si>
  <si>
    <t>PAÑO MICROFIBRA VIDRIOS HOME CARE X3UND</t>
  </si>
  <si>
    <t>PAÑO MICROFIBRA TRIPACK HOME CARE</t>
  </si>
  <si>
    <t>VINO MALA VIDA BOT 750ML</t>
  </si>
  <si>
    <t>TRAPEADOR MICROFIBRA HOME CARE</t>
  </si>
  <si>
    <t>TRAPEADOR MICROFIBRA TRIPACK HOME CARE</t>
  </si>
  <si>
    <t>FRANELA ROJA HOME CARE X1 UND</t>
  </si>
  <si>
    <t>FRANELA VERDE HOME CARE X1 UND</t>
  </si>
  <si>
    <t>FRANELA ROJA Y VERDE HOME CARE X2 UND</t>
  </si>
  <si>
    <t>BEBIDA ALMENDRA CAFE NATURES HEART 330ML</t>
  </si>
  <si>
    <t>PALMERS LOCION MASAJES P/ ESTRIAS 250ML</t>
  </si>
  <si>
    <t>PALMERS CR CONCENT MASAJES ESTRIAS 12GR</t>
  </si>
  <si>
    <t>PALMERS CREMA PARA LACTANCIA 30GR</t>
  </si>
  <si>
    <t>PALMERS LOC REAFIRMANTE POSTPARTO 250ML</t>
  </si>
  <si>
    <t>PALMERS ACEITE TERAPEUTICO ROSAMOSQ 60ML</t>
  </si>
  <si>
    <t>PACK WHISKY OLD PARR 12 750ML + 2 VASOS</t>
  </si>
  <si>
    <t>PALMERS COCO OIL FORM LOCION CORP 250ML</t>
  </si>
  <si>
    <t>PALMERS COCO OIL FORM ACEITE CORP 150ML</t>
  </si>
  <si>
    <t>PALMERS COCO OIL FORM CREMA MANOS 60GR</t>
  </si>
  <si>
    <t>MASC TELA OJOS GARNIER COCO+ACIDO HYAL</t>
  </si>
  <si>
    <t>MASC TELA OJOS GARNIER ORANGE</t>
  </si>
  <si>
    <t>NIVEA DEO MILK SENSITIVE X150 ML</t>
  </si>
  <si>
    <t>CR PETALFRESHGRAPESEED &amp; OLIVE OIL 355ML</t>
  </si>
  <si>
    <t>CR PETALFRESH ROSE &amp; HONEYSUCKLE 355ML</t>
  </si>
  <si>
    <t>BUTTERCR PETALFRESH MANDARIN &amp; MANGO</t>
  </si>
  <si>
    <t>FLOR DE JAMAICA X 50GR NATURANDES</t>
  </si>
  <si>
    <t>TE NEGRO X 50GR NATURANDES</t>
  </si>
  <si>
    <t>VINO BARÓN DE LEY RESERVA BOT 750ML</t>
  </si>
  <si>
    <t>VINO MUSEUM RESERVA BOT 750ML</t>
  </si>
  <si>
    <t>ESPUMANTE CANTI ROSE BOT 750ML</t>
  </si>
  <si>
    <t>SNACK DE CHOCHO CON ESPECIAS X 35GR</t>
  </si>
  <si>
    <t>CERVEZA GROLSCH PACK 6 LATAS 330ML</t>
  </si>
  <si>
    <t>CERVEZA AC/DC LATA 568ML</t>
  </si>
  <si>
    <t>CERVEZA ARTESANAL CURAKA 330ML RED LAGER</t>
  </si>
  <si>
    <t>LABIAL MYN SUP STAY MAT INK PNK RNG LD</t>
  </si>
  <si>
    <t>MAQ OJOS MYN TATTOO STUDIO LNR INK BLCK</t>
  </si>
  <si>
    <t>VODKA RUSSKAYA PINK 750ML</t>
  </si>
  <si>
    <t>STEVIA  X 50 SOB CUISINE &amp; CO</t>
  </si>
  <si>
    <t>STEVIA  X 100 SOB CUISINE &amp; CO</t>
  </si>
  <si>
    <t>STEVIA  X 200 SOB CUISINE &amp; CO</t>
  </si>
  <si>
    <t>STEVIA LIQ X 100ML CUISINE &amp; CO</t>
  </si>
  <si>
    <t>STEVIA POTE X 50GR CUISINE &amp; CO</t>
  </si>
  <si>
    <t>PISCO PURO HUAMANI ITALIA 700 ML</t>
  </si>
  <si>
    <t>PISCO PURO HUAMANI TORONTEL 700 ML</t>
  </si>
  <si>
    <t>JUGO HOOP BOT X 330ML, SUMMERLOVE</t>
  </si>
  <si>
    <t>CERVEZA DARGUNER PILSENER LATA 330 ML</t>
  </si>
  <si>
    <t>BABARIA AMPOLLA FACIAL ACIDO HIALURONICO</t>
  </si>
  <si>
    <t>BABARIA AMPOLLA FACIAL VITAMINAC 2ML</t>
  </si>
  <si>
    <t>TRAT CAP ULT CRM NOVEX CACH SNTBLCK400G</t>
  </si>
  <si>
    <t>TRAT CAPILAR NOVEX LISO DE CINEMA 400G</t>
  </si>
  <si>
    <t>JABON BARRA JOHNSON´S AVENA SIXPACK</t>
  </si>
  <si>
    <t>CO SCUNCI LIGAS ELASTICS BROWN 18UND</t>
  </si>
  <si>
    <t>CO SCUNCI OVAL PAINTED SNAP CLIPS 6UND</t>
  </si>
  <si>
    <t>CLLO QUICK BLOW CURVE PADDLE BRUSH CO</t>
  </si>
  <si>
    <t>CEPILLO QUICK BLOW VENT CONAIR</t>
  </si>
  <si>
    <t>CEPILLO QUICK BLOW VENTED CONAIR</t>
  </si>
  <si>
    <t>LICOR CREMA CAROLANS 750ML</t>
  </si>
  <si>
    <t>REDOXON TOTAL TABLETA EFERVESCENTEX30</t>
  </si>
  <si>
    <t>SIXPACK JABON NIVEA 90GR AVENA</t>
  </si>
  <si>
    <t>JAB LIQ BALLERINA ANTIBACT POMELO X750ML</t>
  </si>
  <si>
    <t>PACK BETTYBOOP COL50ML+ JB BLACKROMANTIC</t>
  </si>
  <si>
    <t>NUTRIBELA TRAT TERMOPROT SACH X 6 X 30ML</t>
  </si>
  <si>
    <t>NUTRIBELA BIOKERATINA SACH X 6 X 27ML</t>
  </si>
  <si>
    <t>DETER MAGIA BLANCA FLORAL 140GR</t>
  </si>
  <si>
    <t>BLACK WHISKEY 700ML</t>
  </si>
  <si>
    <t>WHISKY THE GLENLIVET 12 AÑOS BOT 700 ML</t>
  </si>
  <si>
    <t>APERITIVO LILLET BLANC 750ML</t>
  </si>
  <si>
    <t>APERITIVO LILLET ROSE 750ML</t>
  </si>
  <si>
    <t>TOALLAS HUMEDAS REFILL X25 FROZEN</t>
  </si>
  <si>
    <t>TOALLAS HUMEDAS REFILL X 25 MICKEY</t>
  </si>
  <si>
    <t>CUCHARA BIODEGRADABLE COMPOSTABLE UTHIL</t>
  </si>
  <si>
    <t>TENEDOR BIODEGRADABLE COMPOSTABLE UTHIL</t>
  </si>
  <si>
    <t>CUCHILLO BIODEGRADABLE COMPOSTABLE UTHIL</t>
  </si>
  <si>
    <t>SET CUBIERTOS BIODEGRADABLE COMPOS UTHIL</t>
  </si>
  <si>
    <t>CUCHARA DE MADERA 160MM. UTHIL</t>
  </si>
  <si>
    <t>TENEDOR DE MADERA 160MM. UTHIL</t>
  </si>
  <si>
    <t>CUCHILLO DE MADERA 160MM. UTHIL</t>
  </si>
  <si>
    <t>SET CUBIERTOS DE MADERA 160MM. UTHIL</t>
  </si>
  <si>
    <t>SORBETE BIODEGRADABLE COMPOSTABLE UTHIL</t>
  </si>
  <si>
    <t>BIOCLEAN JAB &amp; MASC CARBÓN ACTIVADO 120G</t>
  </si>
  <si>
    <t>BIOCLEAN JAB &amp; MASC ARCILLA EXFOL. 120G</t>
  </si>
  <si>
    <t>DET LIQ. DP WOOLITE TODOS LOS DIAS 900ML</t>
  </si>
  <si>
    <t>VINO VIVIDOR BOT 750ML</t>
  </si>
  <si>
    <t>DET LIQ. DOYPACK WOOLITE BLACK 900ML</t>
  </si>
  <si>
    <t>DET LIQ DOYPACK WOOLITE BABY 900ML</t>
  </si>
  <si>
    <t>GEL ANTIBACTERIAL ALESSI 500ML</t>
  </si>
  <si>
    <t>TOALLITAS CICATRICURE AGUA MICELAR 25UN</t>
  </si>
  <si>
    <t>SERUM CICATRICURE ANT-MANCH CONCNTR 3.4G</t>
  </si>
  <si>
    <t>CICATRICURE GOLD LIFT DÍA</t>
  </si>
  <si>
    <t>CICATRICURE GOLD LIFT NOCHE</t>
  </si>
  <si>
    <t>CICATRICURE OIL 50 ML</t>
  </si>
  <si>
    <t>EXFOLIANTE ASEPXIA CARBON 120G</t>
  </si>
  <si>
    <t>GEL LIMPIEZA ASEPXIA CARBON 200ML</t>
  </si>
  <si>
    <t>MASCARILLA PEEL OFF ASEPXIA CARBON 30G</t>
  </si>
  <si>
    <t>TOALLITAS ASEPXIA CARBON 25U</t>
  </si>
  <si>
    <t>YERBA MATE CON PALO X500GR PLAYADITO</t>
  </si>
  <si>
    <t>SPAGHETTI KONJAC ZEROCARBO</t>
  </si>
  <si>
    <t>ARROZ KONJAC ZEROCARBO</t>
  </si>
  <si>
    <t>CHOCOLATE PRIVILEGIO XL CAJA 87.5G</t>
  </si>
  <si>
    <t>POTE CORAZON BON O BON CHOCOLINAS 105GR</t>
  </si>
  <si>
    <t>BOMBONES BON O BON CHOCOLINAS CJ 270GR</t>
  </si>
  <si>
    <t>CAFÉ CUMBRE SAGRADA GRANO 250 GR BRITT</t>
  </si>
  <si>
    <t>CACAO ORG. EN POLVO ECOANDINO</t>
  </si>
  <si>
    <t>CAFÉ VERDE ORG EN POLVO</t>
  </si>
  <si>
    <t>CR DESMAQ TEATRICAL CELULAS MADRE 100G</t>
  </si>
  <si>
    <t>BACTERION JABON LIQUIDO AVENAX1L</t>
  </si>
  <si>
    <t>COL BENETTON BD MIST AMAZING BLUE236ML</t>
  </si>
  <si>
    <t>COL BENETTON BD MIST DREAM PINK236ML</t>
  </si>
  <si>
    <t>COL BENETTON BD MIST FABULOUSPURPLE236ML</t>
  </si>
  <si>
    <t>COL BENETTON BD MIST HAPPYGREEN236ML</t>
  </si>
  <si>
    <t>COL BENETTON BD MIST PERFECT YELLOW236ML</t>
  </si>
  <si>
    <t>BURTBEES BUBURJA DE BAÑO 354.8ML</t>
  </si>
  <si>
    <t>BURTBEES SHAMPOO&amp;WASH 236.5ML</t>
  </si>
  <si>
    <t>BURTBEES CREMA PARA PAÑAL 85.5GR</t>
  </si>
  <si>
    <t>BURTBEES CREMA PARA MAMÁ 100ML</t>
  </si>
  <si>
    <t>GALLETA DE ARROZ X 120GR CUISINE&amp;CO</t>
  </si>
  <si>
    <t>GALLETA DE MAIZ X 120GR CUISINE&amp;CO</t>
  </si>
  <si>
    <t>CACAO EN POLVO ORGX200GR INKAFOREST</t>
  </si>
  <si>
    <t>MACA GELATINIZ ORG X200GR INKAFOREST</t>
  </si>
  <si>
    <t>QUINUA GELATIN ORG X200GR INKAFOREST</t>
  </si>
  <si>
    <t>ALCOHOL PORTUGAL 70º 250 ML</t>
  </si>
  <si>
    <t>ALCOHOL PORTUGAL 70º 1 L</t>
  </si>
  <si>
    <t>ALCOHOL EN GEL NEUTRO 380ML FAMILY CARE</t>
  </si>
  <si>
    <t>ALCOHOL EN GEL NEUTRO 1L FAMILY CARE</t>
  </si>
  <si>
    <t>ALCOHOL EN GEL NEU 1LT CC FAMILY CARE</t>
  </si>
  <si>
    <t>JABÓN DE LAVAR ÑA PANCHA X200G</t>
  </si>
  <si>
    <t>LIMPIA ROSA CUARZO+CARBÓN 200ML BIORE</t>
  </si>
  <si>
    <t>EXFOL ROSA CUARZO+CARBÓN 110ML BIORE</t>
  </si>
  <si>
    <t>ICE SPRAY NOBEL X250ML</t>
  </si>
  <si>
    <t>SPRAY NOBEL ARNICA X75ML</t>
  </si>
  <si>
    <t>QUITAMANCHAS VANISH DP 850GR, BLANCO</t>
  </si>
  <si>
    <t>QUITAMANCHAS VANISH DP 850GR, ROSA</t>
  </si>
  <si>
    <t>HARINA MULTIPRÓSITO ORGÁNICA X 2.27 K</t>
  </si>
  <si>
    <t>BUTTER TOFFEE LECHE X 390 GR ARCOR</t>
  </si>
  <si>
    <t>SCHICK MAQDESC XTREME3 ULTECO 2UN MUJER</t>
  </si>
  <si>
    <t>SHAMPOO KAREOL KERATINA 300 ML</t>
  </si>
  <si>
    <t>ACONDICIONADOR  KAREOL KERATINA 300 ML</t>
  </si>
  <si>
    <t>MASCARA KAREOL KERATINA 300 GR</t>
  </si>
  <si>
    <t>SHAMPOO KAREOL MURU MURU  300 ML</t>
  </si>
  <si>
    <t>ACONDICIONADOR KAREOL MURU MURU 300 ML</t>
  </si>
  <si>
    <t>MASCARA KAREOL MURU MURU 300 GR</t>
  </si>
  <si>
    <t>COLLETS FOGGY LIGAS 8 COLORES</t>
  </si>
  <si>
    <t>ORQUILLAS FOGGY 8 COLORES</t>
  </si>
  <si>
    <t>ORQUILLAS FOGGY 12 COLORES</t>
  </si>
  <si>
    <t>CLIP FOGGY 2 PEQUEÑOS COLORES</t>
  </si>
  <si>
    <t>CHOCOLATE DE LECHE CJ 120G LINAJE</t>
  </si>
  <si>
    <t>FETUCCINI KONJAC ZEROCARBO</t>
  </si>
  <si>
    <t>VINO E.GASCON MALBEC/CAB SAUV BOT 750ML</t>
  </si>
  <si>
    <t>SALSA DULCE PEPINILLO RELISHX340G V FERT</t>
  </si>
  <si>
    <t>PEPINILLO ENCURT AME X680GR V FERTIL</t>
  </si>
  <si>
    <t>CHOCOLATE DE LECHE C/CAFÉ CJ 120G LINAJE</t>
  </si>
  <si>
    <t>CHOCOLATE LECHE C/ALMENDR CJ 120G LINAJE</t>
  </si>
  <si>
    <t>CHOCOLATE DE LECHE C/COCO CJ 120G LINAJE</t>
  </si>
  <si>
    <t>AGUA MICELLAIR NIVEA ROSE 400ML</t>
  </si>
  <si>
    <t>DENSINFECTANTE EN SECO, ECO DIOXI X 1LT</t>
  </si>
  <si>
    <t>L&amp;M FORWARD BLU KS X20</t>
  </si>
  <si>
    <t>SHAMPOO ELVIVE DREAM LONG LISS 370ML</t>
  </si>
  <si>
    <t>ACO ELVIVE DREMA LONG LISS X370ML</t>
  </si>
  <si>
    <t>INSTANT CLEAN GEL ANTIBACTERIA HUMECTX1L</t>
  </si>
  <si>
    <t>INSTANT CLEAN GEL ANTIBACTE HUMECTX250ML</t>
  </si>
  <si>
    <t>JABON LIQ ANTIB BACTERION 1000ML BAMBU</t>
  </si>
  <si>
    <t>JABON LIQ ANTIB BACTERION 300ML VAIN-COC</t>
  </si>
  <si>
    <t>MAYONESA X 475GR CUISINE &amp; CO</t>
  </si>
  <si>
    <t>MAYONESA X 950GR CUISINE &amp; CO</t>
  </si>
  <si>
    <t>MAYONESA LIGHT X 475GR CUISINE &amp; CO</t>
  </si>
  <si>
    <t>CREMA DE AJI 85GR CUISINE &amp; CO</t>
  </si>
  <si>
    <t>CREMA DE AJI 380GR CUISINE &amp; CO</t>
  </si>
  <si>
    <t>KETCHUP X 380GR CUISINE &amp; CO</t>
  </si>
  <si>
    <t>CREMA DE ROCOTO 85GR CUISINE &amp; CO</t>
  </si>
  <si>
    <t>MOSTAZA X 200GR CUISINE &amp; CO</t>
  </si>
  <si>
    <t>PASTA DE TOMATE X 100GR CUISINE &amp; CO</t>
  </si>
  <si>
    <t>TUCO X 380GR CUISINE &amp; CO</t>
  </si>
  <si>
    <t>SALSA DE TOMATE X380GR CUISINE &amp; CO</t>
  </si>
  <si>
    <t>HISOPOS FAMILY CARE X 100UND</t>
  </si>
  <si>
    <t>HISOPOS FAMILY CARE X 200UND</t>
  </si>
  <si>
    <t>HISOPOS FAMILY CARE X 300UND</t>
  </si>
  <si>
    <t>CHOCOLATE BIGOTE 50% CACAO 150G ARCOR</t>
  </si>
  <si>
    <t>SHAMPOO EVERCREME DEEP NOURISH 250ML</t>
  </si>
  <si>
    <t>ACO EVERCREME DEEP NOURISH 250ML</t>
  </si>
  <si>
    <t>SHAMPOO EVERCURL 250ML</t>
  </si>
  <si>
    <t>ACO EVERCURL 250ML</t>
  </si>
  <si>
    <t>SHAMPOO EVERPURE FRIZZ DEFY BONUS 250ML</t>
  </si>
  <si>
    <t>ACO EVERPURE FRIZZ DEFY BON 250ML</t>
  </si>
  <si>
    <t>SHAMPOO EVERPURE BLONDE 250ML</t>
  </si>
  <si>
    <t>ACO EVERPURE BLONDE 250ML</t>
  </si>
  <si>
    <t>COLONIA MIST ESENZA CHERRY BLOSSOM 270ML</t>
  </si>
  <si>
    <t>COLONIA MIST ESENZA VERBENA MIST 270ML</t>
  </si>
  <si>
    <t>COLONIA MIST ESENZA ISLAND BREEZE 270ML</t>
  </si>
  <si>
    <t>COLONIA MIST ESENZA COCONUT SPLASH 270ML</t>
  </si>
  <si>
    <t>COLONIA MIST ESENZA SENSUAL SEDUCT 270ML</t>
  </si>
  <si>
    <t>GELICART COLAGENO HIDRO X30SOBRES</t>
  </si>
  <si>
    <t>ACEIT VERDE RODAJAS 260G CUISINE&amp;CO POTE</t>
  </si>
  <si>
    <t>ACEIT VERDE DESHUES 260G CUISINE&amp;CO POTE</t>
  </si>
  <si>
    <t>ACEIT NEGRA DESHUES 260G CUISINE&amp;CO POTE</t>
  </si>
  <si>
    <t>ACEIT NEGRA ENT EXT 280G CUISINE&amp;CO POTE</t>
  </si>
  <si>
    <t>ACEIT VERDE ROCOTO 280G CUISINE&amp;CO POTE</t>
  </si>
  <si>
    <t>ACEIT VERDE PIMIENTO 280G CUISINE&amp;CO POT</t>
  </si>
  <si>
    <t>ACEIT NEGRA COCKTAIL 280G CUISINE&amp;CO POT</t>
  </si>
  <si>
    <t>BOLSAS BASURERITO CHICA X50 UN HC</t>
  </si>
  <si>
    <t>BOLSAS BASURERITO MEDIANAS X50 UN HC</t>
  </si>
  <si>
    <t>BOLSAS BASURERITO GRANDES X50 UN HC</t>
  </si>
  <si>
    <t>BOLSAS BASUR PERFUM MOR 30LTS HC X20</t>
  </si>
  <si>
    <t>BOLSAS BASUR PERFUM CRE 30LTS HC X20</t>
  </si>
  <si>
    <t>WHISKY VAT 69 HONEY 700 ML</t>
  </si>
  <si>
    <t>WHISKY VAT 69 700ML + 375ML</t>
  </si>
  <si>
    <t>RON KINGSTON62 GOLD 750ML</t>
  </si>
  <si>
    <t>RON KINGSTON62 GOLD 1L</t>
  </si>
  <si>
    <t>RON KINGSTON62 WHITE 750ML</t>
  </si>
  <si>
    <t>ACEITUNA NEGRA DESHUESADA X 350 GR</t>
  </si>
  <si>
    <t>ACEITUNA NEGRA BOTIJA EXTRA X 400 GR</t>
  </si>
  <si>
    <t>TIO NACHO ACONDICIONADOR ALOE VERA 415ML</t>
  </si>
  <si>
    <t>TIO NACHO SHAMPOO ALOE VERA 415ML</t>
  </si>
  <si>
    <t>TIO NACHO TRATAMIENTO ALOE VERA 300ML</t>
  </si>
  <si>
    <t>GALLETAS SURTIDAS 400G ARCOR</t>
  </si>
  <si>
    <t>DULCE DE LECHE SERENISIMA 400G</t>
  </si>
  <si>
    <t>MIEL DE ABEJA CUISINE&amp;CO X 300 GR</t>
  </si>
  <si>
    <t>MIEL DE ABEJA  CUISINE&amp;CO X 600 GR</t>
  </si>
  <si>
    <t>BEBIDA ORG SCOTTI 1L ALMENDRA</t>
  </si>
  <si>
    <t>REYENITO BIZCOCHO/CHOCO 4PACK</t>
  </si>
  <si>
    <t>PREMEZCLA TORTA DE CHOCOLATE X1KG NEGUSA</t>
  </si>
  <si>
    <t>PREMEZCLA KEKE DE VAINILLA X1KG NEGUSA</t>
  </si>
  <si>
    <t>AZUCAR IMPALPABLE X1KG NEGUSA</t>
  </si>
  <si>
    <t>COBERTURA BITTER X 600 GR NEGUSA</t>
  </si>
  <si>
    <t>COBERTURA CHOCO BLANCO X600G NEGUSA</t>
  </si>
  <si>
    <t>COBERTURA CHOCO LECHE X600G NEGUSA</t>
  </si>
  <si>
    <t>COCOA REPOSTERIA 150GR NEGUSA</t>
  </si>
  <si>
    <t>TR CAP NUTRIBELA REP INTENS15 POTE 300ML</t>
  </si>
  <si>
    <t>LEJIA CONCENTRADA DARYZA 1GL</t>
  </si>
  <si>
    <t>AJO MOLIDO 1 KG</t>
  </si>
  <si>
    <t>AJI AMARILLO MOLIDO 1 KG</t>
  </si>
  <si>
    <t>AJI PANCA MOLIDO 1 KG</t>
  </si>
  <si>
    <t>VINO MARTIN CODAX ALBARIÑO 750ML</t>
  </si>
  <si>
    <t>VINO MARIETA ALBARIÑO BOT 750ML</t>
  </si>
  <si>
    <t>COCOA INSTANTANEA DIPERUGIAX250GR</t>
  </si>
  <si>
    <t>BICARBONATO DE SODIO X1000GR. ERZA</t>
  </si>
  <si>
    <t>ENVASE ALUMI. MUFFIN + TAP DO. X25 UTHIL</t>
  </si>
  <si>
    <t>ENVASE ALUMI. PIE + TAPA DOMO X25 UTHIL</t>
  </si>
  <si>
    <t>ENVASE ALU. 430ML+TAP DO X25–1/2KG UTHIL</t>
  </si>
  <si>
    <t>ENVASE ALU 430ML+TAP CAR X25-1/2KG UTHIL</t>
  </si>
  <si>
    <t>ENVASE ALU 700ML+TAP CAR X25–3/4KG UTHIL</t>
  </si>
  <si>
    <t>ENVASE ALU 700ML+TAP DO X25-3/4KG UTHIL</t>
  </si>
  <si>
    <t>KIT DE PAÑOS LIMPIA VIDRIOS SCOTCH BRITE</t>
  </si>
  <si>
    <t>PAÑO SCOTCH BRITE PARA FREGAR Y SECARX2</t>
  </si>
  <si>
    <t>ESPONJA FIBRA SCOTCH BR. ECO GREENER X3</t>
  </si>
  <si>
    <t>FIDEO ATOM C/MIEL X100G FORTE GOLPE</t>
  </si>
  <si>
    <t>TRIGO ATOM LIGHT C/SOYAX100G FORTE GOLPE</t>
  </si>
  <si>
    <t>CREMA DE AVELLANAS X230G ZANA</t>
  </si>
  <si>
    <t>NATURE´S HEART BEBIDA CASHEW 946 ML</t>
  </si>
  <si>
    <t>JARABE MAIZ GLUCOFACIL X500GR SPIZE</t>
  </si>
  <si>
    <t>SERUM LOREAL REVITALIFT HYALURO EXPERT</t>
  </si>
  <si>
    <t>MAQ OJO MYN FALSIESALON LIFT WSH VRBLCK</t>
  </si>
  <si>
    <t>MAQ OJO MYN FALSIE SALON LIFT WTP VRBLCK</t>
  </si>
  <si>
    <t>DF DIAVOLO EDT 100 ML</t>
  </si>
  <si>
    <t>COCOA CURAZAO POTE X200GR</t>
  </si>
  <si>
    <t>SHEET MASK BODY CHEEKY BUTT 1UN FM</t>
  </si>
  <si>
    <t>SHEET MASK BODY HAPPY BELLY 1UN FM</t>
  </si>
  <si>
    <t>ALCOHOL GEL ALESSI - 70% X4L</t>
  </si>
  <si>
    <t>CERVEZA S/A ERDINGER LATA 500ML</t>
  </si>
  <si>
    <t>GUANTE SCOTCH BRITE EXTERNO TALLA S/6</t>
  </si>
  <si>
    <t>PEDIASURE VAINILLA X1.6KG</t>
  </si>
  <si>
    <t>SABORIZANTE CHOCO X263G LAKANTO</t>
  </si>
  <si>
    <t>ACEITE MAIZ X 890 ML ARCOR</t>
  </si>
  <si>
    <t>CABO PARA ESCOBAS VIRUTEX RAYAS A COLOR</t>
  </si>
  <si>
    <t>ESCOBA DE INTERIORES ANTI GOLPES-VIRUTEX</t>
  </si>
  <si>
    <t>VODKA ERISTOFF ORIGINAL X 700ML</t>
  </si>
  <si>
    <t>VODKA ERISTOFF BLACK X 700ML</t>
  </si>
  <si>
    <t>VODKA ERISTOFF GOLD X 700ML</t>
  </si>
  <si>
    <t>COLONIA PAW PATROL X140ML</t>
  </si>
  <si>
    <t>JABÓN LÍQUIDO PAW PATROL X250ML</t>
  </si>
  <si>
    <t>DESENREDANTE PAW PATROL X200ML</t>
  </si>
  <si>
    <t xml:space="preserve"> MIEL DE ABEJA X1.5K COSECHA DEL PARAÍSO</t>
  </si>
  <si>
    <t xml:space="preserve"> ALGARROBINA X700G COSECHA DEL PARAÍSO</t>
  </si>
  <si>
    <t>HANSAPLAST SILVER PROTECT</t>
  </si>
  <si>
    <t>AZUCAR BLANCA C/STEVIA 500GR C&amp;C</t>
  </si>
  <si>
    <t>AZUCAR RUBIA C/STEVIA 500GR C&amp;C</t>
  </si>
  <si>
    <t>KIT DE LIMP. CALZADO Y CARTERAS PREMIUM</t>
  </si>
  <si>
    <t>KIT DE LIMPIEZA CALZADO Y CARTERAS BASIC</t>
  </si>
  <si>
    <t>KIT ACONDICIONADOR DE CUEROS</t>
  </si>
  <si>
    <t>PREMIUM CLEANER CALZADO Y CARTERASX150ML</t>
  </si>
  <si>
    <t>ACONDICIONADOR DE CUEROS X 150ML</t>
  </si>
  <si>
    <t>DESINFECT.AEROSOL SANYTOL MONTAÑA X300ML</t>
  </si>
  <si>
    <t>DESINFECT.AEROSOL SANYTOL FLORES X300ML</t>
  </si>
  <si>
    <t>KISS PESTAÑAS AU NATURALE KPE08</t>
  </si>
  <si>
    <t>KISS PESTAÑAS AU NATURALE KPE09</t>
  </si>
  <si>
    <t>KISS REMOVEDOR DE PEGAMENTO DE PESTAÑAS</t>
  </si>
  <si>
    <t>KISS PESTAÑAS ULTRA BLACK FLARE M 70UND</t>
  </si>
  <si>
    <t>KISS SET PARA MANOS PROFESSIONAL</t>
  </si>
  <si>
    <t>KISS SET PARA PIES PROFESSIONAL</t>
  </si>
  <si>
    <t>COCKTAIL DE NUECES VALLEALTO BOLSA X250G</t>
  </si>
  <si>
    <t>PREMIUM COCKTAIL VALLEALTO BOLSA X250G</t>
  </si>
  <si>
    <t>MIX UP VALLEALTO BOLSA X250G</t>
  </si>
  <si>
    <t>BERRY CRUNCH VALLEALTO POTE X200G</t>
  </si>
  <si>
    <t>BERRY PEPITA VALLEALTO POTE X200G</t>
  </si>
  <si>
    <t>SALTY MIX VALLEALTO POTE X200G</t>
  </si>
  <si>
    <t>PECANA PELADA TROZ VALLEALTO POTE X150G</t>
  </si>
  <si>
    <t>COCKTAIL DE NUECES VALLEALTO POTE X200G</t>
  </si>
  <si>
    <t>PREMIUM COCKTAIL VALLEALTO POTE X200G</t>
  </si>
  <si>
    <t>MASCARILLA KN95 VERNE X2</t>
  </si>
  <si>
    <t>MASCARILLA KN95 VERNE X5</t>
  </si>
  <si>
    <t>MIEL DE ABEJA X KG SB</t>
  </si>
  <si>
    <t>PISCO CUATRO FUNDOS QUEBRANTA BOT 500ML</t>
  </si>
  <si>
    <t>GUANTE ECOLÓGICO ETERNA TALLA M</t>
  </si>
  <si>
    <t>ACEITUNA NEGRA DESHUESADA X 700 GR SB</t>
  </si>
  <si>
    <t>ACEITUNA NEGRA BOTIJA EXTRA X 750 GR SB</t>
  </si>
  <si>
    <t>PAÑO JABONOSO PARA ASEO DINICLEAN</t>
  </si>
  <si>
    <t>CERVEZA CANDELAR BLANQUIRRO PACK4LATA355</t>
  </si>
  <si>
    <t>VITATHON NF CAPSULA BLANDA X35</t>
  </si>
  <si>
    <t>CHOCOLATE MINIBARRA DOYPACK 170G TANA</t>
  </si>
  <si>
    <t>GOMA BESOS DE FRESA 90G FINI</t>
  </si>
  <si>
    <t>GOMA BANANAS 90G FINI</t>
  </si>
  <si>
    <t>PEPINILLO ENCURTEUROP X680GR V FERTIL</t>
  </si>
  <si>
    <t>GOMA GUSANOS ACIDOS 90G FINI</t>
  </si>
  <si>
    <t>GOMA MORAS 90G FINI</t>
  </si>
  <si>
    <t>GOMA OSITOS 90G FINI</t>
  </si>
  <si>
    <t>REGALIZ FRESA ACIDA 80G FINI</t>
  </si>
  <si>
    <t>REGALIZ UVA ACIDA 80G FINI</t>
  </si>
  <si>
    <t>REGALIZ FRESA 80G FINI</t>
  </si>
  <si>
    <t>REGALIZ UVA 80G FINI</t>
  </si>
  <si>
    <t>MARSHMALLOW FLOR 80G FINI</t>
  </si>
  <si>
    <t>MARSHMALLOW TRENZA TRICOLOR 80G FINI</t>
  </si>
  <si>
    <t>MARSHMALLOW FLOR 250G FINI</t>
  </si>
  <si>
    <t>CERVEZA ESTRELLA DAMM PACK 6 LATA 330 ML</t>
  </si>
  <si>
    <t>CERVEZA SCHOFFER. GRAPE PACK 6 BOT 330ML</t>
  </si>
  <si>
    <t>CERVEZA SCHOFFERHOFER PACK 6 BOT 300 ML</t>
  </si>
  <si>
    <t>LECHE CONDENSADA DE COCO ORGANICA</t>
  </si>
  <si>
    <t>MARSHMALLOW TRENZA TRICOLOR 250G FINI</t>
  </si>
  <si>
    <t>CHICLE SANDIA 80G FINI</t>
  </si>
  <si>
    <t>CHICLE ENSALADA DE FRUTAS 80G FINI</t>
  </si>
  <si>
    <t>LIMPIATODO BICARBONATO SODIO FROSCH500ML</t>
  </si>
  <si>
    <t>LIMP. BAÑO/COCINA- ANTISARRO FROSCH 1LT</t>
  </si>
  <si>
    <t>ESCOBA HUDE "ESCOBINA"</t>
  </si>
  <si>
    <t>ESCOBA HUDE "ESCOBABY"</t>
  </si>
  <si>
    <t>LIMPIAVIDRIOS HUDE</t>
  </si>
  <si>
    <t>MEGAMATAMOSCAS HUDE</t>
  </si>
  <si>
    <t>RECOGEDOR FLIP HUDE</t>
  </si>
  <si>
    <t>ESCOBILLA SANITARIA HUDE  LUNA</t>
  </si>
  <si>
    <t>ESCOBILLA SANITARIA HUDE  ESTRELLA</t>
  </si>
  <si>
    <t>DESATORADOR ZOPAPO HUDE DELUXE</t>
  </si>
  <si>
    <t>BALDE HUDE DE 13 LITROS</t>
  </si>
  <si>
    <t>SET HUDE ECO BALDE+ESCURRIDOR +TRAPEADOR</t>
  </si>
  <si>
    <t>Galleta Rellena Chocolate Peppa Pig 160g</t>
  </si>
  <si>
    <t>TRAPEADOR HUDE "PERICO"</t>
  </si>
  <si>
    <t>REPUESTO TRAPEADOR HUDE PERICO</t>
  </si>
  <si>
    <t>ESCOBILLA DE ROPA PLANCHA HUDE</t>
  </si>
  <si>
    <t>ESCOBA HUDE LAVATODO</t>
  </si>
  <si>
    <t>TRAPEADOR MICROFIBRA HUDE</t>
  </si>
  <si>
    <t>REPUESTO TRAPEADOR MICROFIBRA HUDE</t>
  </si>
  <si>
    <t>TRAT CAPILAR FRUCTIS HAIR FOOD ALOE350ML</t>
  </si>
  <si>
    <t>TINTE IGORA VITAL 7-00 RUBIO MEDIANO</t>
  </si>
  <si>
    <t>TINTE IGORA VITAL 7-1 RUB MED CEN</t>
  </si>
  <si>
    <t>TINTE IGORA VITAL 8-00 RUBIO CLARO</t>
  </si>
  <si>
    <t>TINTE PALETTE RUBIO PERFECTO - CENIZO</t>
  </si>
  <si>
    <t>TINTE PALETTE RUBIO PERFECTO - DORADO</t>
  </si>
  <si>
    <t>COCKTAIL DE NUECES VALLEALTO BOLSA X150G</t>
  </si>
  <si>
    <t>PREMIUM COCKTAIL VALLEALTO BOLSA X150G</t>
  </si>
  <si>
    <t>VINO EL CIRCO EL ACROBATA BOT 750ML</t>
  </si>
  <si>
    <t>VINO EL CIRCO PAYASO BOT 750ML</t>
  </si>
  <si>
    <t>VINO EL CIRCO MALABARISTA BOT 750ML</t>
  </si>
  <si>
    <t>PACK ESCOBA INT. MULTIUSO + RECOGEDOR</t>
  </si>
  <si>
    <t>ACEITUNA VERDE DESHUESADA X 350 GR SB</t>
  </si>
  <si>
    <t>ACEITUNA VERDE C/CASTAÑAS X 350 GR SB</t>
  </si>
  <si>
    <t>ACEITUNA VERDE C/PIMIENTO X 350 GR SB</t>
  </si>
  <si>
    <t>ACEITUNA VERDE C/ROCOTO X 350 GR SB</t>
  </si>
  <si>
    <t>CEPILLO SANITARIO ETERNA</t>
  </si>
  <si>
    <t>CEPILLO LAVANDERÍA ETERNA</t>
  </si>
  <si>
    <t>CEPILLO COCINA ETERNA</t>
  </si>
  <si>
    <t>CEPILLO PISOS ETERNA</t>
  </si>
  <si>
    <t>LIMPIA VIDRIOS ETERNA</t>
  </si>
  <si>
    <t>MR PERKINS 4P 200ML GINGER ALE</t>
  </si>
  <si>
    <t>LIMPIADOR DE BOTELLAS CERO RAYAS SB X1</t>
  </si>
  <si>
    <t>PISCO MULITA TACAMA ACHOLADO 750 ML</t>
  </si>
  <si>
    <t>ALCOHOL EN GEL 4LT FAMILY CARE</t>
  </si>
  <si>
    <t>GEL ANTIBA INSTANT CLEAN S/FRAGAN X250ML</t>
  </si>
  <si>
    <t>VINO ALTO ROUGE BOT 750ML</t>
  </si>
  <si>
    <t>VINO FLEUR DU CAP PINOTAGE BOT 750ML</t>
  </si>
  <si>
    <t>PISCO KUSKALLA ITALIA X 750ML</t>
  </si>
  <si>
    <t>PISCO KUSKALLA QUEBRANTA X 750ML</t>
  </si>
  <si>
    <t>PISCO KUSKALLA ACHOLADO X 750ML</t>
  </si>
  <si>
    <t>CAFÉ MOLIDO CAJAMARCA X250GR ARTIDORO</t>
  </si>
  <si>
    <t>BRUSCHETAS MEDITERRANEO 150GR MARETTI</t>
  </si>
  <si>
    <t>AVENA INTEGRAL S/GLUTEN X420GR MI TIERRA</t>
  </si>
  <si>
    <t>CHOCOLATE COFLER BLOCK 300G</t>
  </si>
  <si>
    <t>ALCOSPRAY ALCOHOL EN SPRAY X480ML</t>
  </si>
  <si>
    <t>ALCOSPRAY ALCOHOL EN SPRAY X300ML</t>
  </si>
  <si>
    <t>BUTTER TOFFEE CHOCOLATE X390 GR ARCOR</t>
  </si>
  <si>
    <t>CARAMELO LIPSTICK LOL</t>
  </si>
  <si>
    <t>CARAMELO LIPSTICK CRY BABIES</t>
  </si>
  <si>
    <t>RON APPLETON STATE 12 AÑOS RARE 750ML</t>
  </si>
  <si>
    <t>RON APPLETON STATE 8 AÑOS RESERVE 750ML</t>
  </si>
  <si>
    <t>RTD SHARE BORGOÑA 275ML</t>
  </si>
  <si>
    <t>RTD SHARE ROSE 275ML</t>
  </si>
  <si>
    <t>VINO M.CACERES GENERACION SIMOF 750ML</t>
  </si>
  <si>
    <t>VINO VIÑA VIEJA BORGOÑA LATA 473ML</t>
  </si>
  <si>
    <t>VINO VIÑA VIEJA CHENIN BLANC LATA 473ML</t>
  </si>
  <si>
    <t>MONTE COCKTA MIXLIQSOUR MARACUYA LATA473</t>
  </si>
  <si>
    <t>Galleta de Leche Peppa Pig 120 g</t>
  </si>
  <si>
    <t>MONTE COCKTAIL MIX LIQ SOUR LIMON LAT473</t>
  </si>
  <si>
    <t>DOMO TORTA PETIT 17X10CM (CJX50UN)</t>
  </si>
  <si>
    <t>GALLETA QUINUA S/GLUTEN 180G VALLESANO</t>
  </si>
  <si>
    <t>GALLETA AVENA/CACAO/CHIA 180G VALLESANO</t>
  </si>
  <si>
    <t>GALLETA QUINUA/AJONJ/CHIA 180G VALLESANO</t>
  </si>
  <si>
    <t>GALLETA INTEG C/F.ROJOS 180G VALLESANO</t>
  </si>
  <si>
    <t>MIEL ABEJA X500 GR OLIVOS DEL SUR</t>
  </si>
  <si>
    <t>ALGARROBINA X500 GR OLIVOS DEL SUR</t>
  </si>
  <si>
    <t>AVENA MIX SUPERFOOD X600G HUELLA VERDE</t>
  </si>
  <si>
    <t>AVENA MIX SKINNY X600G HUELLA VERDE</t>
  </si>
  <si>
    <t>PAÑO MICROFIBRA DE COLORES HOME CARE X4</t>
  </si>
  <si>
    <t>SB GEL AB ENDLESS FANTASIES 30ML</t>
  </si>
  <si>
    <t>SB GEL AB BOYS 30ML</t>
  </si>
  <si>
    <t>ESPONJA LISA MULTIUSO 2EN1 X3 HOME CARE</t>
  </si>
  <si>
    <t>ESPONJA LISA MULTIUSO 2EN1 X6 HOME CARE</t>
  </si>
  <si>
    <t>ESPONJA ANATÓMICA SALVAUÑAS X3 HOME CARE</t>
  </si>
  <si>
    <t>ESPONJA ANATÓMICA SALVAUÑAS X6 HOME CARE</t>
  </si>
  <si>
    <t>ESPONJA ANATÓMICA SALVAUÑA X12 HOME CARE</t>
  </si>
  <si>
    <t>ESPONJA CERO RAYAS X2 HOME CARE</t>
  </si>
  <si>
    <t>ESPONJA CERO RAYAS X3 HOME CARE</t>
  </si>
  <si>
    <t>ESPON FIBRA ABRASIVA VERDE X4 HOME CARE</t>
  </si>
  <si>
    <t>DENSINFECTANTE EN SECO, ECO DIOXI X250ML</t>
  </si>
  <si>
    <t>RON PLANTATION ORIGINAL DARK 1 LT</t>
  </si>
  <si>
    <t>GIN NORDES 700ML</t>
  </si>
  <si>
    <t>TOALLAS HÚMEDAS WATERWIPES X60UN</t>
  </si>
  <si>
    <t>TOALLAS HÚMEDAS WATERWIPES CAJA X 720UN</t>
  </si>
  <si>
    <t>TOALLAS HÚMEDAS WATERWIPES 3PACK X60UN</t>
  </si>
  <si>
    <t>PISCO GRAN CRUZ QUEBRANTA 700ML</t>
  </si>
  <si>
    <t>PISCO GRAN CRUZ ACHOLADO 700ML</t>
  </si>
  <si>
    <t>PISCO GRAN CRUZ ITALIA 700ML</t>
  </si>
  <si>
    <t>PISCO GRAN CRUZ TORONTEL 700ML</t>
  </si>
  <si>
    <t>LICOR BAILEYS SALTED CARAMEL 750ML</t>
  </si>
  <si>
    <t>PACK SCOTCH BRITE QUITAPEL+SECX8+ESPONJA</t>
  </si>
  <si>
    <t>ALCOHOL 70º PORTUGAL X120ML</t>
  </si>
  <si>
    <t>ALCOHOL 70º PORTUGAL X500ML</t>
  </si>
  <si>
    <t>SHAMPOO HASK ROSE OIL&amp;PEACH COLORPROTECT</t>
  </si>
  <si>
    <t>ACO HASK ROSE OIL&amp;PEACH COLOR PROTECTION</t>
  </si>
  <si>
    <t>TRAT HASK ARGANOILREPAIR 5IN1 LEAVEINSPR</t>
  </si>
  <si>
    <t>TRAT HASK KERATPROTEIN 5IN1 LEAVEINSPRAY</t>
  </si>
  <si>
    <t>TRAT HASK MONO COCONUT 5IN1 LEAVEINSPRAY</t>
  </si>
  <si>
    <t>TRAT HASK ARGAN OIL REPAIRING DEEP JAR</t>
  </si>
  <si>
    <t>CEP DENTAL PANDU KIDS ROSADO</t>
  </si>
  <si>
    <t>CEP DENTAL PANDU KIDS CELESTE</t>
  </si>
  <si>
    <t>VINO ALMA NEGRA ORANGE BOT 750ML</t>
  </si>
  <si>
    <t>CREMA BEPANTHEN BEBE X100GR</t>
  </si>
  <si>
    <t>PROT,BRILL PISOS MAD Y LAMIN BINNERX1LT</t>
  </si>
  <si>
    <t>SHAMPOO ELVIVE RT5 1LT</t>
  </si>
  <si>
    <t>TINTE MAGIC RETOUCH DARK ROOTS RUB OSC</t>
  </si>
  <si>
    <t>DEO NIVEA DEEP AMAZONIA SPRAY 150 ML</t>
  </si>
  <si>
    <t>DEO NIVEA DEEP DARK WOOD ROLL ON 50ML</t>
  </si>
  <si>
    <t>ESPUMA AFEIT NIVEA MEN DEEP 200ML</t>
  </si>
  <si>
    <t>BALSAMO AFEITAR NIVEA MEN DEEP 100ML</t>
  </si>
  <si>
    <t>VODKA SMIRNOFF RED 1L</t>
  </si>
  <si>
    <t>DIAL JABON LIQUIDO DOYPACK CEREZA X800ML</t>
  </si>
  <si>
    <t>SALSA VERDE PERUANA CASA VERDEX190G</t>
  </si>
  <si>
    <t>SALSA VERDE PERUANA CASA VERDEX330G</t>
  </si>
  <si>
    <t>KEKE PACK BOL X4UNIDS GUSTOZZITO</t>
  </si>
  <si>
    <t>TURRON DOÑA PEPA PACK BOLX 6 UNIDS</t>
  </si>
  <si>
    <t>VINO PABLO CLARO TEMPRANILLO 750ML</t>
  </si>
  <si>
    <t>VINO PABLO CLARO VERDEJO 750ML</t>
  </si>
  <si>
    <t>VINO PABLO CLARO ROSADO 750ML</t>
  </si>
  <si>
    <t>VINO MILLA CALA BOT 750ML</t>
  </si>
  <si>
    <t>VINO TRIVENTO RESERVA WHITE MALBEC 750</t>
  </si>
  <si>
    <t>VINO DIABLO BLACK C.SAUVIGNON 750ML</t>
  </si>
  <si>
    <t>VINO FRONTERA MALBEC X 750 ML</t>
  </si>
  <si>
    <t>VINO ORG. M.RISCAL SAUV.BLANC 750ML</t>
  </si>
  <si>
    <t>VINO OPI CABERNET X 750 ML</t>
  </si>
  <si>
    <t>BOLSON PIÑATERO 410GR ARCOR</t>
  </si>
  <si>
    <t>UNTABLE BON O BON X290G</t>
  </si>
  <si>
    <t>BEBIDA AVENA NATURES HEART 946ML</t>
  </si>
  <si>
    <t>HARINA MAIZ GLUTEN FREE SCHAR 1 KG</t>
  </si>
  <si>
    <t>MASC GARNIER SKINACTIVE TELA EXPRESS ACL</t>
  </si>
  <si>
    <t>AGUA MIC GARNIER SKINACTIVE TONO UNIFORM</t>
  </si>
  <si>
    <t>LIMP GARNIER SKINACTIVE EXPR ACL TN UNIF</t>
  </si>
  <si>
    <t>CR HIDR GARNIER SKINACT ACL TNUNIF FPS30</t>
  </si>
  <si>
    <t>VINO SANGAL BORGOÑA 750 ML</t>
  </si>
  <si>
    <t>VINO SANGAL ROSE 750 ML</t>
  </si>
  <si>
    <t>ALMENDRAS POTE X100G CUISINE&amp;CO</t>
  </si>
  <si>
    <t>ALMENDRAS SALADAS POTE X200G C&amp;CO</t>
  </si>
  <si>
    <t>CASHEW POTE X200G  C&amp;CO</t>
  </si>
  <si>
    <t>GUINDON MEDIANO POTE X250G  CUISINE&amp;CO</t>
  </si>
  <si>
    <t>BERRY NUT CUISINE&amp;CO PTEX200GR</t>
  </si>
  <si>
    <t>MIX DE NUECES Y FRUTAS POTE X200G C&amp;CO</t>
  </si>
  <si>
    <t>PASAS MORENAS POTE X250G CUISINE&amp;CO</t>
  </si>
  <si>
    <t>PECANAS PELADAS POTE X100G CUISINE&amp;CO</t>
  </si>
  <si>
    <t>PISTACHO SALADO POTE X150G C&amp;CO</t>
  </si>
  <si>
    <t>SEMILLAS DE CALABAZA POTE X200G C&amp;CO</t>
  </si>
  <si>
    <t>SEMILLAS DE GIRASOL POTE X200G C&amp;CO</t>
  </si>
  <si>
    <t>ALMENDRAS NATURAL BOLSA X90G CUISINE&amp;CO</t>
  </si>
  <si>
    <t>CANCHA CHULPI SALADO BOLSA X100G C&amp;CO</t>
  </si>
  <si>
    <t>CASTAÑAS BOLSA X100G CUISINE&amp;CO</t>
  </si>
  <si>
    <t>GUINDON MEDIANO BOLSA X 150G CUISINE&amp;CO</t>
  </si>
  <si>
    <t>LASAGNE AGNESI x 1 KG</t>
  </si>
  <si>
    <t>GUINDON SIN PEPA BOLSA X150G CUISINE&amp;CO</t>
  </si>
  <si>
    <t>HABAS FRITAS BOLSA X100G C&amp;CO</t>
  </si>
  <si>
    <t>MAIZ CUZCO FRITO SALADO BOLSA 100G C&amp;CO</t>
  </si>
  <si>
    <t>MIX ANDINO  BOLSA X100G C&amp;CO</t>
  </si>
  <si>
    <t>NUECES PELADAS BOLSA X90G CUISINE&amp;CO</t>
  </si>
  <si>
    <t>SPECIAL NUT MIX BOLSA X 150 GR C&amp;CO</t>
  </si>
  <si>
    <t>PASAS MORENAS BOLSA X150G CUISINE&amp;CO</t>
  </si>
  <si>
    <t>PASAS RUBIAS BOLSA X150G CUISINE&amp;CO</t>
  </si>
  <si>
    <t>PECANA ACARAM POTE 80G CUISINE&amp;CO</t>
  </si>
  <si>
    <t>PECANAS PELADAS BOLSA X80G CUISINE&amp;CO</t>
  </si>
  <si>
    <t>NUTS SELECCION  BOLSA X150G/180GR C&amp;CO</t>
  </si>
  <si>
    <t>BERRY TRAIL MIX BOLSA C&amp;CO X 150 GR</t>
  </si>
  <si>
    <t>ENDULZANTE GOLDEN LAKANTO 800GR</t>
  </si>
  <si>
    <t>ENDULZANTE CLASSIC LAKANTO 800GR</t>
  </si>
  <si>
    <t>ENDULZANTE LAKANTO LIQUIDO</t>
  </si>
  <si>
    <t>CHOCOLATE ORGANICO C/ NIBF CAFE 70G ASHI</t>
  </si>
  <si>
    <t>CHOCOLATE ORGANICO CON JENGIBRE 70G ASHI</t>
  </si>
  <si>
    <t>CHOCOLATE ORGANIC C/SAL D MARAS 70G ASHI</t>
  </si>
  <si>
    <t>CHOCOLATE ORGANICO DARK 70G ASHI</t>
  </si>
  <si>
    <t>GEL ANTIBACTERIAL DIAL 500ML</t>
  </si>
  <si>
    <t>CARAMELOS HW MY LITTLE PONY ARCOR 330G</t>
  </si>
  <si>
    <t>BALDE MY LITTLE PONY HALLOWEEN ARCOR 92G</t>
  </si>
  <si>
    <t>CEREBRO HALLOWEEN C/CARAMELOS 100G</t>
  </si>
  <si>
    <t>HW CALABAZA MINI SAPITO ARCOR 66G</t>
  </si>
  <si>
    <t>BALDE PEPA PIG C/CARAMELOS 100G</t>
  </si>
  <si>
    <t>CRUNCH GARBANZO CHEDDAR 100G DYFFERENT</t>
  </si>
  <si>
    <t>CRUNCH GARBANZO SAL 100G DYFFERENT</t>
  </si>
  <si>
    <t>CRUNCH GARBANZO BBQ 100G DYFFERENT</t>
  </si>
  <si>
    <t>PANETON S/GLUTEN MOLINOS 900 GRS.</t>
  </si>
  <si>
    <t>CERVE CANDELARIA SIXKOPIPA PACK4LAT355ML</t>
  </si>
  <si>
    <t>DEO SECRET OUTLAST BARRA COMP CLEAN 73GR</t>
  </si>
  <si>
    <t>KISS MASCARILLA GOLD</t>
  </si>
  <si>
    <t>KISS MASCARILLA CHARCOAL &amp; SUGAR FACE</t>
  </si>
  <si>
    <t>KISS MASCARILLA CHARCOAL WASH</t>
  </si>
  <si>
    <t>KISS SET DE BROCHAS 5PZAS INC ESTUCHE</t>
  </si>
  <si>
    <t>MASK FRENCH PINK CLAY PEEL-OFF  175ML FM</t>
  </si>
  <si>
    <t>FACE SCRUB INDONESIAN COCO 175ML FM</t>
  </si>
  <si>
    <t>MICRODARTS FOREHEAD ENTRECEJA X2UND FM</t>
  </si>
  <si>
    <t>MICRODARTS LINE CARE LÍNEAS X2UND FM</t>
  </si>
  <si>
    <t>BODY SCRUB GREEN TEA 175ML FM</t>
  </si>
  <si>
    <t>BODY SCRUB COFFEE 175ML FREEMAN</t>
  </si>
  <si>
    <t>MASK HAWAIIAN BLACK SALT PEELOFF175ML FM</t>
  </si>
  <si>
    <t>SHEET MASK HAWAIIAN BLACK SALT 25ML FM</t>
  </si>
  <si>
    <t>BROCHA BASIC 1UN FREEMAN</t>
  </si>
  <si>
    <t>GALLETA QUINUA/MZNA/CANEL 180G NUTRISHAK</t>
  </si>
  <si>
    <t>GALLETA QUINUA/CACAO/FRE 180G NUTRISHAKE</t>
  </si>
  <si>
    <t>MOSTAZA B&amp;D DOYPACK 100GR</t>
  </si>
  <si>
    <t>KETCHUP B&amp;D DOYPACK 100GR</t>
  </si>
  <si>
    <t>KETCHUP 425GR + MOSTAZA 220GR B&amp;D</t>
  </si>
  <si>
    <t>KETCHUP 425GR + MOSTAZA 425GR B&amp;D</t>
  </si>
  <si>
    <t>CHOCO P/TAZA S/A X300G SDCUSCO+PUNCHAO</t>
  </si>
  <si>
    <t>VINO FINCA RESALSO BOT 750ML</t>
  </si>
  <si>
    <t>VINO EMILO MORO BOT 750ML</t>
  </si>
  <si>
    <t>CACAO ORGÁNICO X100GR NATURE'S HEART</t>
  </si>
  <si>
    <t>PURIFICADOR 240ML SISTEMA AIRE PURO AERO</t>
  </si>
  <si>
    <t>AMB GEL CITRUS 80GR SIMONIZ</t>
  </si>
  <si>
    <t>AMB GEL FRESA 80GR SIMONIZ</t>
  </si>
  <si>
    <t>AMB GEL MANZANA 80GR  SIMONIZ</t>
  </si>
  <si>
    <t>AMB AIR STYLE CITRUS ENERGY 4.5ML SIMONI</t>
  </si>
  <si>
    <t>GANCHO COMMAND BLANCO BAÑO MEDIANO X2</t>
  </si>
  <si>
    <t>GANCHO COMMAND PARA BAÑO METÁLICO X1</t>
  </si>
  <si>
    <t>SUJETACUADROS COMMAND BLANCO  X12 PARES</t>
  </si>
  <si>
    <t>GANCHO TRANSPRENTE NAVIDEÑO X6</t>
  </si>
  <si>
    <t>GANCHO SCTOCH METÁLICO X2</t>
  </si>
  <si>
    <t>GANCHO SCOTCH TRANSPARENTE X5</t>
  </si>
  <si>
    <t>FELTPAD SCOTCH RECTANGULAR X4</t>
  </si>
  <si>
    <t>CINTA REFLECTIVA ROJA X12</t>
  </si>
  <si>
    <t>CINTA REFLECTIVA NARANJA X12</t>
  </si>
  <si>
    <t>CINTA REFLECTIVA AMARILLA X12</t>
  </si>
  <si>
    <t>CINTA REFLECTIVA BLANCA X12</t>
  </si>
  <si>
    <t>MASCARI 3 PLIE TIPO II 50 UN FAMILY CARE</t>
  </si>
  <si>
    <t>ANDEAN SUPERDRINK VAIN X200GR NUNATURA</t>
  </si>
  <si>
    <t>ANDEAN SUPERDRINK VAIN X350GR NUNATURA</t>
  </si>
  <si>
    <t>BARRA MINI MILKY S/AZUCR LA IBERICA 10UN</t>
  </si>
  <si>
    <t>CHOCOLATE 55% CACAO CON LECHE 70 G NINA</t>
  </si>
  <si>
    <t>CHOCOLATE 70% CACAO CON NIBS 70G NINA</t>
  </si>
  <si>
    <t>CHOCOLATE 85% CACAO 70G NINA</t>
  </si>
  <si>
    <t>CHOCOLATE 100% CACAO 70G NINA</t>
  </si>
  <si>
    <t>GEL DÍA BIOCLEAN 40G</t>
  </si>
  <si>
    <t>PURE DE PAPA X125G CUISINE &amp; CO</t>
  </si>
  <si>
    <t>TOALLAS DESINFECT SANYTOL MULTIUSO X72UN</t>
  </si>
  <si>
    <t>VINO LAN CRIANZA X 1.5 LT</t>
  </si>
  <si>
    <t>VINO LAN RESERVA X 1.5 LT</t>
  </si>
  <si>
    <t>FOGGY LIGAS DE COLORES 4UN</t>
  </si>
  <si>
    <t>FOGGY VINCHA DELGADAS 2UN</t>
  </si>
  <si>
    <t>FOGGY CLIP CHICO</t>
  </si>
  <si>
    <t>FOGGY GANCHO BANA</t>
  </si>
  <si>
    <t>FOGGY CLIP MEDIANO</t>
  </si>
  <si>
    <t>FOGGY CLIP PINZA MEDIANO</t>
  </si>
  <si>
    <t>FOGGY CLIP PINZA GRANDE</t>
  </si>
  <si>
    <t>MACARONI &amp; CHEESE X226G C&amp;C</t>
  </si>
  <si>
    <t>FRUTA DESHIDRATADA MIX 40G PROTS</t>
  </si>
  <si>
    <t>TRAIL MIX 40G PROTS</t>
  </si>
  <si>
    <t>AGUA MICELAR NEUTROGENA HYDROBOOST 200ML</t>
  </si>
  <si>
    <t>CREMA GEL NEUTROGENA HYDROBOOST 200ML</t>
  </si>
  <si>
    <t>PACK  2TOALLDESMAQ NEUTROGENA BLUELIN25U</t>
  </si>
  <si>
    <t>PACK NEUTROGENA HYDROBOOSTDIA+MICEL200ML</t>
  </si>
  <si>
    <t>VINO MALLEOLUS BOT750ML</t>
  </si>
  <si>
    <t>BLOQ NEUTROGENA SUN FRESH FPS90 200ML</t>
  </si>
  <si>
    <t>DESINFECT. BAÑO SANYTOL GATILLO X 750ML</t>
  </si>
  <si>
    <t>CHIFLE SALADO CRICKETS X500G</t>
  </si>
  <si>
    <t>CAMOTE MIX 150G CRICKETS</t>
  </si>
  <si>
    <t>CHOCOLATE MILKY SIN AZUCAR 50G LA IBERIC</t>
  </si>
  <si>
    <t>LINGUINE AGNESI x 1KG</t>
  </si>
  <si>
    <t>PENNE RIGATE AGNESI x 1KG</t>
  </si>
  <si>
    <t>SPAGHETTI AGNESI x 1KG</t>
  </si>
  <si>
    <t>SB VIOLET CRUSH SHAMPX245ML JOHN FRIEDA</t>
  </si>
  <si>
    <t>VIOLET CRUSH ACO X245ML JHON FRIEDA</t>
  </si>
  <si>
    <t>ACEITE ARGAN KONZIL TRAT CAPILAR 75ML</t>
  </si>
  <si>
    <t>SEMILLA POWER X200G RENACER</t>
  </si>
  <si>
    <t>SEMILLAS DE GIRASOL X200GR RENACER</t>
  </si>
  <si>
    <t>BLOQ NEUTROGENA SUN FRESH FPS90 120ML</t>
  </si>
  <si>
    <t>BLOQ HAWAIIAN TR BABY LOCION SPF50 240ML</t>
  </si>
  <si>
    <t>2 CERVEZA ERDINGER WEISBIER 500ML + COPA</t>
  </si>
  <si>
    <t>BLOQ  BAHIA FACES SPF90 COLOR2 60GR</t>
  </si>
  <si>
    <t>CREMA CONTRA ROZADURAS MUSTELA X100ML</t>
  </si>
  <si>
    <t>GEL DE BAÑO SUAVE MUSTELA X500ML</t>
  </si>
  <si>
    <t>CREMA FACIAL HYDRABEBÉ MUSTELA X40ML</t>
  </si>
  <si>
    <t>LOCIÓN CORPORAL HYDRABEBÉ MUSTELA X300ML</t>
  </si>
  <si>
    <t>TOSTITOS 439 GR MILD RED SALSA</t>
  </si>
  <si>
    <t>MEZCLA PANQUEQUE C/CHOCO S/AZUCAR KATZEL</t>
  </si>
  <si>
    <t>MEZCLA P/HARINAS LIBRE DE GLUTEN KATZEL</t>
  </si>
  <si>
    <t>LICOR DE CREMA MANZANA/CANE BURGOS 750ML</t>
  </si>
  <si>
    <t>TOSTITOS 439 GR MED RED SALSA</t>
  </si>
  <si>
    <t>TOSTITOS 439 GR CON QUESOSALSA</t>
  </si>
  <si>
    <t>TOSTITOS 439 GR CON SALSA DE ESPINACA</t>
  </si>
  <si>
    <t>SUERO NEGS XL FORT PESTAÑAS TUBO 3ML</t>
  </si>
  <si>
    <t>DESINFECTANTE LYSOL CRISP LINEN X 19 OZ</t>
  </si>
  <si>
    <t>PROCTETORES MAMARIOS X 24 UN</t>
  </si>
  <si>
    <t>SET TWO TONE CUSH+COMB CONAIR</t>
  </si>
  <si>
    <t>BEBIDA ALMENDRA 946 ML SILK CHOCOLATE</t>
  </si>
  <si>
    <t>CO SCUNCI LIGAS ELASTICS BLACK 18UND</t>
  </si>
  <si>
    <t>TABLETA 70% CACAO CUZCO 70G CACAOSUYO</t>
  </si>
  <si>
    <t>CARAMELO LLAVERO CRY BABIES</t>
  </si>
  <si>
    <t>SALSA PIZZA ARCOR X 340GR</t>
  </si>
  <si>
    <t>ENFAGROW PREMIUM 850 G</t>
  </si>
  <si>
    <t>ENFAGROW PREMIUM VAINILLA 850 G</t>
  </si>
  <si>
    <t>GALLETON ANDEAN COOKIES CHOCOCHIP X60G</t>
  </si>
  <si>
    <t>GALLETA ANDEAN COOKIES MATCHA</t>
  </si>
  <si>
    <t>GALLETA ANDEAN COOKIES CHOCOCHIP SIXPACK</t>
  </si>
  <si>
    <t>GALLETA ANDEAN COOKIES BERRIES SIXPACK</t>
  </si>
  <si>
    <t>GIN BEEFEATER LONDON DRY 1L</t>
  </si>
  <si>
    <t>TREEHUT EXFOLIANTE COCO Y LIMA510G</t>
  </si>
  <si>
    <t>TREEHUT EXFOLIANTE ROSA MARROQUI 510G</t>
  </si>
  <si>
    <t>TREEHUT MANTECA CORP COCO Y LIMA198G</t>
  </si>
  <si>
    <t>TREEHUT MANTECA CORP ROSA MARROQUI198G</t>
  </si>
  <si>
    <t>TREEHUT LOCION CORP COCO Y LIMA255G</t>
  </si>
  <si>
    <t>MARRASQUINOS PENNAT X 28 ONZ</t>
  </si>
  <si>
    <t>TREEHUT LOCION CORP ROSA MARROQU255G</t>
  </si>
  <si>
    <t>OH K! MASCARILLA POLVO DE ORO25G</t>
  </si>
  <si>
    <t>OH K! MASCARILLA ACIDO HIALURONICO25G</t>
  </si>
  <si>
    <t>OH K! MASCARILLA ARCILLA ROSADA18G</t>
  </si>
  <si>
    <t>OH K! MASCARILLA LAMINA DE ORO20ML</t>
  </si>
  <si>
    <t>OH K! MASCARILLA DE ORO PARA OJERAS3G</t>
  </si>
  <si>
    <t>OH K! MASCARILLA DE ORO PARA LABIOS 8G</t>
  </si>
  <si>
    <t>OH K! MASCARILLA PEELING PARA PIES40ML</t>
  </si>
  <si>
    <t>OH K! MASCARILLA DE CURCUMA25ML</t>
  </si>
  <si>
    <t>OH K! MASCARILLA DE BURBUJAS SUGU 20ML</t>
  </si>
  <si>
    <t>MILKADAMIA ORIGINAL 32OZ</t>
  </si>
  <si>
    <t>MILKADAMIA UNSWEETENED 32OZ</t>
  </si>
  <si>
    <t>MILKADAMIA UNSWEETENED VANILLA 32OZ</t>
  </si>
  <si>
    <t>KISS NECESER DE MAQUILLAJE</t>
  </si>
  <si>
    <t>KISS ESPEJO PORTA PESTAÑAS</t>
  </si>
  <si>
    <t>CAJITA NAVIDAD BUTTER TOFFE 120G</t>
  </si>
  <si>
    <t>ESFERA NAVIDAD BON O BON 90G</t>
  </si>
  <si>
    <t>POTE ESTRELLA BON O BON 105G</t>
  </si>
  <si>
    <t>COPA APEROL SPRITZ</t>
  </si>
  <si>
    <t>GIN BOMBAY BRAMBLE X 700 ML</t>
  </si>
  <si>
    <t>VINO ALAMOS RED BLEND BOT 750ML</t>
  </si>
  <si>
    <t>GUANTE MULTI ANTIDESLI HOME CARE TALLA S</t>
  </si>
  <si>
    <t>GUANTE MULTI ANTIDESLI HOME CARE TALLA M</t>
  </si>
  <si>
    <t>GUANTE MULTI ANTIDESLI HOME CARE TALLA L</t>
  </si>
  <si>
    <t>GUANTE CLÁSICO COCINA HOME CARE TALLA S</t>
  </si>
  <si>
    <t>GUANTE CLÁSICO COCINA HOME CARE TALLA M</t>
  </si>
  <si>
    <t>GUANTE CLÁSICO COCINA HOME CARE TALLA L</t>
  </si>
  <si>
    <t>GUANTE EXTRA LAVAND HOME CARE TALLA S</t>
  </si>
  <si>
    <t>GUANTE EXTRA LAVAND HOME CARE TALLA M</t>
  </si>
  <si>
    <t>GUANTE EXTRA LAVAND HOME CARE TALLA L</t>
  </si>
  <si>
    <t>TR CAP NUTRIBELA CAUTERIZAC PUNTAS 300ML</t>
  </si>
  <si>
    <t>PAELLA ESTUCHE X256GR CARMENCITA</t>
  </si>
  <si>
    <t>VINO KIDIA VARIETAL MERLOT 750ML</t>
  </si>
  <si>
    <t>WHISKY JW RED 750ML +4VAS+ EVERVESS 1.5L</t>
  </si>
  <si>
    <t>GALLETAS CAFÉ FOURPACK 180G COFFEE JOY</t>
  </si>
  <si>
    <t>CHOCOLATE HEARTS 200GR BELGIAN</t>
  </si>
  <si>
    <t>CHOCOLATE MILK 100GR BELGIAN</t>
  </si>
  <si>
    <t>CHOCOLATE DARK 85% 100GR BELGIAN</t>
  </si>
  <si>
    <t>CHOCOLATE DARK 72% 100GR BELGIAN</t>
  </si>
  <si>
    <t>BARQUILLOS KILLOS X6UN</t>
  </si>
  <si>
    <t>SHAMPOO FRUCTIS HAIR FOOD ALOE 300ML</t>
  </si>
  <si>
    <t>ACO FRUCTIS HAIR FOOD COCO 300ML</t>
  </si>
  <si>
    <t>ACO FRUCTIS HAIR FOOD AGUACATE 300ML</t>
  </si>
  <si>
    <t>ALCAPARRAS EN VINAGRE VITALYS X105GR</t>
  </si>
  <si>
    <t>TRIPACK DE TAMALES  CASA VERDE 540GR</t>
  </si>
  <si>
    <t>PACK AMMENS ORIGINAL SHAMPOO+ACO</t>
  </si>
  <si>
    <t>PACK AMMENS MANZANILLA SHAMPOO+ACO</t>
  </si>
  <si>
    <t>CR CORPORAL NIVEA ACLARADO NATURAL 400ML</t>
  </si>
  <si>
    <t>CAFÉ MOLIDO ORG BLUE LLAMA SUMAQ X284G</t>
  </si>
  <si>
    <t>UV DEFENDER CUIDADO DIARIO ANTI-BRILLO</t>
  </si>
  <si>
    <t>UV DEFENDER CUID DIAR ANTBRILLO TN CLARO</t>
  </si>
  <si>
    <t>UV DEFENDER CUID DIARIO HIDR INTENSA</t>
  </si>
  <si>
    <t>BOMBONES RELLENOS X 90G ORQUIDEA</t>
  </si>
  <si>
    <t>BOMBONES RELLENOS X 160G ORQUIDEA</t>
  </si>
  <si>
    <t>CHOCOLATE MINI ORQUIDEA X 360G</t>
  </si>
  <si>
    <t>MIEL DE MAPLE ORGX100ML ERABL'OR</t>
  </si>
  <si>
    <t>MIEL DE MAPLE ORGX250ML ERABL'OR</t>
  </si>
  <si>
    <t>VODKA SMIRNOFF WATERMELON 700ML</t>
  </si>
  <si>
    <t>VODKA SMIRNOFF RASPBERRY 700ML</t>
  </si>
  <si>
    <t>VINO COPPOLA DIAM.CLARET CAB.SAUV 750ML</t>
  </si>
  <si>
    <t>VINO FAUSTINO ART.COLLECT VIU/CH 750ML</t>
  </si>
  <si>
    <t>VINO FAUSTINO ART.COLLEC CRIANZA 750ML</t>
  </si>
  <si>
    <t>VINO FAUSTINO I ANIVERSARIO 750ML</t>
  </si>
  <si>
    <t>VINO GRAN SOMBRERO CAB.SAUVIG 750ML</t>
  </si>
  <si>
    <t>VINO GRAN SOMBRERO CAB.FRANC 750ML</t>
  </si>
  <si>
    <t>CERVEZA CURAKA PREMIUM BOMBITA 330 ML</t>
  </si>
  <si>
    <t>CERVEZA CURAKA PREMIUM DILUVIO 330 ML</t>
  </si>
  <si>
    <t>CERVEZA CURAKA PREMIUM BERRY 330 ML</t>
  </si>
  <si>
    <t>CERVEZA CURAKA PREMIUM FIESTA 330 ML</t>
  </si>
  <si>
    <t>CERVEZA CURAKA PREMIUM SUGAR MAMA 330 ML</t>
  </si>
  <si>
    <t>TRONQUITOS SURTIDO X 125G 2 CERRITOS</t>
  </si>
  <si>
    <t>TRONQUITOS CHOCOLATE X 125G 2 CERRITOS</t>
  </si>
  <si>
    <t>CONFITES SURTIDO X 125G 2 CERRITOS</t>
  </si>
  <si>
    <t>PAPAS FRITAS NATIVAS 160G TIYAPUY</t>
  </si>
  <si>
    <t>PAPAS NATIVAS AMARILLAS 160G TIYAPUY</t>
  </si>
  <si>
    <t>ACEITE DE CARTAMO OLEICO X 710 ML</t>
  </si>
  <si>
    <t>ACEITE DE CARTAMO OLEICO X 170G SPRAY</t>
  </si>
  <si>
    <t>VINO ORG. ANIMAL MALBEC 750ML</t>
  </si>
  <si>
    <t>VINO ORG. ANIMAL CAB.SAUVIGNON 750ML</t>
  </si>
  <si>
    <t>VINO ORG. ANIMAL CHARDONNAY 750ML</t>
  </si>
  <si>
    <t>VINO PADRILLOS PINOT NOIR 750ML</t>
  </si>
  <si>
    <t>CREMA DEPILATORIA DEPILE F ROJOS 150ML</t>
  </si>
  <si>
    <t>PIROTÍN ARBOLITO NAVIDEÑ (BOL X20UN) PAN</t>
  </si>
  <si>
    <t>CHEERIOS GENERAL MILLS GENERAL X340G</t>
  </si>
  <si>
    <t>CAFÉ JACOBS LIOFILIZADO INTENSO X100GR</t>
  </si>
  <si>
    <t>CAFÉ JACOBS LIOFILIZADO INTENSO X200GR</t>
  </si>
  <si>
    <t>CAFÉ JACOBS LIOFILIZADO GOLD SUAVEX100GR</t>
  </si>
  <si>
    <t>CAFÉ JACOBS LIOFILIZADO GOLD SUAVEX200GR</t>
  </si>
  <si>
    <t>RON MANDATARIO SOLERA 700ML</t>
  </si>
  <si>
    <t>OREJITAS AZUCARADAS 35G ARCOR</t>
  </si>
  <si>
    <t>CHOCOLATE SEASHELLS 250GR BELGIAN</t>
  </si>
  <si>
    <t>LOL POPPING CANDY</t>
  </si>
  <si>
    <t>SHAMPOO 3EN1 X414ML CAPITAN AMERICA</t>
  </si>
  <si>
    <t>SHAMPOO 3EN1 X 414 ML IRON MAN</t>
  </si>
  <si>
    <t>SET SHAMPOO TROLLS 3 EN 1 X2- NIÑO,NIÑA</t>
  </si>
  <si>
    <t>FRU HAIR FOOD ALOE ACO 300ML</t>
  </si>
  <si>
    <t>FRU HAIR FOOD COCO SH 300ML</t>
  </si>
  <si>
    <t>FRU HAIR FOOD AGUACATE SH 300ML</t>
  </si>
  <si>
    <t>BLACK TEA FRUTOS ROJOS X 10BOL TWININGS</t>
  </si>
  <si>
    <t>DESINFECT. SANYTOL MULTIUSOS C/GAT 750ML</t>
  </si>
  <si>
    <t>PACK 4 CREMAS BURGOS 250ML</t>
  </si>
  <si>
    <t>DESINFECT. SANYTOL ROPA 500ML</t>
  </si>
  <si>
    <t>DESINFECT. SANYTOL PISOS Y SUPERFIC 1LT</t>
  </si>
  <si>
    <t>AZUC. PULVERIZADA FLEISCHMANN X 1K</t>
  </si>
  <si>
    <t>TIC TAC MENTA INTENSA 16G</t>
  </si>
  <si>
    <t>STEVIA PURA CJ X 50 SOBRES CUISINE &amp; CO</t>
  </si>
  <si>
    <t>STEVIA PURA POTE 20GR CUISINE &amp; CO</t>
  </si>
  <si>
    <t>SUCRALOSA PASTILLEROX100 CUISINE&amp;CO</t>
  </si>
  <si>
    <t>SUCRALOSA PASTILLEROX400 CUISINE&amp;CO</t>
  </si>
  <si>
    <t>SUCRALOSA CJX100 CUISINE &amp; CO</t>
  </si>
  <si>
    <t>SUCRALOSA CJX200 CUISINE &amp; CO</t>
  </si>
  <si>
    <t>TINTE EXC 6.12 RUBIO OSCURO CENIZO PERLA</t>
  </si>
  <si>
    <t>TINTE EXC 6.17 RUBIO OSCURO CENIZO MATTE</t>
  </si>
  <si>
    <t>TINTE EXC 7.12 RUBIO CENIZO PERLA</t>
  </si>
  <si>
    <t>TINTE EXC 7.17 RUBIO CENIZO MATTE</t>
  </si>
  <si>
    <t>TINTE EXC 8.12 RUBIO CLARO CENIZO PERLA</t>
  </si>
  <si>
    <t>TINTE EXC 8.17 RUBIO CLARO CENIZO MATTE</t>
  </si>
  <si>
    <t>NIVEA FACIAL FLUIDO ANTIMANCHAS DIA 40ML</t>
  </si>
  <si>
    <t>NIVEA FACIAL SERUM ANTIMANCHAS 30ML</t>
  </si>
  <si>
    <t>WHISKY CHIVAS REGAL 13 AÑOS 700ML</t>
  </si>
  <si>
    <t>JARABE DE AGAVE X360GR OLIVOS DEL SUR</t>
  </si>
  <si>
    <t>ANDEAN CREAM BOT 700ML</t>
  </si>
  <si>
    <t>ANDEAN VODKA BOT 700ML</t>
  </si>
  <si>
    <t>ESTUCHE LOL PERFUME 50ML + PULSERAS</t>
  </si>
  <si>
    <t>ESTUCHE SPIDER-MAN COL175ML + SHAM300ML</t>
  </si>
  <si>
    <t>AQUAFRESH CREMA DENTAL LEVICE TP 3X100ML</t>
  </si>
  <si>
    <t>FIDEO QUINUA TAGLIATELLE X250G TIYAPUY</t>
  </si>
  <si>
    <t>FIDEO SUPERFOOD TAGLIATELL X250G TIYAPUY</t>
  </si>
  <si>
    <t>FIDEO NUTRITIVA TAGLIATELL X250G TIYAPUY</t>
  </si>
  <si>
    <t>DRY WASH, LAVADO ECOLOGICO 750 ML.</t>
  </si>
  <si>
    <t>RENOVADOR DE GOMAS BRILLO INTENSO 500 ML</t>
  </si>
  <si>
    <t>ESENCIA DE VANILLA FLEISCHMANN 500ML</t>
  </si>
  <si>
    <t>SILICONA EMULSIONADA INTERIOR 500 ML.</t>
  </si>
  <si>
    <t>LIMPIADOR DE TAPICES ECOLOGICO 500 ML.</t>
  </si>
  <si>
    <t>DESINFECTANTE  PARA VEHÍCULOS 500 ML.</t>
  </si>
  <si>
    <t>JABON HUMECTANTE SPA TRIPACK X 390GR</t>
  </si>
  <si>
    <t>KONZIL UR SH NUTRICION 375 ML</t>
  </si>
  <si>
    <t>KONZIL UR ACO NUTRICION 375 ML</t>
  </si>
  <si>
    <t>KONZIL UR SH RESTAURACION 375 ML</t>
  </si>
  <si>
    <t>KONZIL UR ACO RESTAURACION 375 ML</t>
  </si>
  <si>
    <t>JABON LIQ BALLERINA DPCK VAINILLA X750ML</t>
  </si>
  <si>
    <t>JABON LIQ BALLERINA HUMECTANTE X500ML</t>
  </si>
  <si>
    <t>JABON LIQ BALLERINA AVENA X500ML</t>
  </si>
  <si>
    <t>ACEITUNA NEGRA ENTERA POTE X 270 G</t>
  </si>
  <si>
    <t>ACEITUNA NEGRA DESH. POTE X 220 G</t>
  </si>
  <si>
    <t>ACEITUNA VERDE DESH. POTE X 210 G</t>
  </si>
  <si>
    <t>ACEITUNA VERDE R/C ROCOTO POTE X 260 G</t>
  </si>
  <si>
    <t>ACEITUNA VERDE R/C PIMIENTO POTE X 260 G</t>
  </si>
  <si>
    <t>ACEITUNA VERDE R/C CASTAÑA POTE X 260 G</t>
  </si>
  <si>
    <t>PEPINILLO ENCURTIDO POTE X 220 G</t>
  </si>
  <si>
    <t>ACEITUNA NEGRA RODAJA PRE POTE X 200 G</t>
  </si>
  <si>
    <t>ACEITUNA NEGRA SECA DESHUE POTE X 230 G</t>
  </si>
  <si>
    <t>VINO SINGLE VALLEY LOT CHARDONNAY 750ML</t>
  </si>
  <si>
    <t>RON BACARDI AÑEJO 1.75 L</t>
  </si>
  <si>
    <t>GIN BOMBAY BOT 1 L</t>
  </si>
  <si>
    <t>GIN TONIC BOMBAY LATA 250ML</t>
  </si>
  <si>
    <t>RON BACARDI RAZZ LATA 250ML</t>
  </si>
  <si>
    <t>MOJITO BACARDI LIMON LATA 250ML</t>
  </si>
  <si>
    <t>GIN BROCKMANS 1L</t>
  </si>
  <si>
    <t>STICKS D/QUINUA SAL D/MARAS 80G MAMALAMA</t>
  </si>
  <si>
    <t>STICKS D/QUINUA QUESO CHEDD 80G MAMALAMA</t>
  </si>
  <si>
    <t>FUDGE ESPECIAL X1KG LEITE</t>
  </si>
  <si>
    <t>MANJAR ESPECIAL X1KG LEITE</t>
  </si>
  <si>
    <t>FUDGE HELADERO X400G LEITE</t>
  </si>
  <si>
    <t>VINO KIDIA RESERVA CHARDONNAY BOT 750ML.</t>
  </si>
  <si>
    <t>BANDITAS NIÑOS NEXCARE MONSTRUOS X12UN</t>
  </si>
  <si>
    <t>BANDITAS NIÑOS NEXCARE ANIMALES X12UN</t>
  </si>
  <si>
    <t>DUREX SENSITIVO DELGADO X 12 UND</t>
  </si>
  <si>
    <t>DUREX CLASICO X 12 UND</t>
  </si>
  <si>
    <t>SAL MARAS PIMIENT NATURAL C. MOLI 100G</t>
  </si>
  <si>
    <t>SAL MAR PIMIENT NATURAL C. MOLINO 100G</t>
  </si>
  <si>
    <t>SPICEPPER PIMIENTA NAT CRYSTAL MOLI 50G</t>
  </si>
  <si>
    <t>SAL MARAS NAT CRYSTAL PARRILLA CAJ 600G</t>
  </si>
  <si>
    <t>SAL MARAS FINA NAT CRYSTAL BOLSA 250GR</t>
  </si>
  <si>
    <t>SAL MARAS PARRILLA NAT CRYSTAL BOL 250G</t>
  </si>
  <si>
    <t>BOMBONES BON O BON OSITO X5UN</t>
  </si>
  <si>
    <t>NEX ALCOHOL MEDICINAL 70° X 1000 ML</t>
  </si>
  <si>
    <t>MIX B BREAD GLUTEN FREE MIX DR. SCHAR</t>
  </si>
  <si>
    <t>GLUTEN FREE MIX C PATISSERIE DR. SCHAR</t>
  </si>
  <si>
    <t>ALL PURPOSE BAKING FLOUR GF BOB'S RM</t>
  </si>
  <si>
    <t>GOLDEN FLAXSEED MEAL GF BOB'S RED MILL</t>
  </si>
  <si>
    <t>GF VAN YELLOW CAKE MIX BOB'S RED MILL</t>
  </si>
  <si>
    <t>GLUT FREE CHOCO CAKE MIX BOB'S RED MILL</t>
  </si>
  <si>
    <t>GLUTEN FREE MUFFIN MIX BOB'S RED MILL</t>
  </si>
  <si>
    <t>PANCAKE &amp; WAFFLE MIX BOB'S RED MILL</t>
  </si>
  <si>
    <t>GOMAS FIESTA MIX 150G FINI</t>
  </si>
  <si>
    <t>MARSHMALLOWS CORAZON 250G FINI</t>
  </si>
  <si>
    <t>LIMPIAD CARBÓN GRANO/ESPINIL200 BIORE</t>
  </si>
  <si>
    <t>AGUA MICEL REVITALIF HIALURÓ HIDR LOREAL</t>
  </si>
  <si>
    <t>COPA BEEFEATER RED</t>
  </si>
  <si>
    <t>CERVEZA HOLLANDIA PACK 6 LATAS 330ML</t>
  </si>
  <si>
    <t>CERVEZA HOLLANDIA PACK 6 BOT 330ML</t>
  </si>
  <si>
    <t>CERVEZA HOLLANDIA LATA 500ML</t>
  </si>
  <si>
    <t>CERVEZA LA TRAPPE BLONDE 330ML</t>
  </si>
  <si>
    <t>WHISKY JOHNNIE WALKER DOUBLE BLACK 1L</t>
  </si>
  <si>
    <t>WHISKY OLD PARR 12 AÑOS 1L</t>
  </si>
  <si>
    <t>ENJUAGUE BUCAL LISTERINE COOLMINT X1L</t>
  </si>
  <si>
    <t>ENJUA BUCA LISTERINE COOLMINT ZERO X1.5L</t>
  </si>
  <si>
    <t>VINO LAS MORAS VARIETAL MALBEC 375ML</t>
  </si>
  <si>
    <t>VINO LAS MORAS VARIETAL SAUV.BLANC 375ML</t>
  </si>
  <si>
    <t>VINO FINCA EL PORTILLO MALBEC 375ML</t>
  </si>
  <si>
    <t>DET POLVO MAGIA BLANCA X780GR, LAVANDA</t>
  </si>
  <si>
    <t>DET POLVO MAGIA BLANCA X2KG, LAVANDA</t>
  </si>
  <si>
    <t>DET POLVO MAGIA BLANCA X4KG, LAVANDA</t>
  </si>
  <si>
    <t>ACEIT OLIV EXT VIRG JARRITA ELOLIVARX250</t>
  </si>
  <si>
    <t>TAMPON TAMPAX REGULAR X 10UN</t>
  </si>
  <si>
    <t>TAMPON TAMPAX SUPER X 10UN</t>
  </si>
  <si>
    <t>TAMPON TAMPAX PEARL REGULAR X8 UN</t>
  </si>
  <si>
    <t>TAMPON TAMPAX PEARL SUPER X8UN</t>
  </si>
  <si>
    <t>VINO DON LUCIANO BOT 750ML</t>
  </si>
  <si>
    <t>HEPABION FORTE X 12 UN</t>
  </si>
  <si>
    <t>SHAMPOO AMMENS+DP ORIG 400ML+MZLLA 200ML</t>
  </si>
  <si>
    <t>SHAMPOO AMMENS+DP MZLLA 400ML+ORIG 200ML</t>
  </si>
  <si>
    <t>COLONIA LOL X 140 ML</t>
  </si>
  <si>
    <t>SHAMPOO 3EN1 BABY SHARK X 350 ML</t>
  </si>
  <si>
    <t>SHAMPOO LOL X 300 ML</t>
  </si>
  <si>
    <t>LOL DIP CANDY</t>
  </si>
  <si>
    <t>CRY BABIES MALLOW POP</t>
  </si>
  <si>
    <t>VINO PIATELLI G.RESERVA MALBEC 750ML</t>
  </si>
  <si>
    <t>VINO DEHESA LA GRANJA CRIANZA 750ML</t>
  </si>
  <si>
    <t>NIVEA LIP CARE MED REPAIR 5.5 ML</t>
  </si>
  <si>
    <t>PISTACHOS SAL Y PIMIENTA WONDERFUL 198G</t>
  </si>
  <si>
    <t>GALLETAS HOGAREÑAS 200G ARCOR</t>
  </si>
  <si>
    <t>GALLETAS DULCES X 90 GR CHAPLIN</t>
  </si>
  <si>
    <t>LAKANTO BROWNIE MIX SIN AZÚCAR</t>
  </si>
  <si>
    <t>LAKANTO PANCAKE SIN AZÚCAR</t>
  </si>
  <si>
    <t>CEPILLO GUM BATERIA LIMPIEZA PROFUNDA X1</t>
  </si>
  <si>
    <t>CEPILLO GUMBATERI LIMPIEZPROFUNDAREFILX2</t>
  </si>
  <si>
    <t>CEPILLO GUM CRAYOLA LIGHT UP</t>
  </si>
  <si>
    <t>CEPILLO GUM CRAYOLA POWER</t>
  </si>
  <si>
    <t>CEPILLO GUM PAW PATROL X2</t>
  </si>
  <si>
    <t>CEPILLO GUM PAW PATROL LIGHT UP X1</t>
  </si>
  <si>
    <t>FLOSSERS GUM PAW PATROL X40</t>
  </si>
  <si>
    <t>CEPILLO GUM ORTODONTICO X1</t>
  </si>
  <si>
    <t>INTERDENTAL GUM PROXABRUSH ROJO(0.8MM)X4</t>
  </si>
  <si>
    <t>FLOSSERS GUM HILO ULTRA DESLIZANTE X20</t>
  </si>
  <si>
    <t>CREMA PARA CAFÉ LIBBY'S X454G</t>
  </si>
  <si>
    <t>RON CARTAVIO BLACK 1.75L</t>
  </si>
  <si>
    <t>RON ALTARIUM 3 AÑOS 750ML</t>
  </si>
  <si>
    <t>RON ALTARIUM 5 AÑOS 750ML</t>
  </si>
  <si>
    <t>RON CARTAVIO SELECTO 1.75ML</t>
  </si>
  <si>
    <t>RTD HIT CARTAVIO PIÑA COLADA 700ML</t>
  </si>
  <si>
    <t>RTD HIT CARTAVIO MOJITO 700ML</t>
  </si>
  <si>
    <t>RTD WILD RUSSKAYA XTREME 355ML</t>
  </si>
  <si>
    <t>RED BULL TROPICAL 250ML X4PK</t>
  </si>
  <si>
    <t>RON RUM NATION PERU 8 AÑOS 700ML</t>
  </si>
  <si>
    <t>RON RUM NATION GUATEMALA GRAN RESE 700ML</t>
  </si>
  <si>
    <t>RON RUM NATION PANAMA 10 AÑOS 700ML</t>
  </si>
  <si>
    <t>VINO COCODRILO MALBEC 750ML</t>
  </si>
  <si>
    <t>VINO DEMUERTE ONE 750ML</t>
  </si>
  <si>
    <t>JUGO DE TOMATE AMO - TOMATE 1LT</t>
  </si>
  <si>
    <t>JUGO DE TOMATE AMO - 500ML</t>
  </si>
  <si>
    <t>NOPAL FLAZ MANZA X454GNUESTRA SALUD</t>
  </si>
  <si>
    <t>EUCALIPTO X50G NUESTRA SALUD</t>
  </si>
  <si>
    <t>CHOCOLATE TRIPACK 75G CACAOSUYO</t>
  </si>
  <si>
    <t>CHIA ORGANICA AMAZONIA DE 250G</t>
  </si>
  <si>
    <t>UTHIL FILM PLASTICO 20MT X 30CM BOLSA</t>
  </si>
  <si>
    <t>CERVEZA KUNSTMANN TOROBAYO LATA 470ML</t>
  </si>
  <si>
    <t>CERVEZA KUNSTMANN SESSION IPA LATA 470ML</t>
  </si>
  <si>
    <t>GIN MONKEY 47 DRY 500 ML</t>
  </si>
  <si>
    <t>CERVEZA HEINEKEN PACK 6 LATA 250 ML</t>
  </si>
  <si>
    <t>CERVEZA TRES CRUCES LAGER PK 18 LT 355ML</t>
  </si>
  <si>
    <t>CERVEZA TRES CRUCES LAGER PK 6 BOT 355ML</t>
  </si>
  <si>
    <t>CERVEZA TRES CRUCES LIGHT PK 6 LAT 355ML</t>
  </si>
  <si>
    <t>CERVEZA TRES CRUCES LIGHT PK 12 LT 355ML</t>
  </si>
  <si>
    <t>CERVEZA TRES CRUCES LIGHT PK 6 LAT 473ML</t>
  </si>
  <si>
    <t>CERVEZA TRES CRUCES LIGHT PK 6 BOT 355ML</t>
  </si>
  <si>
    <t>MASCARILLA DE TELA REUTILIZABLE 3M</t>
  </si>
  <si>
    <t>ARROZ CON QUINUA X 500 GR FINCANDINA</t>
  </si>
  <si>
    <t>ACEITUNAS VERDES CON ROCOTO OLIVALLE</t>
  </si>
  <si>
    <t>ACEITUNAS VERDES CON PIMIENTO OLIVALLE</t>
  </si>
  <si>
    <t>ASEPXIA AGUA MICELAR DETOX 400ML</t>
  </si>
  <si>
    <t>AGUA MICELAR ASEPXIA BICARB SODIO 400ML</t>
  </si>
  <si>
    <t>DON SIMON ZUMO NARANJA ORGANICO 1LITRO</t>
  </si>
  <si>
    <t>ESPUMANTE PETALO MOSCATO BOTTEGA 200ML</t>
  </si>
  <si>
    <t>VINO FINCA ROTONDO RSV CAB.SAUVIG 750ML</t>
  </si>
  <si>
    <t>VINO TERRANOBLE G.RSV CHARDONNAY 750ML</t>
  </si>
  <si>
    <t>VINO TERRANOBLE G.RSV SAUV.BLANC 750ML</t>
  </si>
  <si>
    <t>VINO TINTO PEDRAS NEGRAS BOT X 750ML</t>
  </si>
  <si>
    <t>VINO BLANCO PEDRAS NEGRAS BOT X 750ML</t>
  </si>
  <si>
    <t>ANILLO DIAMANTE BARBIE</t>
  </si>
  <si>
    <t>CHUPETE GLOBO POP LED</t>
  </si>
  <si>
    <t>PALETTE COLOR CR RUBIO NATURAL</t>
  </si>
  <si>
    <t>PALETTE COLOR CR RUBIO PLATA CENIZO</t>
  </si>
  <si>
    <t>GOMAS FRUTALES EXTREME 35G MOGUL</t>
  </si>
  <si>
    <t>CARAMELO BUTTER'N CREAM LECHE 450G ARCOR</t>
  </si>
  <si>
    <t>GOMAS FRUTILLAS ACIDAS 500G MOGUL</t>
  </si>
  <si>
    <t>GOMAS MORAS BERRIES 150G MOGUL</t>
  </si>
  <si>
    <t>CARAMELOS ALKA ACIDOS 112G</t>
  </si>
  <si>
    <t>GOMAS FRUTALES 140G MOGUL</t>
  </si>
  <si>
    <t>CHOCOLATE CONFITADO 150G ROCKLETS</t>
  </si>
  <si>
    <t>REGALIZ TWISTER ACIDO 80G FINI</t>
  </si>
  <si>
    <t>REGALIZ TUTTI FRUTTI 80G FINI</t>
  </si>
  <si>
    <t>FRUTIE FRUTAS SURTIDAS 200G FINI</t>
  </si>
  <si>
    <t>FRUTIE FRUTAS ROJAS 200G FINI</t>
  </si>
  <si>
    <t>FRUTIE SOBREMESAS 200G FINI</t>
  </si>
  <si>
    <t>BEBIDA COCOMANIA LUCUMA</t>
  </si>
  <si>
    <t>SALSA FILETTO ARCOR 340G</t>
  </si>
  <si>
    <t>SALSA SOYA TARE ADELMI 330G</t>
  </si>
  <si>
    <t>SALSA SHOYU ADELMI 280G</t>
  </si>
  <si>
    <t>ENERGIZER LINT LED 60 LUM RUBBER 2AA</t>
  </si>
  <si>
    <t>MANTEQUILLA DE MANI X 410GR CUISINE&amp;CO</t>
  </si>
  <si>
    <t>GOMITAS SABORES 90GR TRULULU</t>
  </si>
  <si>
    <t>GOMITAS GUSANOS ACIDOS 80GR TRULULU</t>
  </si>
  <si>
    <t>CARAMELO BIG BEN CHOCOLATE BLANCO 100UN</t>
  </si>
  <si>
    <t>MONKFRUIT ONZA CAJA X 100 SOBRES</t>
  </si>
  <si>
    <t>MONKFRUIT ONZA CAJA X 50 SOBRES</t>
  </si>
  <si>
    <t>LUCKY STRIKE WILD MIX X 20</t>
  </si>
  <si>
    <t>LUCKY STRIKE CRUSH X 20</t>
  </si>
  <si>
    <t>LUCKY STRIKE BIG CHILL X 20</t>
  </si>
  <si>
    <t>PALL MALL BLUE XL X 10U</t>
  </si>
  <si>
    <t>PALL MALL RED XL X 10U</t>
  </si>
  <si>
    <t>TWOPACK WHISKY CHIVAS EXTRA 13 YO 700ML</t>
  </si>
  <si>
    <t>WHISKY BALLANTINES FINEST X1L</t>
  </si>
  <si>
    <t>LASAGNA KONJAC ZEROCARBO</t>
  </si>
  <si>
    <t>WHISKY CHIVAS MIZUNARA 700ML</t>
  </si>
  <si>
    <t>WHISKY JIM BEAM BLACK BOT 750ML</t>
  </si>
  <si>
    <t>WHISKY JIM BEAM WHITE BOT 750ML</t>
  </si>
  <si>
    <t>WHISKY JIM BEAM HONEY BOT 750ML</t>
  </si>
  <si>
    <t>ALGARROBINA X480G CUISINE&amp;CO</t>
  </si>
  <si>
    <t>SIROPE SABOR MAPLE X480G CUISINE&amp;CO</t>
  </si>
  <si>
    <t>MIEL DE ABEJA CUISINE&amp;CO X1100 GR</t>
  </si>
  <si>
    <t>COBERTURA LECHE 45% X 200GR ORQUIDEA</t>
  </si>
  <si>
    <t>COBERTURA BITTER 60% X 200GR ORQUIDEA</t>
  </si>
  <si>
    <t>SAL MARAS C/ ESPECIAS MOLED 50G C&amp;CO</t>
  </si>
  <si>
    <t>SAL MARAS C/ AJI PANCA MOLED 80G C&amp;CO</t>
  </si>
  <si>
    <t>SAL MARAS GRUESA MOLED 100G C&amp;CO</t>
  </si>
  <si>
    <t>SAL MARAS C/ ESPECIAS DYPK 500G C&amp;CO</t>
  </si>
  <si>
    <t>SAL MARAS C/ AJI PANCA DYPK 500G C&amp;CO</t>
  </si>
  <si>
    <t>AGUA SP ESSENZA 330ML, LIMON</t>
  </si>
  <si>
    <t>AGUA SP ESSENZA 330ML, BLOOD ORANGE</t>
  </si>
  <si>
    <t>PREMEZCLA TORTA DOBLE CHOCOL BAKELS  1KG</t>
  </si>
  <si>
    <t>PREMEZCLA CARROT CAKE MIX BAKELS X 1KG</t>
  </si>
  <si>
    <t>PREMEZCLA RED VELVET BAKELS X 1 KG</t>
  </si>
  <si>
    <t>PREMEZCLA MUFFIN VAINILLA BAKELS X 1 KG</t>
  </si>
  <si>
    <t>PREMEZCLA PREM DOB VAINILLA BAKELS X1 KG</t>
  </si>
  <si>
    <t>CHOCOYOGURT X 125G 2 CERRITOS</t>
  </si>
  <si>
    <t>SHAMPOO REY LEON X 300 ML</t>
  </si>
  <si>
    <t>COLONIA REY LEON X 120 ML</t>
  </si>
  <si>
    <t>JABON LIQUIDO REY LEON X 300 ML</t>
  </si>
  <si>
    <t>SHAMPOO+ BODY LOTION+ JAB+ESPON REY LEON</t>
  </si>
  <si>
    <t>SHAMPOO GALLINA PINTADITA X 300 ML</t>
  </si>
  <si>
    <t>COLONIA GALLINA PINTADITA X 120 ML</t>
  </si>
  <si>
    <t>JABON LIQUIDO GALLINA PINTADITA X300 ML</t>
  </si>
  <si>
    <t>SHAMPOO+COLONIA+JABON GALLINA PINTADITA</t>
  </si>
  <si>
    <t>SHAMPOO LA GRANJA DE ZENON X 300ML</t>
  </si>
  <si>
    <t>COLONIA LA GRANJA DE ZENON X 120 ML</t>
  </si>
  <si>
    <t>JABON LIQUIDO LA GRANJA DE ZENON X300ML</t>
  </si>
  <si>
    <t>SHAMPOO+COLONIA+JAB+ESPONJA GRANJA ZENON</t>
  </si>
  <si>
    <t>CAMOTES FRITOS 160G TIYAPUY</t>
  </si>
  <si>
    <t>SIMILAC MAMÁ X400GR</t>
  </si>
  <si>
    <t>VINO LAN RIOJA D-12 BOT 750ML</t>
  </si>
  <si>
    <t>BON O BON FRESA 270G</t>
  </si>
  <si>
    <t>CORAZÓN PRIVILEGIO 87.5G</t>
  </si>
  <si>
    <t>POTE FLOR BON O BON 90G</t>
  </si>
  <si>
    <t>KIT MATE+BOMB+YERBA X500GR PLAYADITO</t>
  </si>
  <si>
    <t>SHAMPOO KAREOL ARGAN 300 ML</t>
  </si>
  <si>
    <t>ACONDICIONADOR  KAREOL ARGAN 300 ML</t>
  </si>
  <si>
    <t>MASCARA KAREOL ARGAN 300 GR</t>
  </si>
  <si>
    <t>EXPRESS ACLARA  - SERUM 30ML</t>
  </si>
  <si>
    <t>SHAMPOO NEUTRO 610ML+BALSAMO NEUTRO 400M</t>
  </si>
  <si>
    <t>SHAMPOO MANZAN 610ML+BALSAMO NEUTRO 400M</t>
  </si>
  <si>
    <t>RON BARCELO ORGANICO BOT 700 ML</t>
  </si>
  <si>
    <t>VINO MARQUES DE CASA CONCHA ROSE 750ML</t>
  </si>
  <si>
    <t>PACK VINO ALMA NEGRA+ANIMAL MALBEC</t>
  </si>
  <si>
    <t>PACK VINOS PADRILLOS MALBEC+P.NOIR</t>
  </si>
  <si>
    <t>MEUSCACHOS SANTOBLACK SHA300ML</t>
  </si>
  <si>
    <t>MEUS CACHOS SANTO BLACK CREMA 500GR</t>
  </si>
  <si>
    <t>NOVEX INFCOLAGENO CRTRAT 400</t>
  </si>
  <si>
    <t>CHOCOLATE BON O BON 270G (PDQ)</t>
  </si>
  <si>
    <t>JARABE GLUCOFACIL X680GR</t>
  </si>
  <si>
    <t>VINO ALFA CRUX MALBEC 750ML</t>
  </si>
  <si>
    <t>VINO BETA CRUX BLEND 750ML</t>
  </si>
  <si>
    <t>VINO URBAN MALBEC 750ML</t>
  </si>
  <si>
    <t>RTD SHARE BORGOÑA LATA 310ML</t>
  </si>
  <si>
    <t>RTD SHARE ROSE LATA 310ML</t>
  </si>
  <si>
    <t>ALPECIN TRATAMIENTO LIQUID CAFFEINE</t>
  </si>
  <si>
    <t>ALPECIN SHAMPOO DOUBLE EFFECT</t>
  </si>
  <si>
    <t>ALPECIN SHAMPOO CAFFEINE</t>
  </si>
  <si>
    <t>VINO ELSA BIANCHI CAB.SAUV 750ML</t>
  </si>
  <si>
    <t>VINO ELSA BIANCHI MARLÓ DULCE 750ML</t>
  </si>
  <si>
    <t>CERVEZA AMSTEL PACK 6 BOT 355ML</t>
  </si>
  <si>
    <t>CERVEZA AMSTEL PACK 12 LATAS 355ML</t>
  </si>
  <si>
    <t>INSECT POLVO CAMPEON 30G, MATACUCARACHAS</t>
  </si>
  <si>
    <t>INSECT POLVO CAMPEON 30G, MOJABLE</t>
  </si>
  <si>
    <t>INSECT POLVO CAMPEON 30G, ANTIPULGAS</t>
  </si>
  <si>
    <t>INSECT POLVO CAMPEON 30G, MATA-HORM</t>
  </si>
  <si>
    <t>INSECT TIZA DICOL MATACUCARACHAS</t>
  </si>
  <si>
    <t>BROWNIE FOUR PACK SUBLIME X 200GR</t>
  </si>
  <si>
    <t>BROWNIE FOUR PACK PRINCESA X 200GR</t>
  </si>
  <si>
    <t>PISCO VIÑAS DE ORO ED PERU QUEBRANTA 700</t>
  </si>
  <si>
    <t>ENDULZANTE POLVO X50GR VIDA STEVIA</t>
  </si>
  <si>
    <t>DISPLAY BON O BON DULCE DE LECHE 288G</t>
  </si>
  <si>
    <t>BIORE BRIGHTENING LIMPIADOR JELLY 110ML</t>
  </si>
  <si>
    <t>BIORE BRIGHTENING PORE EXFOLIANTE  100ML</t>
  </si>
  <si>
    <t>CIGARRILLOS PALL MALL XL SUNSET 20U</t>
  </si>
  <si>
    <t>DESINFECTANTE DARYZA 5L</t>
  </si>
  <si>
    <t>CERVEZA AMSTEL PACK 6 LATAS 355ML</t>
  </si>
  <si>
    <t>CERVEZA AMSTEL PACK 6 LATAS 473ML</t>
  </si>
  <si>
    <t>CAFÉ IYARI GRANO TOSTADO MEDIO BOLX250G</t>
  </si>
  <si>
    <t>PEPINILLO BEBE ENCURT POTE X250G C&amp;CO</t>
  </si>
  <si>
    <t>CEBOLLITA ROJA ENCURT POTE X280G C&amp;CO</t>
  </si>
  <si>
    <t>CHOCLITO ENCURT POTE X250G C&amp;CO</t>
  </si>
  <si>
    <t>CEBOLLITA PERLA ENCURT POTE X280G C&amp;CO</t>
  </si>
  <si>
    <t>CERVEZA CANDELARIA SUNSET PCK 4 LT 355ML</t>
  </si>
  <si>
    <t>COCOA DYPACK 160 GR CUISINE &amp; CO</t>
  </si>
  <si>
    <t>PACK WHISKY SINGLETON 12 AÑOS + 2 VASOS</t>
  </si>
  <si>
    <t>MUSTELA VITAMIN BARRIER CREAM 123 50 ML</t>
  </si>
  <si>
    <t>MUSTELA CHAMPÚ SUAVE 200 ML</t>
  </si>
  <si>
    <t>AGUA DE COLONIA MUSTELA 200 ML</t>
  </si>
  <si>
    <t>SOLUCIÓN LIMPIADORA MUSTELA 300 ML</t>
  </si>
  <si>
    <t>TOALLITAS SOLUCION LIMPIADORA MUSTELA</t>
  </si>
  <si>
    <t>WHISKY WILLIAM LAWSON'S 750 ML</t>
  </si>
  <si>
    <t>MIEL DE ABEJA HACIENDA DE NAJAR X600GR</t>
  </si>
  <si>
    <t>MIEL DE ABEJA HACIENDA DE NAJAR X1KG</t>
  </si>
  <si>
    <t>MIEL DE ABEJA HACIENDA DE NAJAR X350GR</t>
  </si>
  <si>
    <t>POLEN DE ABEJA HACIENDA DE NAJAR X150GR</t>
  </si>
  <si>
    <t>SKINLAB TRATAMIENTO SERUM 30ML</t>
  </si>
  <si>
    <t>SKINLAB CREMA HIDRATANTE 63G</t>
  </si>
  <si>
    <t>SKINLAB SUERO DE VITAMINA C 30ML</t>
  </si>
  <si>
    <t>SKINLAB GEL CONTORNO DE OJOS 19.8 G</t>
  </si>
  <si>
    <t>SKINLAB JABON EN GEL 150 ML</t>
  </si>
  <si>
    <t>DET LIQ LA OCA 5 LT , ALOE VERA</t>
  </si>
  <si>
    <t>QUINUA BLANCA ORGANICA X 340GR TIYAPUY</t>
  </si>
  <si>
    <t>QUINUA ROJA ORGANICA X 340GR TIYAPUY</t>
  </si>
  <si>
    <t>QUINUA TRICOLOR ORGANICA X 340GR TIYAPUY</t>
  </si>
  <si>
    <t>CAJA SURTIDA GOLOSINAS ARCOR X268G</t>
  </si>
  <si>
    <t>PASTILLAS CHOC 70% CACAO LA IBERICA 300G</t>
  </si>
  <si>
    <t>ESPIRAL METÁLICO SCOTCH BRITE, X1</t>
  </si>
  <si>
    <t>CEPILLO OLLAS Y SARTENES SCOTCH BRITE</t>
  </si>
  <si>
    <t>LIMPIADOR DE MANO SCOTCH BRITE</t>
  </si>
  <si>
    <t>CEPILLO SALVA UÑAS SCOTCH BRITE</t>
  </si>
  <si>
    <t>CEPILLO COPAS Y VASOS SCOTCH BRITE</t>
  </si>
  <si>
    <t>ESPONJA EXTREMA SCOTCH BRITE, X1</t>
  </si>
  <si>
    <t>PISCO PURO TORO SANTO QUEBRANTA 750ML</t>
  </si>
  <si>
    <t>NUT RETOCADO RAIZ 10</t>
  </si>
  <si>
    <t>NUT RETOCADO RAIZ 30</t>
  </si>
  <si>
    <t>NUTRISSE RETOCADO RAIZ 60</t>
  </si>
  <si>
    <t>NUTRISSE RETOCADO RAIZ 40</t>
  </si>
  <si>
    <t>GOODY CEPILLO DETANGLE IT OVAL BRUSH</t>
  </si>
  <si>
    <t>GOODY CEPILLO DETANGLE IT PADDLE BRUSH</t>
  </si>
  <si>
    <t>GOODY CEPILLO DETANGLE IT VENT BRUSH</t>
  </si>
  <si>
    <t>GOODY ACC METAL DOMED BARRETTE X4</t>
  </si>
  <si>
    <t>GOODY ACC PATTERNED STARTIGHT BARRETTEX8</t>
  </si>
  <si>
    <t>GOODY ACC BOBBY PIN 2" BROWNX60</t>
  </si>
  <si>
    <t>GOODY ACC BOBBY PIN 2" BLACKX60</t>
  </si>
  <si>
    <t>GOODY ACC HORQUILLAS BLACKX100</t>
  </si>
  <si>
    <t>GOODY ACC SMALL HALF CLAW CLIPSX12</t>
  </si>
  <si>
    <t>GOODY ACC BRAIDED ELASTIC BROWN X15</t>
  </si>
  <si>
    <t>GOODY ACC 2" MOCK TORT START BARRETTE X4</t>
  </si>
  <si>
    <t>GOODY SET STYLING ESSENTIALS BRUSH+COMB</t>
  </si>
  <si>
    <t>CO CEPILLO SCALP MASSAGE SHAMPOO</t>
  </si>
  <si>
    <t>CO KIT HAIR COLOR DIY8-PCS</t>
  </si>
  <si>
    <t>CO SCISSORS 3PACK CON/PEIN</t>
  </si>
  <si>
    <t>LAVAVAJILLAS CASCADE PODS PLATX14UN</t>
  </si>
  <si>
    <t>LAVAVAJILLAS CASCADE PODS PLATX21UN</t>
  </si>
  <si>
    <t>LAVAVAJILLA LIQ DAWN ULTRA 479MLORIGINAL</t>
  </si>
  <si>
    <t>LAVAVAJILLA LIQ DAWN ULTRA 207MLORIGINAL</t>
  </si>
  <si>
    <t>PACK CHILCANERO EL SARCAY (PIS+EVER+VAS)</t>
  </si>
  <si>
    <t>SAL DE MARAS SABOR ORÉGANO OLI21 115GR</t>
  </si>
  <si>
    <t>SAL DE MARAS SABOR AJO OLI21 135GR</t>
  </si>
  <si>
    <t>SAL DE MARAS MIX AJÍES OLI21 135GR</t>
  </si>
  <si>
    <t>SAL DE MARAS MOLIDA OLI21 145GR</t>
  </si>
  <si>
    <t>SAL DE MARAS SEMIGRUESA OLI21 140GR</t>
  </si>
  <si>
    <t>SAL DE MARAS MOLIDA OLI21 1.25KG</t>
  </si>
  <si>
    <t>SAL DE MARAS SEMIGRUESA OLI21 1.25KG</t>
  </si>
  <si>
    <t>ENCENDEDOR I-LIGHTER</t>
  </si>
  <si>
    <t>TORTILLAS DE MAÍZ SANIITO X 8 UND</t>
  </si>
  <si>
    <t>TORTILLAS DE MAÍZ SANIITO X 12 UND</t>
  </si>
  <si>
    <t>AMBIENTADOR AIRWICK LIRIOS 250 ML X2</t>
  </si>
  <si>
    <t>AMBIENTADOR AIRWICK LIRIOS 250 ML+APTO</t>
  </si>
  <si>
    <t>ABRILLANTADOR FINISH 400ML</t>
  </si>
  <si>
    <t>QUITAMANCHAS VANISH 900+450ML ROSA</t>
  </si>
  <si>
    <t>QUITAMANCHAS VANISH 900+450ML BLANCO</t>
  </si>
  <si>
    <t>MAYONESA CUISINE &amp; CO FCO PET X333 G</t>
  </si>
  <si>
    <t>MOSTAZA CUISINE &amp; CO FCO PET X370 G</t>
  </si>
  <si>
    <t>KETCHUP CUISINE &amp; CO FCO PET X400 G</t>
  </si>
  <si>
    <t>CHIFLE PICANTE CRICKETS X 500 G</t>
  </si>
  <si>
    <t>JF BR BLUE CRUSH SHAMPOO245ML</t>
  </si>
  <si>
    <t>JF BR BLUE CRUSH ACONDICIONADOR245ML</t>
  </si>
  <si>
    <t>TOALLAS DESINFECT LYSOL FLP X72, CITRICO</t>
  </si>
  <si>
    <t>MILKADAMIA LATTE DA UNSWEETENED 32OZ</t>
  </si>
  <si>
    <t>PACK GIN HENDRICKS FITO ESPIN.700ML+COPA</t>
  </si>
  <si>
    <t>CANELA MOLIDA MCCORMICK 67G</t>
  </si>
  <si>
    <t>COMINO MOLIDO MCCORMICK   42G</t>
  </si>
  <si>
    <t>PIMIENTA MOLIDA GRUESA MCCORMICK 42G</t>
  </si>
  <si>
    <t>NUEZ MOZCADA MOLIDA MCCORMICK 56G</t>
  </si>
  <si>
    <t>PIMIENTA NEGRA C/MOL MCCORMICK 28G</t>
  </si>
  <si>
    <t>MEZCLA PIMIENTAS MOL CCORMICK 24G</t>
  </si>
  <si>
    <t>SAZON 5ESPECIAS ORGANIC MCCORMICK 49G</t>
  </si>
  <si>
    <t>OREGANO EN HOJAS MCCORMICK  21G</t>
  </si>
  <si>
    <t>BLISTER LOL CEPILLO + PASTA</t>
  </si>
  <si>
    <t>BLISTER PAW PATROL CEPILLO + PASTA</t>
  </si>
  <si>
    <t>BLISTER ZOMBIES CEPILLO + PASTA</t>
  </si>
  <si>
    <t>BLISTER DRAGON BALL CEPILLO + PASTA</t>
  </si>
  <si>
    <t>VINO BICICLETA RSV SAUVIGNON BLANC 750ML</t>
  </si>
  <si>
    <t>VINO BICICLETA RSVA CAB.SAUVIG 750ML</t>
  </si>
  <si>
    <t>BLISTER LOL MIX 2 CEPILLOS+PORTACEPILLO</t>
  </si>
  <si>
    <t>MARSHALL PP 2 CEPILLOS+PORTACEPILL</t>
  </si>
  <si>
    <t>ZOMBIES 2 CEPILLOS+PORTACEPILLO</t>
  </si>
  <si>
    <t>CEPILLO CON LUZ LOL</t>
  </si>
  <si>
    <t>CEPILLO CON LUZ PAW PATROL</t>
  </si>
  <si>
    <t>CEPILLO CON LUZ SKYE</t>
  </si>
  <si>
    <t>SET PAW PATROL CEPILLO+PASTA</t>
  </si>
  <si>
    <t>SET LOL CEPILLO+PASTA CARTUCHERA</t>
  </si>
  <si>
    <t>SET DRAGON BALL CEPILLO+PASTA</t>
  </si>
  <si>
    <t>SET UNICORN CEPILLO+PASTA+VASO</t>
  </si>
  <si>
    <t>SET BABY SHARK CEPILLO+PASTA+VASO C</t>
  </si>
  <si>
    <t>SET DRAGON BALL CEPILLO+PASTA+VASO</t>
  </si>
  <si>
    <t>SET LOL CEPILLO + PASTA + VASO</t>
  </si>
  <si>
    <t>SET PAW PATROL CEPILL+PASTA+VAS</t>
  </si>
  <si>
    <t>VINO EL COTO CRIANZA BOT X 375ML</t>
  </si>
  <si>
    <t>VINO CATENA MALBEC BOT X 375ML</t>
  </si>
  <si>
    <t>VINO BIANCHI PARTICULAR C.FRANC 750ML</t>
  </si>
  <si>
    <t>VINO PROTOCOLO BOT 750ML</t>
  </si>
  <si>
    <t>VINO CODICE BOT 750ML</t>
  </si>
  <si>
    <t>CAFÉ JACOBS LIOFILIZADO INTS DECAF 100G</t>
  </si>
  <si>
    <t>BOOST MIC X400ML NEUTROGENA</t>
  </si>
  <si>
    <t>HYDRO BOOST MICX200ML NEUTROGENA</t>
  </si>
  <si>
    <t>EVERPURE PURPLE SHAMPOO 200ML</t>
  </si>
  <si>
    <t>EVERPURE PURPLE ACONDICIONADOR 200ML</t>
  </si>
  <si>
    <t>HOJAS DE CEDRON NATURANDES X30GR</t>
  </si>
  <si>
    <t>VINAGRE DE MANZANA CUISINE&amp;CO BOTX500ML</t>
  </si>
  <si>
    <t>TINTE SOFT COLOR KIT 30 CASTOSC</t>
  </si>
  <si>
    <t>TINTE SOFT COLOR KIT 50 CASTCLA</t>
  </si>
  <si>
    <t>TINTE SOFT COLOR KIT 40 CASTMED</t>
  </si>
  <si>
    <t>TINTE SOFT COLOR KIT 71 RUBCEN</t>
  </si>
  <si>
    <t>TINTE SOFT COLOR KIT 60 RUBOSC</t>
  </si>
  <si>
    <t>TINTE SOFT COLOR KIT 67 CHOCO</t>
  </si>
  <si>
    <t>TINTE SOFT COLOR KIT 80 RUBCLA</t>
  </si>
  <si>
    <t>TINTE SOFT COLOR KIT 20 NEG</t>
  </si>
  <si>
    <t>LIMPIA PARRILLAS BBQ DR. BECKMANN X375ML</t>
  </si>
  <si>
    <t>GALLETA SANDWICH CHOC VAIN C.CRUNCH 193G</t>
  </si>
  <si>
    <t>TOALLAS DESINFEC VIRUTEX FLP X24, LIMON</t>
  </si>
  <si>
    <t>TOALLAS DESINFEC VIRUTEX FLP X24, FRESH</t>
  </si>
  <si>
    <t>PISCO MULITA TACAMA QUEBRANTA 750 ML</t>
  </si>
  <si>
    <t>SOCOSANI AGUA MINERAL CON GAS VD X6</t>
  </si>
  <si>
    <t>SOCOSANI AGUA MINERAL CON GAS PET X6</t>
  </si>
  <si>
    <t>GARNIER AMP MASCARILLA DETOX KALE</t>
  </si>
  <si>
    <t>GARNIER AMP MASCARILLA ANTI-FATIGA PIÑA</t>
  </si>
  <si>
    <t>GARNIER AMP MASCARILLA FIRMEZA SANDIA</t>
  </si>
  <si>
    <t>PUREACTIVE MASC ANTI-IMPER GARNIER</t>
  </si>
  <si>
    <t>PIMIENTA NEGRA MOLIDA X18 GR CUISINE&amp;CO</t>
  </si>
  <si>
    <t>OREGANO ENTERO X8 GR CUISINE&amp;CO</t>
  </si>
  <si>
    <t>COMINO MOLIDO  X18 GR CUISINE&amp;CO</t>
  </si>
  <si>
    <t>HONGO CON LAUREL X10 GRS CUISINE&amp;CO</t>
  </si>
  <si>
    <t>HONGO SECO X10 GR CUISINE&amp;CO</t>
  </si>
  <si>
    <t>OREGANO MOLIDO X8 GR CUISINE&amp;CO</t>
  </si>
  <si>
    <t>LAUREL X3 GR CUISINE&amp;CO</t>
  </si>
  <si>
    <t>PIMIENTA NEGRA ENTERA X15 GR CUISINE&amp;CO</t>
  </si>
  <si>
    <t>PAPRIKA X15 GR CUISINE&amp;CO</t>
  </si>
  <si>
    <t>ROMERO X 4 GR CUISINE&amp;CO</t>
  </si>
  <si>
    <t>PALILLO X 15GR CUISINE&amp;CO</t>
  </si>
  <si>
    <t>CANELA CHINA X 10 GR CUISINE&amp;CO</t>
  </si>
  <si>
    <t>MANI TOSTADO X 100G CUISINE&amp;CO</t>
  </si>
  <si>
    <t>TOMILLO X 4 GR CUISINE&amp;CO</t>
  </si>
  <si>
    <t>PIMIENTA BLANCA MOLIDA X 15 GR C&amp;CO</t>
  </si>
  <si>
    <t>AJI PANCA X 10 GR CUISINE&amp;CO</t>
  </si>
  <si>
    <t>ANIS ENTERO X 8 GR CUISINE&amp;CO</t>
  </si>
  <si>
    <t>CURRY HINDU POLVO X 6 GR CUISINE&amp;CO</t>
  </si>
  <si>
    <t>AJI MIRASOL X 10GR CUISINE&amp;CO</t>
  </si>
  <si>
    <t>MEJORANA X 4 GR CUISINE&amp;CO</t>
  </si>
  <si>
    <t>CANELA ENTERA X 12 GR CUISINE&amp;CO</t>
  </si>
  <si>
    <t>CANELA MOLIDA X 8 GR CUISINE&amp;CO</t>
  </si>
  <si>
    <t>CLAVO DE OLOR X 8 GR CUISINE&amp;CO</t>
  </si>
  <si>
    <t>AJI PIZZA X 15GR CUISINE&amp;CO</t>
  </si>
  <si>
    <t>NUEZ MOSCADA X 10GR CUISINE&amp;CO</t>
  </si>
  <si>
    <t>COCO RALLADO X 35 GR CUISINE&amp;CO</t>
  </si>
  <si>
    <t>COLAPEZ EN LAMINA X 1 HOJA C&amp;CO</t>
  </si>
  <si>
    <t>PIMIENTA NEGRA EN POLVO POTE X60G C&amp;CO</t>
  </si>
  <si>
    <t>COMINO EN POLVO POTE X50G CUISINE&amp;CO</t>
  </si>
  <si>
    <t>PAPRIKA POTE X55G CUISINE&amp;CO</t>
  </si>
  <si>
    <t>ROMERO POTE X15G CUISINE&amp;CO</t>
  </si>
  <si>
    <t>OREGANO POTE X10G CUISINE&amp;CO</t>
  </si>
  <si>
    <t>PIMIENTA BLANCA EN POLVO POTE X60G C&amp;CO</t>
  </si>
  <si>
    <t>PIMIENTA NEGRA ENTERA POTE X50G C&amp;CO</t>
  </si>
  <si>
    <t>CANELA EN POLVO POTE X55G CUISINE&amp;CO</t>
  </si>
  <si>
    <t>MACA NEGRA GEL ORGANICA ECOANDINO X250G</t>
  </si>
  <si>
    <t>MACA MORNINGS ORGANICO ECOANDINO X200G</t>
  </si>
  <si>
    <t>STICKS TURRON CHOCO 70% D LA VIUDA X120G</t>
  </si>
  <si>
    <t>STICKS TURR CHOC CARAM DE LA VIUDA X120G</t>
  </si>
  <si>
    <t>STICKS TURR CHOC ALMEN DE LA VIUDA X120G</t>
  </si>
  <si>
    <t>STICKS TURR CHOC AVELL DE LA VIUDA X120G</t>
  </si>
  <si>
    <t>BOMBONES SIN AZUCAR DE LA VIUDA X200G</t>
  </si>
  <si>
    <t>PECANA CARAMEL VALLEALTO BOLSA X100G</t>
  </si>
  <si>
    <t>BERRY MIX VALLEALTO BOLSA X250G</t>
  </si>
  <si>
    <t>ALBARICOQUE VALLEALTO POTE X200G</t>
  </si>
  <si>
    <t>CRANBERRY VALLEALTO POTE X150G</t>
  </si>
  <si>
    <t>BERRY CRUNCH VALLEALTO BOLSA X250G</t>
  </si>
  <si>
    <t>BERRY PEPITA VALLEALTO BOLSA X250G</t>
  </si>
  <si>
    <t>NIVEA TOALL. DESM. ROSES 25 UNDS</t>
  </si>
  <si>
    <t>NIVEA MIST SPRAY ROSES 150ML</t>
  </si>
  <si>
    <t>NIVEA CREAM GEL ROSES 50ML</t>
  </si>
  <si>
    <t>PISCO SARCAY BLACK EDITION ITALIA 750ML</t>
  </si>
  <si>
    <t>PISCO SARCAY MV HOMENAJE ACHOLADO 700ML</t>
  </si>
  <si>
    <t>BOL BASURA VIRUTEX 18L 20U, CIERRE FACIL</t>
  </si>
  <si>
    <t>BOL BASURA VIRUTEX 30L 20U, CIERRE FACIL</t>
  </si>
  <si>
    <t>BOL BASURA VIRUTEX 70L 20U, CIERRE FACIL</t>
  </si>
  <si>
    <t>ESPONJA CORPORAL PONJITA KIDS MOSTRUOS</t>
  </si>
  <si>
    <t>BOLSA FRIO/CALOR PARA NIÑOS</t>
  </si>
  <si>
    <t>CHICHA MORADA 120 GR NUESTRA SALUD</t>
  </si>
  <si>
    <t>HARINA SIETE SEMI NATURAN X460GR, CHOCO</t>
  </si>
  <si>
    <t>CERVEZA BIRRA MORETTI PACK 4 BOT 330ML</t>
  </si>
  <si>
    <t>GIN GORDONS LONDON DRY 750ML</t>
  </si>
  <si>
    <t>HJ PANCAKE &amp; WAFLE MIX BUTTERMILK 907GR</t>
  </si>
  <si>
    <t>HUNGRY JACK WAFFLE MIX BELGIAN 794GR</t>
  </si>
  <si>
    <t>HJ PANCAKE MIX CHOCOLATE CHIPS 794GR</t>
  </si>
  <si>
    <t>PACK GIN GREENALLS WILD BERRY 700 + COPA</t>
  </si>
  <si>
    <t>SALSA BUFFALO WING ESSENTIAL 355ML</t>
  </si>
  <si>
    <t>VINO 120 CHARDONNAY BOT 750ML</t>
  </si>
  <si>
    <t>VINO B&amp;G PARTAGER BLANC X 750ML</t>
  </si>
  <si>
    <t>VINO B&amp;G PARTAGER ROUGE X 750ML</t>
  </si>
  <si>
    <t>VINO B&amp;G PARTAGER ROSE X 750ML</t>
  </si>
  <si>
    <t>ESPUMANTE CREMANT DE BORDEAUX 750ML</t>
  </si>
  <si>
    <t>VINO ORG. COLONIA LIEBRES MB 750ML</t>
  </si>
  <si>
    <t>VINO A.HORMIGAS MALBEC SPECIALIST 750ML</t>
  </si>
  <si>
    <t>INFUSION DE HOJA DE COCA DELISSE X 25UN</t>
  </si>
  <si>
    <t>INFUSION DE HOJA DE COCA DELISSE X 50UN</t>
  </si>
  <si>
    <t>HOJA DE COCA NATURAL POLVO DELISSE X250G</t>
  </si>
  <si>
    <t>SALSA MI VEGANESA CUISINE&amp;CO X330G</t>
  </si>
  <si>
    <t>CAREFREE PROTECCIÓN CON PERFUME X60</t>
  </si>
  <si>
    <t>CAREFREE TODOS LOS DIAS X60</t>
  </si>
  <si>
    <t>NIVEA MEN SHOWER GEL ACTIVE CLEAN X250ML</t>
  </si>
  <si>
    <t>VINO ORGÁNICO HONORO VERA 750ML</t>
  </si>
  <si>
    <t>VINO HONORO VERA ROSADO 750ML</t>
  </si>
  <si>
    <t>VINO HONORO VERA VERDEJO 750ML</t>
  </si>
  <si>
    <t>CPEINAR HIDRA HIALURONICO 300ML ELVIVE</t>
  </si>
  <si>
    <t>TRAT CAP HIDRA HIALURONICO 300ML ELVIVE</t>
  </si>
  <si>
    <t>GALLETAS CACHORRITOS BITT 400G 2CERRITOS</t>
  </si>
  <si>
    <t>CHOCO BALLS PERUGINA X 140 GR</t>
  </si>
  <si>
    <t>VERMOUTH CINZANO ROSSO 1757 X 1L</t>
  </si>
  <si>
    <t>VINO M.DE RENGO G.RSV BLACK CAR 750ML</t>
  </si>
  <si>
    <t>VINO M.DE RENGO G.RSV BLACK CSA 750ML</t>
  </si>
  <si>
    <t>VINO DOÑA PAULA SMOKED 750ML</t>
  </si>
  <si>
    <t>VINO DOÑA PAULA ROSE DE MALBEC 750ML</t>
  </si>
  <si>
    <t>VINO VIK A 750ML</t>
  </si>
  <si>
    <t>VINO PIU BELLE ROSADA 750ML</t>
  </si>
  <si>
    <t>HARINA AVENAX400GR SIN GLUTEN MI TIERRA</t>
  </si>
  <si>
    <t>AJO MOLIDO EN PASTA DPX200G CUISINE&amp;CO</t>
  </si>
  <si>
    <t>AJI PANCA EN PASTA DPX200G CUISINE&amp;CO</t>
  </si>
  <si>
    <t>AJI MIRASOL EN PASTA DPX200G CUISINE&amp;CO</t>
  </si>
  <si>
    <t>AJI AMARILLO EN PASTA DPX200G CUISINE&amp;CO</t>
  </si>
  <si>
    <t>ROCOTO EN PASTA DPX200G CUISINE&amp;CO</t>
  </si>
  <si>
    <t>GOODY ACC BRAIDED ELASTIC BLACK X15U</t>
  </si>
  <si>
    <t>GOMA DENTADURAS ACIDA FINI X90G</t>
  </si>
  <si>
    <t>BOCADITOS DE YUCA MAMA FOODS X120G</t>
  </si>
  <si>
    <t>BOCADITOS DE YUCA ALBAH MAMA FOODS X120G</t>
  </si>
  <si>
    <t>NIVEA GEL LIMPIADOR ROSESX150ML</t>
  </si>
  <si>
    <t>SCHICK XTREME ULT ESPUMA AFEITAR HOMBRE</t>
  </si>
  <si>
    <t>KIDS 2EN1 SHAMPOO BODYWASH NARANJA 150ML</t>
  </si>
  <si>
    <t>KIDS 2EN1 SHAMPOO BODYWASH MENTA 150ML</t>
  </si>
  <si>
    <t>CHIPS DE QUINUA NATURAL 100G TIYAPUY</t>
  </si>
  <si>
    <t>CHIPS DE QUINUA BBQ 100G TIYAPUY</t>
  </si>
  <si>
    <t>VINO H.CANALE O.VINEYARD SEMILLON 750ML</t>
  </si>
  <si>
    <t>HARINA DE ALMENDRAS MARIMIELX200G</t>
  </si>
  <si>
    <t>VINO H.CANALE O.VINEYARD RIESLING 750ML</t>
  </si>
  <si>
    <t>SILLAO 500 ML CUISINE &amp; CO</t>
  </si>
  <si>
    <t>SILLAO 250 ML CUISINE &amp; CO</t>
  </si>
  <si>
    <t>TE DON SIMON LIMON 1.5 LITROS</t>
  </si>
  <si>
    <t>TE DON SIMON DURAZNO 1.5 LITROS</t>
  </si>
  <si>
    <t>TE DON SIMON AL LIMON FOURPACK 330ML</t>
  </si>
  <si>
    <t>CRANBERRY REGULAR 1890 ML CUISINE &amp; CO</t>
  </si>
  <si>
    <t>CRANBERRY BAJO EN CAL 1890MLCUISINE &amp; CO</t>
  </si>
  <si>
    <t>RTD TANQUERAY GIN &amp; TONIC 275ML</t>
  </si>
  <si>
    <t>CREMA DE MANI CON CACAO 410G CUISINE&amp;CO</t>
  </si>
  <si>
    <t>CREMA HIDRATA Y REPATAX400 ML NEUTROGENA</t>
  </si>
  <si>
    <t>CREMA HIDRATA&amp;REVITALIZAX400 MLNEUTROG</t>
  </si>
  <si>
    <t>POLVO HORNEAR S GLUTEN X 100G UNIVERSAL</t>
  </si>
  <si>
    <t>CALABAZA HALLOWEEN SNICKERS Y M&amp;M'S</t>
  </si>
  <si>
    <t>BALDE PAW PATROL HALLOWEEN ARCOR 92G</t>
  </si>
  <si>
    <t>CARAMELO MASTI PAW PATROL HALLOWEEN 330G</t>
  </si>
  <si>
    <t>CHOCOLATE HALLOWEEN AMIGOS D/SAPITO 300G</t>
  </si>
  <si>
    <t>CHOCOLATE HALLOWEEN DISPLAY SURTIDO 268G</t>
  </si>
  <si>
    <t>PALETAS MASTICABLE SAPITO HALLOWEEN 260G</t>
  </si>
  <si>
    <t>GOMAS MOGUL EXTREM MASTIC HALLOWEEN 400G</t>
  </si>
  <si>
    <t>CALABAZA COLORES HALLOWEEN 100G</t>
  </si>
  <si>
    <t>CALABAZA HALLOWEEN 100G</t>
  </si>
  <si>
    <t>MASCARILLA NEXCARE X10 UND</t>
  </si>
  <si>
    <t>MASCARILLA NEXCARE X20 UND</t>
  </si>
  <si>
    <t>MASCARILLA NEXCARE X50 UND</t>
  </si>
  <si>
    <t>VEET CO BUA12X100ML</t>
  </si>
  <si>
    <t>TINTE LUMINANCE KIT CENIZOO ERIZADO 7.23</t>
  </si>
  <si>
    <t>TINTE LUMINANCE KIT MARRON ROJIZO 6.66</t>
  </si>
  <si>
    <t>ANIS NAJAR CAFE BOT 750ML</t>
  </si>
  <si>
    <t>PACK GIN BULLDOG 750ML +1 COPA + 1ONZERA</t>
  </si>
  <si>
    <t>CINTA TRANSPARENTE SCOTCH MOUNT</t>
  </si>
  <si>
    <t>CINTA DE MONTAJE EXTERIOR SCOTCH MOUNT</t>
  </si>
  <si>
    <t>CINTA DE MONTAJE INTERIORE SCOTCH MOUNT</t>
  </si>
  <si>
    <t>NOT MILK LOW FAT X 1L</t>
  </si>
  <si>
    <t>NOT MILK CHOCOLATE X 1L</t>
  </si>
  <si>
    <t>CREMA ACIDO HIALURONICO 50ML BABARIA</t>
  </si>
  <si>
    <t>SERUM IANTIMACHAS BABARIA X 30 ML</t>
  </si>
  <si>
    <t>CREMA FACIAL VITAMINA C X 50 ML BABARIA</t>
  </si>
  <si>
    <t>ENDULZANTE ZANA X 400 GR</t>
  </si>
  <si>
    <t>ENSURE ADVANCE BANANA FRESA 850G</t>
  </si>
  <si>
    <t>ENSURE SPORT 330ML</t>
  </si>
  <si>
    <t>ENSURE ADVANCE 1.4KG VAINILLA</t>
  </si>
  <si>
    <t>SNACK TRAIL MIX ANDES SECRET X150G</t>
  </si>
  <si>
    <t>SNACK COCO MIX ANDES SECRET X150G</t>
  </si>
  <si>
    <t>SNACK SEEDS &amp; NUTS ANDES SECRET X150G</t>
  </si>
  <si>
    <t>SNACK ALMOND BERRIES ANDES SECRET X150G</t>
  </si>
  <si>
    <t>SNACK SALTED ALMONDS ANDES SECRET X80G</t>
  </si>
  <si>
    <t>SNACK SMOKED ALMONDS ANDES SECRET X80G</t>
  </si>
  <si>
    <t>SNACK CARAMEL ALMONDS ANDES SECRET X80G</t>
  </si>
  <si>
    <t>TE MATCHA VAINILLA NATURE HEART 20 SOB.</t>
  </si>
  <si>
    <t>CAFÉ ARTIDORO VILLA RICA X 250GR, MOLIDO</t>
  </si>
  <si>
    <t>CAFÉ ARTIDORO VILLA RICA X 250GR, GRANO</t>
  </si>
  <si>
    <t>AJI AMOCHERO C/ SAL MARAS SPITZE 165G</t>
  </si>
  <si>
    <t>CICA GOLD LIFT CONTORNO DUO 15G/12</t>
  </si>
  <si>
    <t>SPAGHETTI X 5K DIVELLA</t>
  </si>
  <si>
    <t>SPAGHETTI X 500G DIVELLA</t>
  </si>
  <si>
    <t>SPAGHETTINI X500G DIVELLA</t>
  </si>
  <si>
    <t>FUSILLI X 500G DIVELLA</t>
  </si>
  <si>
    <t>FARFALLE X 500G DIVELLA</t>
  </si>
  <si>
    <t>POLENTA PRECOCIDA X500G DIVELLA</t>
  </si>
  <si>
    <t>LASAÑA SEMOLA X500G DIVELLA</t>
  </si>
  <si>
    <t>CORAZONES DE ALCACHOFA RIO SANTA 950GR</t>
  </si>
  <si>
    <t>PACK TIO NACHO SH + ACD ALOE VERA 415 ML</t>
  </si>
  <si>
    <t>BALI BODY TANNING OIL SPF15 WATERMELON</t>
  </si>
  <si>
    <t>BALI BODY TANNING OIL SPF15 CACAO</t>
  </si>
  <si>
    <t>BALI BODY TANNING OIL SPF15 NATURAL</t>
  </si>
  <si>
    <t>BALI BODY TANNING OIL SPF15 PINEAPPLE</t>
  </si>
  <si>
    <t>BALI BODY SELF TANNING MOUSSE ULTRA DARK</t>
  </si>
  <si>
    <t>BALI BODY FACE TAN WATER 100ML</t>
  </si>
  <si>
    <t>BALI BODY GRADUAL TAN 200ML</t>
  </si>
  <si>
    <t>BALI BODY LUXE TANNING MITT</t>
  </si>
  <si>
    <t>BLOQ SUN BUM SPRAY 6OZ SPF30</t>
  </si>
  <si>
    <t>BLOQ SUN BUM SPRAY 6OZ SPF50</t>
  </si>
  <si>
    <t>BLOQ SUN BUM SPRAY 6OZ SPF70</t>
  </si>
  <si>
    <t>BLOQ SUN BUM FACE STICK 6OZ SPF30</t>
  </si>
  <si>
    <t>BLOQ BAHIA SUP KIDS FROZEN SPF70 60G</t>
  </si>
  <si>
    <t>BLOQ  BAHIA SUP KIDS SPIDERMAN SPF70 60G</t>
  </si>
  <si>
    <t>BLOQ BAHIA SPF30 BAR CELESTE FROZEN 4.2G</t>
  </si>
  <si>
    <t>BLOQ BAHIA SPF30 BAR ROJO SPIDERMAN 4.2G</t>
  </si>
  <si>
    <t>BRONCEA NIVEA SUN SPRAY DORAD FPS6 200ML</t>
  </si>
  <si>
    <t>BL NIVEA SUN ANTIMANCHAS Q10 FPS50 50ML</t>
  </si>
  <si>
    <t>BRONCEADOR HT ZANAHOR LOCION SPF10 240ML</t>
  </si>
  <si>
    <t>BLOQ B. BOAT ADV PROTECTION SPF100 118ML</t>
  </si>
  <si>
    <t>BLOQ HT SILK HYDRATI FPS50 LOCION 180ML</t>
  </si>
  <si>
    <t>JABON LIQUIDO BABY YODA X 500ML</t>
  </si>
  <si>
    <t>JABÓN LÍQUIDO 3D 350ML - CHASE</t>
  </si>
  <si>
    <t>JABÓN LÍQUIDO 3D 350ML - SKYE</t>
  </si>
  <si>
    <t>JABÓN LÍQUIDO SPIDER-MAN 3D 400ML</t>
  </si>
  <si>
    <t>COLAPIZ SIN GLUTEN X 30G UNIVERSAL</t>
  </si>
  <si>
    <t>JABON LIQUIDO PAW PATROL MOVIE 350 ML</t>
  </si>
  <si>
    <t>JABON LIQUIDO  LOL 300 ML</t>
  </si>
  <si>
    <t>SHAMPOO 3 EN 1 HOT WHEELS 300 ML</t>
  </si>
  <si>
    <t>DESENREDANTE LOL  200 ML</t>
  </si>
  <si>
    <t>CHOCOLATE INST SOL DEL CUSCO X220G, DARK</t>
  </si>
  <si>
    <t>CHOCOLATE INST SOL DEL CUSCO X220G, MOKA</t>
  </si>
  <si>
    <t>CHOCOLATE PASTA PURA SDC 17.5G FCO X12UN</t>
  </si>
  <si>
    <t>CHOCOLATE DARK S/AZUCAR DELAVIUDA X100G</t>
  </si>
  <si>
    <t>BOMBONES BOMBONETTI DELAVIUDA X70GR</t>
  </si>
  <si>
    <t>BOMBONES DARK S/AZ DELAVIUDA X150G</t>
  </si>
  <si>
    <t>BOMBONES AVELLANA S/AZ DELAVIUDA X150G</t>
  </si>
  <si>
    <t>TOALLA HUMEDA 3X50 LIMON</t>
  </si>
  <si>
    <t>TOALLA HUMEDA 3X50 VAINILLA</t>
  </si>
  <si>
    <t>SHAMPOO DAILY ADULTO 400ML</t>
  </si>
  <si>
    <t>PET CARE TRAINING PADS X 30 - CARBÓN</t>
  </si>
  <si>
    <t>PET CARE TRAINING PADS X 30</t>
  </si>
  <si>
    <t>DEPILE CERA ROLL ON BLISTER X 120ML</t>
  </si>
  <si>
    <t>DEPILE CERA PERLAS CALÉNDULA/ALBA X200GR</t>
  </si>
  <si>
    <t>DEPILE CERA EN PERLAS CON VAINILLAX200GR</t>
  </si>
  <si>
    <t>DEPILE CERA MICROONDAS ORQUÍDEA X 200GR</t>
  </si>
  <si>
    <t>DEPILE CERA MICROONDAS VAINILLA X 200GR</t>
  </si>
  <si>
    <t>LIMPIADOR MULT ECOHOUSE 1800ML,CÍTRICO</t>
  </si>
  <si>
    <t>CREMA DE RON PONCHE CREMA BOT. 750ML</t>
  </si>
  <si>
    <t>LIMPIADOR MULT  ECOHOUSE  4000ML, BEBÉ</t>
  </si>
  <si>
    <t>TINT LUMINANCE 2TUBOS CASTAÑO OSCURO 3.0</t>
  </si>
  <si>
    <t>TINT LUMINANCE 2TUBOS CHOCOLATE 5.4</t>
  </si>
  <si>
    <t>TINT LUMINANCE 2TUBOS NEGRO LUMINOSO 1.0</t>
  </si>
  <si>
    <t>TINT LUMINANCE 2TUBOS RUBIO CEN PROF 7.1</t>
  </si>
  <si>
    <t>TINT LUMINANCE 2TUBO CASTAÑO MEDIANO 4.0</t>
  </si>
  <si>
    <t>TINT LUMINANCE 2TUBOS RUBIO OSCURO 6.0</t>
  </si>
  <si>
    <t>TINT LUMINANCE 2TUBOS CASTAÑO CLARO 5.0</t>
  </si>
  <si>
    <t>TINT LUMINANCE 2TUBOS RUBIO 7.0</t>
  </si>
  <si>
    <t>C DENTAL ENCÍAS/SENSIBX100G SENSODYNE</t>
  </si>
  <si>
    <t>PANETON PERUANO CASA VERDE X900G</t>
  </si>
  <si>
    <t>PANETON S/GLUT NIBS MOLINOS DMUNDO X900G</t>
  </si>
  <si>
    <t>POMO MATCHA CEREMONIAL X 30G</t>
  </si>
  <si>
    <t>MATCHA CEREMONIAL CAJA  X 15 SACHETS</t>
  </si>
  <si>
    <t>ENFAMIL CONFORT PREMIUM LATA 375 GR</t>
  </si>
  <si>
    <t>BROWNIE EXTREME GUSTOZZI 45G</t>
  </si>
  <si>
    <t>COCOA MACADOR X 170GR</t>
  </si>
  <si>
    <t>COCOA MACADOR X 230 GRAMOS</t>
  </si>
  <si>
    <t>CHIFLES C/CANCHA Y C.SECA ARTICHAY X500G</t>
  </si>
  <si>
    <t>CHIFLES C/CANCHA Y C.SECA ARTICHAY X250G</t>
  </si>
  <si>
    <t>CHIFLES C/ACEITE GIRASOL ARTICHAY X250G</t>
  </si>
  <si>
    <t xml:space="preserve"> MINI OBLEA BON O BON X288G</t>
  </si>
  <si>
    <t>COMMAND GANCHOS DECORATIVOS CLEAR 17026</t>
  </si>
  <si>
    <t>LIMPIAVIDRIOS 4L DKASA</t>
  </si>
  <si>
    <t>SACAGRASA 4L DKASA</t>
  </si>
  <si>
    <t>CEPILLO WET BRUSH  ORIGINAL SURTIDO</t>
  </si>
  <si>
    <t>CEPILLO WET BRUSH PALETA SURTIDO</t>
  </si>
  <si>
    <t>CEPILLO WET BRUSH NIÑOS SURTIDO</t>
  </si>
  <si>
    <t>CEPILLO WET BRUSH PEINE SURTIDO</t>
  </si>
  <si>
    <t>TWININGS LIMON Y JENGIBRE X 10BOL</t>
  </si>
  <si>
    <t>PAELLA ESMALTADA X256GR CARMENCITA</t>
  </si>
  <si>
    <t>CEPILLO WET BRUSH NIÑOS PLUSH SURTIDO</t>
  </si>
  <si>
    <t>CEPILLO WET BRUSH REDONDO TERMICO SURT</t>
  </si>
  <si>
    <t>CEPILLO WET BRUSH  GO GREEN SURTIDO</t>
  </si>
  <si>
    <t>PACK SB BODYMX150ML+10ML+BLOTX57ML STRB</t>
  </si>
  <si>
    <t>COLONIA SFX 200ML + LOCIÓN SFX 200ML</t>
  </si>
  <si>
    <t>COLONIA BN X 60ML + LOCIÓN BNX 150ML</t>
  </si>
  <si>
    <t>PACK BALLANTINES FINEST 750 ML + 1 VASO</t>
  </si>
  <si>
    <t>PACK SOMETHING SPECIAL 750 ML + 1 VASO</t>
  </si>
  <si>
    <t>PACK THE GLENLIVET 12YO 700 ML + 2 VASOS</t>
  </si>
  <si>
    <t>THE GLENLIVET CAPTAIN’S RESERVE 700 ML</t>
  </si>
  <si>
    <t>PACK CHIVAS 13YO BOT 700 ML + BOT 200 ML</t>
  </si>
  <si>
    <t>PACK CHIVAS 18YO BOT 700 ML + BOT 200 ML</t>
  </si>
  <si>
    <t>CHIVAS 12YO BOT 750ML + XV BOT 750ML</t>
  </si>
  <si>
    <t>VINO FREIXENET PINOT GRIGIO 750ML</t>
  </si>
  <si>
    <t>VINO FREIXENET CHIANTI 750ML</t>
  </si>
  <si>
    <t>VINO FREIXENET ROSE 750ML</t>
  </si>
  <si>
    <t>ESTUCHE BOB ESPONJA:GUANTE+SHAMPOO+JABON</t>
  </si>
  <si>
    <t>ESTUCHE WINNIE POOH:GUANTE+SHAMPOO+JABON</t>
  </si>
  <si>
    <t>ESTUCHE BABY SHARK:GUANTE+SHAMPOO+JABON</t>
  </si>
  <si>
    <t>ESTUCHE PAW PATROL:GUANTE+SHAMPOO+JABON</t>
  </si>
  <si>
    <t>ESTUCHE ATRAPA PEZ BABY SHARK+SHAMPOO</t>
  </si>
  <si>
    <t>ESTUCHE JUEGO DE LETRAS SKYE+SHAMPOO</t>
  </si>
  <si>
    <t>ESTUCHE PISTA HOTWHEELS+SHAMPOO</t>
  </si>
  <si>
    <t>ESTUCHE LANZA AROS PAWPATROL+SHAMPOO</t>
  </si>
  <si>
    <t>PROM NAV21 NEC FLORES DROWA</t>
  </si>
  <si>
    <t>INKALCOHOL ALCOHOL AROMA CALMA 100ML</t>
  </si>
  <si>
    <t>INKALCOHOL ALCOHOL AROMA EDEN 100ML</t>
  </si>
  <si>
    <t>INKALCOHOL ALCOHO AROMA ENCANELADO 100ML</t>
  </si>
  <si>
    <t>INKALCOHOL ALCOHOL AROMA TROPICAL 100ML</t>
  </si>
  <si>
    <t>INKALCOHOL ALCOHOL AROMA CALMA 300ML</t>
  </si>
  <si>
    <t>INKALCOHOL ALCOHOL AROMA TROPICAL 300ML</t>
  </si>
  <si>
    <t>CERVEZA TIGER PACK 6 BOT 355 ML</t>
  </si>
  <si>
    <t>CERVEZA TIGER PACK 6 LATA 355 ML</t>
  </si>
  <si>
    <t>CERVEZA TIGER PACK 12 LATA 355 ML</t>
  </si>
  <si>
    <t>CERVEZA TIGER PACK 6 LATA 473 ML</t>
  </si>
  <si>
    <t>MASCARILLA NIÑOS KN95 FC CAJA X10UN</t>
  </si>
  <si>
    <t>MASCARILLA NIÑOS 3PLIEGUES FC CJ X12UN</t>
  </si>
  <si>
    <t>RTD GORDONS GIN &amp; TONIC LATA 375 ML</t>
  </si>
  <si>
    <t>AQARA AGAVE DL ANDES PLATEADO BOT 750 ML</t>
  </si>
  <si>
    <t>AQARA AGAVE DL ANDES R.HUANDOY BOT 750ML</t>
  </si>
  <si>
    <t>AQARA AGAVE DL ANDES REPOSADO BOT 750 ML</t>
  </si>
  <si>
    <t>PACK CAFÉ JACOBS 100G X 2UND</t>
  </si>
  <si>
    <t>SECRET SCNT EXP BARRA COCOA KISS 73GR</t>
  </si>
  <si>
    <t>SECRET CLINICAL COMPLETELY C 45GR</t>
  </si>
  <si>
    <t>JARABE DE AGAVE ORGANICO 360G CUISINE&amp;CO</t>
  </si>
  <si>
    <t>CARAMELO LLAVERO PAW PATROL</t>
  </si>
  <si>
    <t>CARAMELO LLAVERO BABY SHARK</t>
  </si>
  <si>
    <t>MEZCLA PANQUEQUE WFF&amp;CREP 720GCUISINE&amp;CO</t>
  </si>
  <si>
    <t>MEZCLA GREENMIX TRUNUTS 150G</t>
  </si>
  <si>
    <t>MEZCLA BLUEMIX TRUNUTS 125G</t>
  </si>
  <si>
    <t>CERVEZA ASAHI PACK 4 BOT 330 ML</t>
  </si>
  <si>
    <t>CERVEZA S/A ERDINGER PACK 4 BOT 330 ML</t>
  </si>
  <si>
    <t>ACEITUNA VERD ROCOTO HUERTO MEJIA 230G</t>
  </si>
  <si>
    <t>LICOR BAILEYS PIÑA COLADA BOT 700 ML</t>
  </si>
  <si>
    <t>PACK HIDRATANTE DIA Y NOCHE +ALMOHADILLA</t>
  </si>
  <si>
    <t>PACK ACLARADORA DIA 50G+NOCHE45G+NECESER</t>
  </si>
  <si>
    <t>MANTEQ MANI CREAMY E VERYDAY X454GR</t>
  </si>
  <si>
    <t>WHISKY TOMATIN LEGACY SINGLE MALT 700ML</t>
  </si>
  <si>
    <t>PACK LIMPIEZA ESPUMA+EXFOLIAN+LOCION+NEC</t>
  </si>
  <si>
    <t>PACK TRIO CREMAS ACAI+QUINUA+COCO X100G</t>
  </si>
  <si>
    <t>VINO CALVET GRANDE RESERVE 750ML</t>
  </si>
  <si>
    <t>VINO CALVET RSV MERLOT CAB.SAUV 750ML</t>
  </si>
  <si>
    <t>VINO CALVET RSV SAUVIGNON BLANC 750ML</t>
  </si>
  <si>
    <t>VINO CALVET ALSACE PINOT BLANC 750ML</t>
  </si>
  <si>
    <t>VINO CALVET ROSE D'ANJOU 750ML</t>
  </si>
  <si>
    <t>AJO GRANULADO OLI21 85GR</t>
  </si>
  <si>
    <t>AJÍ PANCA GRANULADO OLI21 60GR</t>
  </si>
  <si>
    <t>CEBOLLA BLANCA GRANULADA OLI21 75GR</t>
  </si>
  <si>
    <t>KIÓN GRANULADO OLI21 50GR</t>
  </si>
  <si>
    <t>CAFÉ SUPREMO BLUE LLAMA CATURRA X200GR</t>
  </si>
  <si>
    <t>PANETON CLASICO LA TORINESE 500G</t>
  </si>
  <si>
    <t>PANETON CLASICO LA TORINESE 750G</t>
  </si>
  <si>
    <t>CUATRO GALLOS MV 700ML + REPUBLICA 700ML</t>
  </si>
  <si>
    <t>CERVEZA RAYMI PACK 4 BOT 330 ML</t>
  </si>
  <si>
    <t>PACK SINGLETON 12 AÑOS 700ML+SERVE+VASOS</t>
  </si>
  <si>
    <t>PACK OLD PARR 750ML + ZACAPA AMBAR 750ML</t>
  </si>
  <si>
    <t>CERVEZA TRES CRUCES X 650ML</t>
  </si>
  <si>
    <t>VINO PRISIONERO MALBEC 750ML</t>
  </si>
  <si>
    <t>VINO PRISIONERO CAB.SAUVIG 750ML</t>
  </si>
  <si>
    <t>VINO PRISIONERO CHENIN 750ML</t>
  </si>
  <si>
    <t>VINO F.ROTONDO G.RESERVA ISABEL 750ML</t>
  </si>
  <si>
    <t>VINO SALENTEIN RSVA CORTE TINTAS 750ML</t>
  </si>
  <si>
    <t>VINO ORG. LAS MORAS CHARDONNAY 750ML</t>
  </si>
  <si>
    <t>TR CAP NUTRIBELA CELULAS MADRE 300ML</t>
  </si>
  <si>
    <t>MASCARA PEST MAYBELLINE COLOSSAL 36HR</t>
  </si>
  <si>
    <t>CARTAVIO BLACK BARREL 1L + RUSSKAYA 1L</t>
  </si>
  <si>
    <t xml:space="preserve"> NECESER KIDS SHAMPOO+ JABON LIQUIDO AL</t>
  </si>
  <si>
    <t>NECESER KIDS SHAMPOO+ JABON LIQUIDO UNV.</t>
  </si>
  <si>
    <t>PACK FACIAL(EXFO+MICE+ROLLER PORTUGAL</t>
  </si>
  <si>
    <t>PACK SOLAR  BLOCK &amp; MAKE UP BAHIA</t>
  </si>
  <si>
    <t>MARLBORO EXOTIC FUSION X 20U</t>
  </si>
  <si>
    <t>SIMILAC TOTAL COMFORT X 1.4 KG</t>
  </si>
  <si>
    <t>PASA MORENA VALLEALTO BOLSA X250G</t>
  </si>
  <si>
    <t>RON ESPECIADO KRAKEN BOT 750 ML</t>
  </si>
  <si>
    <t>TEQUILA 1800 CRISTALINO BOT 700 ML</t>
  </si>
  <si>
    <t>UTHIL BOLSAS ZIPP MEDIANA X 35UND</t>
  </si>
  <si>
    <t>UTHIL BOLSAS ZIPP GRANDE X 25UND</t>
  </si>
  <si>
    <t>UTHIL BOLSAS ZIPP CHICA CAJA BIO X 60UND</t>
  </si>
  <si>
    <t>UTHIL BOLSA ZIPP CHICA BIO 50UND</t>
  </si>
  <si>
    <t>PASTA CACAO CRIOLLO ORG ECOANDINO 100GR</t>
  </si>
  <si>
    <t>HILO DENTAL REACH MENTAX100ML J&amp;J</t>
  </si>
  <si>
    <t>RT ESPONJA 2PK MIRACLE COMPLEXION</t>
  </si>
  <si>
    <t>RT ESPONJA COMPLEXION+CASE</t>
  </si>
  <si>
    <t>RT ESPONJA 4PK MINIS MIR COMPLEXION</t>
  </si>
  <si>
    <t>CHOCOLATE M&amp;M'S CASITA NAVIDAD X88G</t>
  </si>
  <si>
    <t>VINO CICCHITTI CHARDONNAY 750ML</t>
  </si>
  <si>
    <t>VINO LORCA FANTASIA CABERNET FRANC 750ML</t>
  </si>
  <si>
    <t>VINO FRESCHELLO TINTO SEMI SWEET 750ML</t>
  </si>
  <si>
    <t>CAJITA NAVIDAD M&amp;M'S Y SNICKERS 102G</t>
  </si>
  <si>
    <t>GINGER BEER SAN PELLEGRINO 4 UN X 200ML</t>
  </si>
  <si>
    <t>PREMEZCLA MIX BROWNIE DYFFERENT 430G</t>
  </si>
  <si>
    <t>PREMEZCLA MIX WAFFLE DYFFERENT 540G</t>
  </si>
  <si>
    <t>PREMEZCLA MIX CHIPS COOKIE DYFERENT 450G</t>
  </si>
  <si>
    <t>BEBIDA ORG.SCOTTI 1L, ARROZ Y COCO</t>
  </si>
  <si>
    <t>TINTE PALETTE ICC 6-1 RUBIO OSCURO CENIZ</t>
  </si>
  <si>
    <t>TINTE PALETTE ICC 5-63 CASTAÑO AVELLANA</t>
  </si>
  <si>
    <t>JF FE DREAM CURLS CREME OIL 90G</t>
  </si>
  <si>
    <t>JF HIGHLIGHT ACTIVAT CONDITIONER250ML</t>
  </si>
  <si>
    <t>SAL PARRILLERA 750 GR CUISINE &amp; CO</t>
  </si>
  <si>
    <t>QVS SPONGE FOUNDATION 2PK</t>
  </si>
  <si>
    <t>QVS SPONGE PROFESSIONAL FOUNDATION</t>
  </si>
  <si>
    <t>VINO FRESCHELLO ROSE BLEND 750ML</t>
  </si>
  <si>
    <t>QVS SPONGE HOURGLASS BLENDING</t>
  </si>
  <si>
    <t>QVS SPONGE FRENCH PASTEL BABY B3PK</t>
  </si>
  <si>
    <t>QVS SPONGE MAKEUP 20PK</t>
  </si>
  <si>
    <t>QVS SPONGE COMPLEXION CARE SET 16PK</t>
  </si>
  <si>
    <t>QVS EYELASH CURLER</t>
  </si>
  <si>
    <t>QVS MIRROR CLOSE-UP 10X</t>
  </si>
  <si>
    <t>QVS MIRROR BATHROOM SHAVING 1X &amp; 5X</t>
  </si>
  <si>
    <t>QVS TWEEZER SLANT TIP</t>
  </si>
  <si>
    <t>QVS TWEEZER 3PK MINI TRIO PASTEL</t>
  </si>
  <si>
    <t>QVS TWEEZER SLANT TIP SCISSOR</t>
  </si>
  <si>
    <t>QVS TWEEZER DUO PASTELS</t>
  </si>
  <si>
    <t>QVS NAIL CLIPPERS - CURVED BLADE</t>
  </si>
  <si>
    <t>QVS TOENAIL CLIPPERS - CURVED BLADE</t>
  </si>
  <si>
    <t>QVS TOENAIL NIPPERS</t>
  </si>
  <si>
    <t>QVS KIT ESSENTIAL GROOMING</t>
  </si>
  <si>
    <t>QVS KIT BABY NAIL GROOMING</t>
  </si>
  <si>
    <t>VINO FRESCHELLO BLANCO SEMI SWEET 750ML</t>
  </si>
  <si>
    <t>ESPUMANTE TOSTI PROSECCO 750ML</t>
  </si>
  <si>
    <t>QVS CUTICLE SCISSORS - CURVED BLADES</t>
  </si>
  <si>
    <t>QVS CUTICLE GROOMER</t>
  </si>
  <si>
    <t>QVS 10 EMERY BOARDS 10PK</t>
  </si>
  <si>
    <t>QVS NAIL SHAPERS 2PK</t>
  </si>
  <si>
    <t>QVS FILE COMPACT SAPPHIRE</t>
  </si>
  <si>
    <t>QVS FILE 4 STEP BUFFING BLOCK</t>
  </si>
  <si>
    <t>QVS PEDICURE FILE CERAMIC STONE</t>
  </si>
  <si>
    <t>QVS PEDICURE KIT NAIL TECHNICIAN</t>
  </si>
  <si>
    <t>QVS SPONGE 2PK FACIAL CLEAN</t>
  </si>
  <si>
    <t>QVS BLACKHEAD REMOVER</t>
  </si>
  <si>
    <t>QVS FACIAL RAZORS 2PK</t>
  </si>
  <si>
    <t>DW SIGNATURE BODY WASH 280ML</t>
  </si>
  <si>
    <t>DW SIGNATURE BODY SCRUB 250ML</t>
  </si>
  <si>
    <t>DW SIGNATURE HAND CREAM 100ML</t>
  </si>
  <si>
    <t>DW SIGNATURE FOOT SCRUB 125ML</t>
  </si>
  <si>
    <t>DW TROPIC BODY WASH 280ML</t>
  </si>
  <si>
    <t>DW TROPIC SUGAR SCRUB 250G</t>
  </si>
  <si>
    <t>DW ABSOFRUITY SUGAR SCRUB 400ML</t>
  </si>
  <si>
    <t>CAJITA MINI SAPITO NAVIDAD X55G ARCOR</t>
  </si>
  <si>
    <t>DISPLAY NAVIDAD OSITOS BOB X75G ARCOR</t>
  </si>
  <si>
    <t>ESTRELLA 3D NIKOLO X73G ARCOR</t>
  </si>
  <si>
    <t>PAPA NOEL NAVIDAD CARAMELOS X110G ARCOR</t>
  </si>
  <si>
    <t>MARSHMALLOWS FINI CAMPING X250G</t>
  </si>
  <si>
    <t>CHOCOLATE SANTA CLAUS JACQUOT 100G</t>
  </si>
  <si>
    <t>NET CHOCOLATE CRISPY XMAS JACQUOT 160 G</t>
  </si>
  <si>
    <t>NET CHOCOLATE PRALINE XMAS  JACQUOT 160G</t>
  </si>
  <si>
    <t>PACK FLOR DE CAÑA 12 AÑOS 700 ML+375 ML</t>
  </si>
  <si>
    <t>PACK JAGERMEISTER BOT 700 ML+2 BOT 40 ML</t>
  </si>
  <si>
    <t>MASCARILLA PANDA SACHET X10GR</t>
  </si>
  <si>
    <t>MASCARILLA TIGRE SACHET X10GR</t>
  </si>
  <si>
    <t>TIRAS PUNTOS NEGROS NARIZ SACHET X3UN</t>
  </si>
  <si>
    <t>TIRAS PUNT. NEGROS ZONA T SACHET X3UN</t>
  </si>
  <si>
    <t>MASCAR BARRO Y ARANDANO SACHET X10GR</t>
  </si>
  <si>
    <t>MASCARILLA ARCILLA Y PALTA SACH X10GR</t>
  </si>
  <si>
    <t>MASCARILLA PURIFIC. CUARZO SACH X10GR</t>
  </si>
  <si>
    <t>MASC MINIMIZA PORO DIAMANTE SACH 10GR</t>
  </si>
  <si>
    <t>MASCARILLA 24HR HIDRAT ACAI SACH X13GR</t>
  </si>
  <si>
    <t>MASC 24H HIDRAT ANTICONTAMI SACH X13GR</t>
  </si>
  <si>
    <t>MASCARILLA SUAVIZATE MANOS SACHX10GR</t>
  </si>
  <si>
    <t>MASCARILLA SUAVIZATE PIES SACH X10GR</t>
  </si>
  <si>
    <t>TRIPACK NAVIDEÑO CASA VERDE 590GR</t>
  </si>
  <si>
    <t>JF HIGHLIGHT ACTIVAT SHAMPOO250ML</t>
  </si>
  <si>
    <t>PURÉ MANZANA EXÓTICO CASA VERDE 425GR</t>
  </si>
  <si>
    <t>BARRA PROTEICA NAMPI X4UND MIX</t>
  </si>
  <si>
    <t>BOMBONES GOURMET COLLECT CAFFAREL X160G</t>
  </si>
  <si>
    <t>BOMBONES NOCCIOLOTTA CAFFAREL X160G</t>
  </si>
  <si>
    <t>BOMBONES CREMINO CAFFAREL X160G</t>
  </si>
  <si>
    <t>BOMBONES SIGNAT COLLECT CAFFAREL X160G</t>
  </si>
  <si>
    <t>BOMBONES PIEMONTE CAFFAREL X160G</t>
  </si>
  <si>
    <t>MANTEQ MANI CRUNCHY E VERYDAY X454GR</t>
  </si>
  <si>
    <t>SHAMPOO ELVIVE HIDRA HIALURONICO 680ML</t>
  </si>
  <si>
    <t>BOMBONES ITALIAN SELECT CAFFAREL X160G</t>
  </si>
  <si>
    <t>BOMBONES ITALIAN SEL DARK CAFFAREL X160G</t>
  </si>
  <si>
    <t>PANETTONE GOLOSONE TIRAMISU 750G MAINA</t>
  </si>
  <si>
    <t>PANDORO GOLOSONE PISTACCHIO 750G MAINA</t>
  </si>
  <si>
    <t>100X ALCOHOL MEDICINAL 70° FRASCO 1 LT</t>
  </si>
  <si>
    <t>SOGA LILA PARA PERROS</t>
  </si>
  <si>
    <t>JUGUETE PARA GATOS (CATNIP RATON)</t>
  </si>
  <si>
    <t>PELOTITAS CON CASCABEL PARA GATOS</t>
  </si>
  <si>
    <t>JUGUETE DE SOGA HUESO MASCOTAS</t>
  </si>
  <si>
    <t>JUGUETE DE SOGA PARA PERROS VERDE</t>
  </si>
  <si>
    <t>JUGUETE DE SOGA CON HUESO DE PLASTICO</t>
  </si>
  <si>
    <t>PELOTA DE COLORES PARA MASCOTAS</t>
  </si>
  <si>
    <t>BOLSAS Y SURTIDOR DE LIMPIEZA MASCOTAS</t>
  </si>
  <si>
    <t>COLLAR PARA PERRO TALLA M MEDIDAS 2X45</t>
  </si>
  <si>
    <t>CORREA PARA PERRO TALLA M MEDIDA 1.9X120</t>
  </si>
  <si>
    <t>ARNES PARA PERRO, TALLA M</t>
  </si>
  <si>
    <t>ARNES PARA PERRO, TALLA S</t>
  </si>
  <si>
    <t>CORREA PARA PERRO TALLA S MEDIDA 1.6X120</t>
  </si>
  <si>
    <t>COLLAR PARA PERRO TALLA S MEDIDAS 1.5X40</t>
  </si>
  <si>
    <t>JUGUETE RATON DE COLORES</t>
  </si>
  <si>
    <t>ARNES PARA PERRO, TALLA L</t>
  </si>
  <si>
    <t>CEPILLO PARA MASCOTAS</t>
  </si>
  <si>
    <t>COLLAR PARA GATO, TALLA STANDAR</t>
  </si>
  <si>
    <t>CORREA RETRACTIL PET CARE</t>
  </si>
  <si>
    <t>CORREA RETRACTIL PET CARE FLORES</t>
  </si>
  <si>
    <t>GUANTE MASAJEADOR PARA PERROS AMARILLO</t>
  </si>
  <si>
    <t>JUGUETE DE SOGA HUESO CACHORROS</t>
  </si>
  <si>
    <t>JUGUETE LEON CON SOGA PARA MASCOTAS</t>
  </si>
  <si>
    <t>JUGUETE PARA GATOS (CATNIP BUHO)</t>
  </si>
  <si>
    <t>JUGUETE PARA GATOS (CATNIP PALITO)</t>
  </si>
  <si>
    <t>NOODLES KONJAC ZEROCARBO</t>
  </si>
  <si>
    <t>MEZCLA HELADO STEVIA S/GLUT FRESA X50G</t>
  </si>
  <si>
    <t>MEZCLA HELADO C/STEV S/GLUT CHOCO X50G</t>
  </si>
  <si>
    <t>JUGUETE RATON DE COLORES CON PLUMAS</t>
  </si>
  <si>
    <t>PELOTITAS DE COLORES PARA GATOS</t>
  </si>
  <si>
    <t>SHAMPOO OGX ARGAN OIL MOROCCO 385ML</t>
  </si>
  <si>
    <t>AC OGX ARGAN OIL MOROCCO 385ML</t>
  </si>
  <si>
    <t>SHAMPOOO OGX COCONUT MILK 385ML</t>
  </si>
  <si>
    <t>TEQUILA MARIACHI BOT 1L</t>
  </si>
  <si>
    <t>MEZCL HELADO C/STEV S/GLU VAINILLA  X50G</t>
  </si>
  <si>
    <t>MIEL DE ABEJA CALL HUAYLASX1100GR</t>
  </si>
  <si>
    <t>PIÑAS EN RODAJAS BEST FOOD X 565 GR</t>
  </si>
  <si>
    <t>ACONDICIONADOR OGX COCONUT MILK 385ML</t>
  </si>
  <si>
    <t>CERVEZA MAHOU BOT 330ML</t>
  </si>
  <si>
    <t>QUITAMANCHAS VANISH DP 1.8ML, BLANCO</t>
  </si>
  <si>
    <t>QUITAMANCHAS VANISH DP 1.8ML,ROSA</t>
  </si>
  <si>
    <t>PACK 4 RTDS FREIXENET LATA 250ML C/U</t>
  </si>
  <si>
    <t>CAFE TOSTADO Y MOLIDO JACOBS 500G</t>
  </si>
  <si>
    <t>AGUA ANDEA X4 UNID CON GAS VIDRIO 330 ML</t>
  </si>
  <si>
    <t>CERV SIERRA ANDINA 330, MAMA KILLA</t>
  </si>
  <si>
    <t>CHILCANO TABERNERO PACK 4 LATAS 310 ML</t>
  </si>
  <si>
    <t>LICOR DE CREMA LUCUMA TABERNERO 750 ML</t>
  </si>
  <si>
    <t>WHISKY CHIVAS REGAL 13 AÑOS 1 L</t>
  </si>
  <si>
    <t>DURAZNO EN MITADES A1 X820GR</t>
  </si>
  <si>
    <t>CREMA DE COCO GO BARMAN 350 GR</t>
  </si>
  <si>
    <t>BOTANICOS ALL SPIRITS GO BARMAN 15GR</t>
  </si>
  <si>
    <t>ACEITE DE COCO ORGANICO MCTX473ML NUTIVA</t>
  </si>
  <si>
    <t>ACEITE DE PALTA X 250ML LA TOURANGELLE</t>
  </si>
  <si>
    <t>ACEITE SEMILLA UVA X500ML LA TOURANGELLE</t>
  </si>
  <si>
    <t>VODKA RUSSKAYA GREEN APPLE 750ML</t>
  </si>
  <si>
    <t>VODKA RUSSKAYA YELLOW 750ML</t>
  </si>
  <si>
    <t>RTD WILD RUSSKAYA XTREME APPLETINI 355ML</t>
  </si>
  <si>
    <t>CIGARRILLOS LUCKY ENERGY X 10U</t>
  </si>
  <si>
    <t>CIGARRILLOS LUCKY ENERGY X 20U</t>
  </si>
  <si>
    <t>AGUA MINERAL EVIAN X 1.5 LT</t>
  </si>
  <si>
    <t>CREMA DE ALMENDRA 410 GR CUISINE&amp;CO</t>
  </si>
  <si>
    <t>PEDIASURE TRIPLESURE CHOCOLATE X 1.6KG</t>
  </si>
  <si>
    <t>INFUSION LA FIDELIA ATADO CAMELLIA X15UN</t>
  </si>
  <si>
    <t>CHAMPAGNE MOET &amp; CHANDON BRUT IMP 200ML</t>
  </si>
  <si>
    <t>SHAMPOO OGX KERATIN OIL 385ML</t>
  </si>
  <si>
    <t>ACONDICIONADOR KERATIN OIL 385ML</t>
  </si>
  <si>
    <t>WHISKY CHIVAS REGAL 13AÑOS BOURBON 700ML</t>
  </si>
  <si>
    <t>GIN BEEFEATER BLOOD ORANGE BOT 700 ML</t>
  </si>
  <si>
    <t>GIN SEAGRAMS EXTRA DRY BOT 750 ML</t>
  </si>
  <si>
    <t>WAFEL DUTCH CARAM&amp;VAINI RIP VAN X1.16OZ</t>
  </si>
  <si>
    <t>WAFEL CHOC BROWNIE RIP VAN X1.16OZ</t>
  </si>
  <si>
    <t>WAFEL HONEY&amp;OATS RIP VAN X1.16OZ</t>
  </si>
  <si>
    <t>WAFEL SNICKERDOODLE RIP VAN X1.16OZ</t>
  </si>
  <si>
    <t>MAGNESOL DISPLAY X 33 SOB. X 2G</t>
  </si>
  <si>
    <t>MAGNESOL EFERV. NARANJA X 33 SOB. X 5G</t>
  </si>
  <si>
    <t>MAGNESOL EFERV. LIMON X 33 SOB. X 5G</t>
  </si>
  <si>
    <t>GLUCERNA FIT 330ML</t>
  </si>
  <si>
    <t>HASK DRY SHAMPOO SECO CHARCOAL 122 GR</t>
  </si>
  <si>
    <t>PISTACHOS WONDERFUL TOSTADOS X454G</t>
  </si>
  <si>
    <t>RTD A MIL PONCHE DE FRUTAS X 473ML</t>
  </si>
  <si>
    <t>RTD A MIL GUARANA X 473ML</t>
  </si>
  <si>
    <t>RTD A MIL MARACUYA X 473ML</t>
  </si>
  <si>
    <t>DESENGRASANTE PROFESIONAL X 1GL ALESSI</t>
  </si>
  <si>
    <t>COPA BEEFEATER BLOOD ORANGE</t>
  </si>
  <si>
    <t>BOMBONES CORAZON AVELLANA TANA X200G</t>
  </si>
  <si>
    <t>NATURE'S HEART ARANDANO DELEITE X250G</t>
  </si>
  <si>
    <t>PIMIENTA NEGRA 50G MOL CARMENCITA</t>
  </si>
  <si>
    <t>NATURE'S HEART LOW CARB X200G</t>
  </si>
  <si>
    <t>NATURE'S HEART FIBRA X200G</t>
  </si>
  <si>
    <t>NATURE'S HEART PROTEINA X250G</t>
  </si>
  <si>
    <t>NATURE'S HEART ENERGIA X200G</t>
  </si>
  <si>
    <t>NATURE'S HEART FUSION ANDINA X90G</t>
  </si>
  <si>
    <t>NATURE'S HEART FUSION ANDINA X200G</t>
  </si>
  <si>
    <t>AKTIVE TAPE VENDA ADHES ALGODÓN AZUL</t>
  </si>
  <si>
    <t>AKTIVE TAPE VENDA ADHES ALGODÓN ROSAD</t>
  </si>
  <si>
    <t>MAZAMORRA PIÑA 150GR UNIVERSAL</t>
  </si>
  <si>
    <t>AKTIVE TAPE VENDA ADHES ALGODÓN NEGRO</t>
  </si>
  <si>
    <t>GALLETA CACAO RELL MANI LA PURITA X200G</t>
  </si>
  <si>
    <t>GALLETA VANILL RELL MANI LA PURITA X200G</t>
  </si>
  <si>
    <t>GALL CACAO/VAI RELL MANI LA PURITA X200G</t>
  </si>
  <si>
    <t>GALLETA AVENA CACAO LA PURITA X130G</t>
  </si>
  <si>
    <t>GALLETA AVENA ALMEN LA PURITA X130G</t>
  </si>
  <si>
    <t>GALLETA AVENA MIX LA PURITA X130G</t>
  </si>
  <si>
    <t>GALLETA CACAO RELL MANI LA PURITA X210G</t>
  </si>
  <si>
    <t>GALLETA VANI RELL MANI LA PURITA X210G</t>
  </si>
  <si>
    <t>GALL CAC/VANI RELL MANI LA PURITA X210G</t>
  </si>
  <si>
    <t>GALLETA AVENA CACAO LA PURITA X210G</t>
  </si>
  <si>
    <t>GALLETA AVENA ALMEN LA PURITA X210G</t>
  </si>
  <si>
    <t>SALSA FRENCH'S KETCHUP 567 G</t>
  </si>
  <si>
    <t>SALSA FRENCH'S MOSTAZA 226 G</t>
  </si>
  <si>
    <t>CAFE MOLIDO ORGANICO IYARI X 250GR</t>
  </si>
  <si>
    <t>HARINA 00 SUPERIOR 1 KG- 5 ESTACIONES</t>
  </si>
  <si>
    <t>FILM PLASTICO WRAP EVERYDAY CHEF 200 SQ</t>
  </si>
  <si>
    <t>VEET BANDAS AXILAS Y BKIN X16 UN</t>
  </si>
  <si>
    <t>DEO SACHET ACLARADO FEM NIVEA 18UND X9G</t>
  </si>
  <si>
    <t>SUN SACHET NIVEA KIDS SPF50 18 UN X9G</t>
  </si>
  <si>
    <t>SUN SACHET NIVEA SPF50 18UND X9G</t>
  </si>
  <si>
    <t>TIO NACHO ALOE SH FR1LT</t>
  </si>
  <si>
    <t>TIO NACHO SH COCO 1 LITRO</t>
  </si>
  <si>
    <t>TIO NACHO SH ANTI EDAD 1 LITRO</t>
  </si>
  <si>
    <t>GIN BOMBAY SAPPHIRE BOT 1.75 L</t>
  </si>
  <si>
    <t>VERMOUTH MARTINI RISERVA S. RUBINO 750ML</t>
  </si>
  <si>
    <t>VERMOUTH MARTINI RISERVA S. BITTER 750ML</t>
  </si>
  <si>
    <t>CAJA CORAZÓN MARS X 111.5G</t>
  </si>
  <si>
    <t>BOX TAPA CORAZÓN M&amp;M'S X123.6G</t>
  </si>
  <si>
    <t>CAJA CORAZÓN NIKOLO BOMBÓN</t>
  </si>
  <si>
    <t>LATA CORAZON BON O BON X 135G</t>
  </si>
  <si>
    <t>BAÑOS HARPIC POWER ULTRA 750ML,ORIGINAL</t>
  </si>
  <si>
    <t>BAÑOS HARPIC POWER ULTRA 750ML,DESINFEC</t>
  </si>
  <si>
    <t>DEPILE CERA OLLA CALÉNDULA/ORQUÍD X200GR</t>
  </si>
  <si>
    <t>DEPILE CERA OLLA VAINILLA X200GR</t>
  </si>
  <si>
    <t>VINO SANTA EMA CLASSIC CAB SAUV 750ML</t>
  </si>
  <si>
    <t>ALFAJORES BAÑADOS EN CHOCOLATE TANA 150G</t>
  </si>
  <si>
    <t>CHOCOLATE BELGIAN MILK RDCD SUGAR X95G</t>
  </si>
  <si>
    <t>GIN HENDRICKS 1 L</t>
  </si>
  <si>
    <t>ACEITE DE COCO ORGANICO CUISINE&amp;CO 350ML</t>
  </si>
  <si>
    <t>3M MASCARILLA  N95 AURA 9205 PACK X3</t>
  </si>
  <si>
    <t>3M MASCARILLA KN95 GRIFFIN 9513</t>
  </si>
  <si>
    <t>CHOCO BOLITAS CUISINE&amp;CO BOLX100G</t>
  </si>
  <si>
    <t>GRAGEAS MULTICOLORES CUISINE&amp;CO BOLX100G</t>
  </si>
  <si>
    <t>PACIFIC FOODS BEBIDA DE SOYA S/A X 946ML</t>
  </si>
  <si>
    <t>PACIFIC FOODS BEBIDA DE COCO S/A X 946ML</t>
  </si>
  <si>
    <t>BOB'S RED MILL LEVADURA NUTRICIONAL 142G</t>
  </si>
  <si>
    <t>MUSTELA SHAMPOO RECIÉN NACIDO 150ML</t>
  </si>
  <si>
    <t>MUSTELA SHAMPOO SUAVE 500ML</t>
  </si>
  <si>
    <t>MUSTELA ACEITE PARA MASAJE 100ML</t>
  </si>
  <si>
    <t>MUSTELA TOALLITAS LIMPIADORAS 70 UNID</t>
  </si>
  <si>
    <t>MUSTELA STELATOPIA CREMA EMOLIENTE 200ML</t>
  </si>
  <si>
    <t>MUSTELA STELATOPIA ACEITE LAVANTE 500 ML</t>
  </si>
  <si>
    <t>MUSTELA PROTECTOR SOLAR SPF 50+ 40 ML</t>
  </si>
  <si>
    <t>MUSTELA PROTECTOR SOLAR SPF 50+ 100 ML</t>
  </si>
  <si>
    <t>MOSTAZA B&amp;D DOYPACK 200G</t>
  </si>
  <si>
    <t>KETCHUP B&amp;D DOYPACK 200G</t>
  </si>
  <si>
    <t>MOSTAZA B&amp;D DOYPACK 425G</t>
  </si>
  <si>
    <t>KETCHUP B&amp;D DOYPACK 425G</t>
  </si>
  <si>
    <t>ACEITE BB 100ML DR.ZAIDMAN ALOE Y VIT E</t>
  </si>
  <si>
    <t>BABY SHAMPOO MANZANILLA 750ML DR ZAIDMAN</t>
  </si>
  <si>
    <t>BABY SHAMPOO ORIGINAL 750ML ZAIDMAN</t>
  </si>
  <si>
    <t>BABY SHAMPOO ORIGINAL 100ML ZAIDMAN</t>
  </si>
  <si>
    <t>BABY SHAMPOO ORIGINAL 400ML DR.ZAIDMAN</t>
  </si>
  <si>
    <t>SHAMPOO DR ZAIDMAN PRIME DIAS 200ML</t>
  </si>
  <si>
    <t>COLONIA BEBE EXTRA SUAV100ML DR.ZAIDMAN</t>
  </si>
  <si>
    <t>SHAMPOO DR ZAIDMAN PRIME DIAS 100ML</t>
  </si>
  <si>
    <t>SHAMPOO BABY DR.ZAIDMAN MANZANILLA 100ML</t>
  </si>
  <si>
    <t>HARINA DE AVENA INTEGRAL MARIMIEL X 300G</t>
  </si>
  <si>
    <t>HARINA TODO USO AMERICA ORGANICA X454 G</t>
  </si>
  <si>
    <t>SHAMPOO MANZANILLA 400ML DR. ZAIDMAN</t>
  </si>
  <si>
    <t>SHAMPOO BABY PRIME DIAS DR ZAIDMAN 400ML</t>
  </si>
  <si>
    <t>VODKA SKYY X 1LT</t>
  </si>
  <si>
    <t>SKYY INFUSIONS PINEAPPLE 750 ML</t>
  </si>
  <si>
    <t>MISTELA DEL MAR BOT 750ML</t>
  </si>
  <si>
    <t>CERVEZA PAULANER MUNCHNER HELL BOTX500ML</t>
  </si>
  <si>
    <t>RTD CHILCANO DE LIMON PORTON LAT 355ML</t>
  </si>
  <si>
    <t>RTD CHILCANO DE MARACUYA PORTON LAT355ML</t>
  </si>
  <si>
    <t>PAÑAL BAMBO NATURE TALLA 1(RN) PQT 22 UN</t>
  </si>
  <si>
    <t>PAÑAL BAMBO NATURE TALLA 2(P) PQT 30 UN</t>
  </si>
  <si>
    <t>PAÑAL BAMBO NATURE TALLA 3(M) PQT52 UN</t>
  </si>
  <si>
    <t>PAÑAL BAMBO NATURE TALLA 4(G) PQT48 UN</t>
  </si>
  <si>
    <t>PAÑAL BAMBO NATURE TALLA 5(XG) PQT 44 UN</t>
  </si>
  <si>
    <t>PAÑAL BAMBO NATURE TALLA 6(XXG) PQT40 UN</t>
  </si>
  <si>
    <t>PANTS BAMBO NATURE TALLA 5(XG) PQT19 UN</t>
  </si>
  <si>
    <t>PANTS BAMBO NATURE TALA 6(XXG) PQT18 U</t>
  </si>
  <si>
    <t>BAMBO DREAMY NIÑO M(4-7 AÑS/15-35K)PQT10</t>
  </si>
  <si>
    <t>BAMBO DREAMY NIÑA M(4-7 AÑS/15-35K)PQT10</t>
  </si>
  <si>
    <t>VICK PRIMERA DEFENSA 15ML</t>
  </si>
  <si>
    <t>NIVEA BODY MILK NUTRITIVA 1 LITRO</t>
  </si>
  <si>
    <t>CREMA NIVEA BODY OLIVE 400ML</t>
  </si>
  <si>
    <t>BEBIDA ALMENDRA NATURES HEART 2X 946ML</t>
  </si>
  <si>
    <t>BALLERINA JABON YOGURT ARANDANOS DP750ML</t>
  </si>
  <si>
    <t>MACARRONES KONJAC ZEROCARBO</t>
  </si>
  <si>
    <t>ARROZ CAÑIHUA Y CHIA X500G HUELLA VERDE</t>
  </si>
  <si>
    <t>BALLERINA JABON MANZANA MIEL DP750ML</t>
  </si>
  <si>
    <t>VINO QUEIROLO MAGDALENA CAJA 4LT</t>
  </si>
  <si>
    <t>VINO QUEIROLO ROSE CAJA 4LT</t>
  </si>
  <si>
    <t>DUREX GEL LUB. NATURALS H2O 100ML</t>
  </si>
  <si>
    <t>GEL DE BAÑO COCO X 1250 ML</t>
  </si>
  <si>
    <t>BASE DE MAQUILLAJE CLEAN FRESH FAIR CV</t>
  </si>
  <si>
    <t>BASE DE MAQUILLAJE CLEAN FRESH LIGHT CV</t>
  </si>
  <si>
    <t xml:space="preserve"> BASE DE MAQUILLAJE CLEAN FRESH MED CV</t>
  </si>
  <si>
    <t xml:space="preserve"> BASE DE MAQUILLAJE CLEAN FRESH TAN</t>
  </si>
  <si>
    <t xml:space="preserve"> BASE DE MAQUILLAJE CLEAN FRESH TAN CV</t>
  </si>
  <si>
    <t>BASE DE MAQUILLAJE CF TAN RICH CV</t>
  </si>
  <si>
    <t xml:space="preserve"> CORRECTORES CLEAN FRESH MEDIUM CV</t>
  </si>
  <si>
    <t xml:space="preserve"> CORRECTORES CLEAN FRESH LIGHT CV</t>
  </si>
  <si>
    <t xml:space="preserve"> CORRECTORES CLEAN FRESH LIGHT MEDIUM CV</t>
  </si>
  <si>
    <t xml:space="preserve"> POLVOS COMPACTOS CLEAN FRESH LIGHT CV</t>
  </si>
  <si>
    <t xml:space="preserve"> POLVOS COMPACTOS CLEAN FRESH TAN CV</t>
  </si>
  <si>
    <t>POLVOS COMPACTOS CLEAN FRESH FAIR CV</t>
  </si>
  <si>
    <t>VINO 19 CRIMES CHARDONNAY 750ML</t>
  </si>
  <si>
    <t>ESPUMANTE FILIPETTI MOSCATO 750ML</t>
  </si>
  <si>
    <t xml:space="preserve"> POLVOS COMPACTOS CLEAN FRESH MEDIUM CV</t>
  </si>
  <si>
    <t>INFUSION MIX 5 SABOR X20UN NATURES HEART</t>
  </si>
  <si>
    <t>CAJA CONEJO BACI X75G</t>
  </si>
  <si>
    <t>CREMA RIZOS OGX ARGAN OIL MOROCCO 177ML</t>
  </si>
  <si>
    <t>SHAMPOO OGX PRACAXI OIL 385ML</t>
  </si>
  <si>
    <t>ACONDICIONADOR OGX PRACAXI OIL 385ML</t>
  </si>
  <si>
    <t>SHAMPOO OGX COCONUT MIRACLE OIL 385ML</t>
  </si>
  <si>
    <t>AC OGX COCONUT MIRACLE OIL 385ML</t>
  </si>
  <si>
    <t>ACEITE OGX COCONUT MIRACLE 100ML</t>
  </si>
  <si>
    <t>CIGARRILLOS L&amp;M ELECTRO FUSION 10UND</t>
  </si>
  <si>
    <t>VINO GARZON RSVA ALBARIÑO 750ML</t>
  </si>
  <si>
    <t>NTG LUMEN BRIGHT BOOST 6X50G</t>
  </si>
  <si>
    <t>NTG LUMEN BRIGHT BOOST SPF 6X40G</t>
  </si>
  <si>
    <t>PURE DE TOMATE GOURMET117 X 680G</t>
  </si>
  <si>
    <t>MAIZ DULCE EN GRANOS VISCIANO X 340G</t>
  </si>
  <si>
    <t>SALSA BOLOÑESA REGGIA X 350G</t>
  </si>
  <si>
    <t>SALSA AL PESTO REGGIA X 190G</t>
  </si>
  <si>
    <t>CUP NOODLES NISSIN VERDURAS X 67G</t>
  </si>
  <si>
    <t>CUP NOODLES NISSIN POLLO X 69G</t>
  </si>
  <si>
    <t>CUP NOODLES NISSIN POLLO PICANTE X 68G</t>
  </si>
  <si>
    <t>CUP NOODLES NISSIN FRUTOS DEL MAR X 65G</t>
  </si>
  <si>
    <t>CUP NOODLES NISSIN CARNE X 68G</t>
  </si>
  <si>
    <t>NISSIN RAMEN SABOR A VERDURAS X 85 GR</t>
  </si>
  <si>
    <t>NABO ENCURTIDO PREMIUM HUERTO MEJIA 220G</t>
  </si>
  <si>
    <t>DIP DE HUMMUS CON AJO CASA VERDE 240G</t>
  </si>
  <si>
    <t>FREJOLES LISTOS P/COMER CASA VERDE 750G</t>
  </si>
  <si>
    <t>LENTEJAS LISTAS P/COMER CASA VERDE 750G</t>
  </si>
  <si>
    <t>QUINUA BICOLOR LISTA P/C CASA VERDE 375G</t>
  </si>
  <si>
    <t>HERBAL TEA BIGELOW X18 SOB LEMON GINGER</t>
  </si>
  <si>
    <t>HERBAL TEA BIGELOW X18 SOB BLACKBERRY</t>
  </si>
  <si>
    <t>HERBAL TEA BIGELOW X18 SOB ROSE &amp; MINT</t>
  </si>
  <si>
    <t>HERBAL TEA BIGELOW X18 SOB CITRUS &amp; OOL</t>
  </si>
  <si>
    <t>HERBAL TEA BIGELOW X20 SOB WILD BLUEBER</t>
  </si>
  <si>
    <t>AC OLIVA XV BOT 1LT+ BOT 200ML EL OLIVAR</t>
  </si>
  <si>
    <t>PACK JOHNNIE WALKER BLACK LABEL+4PERKINS</t>
  </si>
  <si>
    <t>MUSTELA CREMA PARA ESTRÍAS 150 ML</t>
  </si>
  <si>
    <t>MUSTELA CREMA PARA ESTRÍAS 150 ML FF</t>
  </si>
  <si>
    <t>MUSTELA CREMA PARA ESTRÍAS 250 ML</t>
  </si>
  <si>
    <t>MUSTELA ACEITE PARA ESTRÍAS 105 ML</t>
  </si>
  <si>
    <t>MUSTELA BÁLSAMO DE LACTANCIA 30 ML</t>
  </si>
  <si>
    <t>MUSTELA GEL DE BAÑO SUAVE 500 ML</t>
  </si>
  <si>
    <t>MASC PESTAÑAS SKY HIGH WTP BLACK MYB</t>
  </si>
  <si>
    <t>MASC PESTAÑAS SKY HIGH WSH BLACK MYB</t>
  </si>
  <si>
    <t>COLAS DE LANGOSTINOS NATURAL FISH 120G</t>
  </si>
  <si>
    <t>TROZOS DE BONITO NATURAL FISH 120G</t>
  </si>
  <si>
    <t>ARROZ KIWICHA Y LINAZA X500G HUELLA VERD</t>
  </si>
  <si>
    <t>TACOS AHUMADOS DE POTA NATURAL FISH 120G</t>
  </si>
  <si>
    <t>DESMENUZADO DE BONITO NATURAL FISH 170G</t>
  </si>
  <si>
    <t>MAYO ARVEJAS ORGÁNICAS EGGLESS X 352G</t>
  </si>
  <si>
    <t>KETCHUP ORIGINAL HARMLESS X 390G</t>
  </si>
  <si>
    <t>JAB.LIQ.P/BEBES GLICERIX300 DR.ZAIDMAN</t>
  </si>
  <si>
    <t>PACK ESPUMANTE MARTINI ASTI+COPA</t>
  </si>
  <si>
    <t>VINO FRESCOBALDI CASTELLO DIPOMINO 750ML</t>
  </si>
  <si>
    <t>VINO SANTA MARGHERITA PINOT GRIGIO750ML</t>
  </si>
  <si>
    <t>VINO ATTEMS PINOT GRIGIO RAMATO 750ML</t>
  </si>
  <si>
    <t>VINO MARQUES DE MURRIETA PRIMER 750ML</t>
  </si>
  <si>
    <t>VINO PINTIA 750ML</t>
  </si>
  <si>
    <t>VINO VEGA SICILIA UNICO 750ML</t>
  </si>
  <si>
    <t>VINO VIÑA TONDONIA TINTO RESERVA 750ML</t>
  </si>
  <si>
    <t>VINO VEGA SICILIA VALBUENA 5 750ML</t>
  </si>
  <si>
    <t>RTD CARTAVIO HIT CUBA LIBRE LATA 355 ML</t>
  </si>
  <si>
    <t>RTD CARTAVIO HIT MOJITO LATA 355 ML</t>
  </si>
  <si>
    <t>RTD RUSSKAYA WILD SEX ON THE B LAT 355ML</t>
  </si>
  <si>
    <t>RTD RUSSKAYA WILD PASSION FRUIT 355 ML</t>
  </si>
  <si>
    <t>TEQUILA HERRADURA REPOSADO X 750ML</t>
  </si>
  <si>
    <t>CUCHARA BIO COMPOS X100UND</t>
  </si>
  <si>
    <t>CUCHILLOS BIO COMPOS X100UND</t>
  </si>
  <si>
    <t>TENEDOR BIO COMPOS X100UND</t>
  </si>
  <si>
    <t>STICKS TURR TIRAMISU DELAVIUDA X120G</t>
  </si>
  <si>
    <t>BOMBONES DELAVIUDA SELECCION 200GR</t>
  </si>
  <si>
    <t>CHUPETE GLOBO POP SHAKE X24 UN</t>
  </si>
  <si>
    <t>CREMA MUSS CHOCO TURR DISPLAY 24UND X14G</t>
  </si>
  <si>
    <t>PAPAS AMARILLAS PICANTES TIYAPUY X160G</t>
  </si>
  <si>
    <t>CHIFLES SALADOS TIYAPUY X160G</t>
  </si>
  <si>
    <t>MEZCLA GREENMIX TRUNUTS PQ 6UN X 20GR</t>
  </si>
  <si>
    <t>MEZCLA BLUEMIX TRUNUTS PQ 6UN X 25GR</t>
  </si>
  <si>
    <t>PACK BAILEYS ORIGINAL BOT 750ML + TAZA</t>
  </si>
  <si>
    <t>RTD BAHÍA VODKA APPLE GREEN LATA 355ML</t>
  </si>
  <si>
    <t>RTD BAHÍA MOJITO LATA 355ML</t>
  </si>
  <si>
    <t>RTD BAHÍA DE PIÑA COLADA  LATA 355ML</t>
  </si>
  <si>
    <t>ESPONJA SCOTCH BRITE 2EN1 X2 + EXTREMAX1</t>
  </si>
  <si>
    <t>ESPONJA SCOTCH BRITE ESFERAS X1</t>
  </si>
  <si>
    <t>ESPONJA SCOTCH BRITE ESFERAS X2</t>
  </si>
  <si>
    <t>LIMP ACERO SCOTCHGARD X495GR</t>
  </si>
  <si>
    <t>ESPONJA SCOTCH BRITE EXTREMA X3</t>
  </si>
  <si>
    <t>PACK SCOTCHGARD LIMPIADOR + PROTECTOR</t>
  </si>
  <si>
    <t>CHI.MORADA SELVA BOT VIDRIO 300ML</t>
  </si>
  <si>
    <t>CHI.MORADA SELVA BOT VIDRIO 900ML</t>
  </si>
  <si>
    <t>BACI CORAZON X 75 GR</t>
  </si>
  <si>
    <t>PACK GOMAS MAMA FINI</t>
  </si>
  <si>
    <t>WIPES DESINFECTANTES HOME CARE X35</t>
  </si>
  <si>
    <t>TOALLAS DESINFECTANTES HOME CARE FLP X40</t>
  </si>
  <si>
    <t>BABY SHARK MALLOW POP</t>
  </si>
  <si>
    <t>PANETON MINI SAPITO X75G</t>
  </si>
  <si>
    <t>PANETON MINI NIKOLO X75G</t>
  </si>
  <si>
    <t>ENFAGROW PREMIUM PROMENTAL X 1350GR</t>
  </si>
  <si>
    <t>ENFAGROW PREMIUM PRO VAINILLA X 1350GR</t>
  </si>
  <si>
    <t>CILINDRO M&amp;M'S FUNSIZE X75G</t>
  </si>
  <si>
    <t>BOX M&amp;M'S FUNSIZE X92.7G</t>
  </si>
  <si>
    <t>CARAMELOS LECHE CHOCOLATE ARCOR X365G</t>
  </si>
  <si>
    <t>CHOCOLATE CON CARIÑO LINAJE X120G</t>
  </si>
  <si>
    <t>CHOCOLATE AVELL DET D AMOR LINAJE X120G</t>
  </si>
  <si>
    <t>PEPINILLOS - BABY VALLE FERTIL 330G</t>
  </si>
  <si>
    <t>CHOCOLATE CAFE TE AMO LINAJE X120G</t>
  </si>
  <si>
    <t>CAJA CORAZÓN GALLETAS LEONOR X240G</t>
  </si>
  <si>
    <t>HUEVO CRY BABIES GELANTINA S/A</t>
  </si>
  <si>
    <t>HUEVO PAW PATROL POPPING CANDY S/A</t>
  </si>
  <si>
    <t>HUEVO LOL POPPING CANDY S/A</t>
  </si>
  <si>
    <t>PAW PATROL POPPING CANDY</t>
  </si>
  <si>
    <t>TINTE PALETTE ICC 5-0 CASTAÑO CLARO</t>
  </si>
  <si>
    <t>DW SET BODY WASH SIG280ML+BODY SCRUBX250</t>
  </si>
  <si>
    <t>SB SET BODY MIST150M+GEL STRAW30ML</t>
  </si>
  <si>
    <t>CREMA DE DUCHA  + ROLLO ON GRANADA</t>
  </si>
  <si>
    <t>CREMA DE DUCHA CITRUS + ROLL ON CITRUS</t>
  </si>
  <si>
    <t>PACK SH+AC VITANE RESTAURACIÓN 6 EN 1</t>
  </si>
  <si>
    <t>PACK SH+AC ACCIÓN CAIDA MUJER X 400ML</t>
  </si>
  <si>
    <t>SH + AC VITANE PROTECCION COLOR</t>
  </si>
  <si>
    <t>PACK SH+AC VITANE LISO BRASILERO</t>
  </si>
  <si>
    <t>PACK Q10 HIDRA 55+NUTRI 55+CONT OJO 15G</t>
  </si>
  <si>
    <t>PACK LOCION COR DERMOADVANCE 10%UREA 150</t>
  </si>
  <si>
    <t>ACONDICIONADOR HIDRA HIALURONICO 680ML</t>
  </si>
  <si>
    <t>TINTE SOFT COLOR KIT 5554 COBRIZO</t>
  </si>
  <si>
    <t>NOPAL FLAX NUESTRA SALUD 454G FRESA CAMU</t>
  </si>
  <si>
    <t>VEET MEN CREMA DEPILATORIA</t>
  </si>
  <si>
    <t>JF VIBRANT SHINE ILUMINATING SH 250ML</t>
  </si>
  <si>
    <t>JF VIBRANT SHINE ILUMINATING AC250ML</t>
  </si>
  <si>
    <t>SANGRIA VIÑA VIEJA 750ML</t>
  </si>
  <si>
    <t>BASE P/PISCO S. LIMON WASSKA 375GR 3PCK</t>
  </si>
  <si>
    <t>VINO COTE DES ROSES ROSE 750ML</t>
  </si>
  <si>
    <t>VINO COTE DES ROSES PINOT NOIR 750ML</t>
  </si>
  <si>
    <t>VINO COTE DES ROSES CHARDONNAY 750ML</t>
  </si>
  <si>
    <t>BETTY BOOP KISS 50ML + JAB DE TOCADOR</t>
  </si>
  <si>
    <t>FRIJOLES PINTOS LORENZO X 425 G</t>
  </si>
  <si>
    <t>FRIJOLES CANARIOS LORENZO X 425 G</t>
  </si>
  <si>
    <t>FRIJOLES NEGROS LORENZO X 425 G</t>
  </si>
  <si>
    <t>FRIJOLES COLORADOS LORENZO X 425 G</t>
  </si>
  <si>
    <t>GARBANZOS LORENZO X 425 G</t>
  </si>
  <si>
    <t>LENTEJAS LORENZO X 425 G</t>
  </si>
  <si>
    <t>MERMELADA AGUAYMATO ORG ECOANDINO X 1KG</t>
  </si>
  <si>
    <t>MIX FIBRA SEMILLAS NATURANDES X160G</t>
  </si>
  <si>
    <t>HARINA MIX FIBRA NATURANDES X200G</t>
  </si>
  <si>
    <t>AJI CHARAPITA VALLE FERTIL 100G</t>
  </si>
  <si>
    <t>FRIJOLES C/ TOCINO SALSA TOMATE VF 454G</t>
  </si>
  <si>
    <t>GIN GREENALLS BLOOD ORANGE BOT 700 ML</t>
  </si>
  <si>
    <t>HARINA MIX PROTEINA NATURANDES X216G</t>
  </si>
  <si>
    <t>BLEND ENERGÍA NATURANDES X460G</t>
  </si>
  <si>
    <t>EUCALIPTO MUÑA NATURANDES X30G</t>
  </si>
  <si>
    <t>VALERIANA MANZ CEDRÓN NATURANDES X50G</t>
  </si>
  <si>
    <t>EMOLIENTE NATURANDES X150G NARANJA CAMU</t>
  </si>
  <si>
    <t>EMOLIENTE NATURANDES X150G FRUTOS ROJOS</t>
  </si>
  <si>
    <t>PACK 2 VINOS DIABLO DARK RED + COPA</t>
  </si>
  <si>
    <t>WHISKY OLD TIMES BLACK 1L</t>
  </si>
  <si>
    <t>WHISKY OLD TIMES GOLD 750 ML</t>
  </si>
  <si>
    <t>MI PRIMERA CREMA AVENA ORGANICA 340ML</t>
  </si>
  <si>
    <t>MI PRIMER JAB MICELAR AVENA S ORG 340ML</t>
  </si>
  <si>
    <t>JAB AVENA C/GLIC PH NEUTRO DERMO DP750ML</t>
  </si>
  <si>
    <t>PACK 2 VINOS TABERNERO BORGONA 750ML C/U</t>
  </si>
  <si>
    <t>PACK 2 VINOS TABERNERO ROSE 750ML C/U</t>
  </si>
  <si>
    <t>PACK 2 VINOS TABERNERO G.TINTO 750ML C/U</t>
  </si>
  <si>
    <t>100X ALCOHOL MEDICIN 70° FR 1LT GATILLO</t>
  </si>
  <si>
    <t>CREMA DEO PIES PIERNA PIES CANSADOX150ML</t>
  </si>
  <si>
    <t>CURITAS AQUAPROTECT X20UND</t>
  </si>
  <si>
    <t>CURITAS TRANSPIEL X20UND</t>
  </si>
  <si>
    <t>KETCHUP ARTESANAL NATURAL AYNI X 280G</t>
  </si>
  <si>
    <t>KETCHUP ARTESANAL PICANTE AYNI X 200G</t>
  </si>
  <si>
    <t>INFUSION NATURE´S HEART X20UN FLOR JAMAI</t>
  </si>
  <si>
    <t>INFUSION NATURE´S HEART X20UN INMUNE TE</t>
  </si>
  <si>
    <t>AMB FEBREZE AIR LIGHT 250G, BAMBOO</t>
  </si>
  <si>
    <t>AMB FEBREZE AIR LIGHT 250G, SEA SPRAY</t>
  </si>
  <si>
    <t>LAVAV LIQ DAWN 709ML, LIMON</t>
  </si>
  <si>
    <t>LAVAV LIQ DAWN 709ML, ROSE WATER</t>
  </si>
  <si>
    <t>DULCE DE LECHE LA SERENÍSIMA 250 GR</t>
  </si>
  <si>
    <t>SCHICK DEPILADOR PERFECT FINISH X3 MUJER</t>
  </si>
  <si>
    <t>NIVEA LUM ANTIMANCHAS CONT OJOS15ML</t>
  </si>
  <si>
    <t>LUXARDO TRIPLE SEC ORANGE BOT 750 ML</t>
  </si>
  <si>
    <t>NIVEA LUM ANTIMANCHAS REG NOCHE 50ML</t>
  </si>
  <si>
    <t>ENFAGROW CONFORT X 800 GR</t>
  </si>
  <si>
    <t>POTE CORAZON BOB DULCE LECHE X105G</t>
  </si>
  <si>
    <t>POTE CORAZON BOB SURTIDO X180G</t>
  </si>
  <si>
    <t>FINEST CALL BLOODY MARY BOT 1 LT</t>
  </si>
  <si>
    <t>GARBANZOS VALLE FERTIL 439G</t>
  </si>
  <si>
    <t>RAMO FLOR PRIVILEGIO X150GR</t>
  </si>
  <si>
    <t>BRANDY SAINT REMY VSOP BOT 700 ML</t>
  </si>
  <si>
    <t>COGNAC REMY MARTIN VSOP BOT 750 ML</t>
  </si>
  <si>
    <t>COGNAC REMY MARTIN XO BOT 750 ML</t>
  </si>
  <si>
    <t>FRIJOLES NEGROS VALLE FERTIL 439G</t>
  </si>
  <si>
    <t>CREMA DE MANI CON PANELA 410G C&amp;CO</t>
  </si>
  <si>
    <t>CEREAL AVENA&amp;ARROZ SINGLUTEN 350GR C&amp;CO</t>
  </si>
  <si>
    <t>LIMPIADOR VIRUTEX 900ML, LAVANDA</t>
  </si>
  <si>
    <t>LIMPIADOR VIRUTEX 1800ML, LAVANDA</t>
  </si>
  <si>
    <t>LIMPIADOR VIRUTEX 3.8L, LAVANDA</t>
  </si>
  <si>
    <t>LIMPIADOR VIRUTEX 900ML, PRIMAVERA</t>
  </si>
  <si>
    <t>LIMPIADOR VIRUTEX 1800ML, PRIMAVERA</t>
  </si>
  <si>
    <t>FILETE ANCHOAS /ACEITE OLIVA VF 100G</t>
  </si>
  <si>
    <t>LIMPIADOR VIRUTEX 3.8L, PRIMAVERA</t>
  </si>
  <si>
    <t>LIMPIADOR VIRUTEX 900ML, FLORAL</t>
  </si>
  <si>
    <t>LIMPIADOR VIRUTEX 1800ML, FLORAL</t>
  </si>
  <si>
    <t>DESINFECTANTE VIRUTEX 900ML, PINO</t>
  </si>
  <si>
    <t>DESINFECTANTE VIRUTEX 1800ML, PINO</t>
  </si>
  <si>
    <t>VODKA RUSSKAYA CRANBERRY 750ML</t>
  </si>
  <si>
    <t>NUTRAZUL VITC 1000MG TX20</t>
  </si>
  <si>
    <t>NUTRAZUL ZINC+VIT C+VIT E EFERV TX20</t>
  </si>
  <si>
    <t>NUTRAZUL ARNICA SPORT CRACK X75ML</t>
  </si>
  <si>
    <t>SIMILAC 1 5HMO FORM INFANTIL 1800 GR</t>
  </si>
  <si>
    <t>CONSERVA DE JALAPEÑO ENTERO 290G</t>
  </si>
  <si>
    <t>BARRAS ENERGET MAMALAMA X5UN CHOCOBITTER</t>
  </si>
  <si>
    <t>SIMILAC 2 5HMO FORM INFANTIL 1800 GR</t>
  </si>
  <si>
    <t>FRUTA DESHIDRATADA NAMPI BANANO 30G</t>
  </si>
  <si>
    <t>FRUTA DESHIDRATADA NAMPI MANGO 30G</t>
  </si>
  <si>
    <t>FRUTA DESHIDRATADA NAMPI PIÑA 30G</t>
  </si>
  <si>
    <t>MIX FRUTA DESHIDRATADA NAMPI 30G</t>
  </si>
  <si>
    <t>GALLETA SANDWICH VAN CREM C.CRUNCH 193G</t>
  </si>
  <si>
    <t>GALLETA SANDWICH CHOC MINT C.CRUNCH 193G</t>
  </si>
  <si>
    <t>GALLETA SANDWICH P. BUTTER C.CRUNCH 193G</t>
  </si>
  <si>
    <t>VINO CONTRASTE RESERVA SELECTA 750ML</t>
  </si>
  <si>
    <t>VINO TACAMA ORIGEN MB-CAR 750ML</t>
  </si>
  <si>
    <t>VINO TACAMA ORIGEN MB-PV 750ML</t>
  </si>
  <si>
    <t>FITOSHAMPOO ROMERO FORTIFICANTE 250 ML</t>
  </si>
  <si>
    <t>FITOSHAMPOO ORTIGA EQUILIBRANTE 250 ML</t>
  </si>
  <si>
    <t>FITOSHAMPOO CALENDULA SUAVIZANTE 250 ML</t>
  </si>
  <si>
    <t>FITOSHAMPOO ALOE VERA HIDRATANTE 250 ML</t>
  </si>
  <si>
    <t>BEBIDA COCO VAINILLA NATURES HEART 946ML</t>
  </si>
  <si>
    <t>MASCARILLA NIÑA KN95 FC CAJA X10UN</t>
  </si>
  <si>
    <t>MANTEQUILLA THE BUTTER 200G CHOCOALMEND</t>
  </si>
  <si>
    <t>BAÑOS HARPIC POWER ULTRA 750ML,CITRUS</t>
  </si>
  <si>
    <t>JABON LIQUIDO BACTERION BAMBU X 500ML</t>
  </si>
  <si>
    <t>JABON LIQ BACTERION FRUT ROJOS X 500ML</t>
  </si>
  <si>
    <t>SKY CITY SET EDT 50 ML+BODY SPRAY FRESH</t>
  </si>
  <si>
    <t>MEDITERRANEAN MIX CARMENCITA 190G</t>
  </si>
  <si>
    <t>SKY CITY SET EDT 50 ML+BODY SPRAY ICE</t>
  </si>
  <si>
    <t>CICATRICURE SERUM VITAMINA C</t>
  </si>
  <si>
    <t>AGUARDIENTE CAÑA CACHAZA 51 965ML</t>
  </si>
  <si>
    <t>WHISKY JOHNNIE WALK. SHERRY FINISH 750ML</t>
  </si>
  <si>
    <t>LICOR PALLINI LIMONCELLO BOT 700 ML</t>
  </si>
  <si>
    <t>TIO NACHO PURIFICACIÓN SHAMPOO 415ML</t>
  </si>
  <si>
    <t>TIO NACHO PURIFICACIÓN ACO 415ML</t>
  </si>
  <si>
    <t>TIO NACHO PURIFICACIÓN SHAMPOO  1 LT</t>
  </si>
  <si>
    <t>ENSURE ADVANCE COFFEE 220 ML</t>
  </si>
  <si>
    <t>GRANOLA CRUNCHY MIX WILD PROTEIN 350G</t>
  </si>
  <si>
    <t>TWIX COOKIE BARRA X40G</t>
  </si>
  <si>
    <t>CURRY EN POLVO POTE X50G CUISINE&amp;CO</t>
  </si>
  <si>
    <t>COCOMANIA PIÑA X300ML</t>
  </si>
  <si>
    <t>CHIFLES LECHE DE TIGRE CRICKETS X150G</t>
  </si>
  <si>
    <t>RTD WILD RUSSKY XTREME 355ML,BLUE LAGOON</t>
  </si>
  <si>
    <t>WHISKY OLD TIMES DARK VANILLA BOT 750ML</t>
  </si>
  <si>
    <t>CREMA AFEITAR+CREMA HIDRATAN+ROLLON MEN</t>
  </si>
  <si>
    <t>FITOSHAMPOO ROMERO + ROLLON MEN</t>
  </si>
  <si>
    <t>MASCARILLA SPIDERMAN BLSX10UNID</t>
  </si>
  <si>
    <t>MASCARILLA FROZEN BLSX10UNID</t>
  </si>
  <si>
    <t>SIMILAC 3 KID X 1.8 KG ABBOTT</t>
  </si>
  <si>
    <t>BICARBONATO DE SODIO 100 G POT</t>
  </si>
  <si>
    <t>ACIDO BORICO 50 G ZIP</t>
  </si>
  <si>
    <t>AGUA DE AZAHAR 120 ML</t>
  </si>
  <si>
    <t>AGUA OXIGENADA 10 V 120 ML PLAST</t>
  </si>
  <si>
    <t>VASELINA PERFUMADA 100G</t>
  </si>
  <si>
    <t>VASELINA PURA 100 G</t>
  </si>
  <si>
    <t>LIMADER ESPONJA OVAL NATURAL X1</t>
  </si>
  <si>
    <t>LIMADER ESPONJA ANIMALITO NIÑOS X1</t>
  </si>
  <si>
    <t>LIMADER ESPONJA NYLON C/ APLICACIONES X1</t>
  </si>
  <si>
    <t>LIMADER ESPONJA FACIAL  CIRCULAR X2</t>
  </si>
  <si>
    <t>DET LIQ WOOLITE DP 1.8L, BLACK</t>
  </si>
  <si>
    <t>SCHICK QUATTRO YOU RASPBERRY X2 MUJER</t>
  </si>
  <si>
    <t>PASTA ACHIOTE C/ESPECIAS KASSEROLA X170G</t>
  </si>
  <si>
    <t>PASTA CÚRCUMA KASSEROLA X170G</t>
  </si>
  <si>
    <t>PASTA MARINADOR KASSEROLA X170G</t>
  </si>
  <si>
    <t>PASTA JENGIBRE KASSEROLA X180G</t>
  </si>
  <si>
    <t>SALSA DE OSTRAS PREMIUM ORIENTAL X 400G</t>
  </si>
  <si>
    <t>STEVIA C/YACÓN ONZA CAJA 100 SOBRES</t>
  </si>
  <si>
    <t>STEVIA C/YACÓN ONZA CAJA 50 SOBRES</t>
  </si>
  <si>
    <t>STEVIA C/YACÓN ONZA POTE 20G</t>
  </si>
  <si>
    <t>ACEITE OLIVA XV X 375ML CRIN DORADA</t>
  </si>
  <si>
    <t>PACK 2 ACEITE OLIVA XV X375ML CRIN DORAD</t>
  </si>
  <si>
    <t>CONDON PIEL CLASICO DS 8X3</t>
  </si>
  <si>
    <t>CONDON PIEL C/RETARDANTE: 1DS 8X3</t>
  </si>
  <si>
    <t>PIEL TRIPLE SENSACION DISPLAY  8X3</t>
  </si>
  <si>
    <t>PASTA MOLDEADORA VITANE X 200ML</t>
  </si>
  <si>
    <t>CASA BENTO JUGO DE UVA 1L</t>
  </si>
  <si>
    <t>CASA BENTO JUGO DE UVA 295ML</t>
  </si>
  <si>
    <t>MISTELA BARSOL PERFECTO AMOR 750ML</t>
  </si>
  <si>
    <t>CHOCOL INS P/TAZA SOL DEL CUSCO 220G C&amp;C</t>
  </si>
  <si>
    <t>7 SEMILLAS INSTANTANEO INCASUR X 265G</t>
  </si>
  <si>
    <t>PREMEZCLA PANCAKE LIBRE GLUTEN C&amp;CO 190G</t>
  </si>
  <si>
    <t>PREMEZCLA GALLETAS CHOCO CHIP C&amp;CO 300G</t>
  </si>
  <si>
    <t>RON MANDATARIO 6 AÑOS BOT 700ML</t>
  </si>
  <si>
    <t>TUBO MINI MIX CACAOSUYO X100G</t>
  </si>
  <si>
    <t>STICKS TURR CHEESECAKE RASPBERRY X120G</t>
  </si>
  <si>
    <t>MARSHMALLOWS CHOCALE 210G PACK X6 UND</t>
  </si>
  <si>
    <t>PASTA DE TOMATE B&amp;D X 100GR</t>
  </si>
  <si>
    <t>PASTA DE TOMATE B&amp;D X 200GR</t>
  </si>
  <si>
    <t>ACEITE D CARTAMO OLEICO JUMBOX380G SPRAY</t>
  </si>
  <si>
    <t>ACEITE DE CARTAMO OLEICO X 946 ML</t>
  </si>
  <si>
    <t>DUREX  PLACER PROLONGADO X 3 UND</t>
  </si>
  <si>
    <t>ECOPONCITOS HISOPOS X100 UN</t>
  </si>
  <si>
    <t>ECOPONCITOS HISOPOS X260 UN</t>
  </si>
  <si>
    <t>ECOLOGICS DESOD. DE PIEDRA DE ALUMBRE</t>
  </si>
  <si>
    <t>ARROZ INTEG C/QUINUA ROJAX500G FINCANDIN</t>
  </si>
  <si>
    <t>VINO TACAMA HANAN SAUV.BLANC 750ML</t>
  </si>
  <si>
    <t>VINO TACAMA HANAN TANNAT-CARMENERE 750ML</t>
  </si>
  <si>
    <t>SANGRÍA TINTA LOLEA LATA 250ML</t>
  </si>
  <si>
    <t>CEPILLO CON LUZ UNICORNIO</t>
  </si>
  <si>
    <t>CHAMPIÑONES SANTIS X 425GR</t>
  </si>
  <si>
    <t>CIGARRILLOS PALL MALL CLICK ON X 20S</t>
  </si>
  <si>
    <t>SALLY HANSEN ESMALTE GOOD PURE TOP COAT</t>
  </si>
  <si>
    <t>SALLY HANSEN ESMALTE GOOD PURE ECO ROSE</t>
  </si>
  <si>
    <t>SALLY HANSEN ESMALTE GOOD PURE SOFT PLUM</t>
  </si>
  <si>
    <t>SALLY HANSEN ESMALTE GOOD PURE POMEGRA</t>
  </si>
  <si>
    <t>SALLY HANSEN ESMALTE GOOD PURE BE GONE</t>
  </si>
  <si>
    <t>SALLY HANSEN ESMALTE GOOD PURE ROMANTIC</t>
  </si>
  <si>
    <t>SALLY HANSEN ESMALTE GOOD PURE SWEET B</t>
  </si>
  <si>
    <t>SALLY HANSEN ESMALTE GOOD PURE WHITE</t>
  </si>
  <si>
    <t>SALLY HANSEN ESMALTE GOOD PURE PEONY O</t>
  </si>
  <si>
    <t>SALLY HANSEN ESMALTE GOOD PURE FRUITY P</t>
  </si>
  <si>
    <t>SALLY HANSEN ESMALTE GOOD PURE BEET IT</t>
  </si>
  <si>
    <t>SALLY HANSEN ESMALTE GOOD PURE HARDENER</t>
  </si>
  <si>
    <t>SALLY HANSEN ESMALTE DOUBLE DUTY</t>
  </si>
  <si>
    <t>SALLY HANSEN ESMALTE INSTA DRI VA VIOLET</t>
  </si>
  <si>
    <t>SALLY HANSEN ESMALTE INSTADRI PEACHY BRE</t>
  </si>
  <si>
    <t>SALLY HANSEN ESMALTE HARD AS NAILS CLEAR</t>
  </si>
  <si>
    <t>SALLY HANSEN ESMALTE INSTA DRI SUGAR POP</t>
  </si>
  <si>
    <t>SALLY HANSEN ESMALTE INSTA DRI CLEARLY Q</t>
  </si>
  <si>
    <t> TAPENADE TRADICIONAL FRASCO 185GR C&amp;CO</t>
  </si>
  <si>
    <t> HUMMUS TRADICIONAL FRASCO 220GR C&amp;CO</t>
  </si>
  <si>
    <t> HUMMUS ALCACHOFA FRASCO 220GR C&amp;CO</t>
  </si>
  <si>
    <t>BAÑOS HARPIC POWE ULTRA 750ML,LAVANDA</t>
  </si>
  <si>
    <t>BAÑOS HARPIC BIO 750ML, EUCALIPTO</t>
  </si>
  <si>
    <t>BAÑOS HARPIC REMOVEDOR MANCHAS GTL 650ML</t>
  </si>
  <si>
    <t>DÚO PACK PIQUEOS CASA VERDE X 390G</t>
  </si>
  <si>
    <t>AJO EN LAMINAS HUERTO MEJÍA TAPER X300G</t>
  </si>
  <si>
    <t>AJO DESHIDRATAD HOJUELA H.M TAPER X100G</t>
  </si>
  <si>
    <t>GALLETAS AMARETTI MINI D CHIOSTRO 50G</t>
  </si>
  <si>
    <t>GALLETAS AMARETTI DEL CHIOSTRO 75G</t>
  </si>
  <si>
    <t>GALLETA FROLLA CACAO GOCC TRE MARIE 300G</t>
  </si>
  <si>
    <t>GALLETA FROLLA CIOC PEZZI TRE MARIE 300G</t>
  </si>
  <si>
    <t>GALLETA FROLLA INTG CACAO TRE MARIE 300G</t>
  </si>
  <si>
    <t>WAFER GIANDUIA NERO TRE MARIE 175G</t>
  </si>
  <si>
    <t>WAFER MANDORLATO TRE MARIE 175G</t>
  </si>
  <si>
    <t>WAFER NOCCIOLA TRE MARIE 175G</t>
  </si>
  <si>
    <t>WAFER NOCCIOLATO TRE MARIE 140G</t>
  </si>
  <si>
    <t>WAFER STRACCIATELA TRE MARIE 140G</t>
  </si>
  <si>
    <t>GALLETA ARROZ INTEGRAL SCOTTI 150G</t>
  </si>
  <si>
    <t>GALLETA ARROZ MAIZ SCOTTI 150G</t>
  </si>
  <si>
    <t>KATIVA VIT Y BIO BAMBOO SH X550 ML</t>
  </si>
  <si>
    <t>KATIVA SHEA BUT COCO MARULA SH X 550 ML</t>
  </si>
  <si>
    <t>KATIVA SHEA BUT COCO MARULA AC X 550 ML</t>
  </si>
  <si>
    <t>KATIVA HYAL KERATIN SH X 550ML</t>
  </si>
  <si>
    <t>KATIVA HYAL KERATIN AC X550 ML</t>
  </si>
  <si>
    <t>ALGODON COPPON FAMILIA 500G ROLLO</t>
  </si>
  <si>
    <t>DISCOS DESMAQUILLADORES COPPON PCK 3X70U</t>
  </si>
  <si>
    <t>PAÑOS DESMAQUILLADORES COPPON MUJER 100U</t>
  </si>
  <si>
    <t>TINTE PALETTE ICC 6-78 COBRIZO OSCURO</t>
  </si>
  <si>
    <t>PEDRO MANUEL PISCO 4LTS</t>
  </si>
  <si>
    <t>PEDRO MANUEL PISCO 2LTS</t>
  </si>
  <si>
    <t>PISCO KOREKENKE QUEBRANTA BOT 700 ML</t>
  </si>
  <si>
    <t>PISCO KOREKENKE ACHOLADO BOT 700 ML</t>
  </si>
  <si>
    <t>CERVEZA CANDELARIA MIX 4PK LAT 355ML</t>
  </si>
  <si>
    <t>CAFE MOLIDO PERU BLEND ARTIDORO 200GR</t>
  </si>
  <si>
    <t>JABON INTIMO BACTERION 250ML MANZANILLA</t>
  </si>
  <si>
    <t>JABON INTIMO BACTERION 250ML PH NEUTRO</t>
  </si>
  <si>
    <t>BARRA MILKY PECANASPASAS X50G BOLSA X6UN</t>
  </si>
  <si>
    <t>FONDY MENTA X50G BOLSA X6UN</t>
  </si>
  <si>
    <t>AGUA MINERAL CON GAS FERRARELLE 330 ML</t>
  </si>
  <si>
    <t>CRE PARA PEINAR MUSS KIDS MANZANILL 300G</t>
  </si>
  <si>
    <t>SHAMPOO MUSS KIDS MANZANILLA X 400ML</t>
  </si>
  <si>
    <t>LICOR KUYPER SOUR APPLE BOT 700ML</t>
  </si>
  <si>
    <t>LICOR KUYPER CREMA MENTA VERDE BOT 700ML</t>
  </si>
  <si>
    <t>LICOR KUYPER CREMA CURACAO BLUE BOT700ML</t>
  </si>
  <si>
    <t>LICOR LIMONCELLO BOTEGGA BOT 500ML</t>
  </si>
  <si>
    <t>VERMOUTH BOTEGGA ROSSO BOT 700ML</t>
  </si>
  <si>
    <t>CERVEZA ARTESANAL 7 VIDAS CAT BOT 330ML</t>
  </si>
  <si>
    <t>CERVEZA ARTESANAL 7 VIDAS QUAD BOT 330ML</t>
  </si>
  <si>
    <t>FRUTO DEL MONJE CJ 50 SOBRES CUISINE&amp;CO</t>
  </si>
  <si>
    <t>FRUTO DEL MONJE CJ 100 SOBRES CUISINE&amp;CO</t>
  </si>
  <si>
    <t>SHAMPOO DAILY PUPPY CACHOROOS DE 400ML</t>
  </si>
  <si>
    <t>SHAMPOO DAILY CAT - PARA GATOS DE 400ML</t>
  </si>
  <si>
    <t>SNACK KIWICHA PICANTE APUS X60G</t>
  </si>
  <si>
    <t>SNACK QUINUA TOCINO APUS X60G</t>
  </si>
  <si>
    <t>CIGARRILLOS PALL MALL BOOST XL 20U</t>
  </si>
  <si>
    <t>MIXER MR PERKIN P/PISCO PACK X 6 X 200ML</t>
  </si>
  <si>
    <t>AJO EN POLVO S/GLUTEN CARMENCITA 60G</t>
  </si>
  <si>
    <t>YERBA MATE CON PALO LIEBIG X500GR</t>
  </si>
  <si>
    <t>CACAO EN POLVO AMERICA ORGANICA X 170G</t>
  </si>
  <si>
    <t>MONKFRUIT &amp; ERITRITOL X 50 SOBRES ONZA</t>
  </si>
  <si>
    <t>MONKFRUIT &amp; ERITRITOL X 100 SOBRES ONZA</t>
  </si>
  <si>
    <t>VINO ECOLOGICO 20 ALDEAS 750ML</t>
  </si>
  <si>
    <t>VINO PAGO LA JARABA CRIANZA 750ML</t>
  </si>
  <si>
    <t>VINO PIATTELLI TRINITA 750ML</t>
  </si>
  <si>
    <t>VINO CONDE VALDEMAR BLANCO 750ML</t>
  </si>
  <si>
    <t>VINO CONDE VALDEMAR 750ML</t>
  </si>
  <si>
    <t>VINO CONDE VALDEMAR ROSE 750ML</t>
  </si>
  <si>
    <t>VINO C.VALDEMAR BLANCO TEMP 750ML</t>
  </si>
  <si>
    <t>VINO C.VALDEMAR CRIANZA 750ML</t>
  </si>
  <si>
    <t>VINO C. VALDEMAR RESERVA 750ML</t>
  </si>
  <si>
    <t>VINO C. VALDEMAR GRAN RESERVA 750ML</t>
  </si>
  <si>
    <t>CARAM MULTI-BIOT MENTA MIEL C/SUCRX5SOB</t>
  </si>
  <si>
    <t>RTD BAHÍA CUBA LIBRE LATA 355ML</t>
  </si>
  <si>
    <t>INF. FRUTOS ROJOS NATURE'S HEART 50 UND</t>
  </si>
  <si>
    <t>INF. ENERGIZA-TÉ NATURE'S HEART 20 UND.</t>
  </si>
  <si>
    <t>LICOR KIRSH KUYPER BOT 700ML</t>
  </si>
  <si>
    <t>LICOR KWAI FEH LYCHEE BOT 700ML</t>
  </si>
  <si>
    <t>LICOR MANDARINE NAPOLEON KUYPER  700ML</t>
  </si>
  <si>
    <t>WAFEL COOKIES&amp;CREAM RIP VAN X1.16OZ</t>
  </si>
  <si>
    <t>SPRAY DESENREDANTE MUSS KIDS X150ML</t>
  </si>
  <si>
    <t>SHAMPOO MUSS KIDS BOYS DUAL X 400ML</t>
  </si>
  <si>
    <t>WAFER SAPITO FRESA X156GR</t>
  </si>
  <si>
    <t>QUINOA CRACKERS F.HIERBAS +NUTRI X180G</t>
  </si>
  <si>
    <t>QUINOA CRACKERS F.AJO CEB +NUTRI X180G</t>
  </si>
  <si>
    <t>QUINOA CRACKERS MAIZ MORADO +NUTRI X180G</t>
  </si>
  <si>
    <t>GOMAS AROS FRESA ÁCIDA X500G</t>
  </si>
  <si>
    <t>HUEVITO GOMAS FINI X30G</t>
  </si>
  <si>
    <t>TABLET DE CHOC BRITT 70% - MARACUYA 100G</t>
  </si>
  <si>
    <t>TABLET DE CHOC BRITT 70% - DARK 100G</t>
  </si>
  <si>
    <t>CACAO NIBS AMÉRICA ORGANICA X 170G</t>
  </si>
  <si>
    <t>RON ROYAL CENTENARIO 12 AÑOS  X 750 ML</t>
  </si>
  <si>
    <t>RON ROYAL CENTENARIO 5 AÑOS X 1750 ML</t>
  </si>
  <si>
    <t>TABLETA DE CHOC BRITT 70% - CAFÉ 100G</t>
  </si>
  <si>
    <t>TABLET DE CHOC BRITT 70% - AGUAYMAN 100G</t>
  </si>
  <si>
    <t>TABLETA DE CHOC BRITT 70% - LUCUMA 100G</t>
  </si>
  <si>
    <t>TABLETA DE CHOC BRITT 70% - QUINOA 100G</t>
  </si>
  <si>
    <t>BARRA MILKY PECANAS Y PASAS X 50 G</t>
  </si>
  <si>
    <t>FONDY MENTA X 50 G</t>
  </si>
  <si>
    <t>WHISKY DALMORE 12 AÑOS SINGLE MALT 700ML</t>
  </si>
  <si>
    <t>RON ABUELO XII AÑOS TWO OAKS 750ML</t>
  </si>
  <si>
    <t>GIN LONDON DRY N° 3 BOT 750ML</t>
  </si>
  <si>
    <t>VINO QUINTA DOS CASTELARES RESERVA 750ML</t>
  </si>
  <si>
    <t>VINO SEGREDOS DE SAO MIGUEL RSVA 750ML</t>
  </si>
  <si>
    <t>VINO HERDADE DE SAO MIGUEL 750ML</t>
  </si>
  <si>
    <t>VINO QUINTA DOS CASTELARES BLANCO 750ML</t>
  </si>
  <si>
    <t>VINO QUINTA DOS CASTELARES ROSE 750ML</t>
  </si>
  <si>
    <t>VINO SUSANA BALBO SIGNATURE MALBEC 750ML</t>
  </si>
  <si>
    <t>VINO SUSANA BALBO SIGNATURE CSA 750ML</t>
  </si>
  <si>
    <t>VINO SUSANA BALBO SIGNATURE ROSE 750ML</t>
  </si>
  <si>
    <t>VINO SUSANA BALBO BRIOSO 750ML</t>
  </si>
  <si>
    <t>PISTACHOS WONDERFUL TOST/SAL LIG X454G</t>
  </si>
  <si>
    <t>BEBIDA CRANBERRY REGULAR L´ONDA 500ML</t>
  </si>
  <si>
    <t>RON CARTAVIO GRAN SOLERA 750ML</t>
  </si>
  <si>
    <t>CERVEZA CORNET BOT 330ML</t>
  </si>
  <si>
    <t>WHISKY GLENROTHES 12 AÑOS BOT 700ML</t>
  </si>
  <si>
    <t>WHISKY GLENROTHES 18 AÑOS BOT 700ML</t>
  </si>
  <si>
    <t>WHISKY MACALLAN SHERRY OAK C.12 BT 700ML</t>
  </si>
  <si>
    <t>CERVEZA INNIS &amp; GUNN CARIBBEAM BOT 330ML</t>
  </si>
  <si>
    <t>CERVEZA INNIS&amp;GUNN THE ORIGINAL BT 330ML</t>
  </si>
  <si>
    <t>CERVEZA INNIS &amp; GUNN GUNNPOWDER BT 330ML</t>
  </si>
  <si>
    <t>CERVEZA INNIS &amp; GUNN LAGER BOT 330ML</t>
  </si>
  <si>
    <t>GIN TANQUERAY ROYAL BOT 700 ML</t>
  </si>
  <si>
    <t>PACK 2 VINOS QUEIROLO ROSE 750ML C/U</t>
  </si>
  <si>
    <t>VINO COTE DES ROSES ROSE 1.5LT</t>
  </si>
  <si>
    <t>CERVEZA LA TRAPPE VARIAD 4PACK BOT 330ML</t>
  </si>
  <si>
    <t>PACK VINO BORGOÑA+SANGRIA VIÑA VIEJA</t>
  </si>
  <si>
    <t>VINO CALVET CAHORS MALBEC 750ML</t>
  </si>
  <si>
    <t>VINO BANFI LE RIME 750ML</t>
  </si>
  <si>
    <t>SH ESMALTE MIRACLE GEL MATTE</t>
  </si>
  <si>
    <t>SH ESMALTE INSTADRI MAUVE IT</t>
  </si>
  <si>
    <t>SH ESMALTE INSTADRI BUFF AND TUMBLE</t>
  </si>
  <si>
    <t>SH ESMALTE INSTADRI FAST MAUVER</t>
  </si>
  <si>
    <t>SH ESMALTE INSTADRI HURRY PLUM</t>
  </si>
  <si>
    <t>SH ESMALTE INSTADRI INSTANT COFFEE</t>
  </si>
  <si>
    <t>SH ESMALTE MIRACLE GEL BEET</t>
  </si>
  <si>
    <t>SH ESMALTE DE UÑAS MIRACLE ROYALTY</t>
  </si>
  <si>
    <t>SH ESMALTE MIRACLE GEL MAUVE</t>
  </si>
  <si>
    <t>SH ESMALTE MIRACLE GEL SATEL</t>
  </si>
  <si>
    <t>SH ESMALTE MIRACLE GEL PROPER</t>
  </si>
  <si>
    <t>VODKA DANZKA STANDARD BOT 750 ML</t>
  </si>
  <si>
    <t>VODKA DANZKA CRANBERYRAZ BOT 750 ML</t>
  </si>
  <si>
    <t>GIN LE TRIBUTE BOT 700 ML</t>
  </si>
  <si>
    <t>WHISKEY TEELING SMALL BATCH BOT 700 ML</t>
  </si>
  <si>
    <t>TOALLITAS HUMEDAS BABY GARDY X100</t>
  </si>
  <si>
    <t>TOALLITAS HUMEDAS PAW PATROL X25</t>
  </si>
  <si>
    <t>JABON LIQUIDO FROZEN 300ML</t>
  </si>
  <si>
    <t>COLONIA  BATMAN  175ML</t>
  </si>
  <si>
    <t>BODY MIST PRINCESAS X250ML -WINTERSWEET</t>
  </si>
  <si>
    <t>LECHE DESC EN POLVO LA SERENISIMA CJ400G</t>
  </si>
  <si>
    <t>SHAMPOO EVITALAGRIMAS 750  ML SIMOND`S</t>
  </si>
  <si>
    <t>MINI SUSHI DE POLLO X80GR – GATO</t>
  </si>
  <si>
    <t>BOCADITOS DE POLLO X80GR -GATO</t>
  </si>
  <si>
    <t>TIRITAS DE POLLO X80GR – GATO</t>
  </si>
  <si>
    <t>SANDWICH DE POLLO X80GR -GATO</t>
  </si>
  <si>
    <t>BOLITAS DE POLLO Y ARROZ  X80GR -PERRO</t>
  </si>
  <si>
    <t>SUSHI DE POLLO X80GR – PERRO</t>
  </si>
  <si>
    <t>POUCHES PERRO CORDERO 95G</t>
  </si>
  <si>
    <t>POUCHES GATO  SALMON 95G</t>
  </si>
  <si>
    <t>TIO NACHO TRATAMIENTO ENGROSADOR 90ML</t>
  </si>
  <si>
    <t>VINO JUAN GIL ETIQUETA AMARILLA 750ML</t>
  </si>
  <si>
    <t>VINO JUAN GIL ETIQUETA PLATA 750ML</t>
  </si>
  <si>
    <t>VINO ALBA MARTIN 750ML</t>
  </si>
  <si>
    <t>VINO MARA MARTIN 750ML</t>
  </si>
  <si>
    <t>VINO ESCORIHUELA GASCON CAB.FRANC 750ML</t>
  </si>
  <si>
    <t>VINO CUATRO PASOS 750ML</t>
  </si>
  <si>
    <t>VINO BAIGORRI CRIANZA 750ML</t>
  </si>
  <si>
    <t>VINO BAIGORRI ROSADO 750ML</t>
  </si>
  <si>
    <t>VINO BAIGORRI BLANCO 750ML</t>
  </si>
  <si>
    <t>VINO E.GASCON PEQ PROD CAB.FRANC 750ML</t>
  </si>
  <si>
    <t>VINO BAIGORRI RESERVA 750ML</t>
  </si>
  <si>
    <t>VINO BAIGORRI GARNACHA 750ML</t>
  </si>
  <si>
    <t>VINO BAIGORRI DE GARAGE 750ML</t>
  </si>
  <si>
    <t>VINO BAIGORRI CRIANZA 500ML</t>
  </si>
  <si>
    <t>VINO SIBARIS GRAN RESERVA MERLOT 750ML</t>
  </si>
  <si>
    <t>VINO SIBARIS G.RESERVA SAUV.BLANC 750ML</t>
  </si>
  <si>
    <t>VINO SIBARIS G.RESERVA CHARDONNAY 750ML</t>
  </si>
  <si>
    <t>VINO ALIWEN RESERVA CAB.SAUV 750ML</t>
  </si>
  <si>
    <t>VINO ALIWEN RESERVA CARMENERE 750ML</t>
  </si>
  <si>
    <t>VINO ALIWEN RESERVA SAUVIG.BLANC 750ML</t>
  </si>
  <si>
    <t>VINO LAN 7 METROS 750ML</t>
  </si>
  <si>
    <t>VINO MARQUES DE BURGOS ROBLE 750ML</t>
  </si>
  <si>
    <t>VINO MARQUES DE BURGOS CRIANZA 750ML</t>
  </si>
  <si>
    <t>VINO BOTTEGA PINOT GRIGIO DOC 750ML</t>
  </si>
  <si>
    <t>VINO BOTTEGA PINOT GRIGIO ROSE DOC 750ML</t>
  </si>
  <si>
    <t>VINO PATA NEGRA APASIONADO 750ML</t>
  </si>
  <si>
    <t>VINO BOTTEGA MERLOT IGT TREVENEZIE 750ML</t>
  </si>
  <si>
    <t>VINO BOTTEGA RIPASSO DOC SUPERIORE 750ML</t>
  </si>
  <si>
    <t>VINO FRAMINGHAM SAUVIGNON BLANC 750ML</t>
  </si>
  <si>
    <t>ESPUMANTE BOTTEGA PROSECCO DOCG 200ML</t>
  </si>
  <si>
    <t>VINO FINCA EL PORTILLO PINOT NOIR 750ML</t>
  </si>
  <si>
    <t>VINO FINCA EL PORTILLO TEMPRANILLO 750ML</t>
  </si>
  <si>
    <t>VINO FINCA EL PORTILLO MERLOT 750ML</t>
  </si>
  <si>
    <t>VINO FINCA EL PORTILLO CHARDONNAY 750ML</t>
  </si>
  <si>
    <t>VINO SALENTEIN RESERVA CAB.FRANC 750ML</t>
  </si>
  <si>
    <t>PALITOS MAIZ SAB QUESO X 180G CUISINE&amp;CO</t>
  </si>
  <si>
    <t>TORTILLA MAIZ SAB QUESO X180G CUISINE&amp;CO</t>
  </si>
  <si>
    <t>AGUA MINERAL CON GAS FERRARELLE 750ML</t>
  </si>
  <si>
    <t>SHAMPOO 3EN1 DRAGON BALL 300ML</t>
  </si>
  <si>
    <t>VINO SANTA HELENA G.RSV CAB.SAUV 750ML</t>
  </si>
  <si>
    <t>VINO SANTA HELENA G.RSV CARMENERE 750ML</t>
  </si>
  <si>
    <t>VINO SANTA HELENA G.RSV S.BLANC 750ML</t>
  </si>
  <si>
    <t>VINO SANTA HELENA RSVA CAB.SAUV 750ML</t>
  </si>
  <si>
    <t>VINO SANTA HELENA RSVA CARMENERE 750ML</t>
  </si>
  <si>
    <t>VINO SANTA HELENA RSVA S.BLANC 750ML</t>
  </si>
  <si>
    <t>VINO SANTA HELENA RSVADO CAB.SAUV 750ML</t>
  </si>
  <si>
    <t>VINO SANTA HELENA RSVADO CARMENERE 750ML</t>
  </si>
  <si>
    <t>VINO SANTA HELENA RSVADO S.BLANC 750ML</t>
  </si>
  <si>
    <t>FM MASK MARBLE ANTI-STRESS 14ML</t>
  </si>
  <si>
    <t>FM MASK MARBLE PORE CLEAN 14ML</t>
  </si>
  <si>
    <t>HUANCAÍNA VEGANA CHOCHO CASA VERDE 190G</t>
  </si>
  <si>
    <t>OCOPA VEGANA DE CHOCHO CASA VERDE 190G</t>
  </si>
  <si>
    <t>SALSA AJÍ AMARIL C/QUESO CASA VERDE 190G</t>
  </si>
  <si>
    <t>PACK BAILEYS ESPRESSO750ML+CAFETERA VIET</t>
  </si>
  <si>
    <t>GIN GENEROUS ORIGINAL BOT 750ML</t>
  </si>
  <si>
    <t>GIN GENEROUS VERDE BOT 750ML</t>
  </si>
  <si>
    <t>PACK CHILCANERO SANT. QUEIROLO ACHOLADO</t>
  </si>
  <si>
    <t>VINO EL ENEMIGO SEMILLON 750ML</t>
  </si>
  <si>
    <t>VINO LUCA PINOT NOIR 750ML</t>
  </si>
  <si>
    <t>VINO LUCA SYRAH 750ML</t>
  </si>
  <si>
    <t>VINO LUCA MALBEC 750ML.</t>
  </si>
  <si>
    <t>VINO LUCA CHARDONNAY 750ML</t>
  </si>
  <si>
    <t>VINO LA POSTA GLORIETA PINOT NOIR 750ML</t>
  </si>
  <si>
    <t>VINO LA POSTA PAULUCCI MALBEC 750ML</t>
  </si>
  <si>
    <t>VINO LA POSTA ARMANDO BONARDA 750ML</t>
  </si>
  <si>
    <t>ESPUMANTE ACQUESI MOSCATO 750ML</t>
  </si>
  <si>
    <t>COLONIA DRAGON BALL 175ML</t>
  </si>
  <si>
    <t>JABON LIQ. BOB ESPONJA  300ML</t>
  </si>
  <si>
    <t>JABON LIQ. UNICORNIO 300ML</t>
  </si>
  <si>
    <t>VINO SEPTIMA LOTE ESPECIAL MALBEC 750ML.</t>
  </si>
  <si>
    <t>VINO LA MASCOTA ICONO UNANIME 750ML</t>
  </si>
  <si>
    <t>VINO LA GRAN MASCOTA CABERNET 750ML</t>
  </si>
  <si>
    <t>VINO GRAN FEUDO RESERVA 750ML</t>
  </si>
  <si>
    <t>VINO GRAN FEUDO CRIANZA 750ML</t>
  </si>
  <si>
    <t>VINO GRAN FEUDO ROBLE 750ML</t>
  </si>
  <si>
    <t>VINO GRAN FEUDO ROSADO 750ML</t>
  </si>
  <si>
    <t>CAVA CODORNIU ANNA ICED EDITION 750ML</t>
  </si>
  <si>
    <t>TABLETA ARCOR BON O BON 57GR</t>
  </si>
  <si>
    <t>TABLETA ARCOR ROCKLETS 65GR</t>
  </si>
  <si>
    <t>TABLETA ARCOR LECHE 58GR</t>
  </si>
  <si>
    <t>AC OLIV XV BOT 500ML+BOT 200ML EL OLIVAR</t>
  </si>
  <si>
    <t>VINO WAPISA CABERNET SAUVIGNON 750ML</t>
  </si>
  <si>
    <t>VINO WAPISA MALBEC 750ML</t>
  </si>
  <si>
    <t>TWININGS ENGLISH BREAKFAST X50UND</t>
  </si>
  <si>
    <t>VINO WAPISA UNDER WATER MALBEC 750ML</t>
  </si>
  <si>
    <t>VINO TAPIZ ALTA COLLECTION MALBEC 750ML</t>
  </si>
  <si>
    <t>VINO TAPIZ ALTA COLLECT CAB.FRANC 750ML</t>
  </si>
  <si>
    <t>VINO TAPIZ B.TEARS G.RSV MALBEC 750ML</t>
  </si>
  <si>
    <t>VINO TAPIZ GRAN RESERVA RED BLEND 750ML</t>
  </si>
  <si>
    <t>VINO TAPIZ LAS NOTAS JEAN CLAUDE 750ML</t>
  </si>
  <si>
    <t>VINO CAMPILLO CRIANZA TEMPRANILLO 750 ML</t>
  </si>
  <si>
    <t>VINO CAMPILLO BLANCO FERMENTADO 750ML</t>
  </si>
  <si>
    <t>VINO CAMPILLO ROSADO 750ML</t>
  </si>
  <si>
    <t>VINO CAMPILLO EL NIÑO COSECHA 750ML</t>
  </si>
  <si>
    <t>VINO PORTIA CRIANZA TEMPRANILLO 750ML</t>
  </si>
  <si>
    <t>VINO PORTIA ROBLE TEMPRANILLO 750ML</t>
  </si>
  <si>
    <t>VINO PORTIA VERDEJO 750ML</t>
  </si>
  <si>
    <t>VINO LEYDA RESERVA CAB.SAUVIG 750ML</t>
  </si>
  <si>
    <t>VINO LEYDA RESERVA SAUVIGNON BLANC 750ML</t>
  </si>
  <si>
    <t>VINO LEYDA RESERVA PINOT NOIR 750ML</t>
  </si>
  <si>
    <t>VINO LEYDA S.VINEYARD CHARDONNAY 750ML</t>
  </si>
  <si>
    <t>VINO LEYDA S.VINEYARD PINOT NOIR 750ML</t>
  </si>
  <si>
    <t>PIMIENTO LAGRIMA DULCE VALLE FERTIL 290G</t>
  </si>
  <si>
    <t>VINO HUENTALA CHARDONNAY 750ML</t>
  </si>
  <si>
    <t>VINO HUENTALA COFERMENTED BLEND 750ML</t>
  </si>
  <si>
    <t>VINO HUENTALA WINES BLOCK 750ML</t>
  </si>
  <si>
    <t>VINO HUENTALA-LA ISABEL EST. MB 750ML</t>
  </si>
  <si>
    <t>TRIPACK BROWNIE EXTREME GUSTOZZI</t>
  </si>
  <si>
    <t>WHISKEY JACK DANIEL'S FIRE BOT 750ML</t>
  </si>
  <si>
    <t>RTD SOUR MARACUYA MONTESIERPE 700 ML</t>
  </si>
  <si>
    <t>PIMIENTO CHERRY DULCE VALLE FERTIL 290G</t>
  </si>
  <si>
    <t>NISSIN RAMEN SABOR A CAMARON X 85 GR</t>
  </si>
  <si>
    <t>NISSIN RAMEN SABOR A COSTILLA X 85 GR</t>
  </si>
  <si>
    <t>LICOR LUXARDO LIMONCELLO LIQUEUR BT750ML</t>
  </si>
  <si>
    <t>TURRON EL ALMENDRO X75G CARAMELO SESAMO</t>
  </si>
  <si>
    <t>TURRON EL ALMENDRO X75G CRUNCHY CON SAL</t>
  </si>
  <si>
    <t>TURRON EL ALMENDRO X75G CRUNCHY NARANJA</t>
  </si>
  <si>
    <t>RTD SOUR LIMON MONTESIERPE 700 ML</t>
  </si>
  <si>
    <t>VINO ANUBIS MALBEC 750ML</t>
  </si>
  <si>
    <t>VINO CRIOS MALBEC 750ML.</t>
  </si>
  <si>
    <t>VINO CRIOS LIMITED EDITION 750ML</t>
  </si>
  <si>
    <t>VINO CRIOS CHARDONNAY 750ML</t>
  </si>
  <si>
    <t>CINTA DE MONTAJE EXTREMA - SCOTCH MOUNT</t>
  </si>
  <si>
    <t>CINTA MULTIPROPÓSITO 1.88'' X 10YD - 3M</t>
  </si>
  <si>
    <t>PACK FELTAPDS X78 3M</t>
  </si>
  <si>
    <t>FEBREZE CARROS HAWAIIAN ALOHA X2 N1</t>
  </si>
  <si>
    <t>FEBREZE CARROS TORMENTA  MEDIANOCHEX2 N1</t>
  </si>
  <si>
    <t>FEBREZE CARROS FRESCURA AIRE LIBRE X2 N1</t>
  </si>
  <si>
    <t>JF FE BRAZILIAN SLEEK SHAMPOO 250ML</t>
  </si>
  <si>
    <t>JF FE BRAZILIAN SLEEK CONDITIONER250ML</t>
  </si>
  <si>
    <t>CICATRICURE GOLD LIFT SERUM 27ML</t>
  </si>
  <si>
    <t>CICA GOLD LIFT MAQ LIQUIDO LIGHT 30ML</t>
  </si>
  <si>
    <t>CICA GOLD LIFT MAQ LIQUIDO MEDIUM 30ML</t>
  </si>
  <si>
    <t>CICATRICURE CREMA ANTIARRUGAS 30GR</t>
  </si>
  <si>
    <t>TINTE PALETTE ICC 6-888 RUBI SEDUCTOR</t>
  </si>
  <si>
    <t>TURRON DELAVIUDA X200GR SURTIDO</t>
  </si>
  <si>
    <t>GALLETA DE LECHE PJ MASKS 120 G</t>
  </si>
  <si>
    <t>GALLETA RELLENA CHOCOLATE PJ MASKS 160G</t>
  </si>
  <si>
    <t>SALSA DIJON VINAIGRETTE HUELLA VER 350ML</t>
  </si>
  <si>
    <t>EXC 6.111 CENIZO MAT SUPREME</t>
  </si>
  <si>
    <t xml:space="preserve">  QUITAMANCHA DR.BECKMANN DEO SUD X250ML</t>
  </si>
  <si>
    <t>QUITAMANCHA DR.BECKMANN  PRE LAV X250ML</t>
  </si>
  <si>
    <t>PVM ADULTO VAINILLA X 1KG</t>
  </si>
  <si>
    <t>SALSA HONEY MUSTARD HUELLA VERDE 350ML</t>
  </si>
  <si>
    <t>PVM ADULTO CHOCOLATE X 1KG</t>
  </si>
  <si>
    <t>RON GLOD BAHIA BOTELLA 750 ML</t>
  </si>
  <si>
    <t>RON BLACK BAHIA BOTELLA 750 ML</t>
  </si>
  <si>
    <t>WHISKEY JACK DANIEL'S APPLE BOT 750ML</t>
  </si>
  <si>
    <t>HARINA DE COCO ORG PERUVIAN HEALTH 450G</t>
  </si>
  <si>
    <t>BEBIDA DE AVENA SIN GLUTEN SCOTTI X1L</t>
  </si>
  <si>
    <t>MAQ TRUBLEND UNDERCOVER LIGHT NUDE</t>
  </si>
  <si>
    <t>MAQ TRUBLEND UNDERCOVER GOLDEN NATURAL</t>
  </si>
  <si>
    <t>MAQ TRUBLEND UNDERCOVER SOFT TAN</t>
  </si>
  <si>
    <t>MAQ TRUBLEND UNDERCOVER PERF BEIGE</t>
  </si>
  <si>
    <t>CAVA JUVECAMPS CINTA PURPURA ROSE 750ML</t>
  </si>
  <si>
    <t>SALSA LOUISIANA HOT SAUCE ESENTIAL 355ML</t>
  </si>
  <si>
    <t>WHISKY AKASHI RED BOT 500 ML</t>
  </si>
  <si>
    <t>WHISKY AKASHI BLACK BOT 500 ML</t>
  </si>
  <si>
    <t>AMARGO BITTER MR JIGGER NARANJA X 75 ML</t>
  </si>
  <si>
    <t>VINO MAISON NOBLE DOC BORDEAUX 750ML</t>
  </si>
  <si>
    <t>VINO M.NOBLE DOC BORDEAUX SUPERIOR 750ML</t>
  </si>
  <si>
    <t>VINO MAISON DOC BORDEAUX CUVEE PRESTIGE</t>
  </si>
  <si>
    <t>MAQ TRUBLEND UNDERCOVER WARM NUDE</t>
  </si>
  <si>
    <t>MAQ TRUBLEND UNDERCOVER TAWNY</t>
  </si>
  <si>
    <t>MAQ OCTETO SOMBRAS TRUNAKED SUNSETS</t>
  </si>
  <si>
    <t>MAQ OCTETO SOMBRAS TRUNAKED DAZED</t>
  </si>
  <si>
    <t>MAQ OCTETO SOMBRAS TRUNAKED QUEENSHIP</t>
  </si>
  <si>
    <t>CORRECTOR OUTLAST EXTREME CLASSIC IVORY</t>
  </si>
  <si>
    <t>CORRECTOR OUTLAST EXTREME GOLDEN NATURAL</t>
  </si>
  <si>
    <t>CORRECTOR OUTLAST EXTREME NATURAL TAN</t>
  </si>
  <si>
    <t>POLVO COMPACTO OUTLAST EXT CLASSIC IVORY</t>
  </si>
  <si>
    <t>POLVO COMPACTO OUTLAST EXT  SOFT HONEY</t>
  </si>
  <si>
    <t>POLVO COMPACTO OUTLAST EXT  NATURAL TAN</t>
  </si>
  <si>
    <t>BRONZER TRUBLEND SO FLUSHED SWEET SEDUC</t>
  </si>
  <si>
    <t>BRONZER TRUBLEND SO FLUSHED SUN GLITZ</t>
  </si>
  <si>
    <t>BRONZER TRUBLEND SO FLUSHED LOVE ME</t>
  </si>
  <si>
    <t>ESPUMANTE ACQUESI ASTI 750ML</t>
  </si>
  <si>
    <t>ESPUMANTE ACQUESI BRACHETTO 750ML</t>
  </si>
  <si>
    <t>ESPUMANTE ACQUESI MARENGO 750ML</t>
  </si>
  <si>
    <t>ESPUMANTE ACQUESI ROSATO 750ML</t>
  </si>
  <si>
    <t>VINO LA MALDITA GARNACHA TINTO 750ML</t>
  </si>
  <si>
    <t>VINO LA MALDITA GARNACHA ROSADO 750ML</t>
  </si>
  <si>
    <t>VINO LA MALDITA GARNACHA BLANCO 750ML</t>
  </si>
  <si>
    <t>VINO LA MALDITA REVOLUTION 750ML</t>
  </si>
  <si>
    <t>ESTUCHE 2 VINOS FLICHMAN MB 750ML C/U</t>
  </si>
  <si>
    <t>VINO TROUBLE MAKERS EL GUAPO 750ML</t>
  </si>
  <si>
    <t>VINO TROUBLE MAKERS EL BRIBON 750ML</t>
  </si>
  <si>
    <t>VINO TROUBLE MAKERS EL APOSTADOR 750ML</t>
  </si>
  <si>
    <t>NIVEA DEO FEM STRESS PROTECT SPRAY 150ML</t>
  </si>
  <si>
    <t>NIVEA DEO FEM BLACK &amp; WHITE SPRAY 150ML</t>
  </si>
  <si>
    <t>VENTILADOR M&amp;M'S</t>
  </si>
  <si>
    <t>DISPENS MAGICO M&amp;M'S</t>
  </si>
  <si>
    <t>ESTUCHE METALIC M&amp;M'S</t>
  </si>
  <si>
    <t>REGALIZ CINEMA ACIDO FINI X80G</t>
  </si>
  <si>
    <t>WHISKY TOMATIN SINGLE MALT 12 AÑOS 700ML</t>
  </si>
  <si>
    <t>MIX INFUSIONES 5 SABORES HORNIMANS 100UN</t>
  </si>
  <si>
    <t>MIX INFUSIONES 5 SABORES HORNIMANS 25UN</t>
  </si>
  <si>
    <t>PACK CAFÉ JACOBS FC100G + DOYPACK 75G</t>
  </si>
  <si>
    <t>BOX QOLLQE CHILCANO 500ML</t>
  </si>
  <si>
    <t>BOX QOLLQE TONIC 500ML</t>
  </si>
  <si>
    <t>PACK PISCO QOLLQE QUEB+ACHO+ITA 500MLC/U</t>
  </si>
  <si>
    <t>RTD RUSSKAYA WILD XTREME WATERMELO 473ML</t>
  </si>
  <si>
    <t>VODKA RUSSKAYA PINK 1L</t>
  </si>
  <si>
    <t>WHISKY OLD TIMES APPLE RUSH 750ML</t>
  </si>
  <si>
    <t>PACK RUSSKAYA 750ML+BEBIDA DE NARANJA 1L</t>
  </si>
  <si>
    <t>VINO GRAN ALMA NEGRA 1.5LT</t>
  </si>
  <si>
    <t>MOSTAZA CLASICA FRENCH'S X 567G</t>
  </si>
  <si>
    <t>MOSTAZA HONEY FRENCH'S X 340G</t>
  </si>
  <si>
    <t>VINO LORCA CLASICO MALBEC 750ML</t>
  </si>
  <si>
    <t>MOSTAZA DIJON FRENCHS X 340GR</t>
  </si>
  <si>
    <t>VINO LORCA CLASICO CAB.SAUVIGNON 750ML</t>
  </si>
  <si>
    <t>MOSTAZA SPICY BROWN FRENCH'S X 340G</t>
  </si>
  <si>
    <t>ALGARROBINA DULCE NATURA X 300GR</t>
  </si>
  <si>
    <t>ALGARROBINA DULCE NATURA X 500GR</t>
  </si>
  <si>
    <t>CIGARRILLOS LUCKY STRIKE FRESH END X 20U</t>
  </si>
  <si>
    <t>CERVEZA RAYMI DE TRIGO PACK 4 BOT 330ML</t>
  </si>
  <si>
    <t>WHISKY JW RED 750ML + GIN GORDONS 750ML</t>
  </si>
  <si>
    <t>RON LA HECHICERA BOT 700ML</t>
  </si>
  <si>
    <t>GIN WHITLEY NEILL PINK CHERRY 700ML</t>
  </si>
  <si>
    <t>RON BARCELÓ IMPERIAL BOT 1750ML</t>
  </si>
  <si>
    <t>RON BARCELÓ GRAN AÑEJO DARK SERIES 750ML</t>
  </si>
  <si>
    <t>RON BARCELÓ AÑEJO 1000ML</t>
  </si>
  <si>
    <t>RON BARCELÓ DORADO 1000ML</t>
  </si>
  <si>
    <t>RON BARCELÓ PREMIUM BLND 40 ANV</t>
  </si>
  <si>
    <t>DW SIGNATURE BUTTERY SALT SCRUB 400ML</t>
  </si>
  <si>
    <t>DW SIGNATURE FOOT BUTTER 125ML</t>
  </si>
  <si>
    <t>DW HAWAIIAN BODY LOTION 250ML</t>
  </si>
  <si>
    <t>DW TROPIC HAND CREAM 100ML</t>
  </si>
  <si>
    <t>DW ABSOFRUITY BODY LOTION GEL250ML</t>
  </si>
  <si>
    <t>KATIVA SHEA BUTTER COCONUT MAR X 300 ML</t>
  </si>
  <si>
    <t>KATIVA HYALURONIC KERATIN X 300 ML</t>
  </si>
  <si>
    <t>SANYTOL DESINFECTANTE COCINA FCO. X750ML</t>
  </si>
  <si>
    <t>AJÍ POLLERO CASA VERDE X 75GR</t>
  </si>
  <si>
    <t>CREMA DE ROCOTO CASA VERDE X 75GR</t>
  </si>
  <si>
    <t>SALSA HUANCAÍNA CASA VERDE X 75GR</t>
  </si>
  <si>
    <t>NOPUCID 10 1% 2 EN 1 SHAMPOO X 60ML WIN</t>
  </si>
  <si>
    <t>ASEPXIA PIÑA JABÓN EN BARRA 100 GR</t>
  </si>
  <si>
    <t>VINO LORCA CLASICO CABERNET FRANC 750ML</t>
  </si>
  <si>
    <t>VINO LORCA CLASICO CHARDONNAY 750ML</t>
  </si>
  <si>
    <t>VINO CARAY EXPRESIÓN TORO CRIANZA 750ML</t>
  </si>
  <si>
    <t>VINO CARAY E.DORADA DO TORO RSVA 750ML</t>
  </si>
  <si>
    <t>ASEPXIA PIÑA POLVO FACIAL 42 GR</t>
  </si>
  <si>
    <t>SALSA ACEVICHADA ADELMI FRASCO X 240 GR</t>
  </si>
  <si>
    <t>SALSA TAMARINDO ADELMI FRASCO X 280 GR</t>
  </si>
  <si>
    <t>LONCHERA HALLOWEEN SNICKERS Y M&amp;M'S</t>
  </si>
  <si>
    <t>BOX HALLOWEEN CHOCALE R.POP X65G</t>
  </si>
  <si>
    <t>PANETON ARCOR CHIPS 75GR</t>
  </si>
  <si>
    <t>TIO NACHO TRATAMIENTO HERBOLARIA  90ML</t>
  </si>
  <si>
    <t>ANTONIO BANDERAS BLUE EDT 30ML</t>
  </si>
  <si>
    <t>SHAKIRA ON THE GO DANCE 30ML</t>
  </si>
  <si>
    <t>SHAKIRA ON THE GO RED MIDNGHT 30ML</t>
  </si>
  <si>
    <t>MONK FRUIT ONZA DP 450G</t>
  </si>
  <si>
    <t>PISCO FINCA ROTONDO MACHU PICCHU ITA 750</t>
  </si>
  <si>
    <t>BIORE BANDAS LIMPIEZA NASAL T-ZONE 15UN</t>
  </si>
  <si>
    <t>KATIVA ARGAN OIL CONDITIONER X 550 ML</t>
  </si>
  <si>
    <t>KATIVA ARGAN OIL SHAMPOO X 550 ML</t>
  </si>
  <si>
    <t>KATIVA BALSAMO KERATINA X 550 ML</t>
  </si>
  <si>
    <t>KATIVA SHAMPOO KERATINA X 550 ML</t>
  </si>
  <si>
    <t>KATIVA COCONUT CONDITIONER X 550ML</t>
  </si>
  <si>
    <t>KATIVA COCONUT SHAMPOO X 550 ML</t>
  </si>
  <si>
    <t>KATIVA COLAGENO CONDITIONER X 550 ML</t>
  </si>
  <si>
    <t>KATIVA COLAGENO SHAMPOO X 550 ML</t>
  </si>
  <si>
    <t>KATIVA ARGAN OIL DEEP TREATMENT X 300 ML</t>
  </si>
  <si>
    <t>KATIVA KERATINA DEEP TREATMENT X 300 ML</t>
  </si>
  <si>
    <t>KATIVA COCONUT DEEP TREATMENT X 300ML</t>
  </si>
  <si>
    <t>CEBOLLITA ENCURTIDA EN VINAGRE CALÉ 240G</t>
  </si>
  <si>
    <t>PEPINILLOS ENCURTID EN VINAGRE CALÉ 240G</t>
  </si>
  <si>
    <t>CHOCLITOS ENCURTIDO EN VINAGRE CALÉ 240G</t>
  </si>
  <si>
    <t>CEREAL FRUTYCOLOR SINGLUTEN 350GR C&amp;CO</t>
  </si>
  <si>
    <t>TARWI EN POLVO X 200GR INKAFOREST</t>
  </si>
  <si>
    <t>AZÚCAR DE COCO ORG DOYPACK 450G C&amp;CO</t>
  </si>
  <si>
    <t>PROMO PACK PREMEZCLA 794G + SYRUP 429ML</t>
  </si>
  <si>
    <t>MAINA PANETTONE GOLOSONE LIMONCREM X750G</t>
  </si>
  <si>
    <t>ACEITE VEGETAL PREMIUM TONDERO X20 L</t>
  </si>
  <si>
    <t>ACEITE VEGETAL PREMIUM TONDERO X900 ML</t>
  </si>
  <si>
    <t>MANO RECOLECTORA HW 200G</t>
  </si>
  <si>
    <t>VINO CARAY E.NEGRA TORO G.RESERVA 750ML</t>
  </si>
  <si>
    <t>GARBANZOS ESSENTIAL EVERYDAY X425G</t>
  </si>
  <si>
    <t>CALABAZA GRANDE HW 200GR</t>
  </si>
  <si>
    <t>CAJA SORPRESA ARCOR HW 100G</t>
  </si>
  <si>
    <t>SOPA TENEBROSA HW 500G</t>
  </si>
  <si>
    <t>MR.POPS EVOL.FEST HW 432GR</t>
  </si>
  <si>
    <t>SET GIRLS BUTTERFLY EAU SPRAY+SHAM 240ML</t>
  </si>
  <si>
    <t>SET BOYS1 EAU DT SPRAY + SHAM 240ML</t>
  </si>
  <si>
    <t>TOALLITAS HUMEDAS FROZEN X100</t>
  </si>
  <si>
    <t>TOALLITAS HUMEDAS HELLO KITTY X100</t>
  </si>
  <si>
    <t>AUSTRALIAN GOLD ACCELERAT LOT 100ML</t>
  </si>
  <si>
    <t>AUSTRALIAN GOLD LOT/BRONZ F30 237ML</t>
  </si>
  <si>
    <t>AUSTRALIAN GOLD SPR/BRONZ F15 100ML</t>
  </si>
  <si>
    <t>TRIPACK JB SPA PREMIUM 115G, RADIANTE</t>
  </si>
  <si>
    <t>TRIPACK JB SPA PREMIUM 115G, REFRESCANTE</t>
  </si>
  <si>
    <t>TRIPACK JB SPA PREMIUM 115G, EXFOLIANTE</t>
  </si>
  <si>
    <t>SCHICK XTREME PAGUE 6 LLEVE 8 HOMBRE</t>
  </si>
  <si>
    <t>PROTECTORSOLAR NTG HYDROBOOST FPS50 88ML</t>
  </si>
  <si>
    <t>NIVEA MICELLAR PIEL SENSIBLE 400 ML</t>
  </si>
  <si>
    <t>BLOQ BAHIA BEBES SPF50+ 110G RD</t>
  </si>
  <si>
    <t>BLOQ BAHIA SUPERKIDS SPF70 110G RD</t>
  </si>
  <si>
    <t>GOMAS MOGUL EXTREME XL MAST X400G</t>
  </si>
  <si>
    <t>HAWAIIAN TROPIC OZONO DD PLUS SPF70</t>
  </si>
  <si>
    <t>SAL AMAZÓNICA GOURMET ONZA CJ X 500G</t>
  </si>
  <si>
    <t>SAL AMAZÓNICA GOURMET ONZA PT X 400G</t>
  </si>
  <si>
    <t>SAL DE MARAS ROSADA FINA ONZA PT X 400G</t>
  </si>
  <si>
    <t>SAL DE MARAS ROSAD GRUESA ONZA PT X 400G</t>
  </si>
  <si>
    <t>PACK LA FIDELIA INFUSION X10UN + TAZA</t>
  </si>
  <si>
    <t>GARNIER EXPR ACLARA MEDIA 40G EXP .</t>
  </si>
  <si>
    <t>GARNIER EXPR ACLARA CLARA 40G EXP .</t>
  </si>
  <si>
    <t>SERUM OJOS REVITALIFT HA 20ML</t>
  </si>
  <si>
    <t>GEL CREMA REVITALIFT HA 50ML</t>
  </si>
  <si>
    <t>GEL REVITALIFT ACIDO HIALURONICO 150ML</t>
  </si>
  <si>
    <t>CHOCOLATE TAZA 100% CACAO 90G CUISINE&amp;CO</t>
  </si>
  <si>
    <t>COLOSSAL CURL BNCE VERY BLACK WTP</t>
  </si>
  <si>
    <t>SS VINYL INK UNRIVALED</t>
  </si>
  <si>
    <t>SS VINYL INK ROYAL</t>
  </si>
  <si>
    <t>SS VINYL INK WICKED</t>
  </si>
  <si>
    <t>SS VINYL INK RED-HOT</t>
  </si>
  <si>
    <t>SS VINYL INK COY</t>
  </si>
  <si>
    <t>SS VINYL INK WITTY</t>
  </si>
  <si>
    <t>SS VINYL INK CHEEKY</t>
  </si>
  <si>
    <t>SS VINYL INK PEACHY</t>
  </si>
  <si>
    <t>SS VINYL INK LIPPY</t>
  </si>
  <si>
    <t>BARQUILLOS PARA HELADO 12UN CUISINE&amp;CO</t>
  </si>
  <si>
    <t>CARAMELOS CAFE CHOCOLATE ARCOR 365GR</t>
  </si>
  <si>
    <t>ESPUMANTE FINCA ROTONDO BRUT ROSE 750ML</t>
  </si>
  <si>
    <t>ESPUMANTE INTIPALKA DEMI SEC 750ML</t>
  </si>
  <si>
    <t>ESPUMANTE NAPOLEON ROSSO 750ML</t>
  </si>
  <si>
    <t>ESPUMANTE VALDIVIESO DOLCE BIANCO 750ML</t>
  </si>
  <si>
    <t>ESPUMANTE VALDIVIESO DOLCE ROSSO 750ML</t>
  </si>
  <si>
    <t>VINO BLANC PESCADOR VERDEJO 750M</t>
  </si>
  <si>
    <t>WHISKY MACALLAN 12Y DOUBLE CASK 700ML</t>
  </si>
  <si>
    <t>ESPONJA SCOTCH BRITE CERO RAYAS P2LL3</t>
  </si>
  <si>
    <t>SAL DE SODA MICROPERLADA X3   X100G</t>
  </si>
  <si>
    <t>FILETE ATUN EN AC VEG 6PCK A-1</t>
  </si>
  <si>
    <t>FILETE ATUN EN AGUA 6PCK A-1</t>
  </si>
  <si>
    <t>TROZOS ATUN EN AC VEG 6PCK A-1</t>
  </si>
  <si>
    <t>SOPORTE DE MUÑECA AJUSTABLE 3M FUTURO</t>
  </si>
  <si>
    <t>SOPORTE DE CODO AJUSTABLE 3M FUTURO</t>
  </si>
  <si>
    <t>SOPORTE DE RODILLA AJUSTABLE 3M FUTURO</t>
  </si>
  <si>
    <t>SOPORTE DE TOBILLO AJUSTABLE 3M FUTURO</t>
  </si>
  <si>
    <t>SPF 30 SUNSCREEN LOTION  8OZ</t>
  </si>
  <si>
    <t>SPF 50 SUNSCREEN LOTION  8OZ</t>
  </si>
  <si>
    <t>SPF 70 SUNSCREEN LOTION  8OZ</t>
  </si>
  <si>
    <t>SPF 45 SUNSCREEN FACE MIST</t>
  </si>
  <si>
    <t>SPF 50 SUNSCREEN LOTION 3OZ</t>
  </si>
  <si>
    <t>SPF 50 TINTED SUNSCREEN FACE STICK</t>
  </si>
  <si>
    <t>PANETTONE MILANESSE BASSO TRE MARIE 1KG</t>
  </si>
  <si>
    <t>PANETTONE RE NOIR AL CIOC TRE MARIE 900G</t>
  </si>
  <si>
    <t>PANDORO IL MAGNIFICO TRE MARIE 1KG</t>
  </si>
  <si>
    <t>PANETOTONE PERLA DEL SUD TRE MARIE 850G</t>
  </si>
  <si>
    <t>BRITVIC JUGO DE TOMATE VIDRIO X 200 ML</t>
  </si>
  <si>
    <t>RON FLOR DE CAÑA 18 AÑOS BOT 750ML+ COPA</t>
  </si>
  <si>
    <t>WHISKY JACK DANIELS N7 750ML + BOT 375ML</t>
  </si>
  <si>
    <t>PACK LICOR JAGERMEISTER 700ML+MOLD SILIC</t>
  </si>
  <si>
    <t>WHISKY JW BLACK 750ML + PARLANTE ECO</t>
  </si>
  <si>
    <t>WHISKY JOHNNIE WALK.RED 750ML+ 4 PERKINS</t>
  </si>
  <si>
    <t>LICOR BAILEYS ORIGINAL 750ML + 2 BOLWS</t>
  </si>
  <si>
    <t>YAK CREMA AUTOBRILLANTE INCOLORA 45G</t>
  </si>
  <si>
    <t>YAK CREMA AUTOBRILLANTE NEGRA 45G</t>
  </si>
  <si>
    <t>PROTECTOR SOLAR UV FLUID 40GR</t>
  </si>
  <si>
    <t>LECHE UHT VIGOR X 800ML BOLSA</t>
  </si>
  <si>
    <t>MAYONESA B&amp;D DOYPACK X 95G</t>
  </si>
  <si>
    <t>MAYONESA B&amp;D SACHET 8G X 240U</t>
  </si>
  <si>
    <t>KETCHUP B&amp;D SACHET 8G X 240U</t>
  </si>
  <si>
    <t>MOSTAZA B&amp;D SACHET 10G X 240U</t>
  </si>
  <si>
    <t>CREMA DE AJI B&amp;D SACHET 8G X 240U</t>
  </si>
  <si>
    <t>CREMA DE AJI B&amp;D CAJA BOLSA X 3KG</t>
  </si>
  <si>
    <t>SALSA BARBECUE B&amp;D CAJA BOLSA X 3KG</t>
  </si>
  <si>
    <t>KETCHUP PICANTE B&amp;D CAJA BOLSA X 3KG</t>
  </si>
  <si>
    <t>FM EYE MASK COSMIC STEAM ROSE Q 1U</t>
  </si>
  <si>
    <t>FM EYE MASK COSMIC STEAM JADE M 1U</t>
  </si>
  <si>
    <t>FM MASK JELLY SLEEP CALM LAVENDER 10ML</t>
  </si>
  <si>
    <t>PACK CHIVAS 12YO BOT 700 ML + BOT 200 ML</t>
  </si>
  <si>
    <t>SS 30 HR CONCEALER 15</t>
  </si>
  <si>
    <t>SS 30 HR CONCEALER 18</t>
  </si>
  <si>
    <t>SS 30 HR CONCEALER 20</t>
  </si>
  <si>
    <t>SS 30 HR CONCEALER 25</t>
  </si>
  <si>
    <t>SS 30 HR CONCEALER 22</t>
  </si>
  <si>
    <t>TATTOOSTUDIO BROW LIFT BLONDE</t>
  </si>
  <si>
    <t>SIROPE SABOR MAPLE SPITZE DISPLAY X25UN</t>
  </si>
  <si>
    <t>MIEL DE ABEJA LA REYNA DE OXAPAMPA X25UN</t>
  </si>
  <si>
    <t>BOMBONES BON O BON BOLSA 750G</t>
  </si>
  <si>
    <t>CARAMELO MASTICABLE MISKY 330G</t>
  </si>
  <si>
    <t>BOMBONES PRIVILEGIO 480G</t>
  </si>
  <si>
    <t>CARAMELOS DE LIMON MISKY 275G</t>
  </si>
  <si>
    <t>CARAMELOS DE CHICHA MISKY 275G</t>
  </si>
  <si>
    <t>SNACK TRUBALLS CREMA Y CEBOLLA X100G</t>
  </si>
  <si>
    <t>SNACK TRUBALLS BBQ X100G</t>
  </si>
  <si>
    <t>SNACK TRUBALLS AJI LIMON X100G</t>
  </si>
  <si>
    <t>VIRUTEXLIMPIADOR BEBE 1800 ML</t>
  </si>
  <si>
    <t>VIRUTEX LIMPIADOR BEBE 3800 ML</t>
  </si>
  <si>
    <t>VIRUTEX LIMPIADOR BAMBU 3800 ML</t>
  </si>
  <si>
    <t>JAB MONCLER MORADO NUTRICARE 3PACKX145G</t>
  </si>
  <si>
    <t>JAB MONCLER ANTIBAC MICELAR 3PACK X145G</t>
  </si>
  <si>
    <t>JAB MONCLER ANTIBAC AVENA ARGAN 3PX145G</t>
  </si>
  <si>
    <t>SIDRA EL GAITERO CLÁSICA 750ML</t>
  </si>
  <si>
    <t>SIDRA EL GAITERO EXTRA 750ML</t>
  </si>
  <si>
    <t>SIDRA EL GAITERO ROSÉ 750ML</t>
  </si>
  <si>
    <t>JEREZ LA GUITA MANZANILLA 750ML</t>
  </si>
  <si>
    <t>JEREZ FINO REAL TESORO  750ML</t>
  </si>
  <si>
    <t>BOM PACK NAV SKY HIGH TATTO</t>
  </si>
  <si>
    <t>TRÍO JABONES ARTESANALES K'ALLMA 95GR</t>
  </si>
  <si>
    <t>PACK INF LIMA VAIN(COL240+CR HI+CO60+CR)</t>
  </si>
  <si>
    <t>PACK INFAL VERBENA(COL240+CR HI+CO60+CR)</t>
  </si>
  <si>
    <t>DUO ESE K'ALLMA TE BLANCO(COL240+CRE240)</t>
  </si>
  <si>
    <t>DUO ESE K'ALLMA HIE LUISA(COL240+CRE240)</t>
  </si>
  <si>
    <t>DUO ESE K'ALLMA TE VERDE(COL240+CRE240)</t>
  </si>
  <si>
    <t>TRÍO ES K'ALLMA VERDE CASIS(COL+CREM+JB)</t>
  </si>
  <si>
    <t>TRÍO ESE K'ALLMA TE BLANCO (COL+CREM+JB)</t>
  </si>
  <si>
    <t>PACK CREMA DE MANOS K'ALLMA 6UNID 30ML</t>
  </si>
  <si>
    <t>PACK EXFOLIANTES ALMEND(EXFOLI+JAB+LUFA)</t>
  </si>
  <si>
    <t>PACK EXFOLIANTES COCO(EXFOLIAN+JAB+LUFA)</t>
  </si>
  <si>
    <t>HIALURO DIA + NOCHE</t>
  </si>
  <si>
    <t>SERUMH+FPSHIALURO</t>
  </si>
  <si>
    <t>SERUM ROSTRO + CREMA DIA HIALURONICO</t>
  </si>
  <si>
    <t>PACK MICELAR 400 ML + BIFASICO 400 ML</t>
  </si>
  <si>
    <t>PACK GARNIER EA SERUM + CREMA FPS30</t>
  </si>
  <si>
    <t>PACK GARNIER MIC ROSA 400 + BIF 100</t>
  </si>
  <si>
    <t>SAZONADOR CARNE MONTREAL MCCORMICK X 96G</t>
  </si>
  <si>
    <t>CANELA SAIGON MOLIDA ORG MCCORMICK X 35G</t>
  </si>
  <si>
    <t>PIMIENTA NEGRA ENTERA MCCORMICK X 53G</t>
  </si>
  <si>
    <t>ROMERO EN HOJAS MCCORMICK X 17G</t>
  </si>
  <si>
    <t>ITALIAN SEASONING MCCORMICK X 177G</t>
  </si>
  <si>
    <t>MONTREAL STEAK SEASONING MCCORMICK X822G</t>
  </si>
  <si>
    <t>TOMILLO EN HOJAS MCCORMICK X 21G</t>
  </si>
  <si>
    <t>SAZONADOR POLLO MONTREAL MCCORMICK X 77G</t>
  </si>
  <si>
    <t>PÁPRIKA MCCORMICK X 60G</t>
  </si>
  <si>
    <t>PAPRIKA AHUMADA ORG MCCORMICK X 45G</t>
  </si>
  <si>
    <t>CURRY EN POLVO ORG MCCORMICK X 49G</t>
  </si>
  <si>
    <t>PIMIENTA NEGRA MOLIDA ORG MCCORMICK X45G</t>
  </si>
  <si>
    <t>JENGIBRE EN POLVO ORG MCCORMICK X 35G</t>
  </si>
  <si>
    <t>ELVIVE HIDRATATION NOCTURNA 200ML</t>
  </si>
  <si>
    <t>ESTRELLA 3D BON O BON 90GR</t>
  </si>
  <si>
    <t>CAJA BUTTER TOFFEE SURTID NAV 120GR</t>
  </si>
  <si>
    <t>BOMBONES BACI RED BOX X 150 GR</t>
  </si>
  <si>
    <t>BOMBONES BACI RED TUBO X 37.5 GR</t>
  </si>
  <si>
    <t>BOMBONES BACI RED BIJOU X 150 GR</t>
  </si>
  <si>
    <t>BOMBONES BACI BIJOU MAIOLICA X 200 GR</t>
  </si>
  <si>
    <t>BOMBONES DELAVIUDA LATA CORAZON X160G</t>
  </si>
  <si>
    <t>PACK MARSHMALLOW GUANDY BL 255G+BL 100G</t>
  </si>
  <si>
    <t>COVERGIRL SOMBRAS + DELINEADOR NUDE</t>
  </si>
  <si>
    <t>COVERGIRL SOMBRAS + DELINEADOR ROSES</t>
  </si>
  <si>
    <t>SALLY HANSEN PURE + PEONY + SOFTPLUM</t>
  </si>
  <si>
    <t>SALLY HANSEN PURE + BEGONE + TOPCOAT</t>
  </si>
  <si>
    <t>EVERPURE BOND CONDITIONER</t>
  </si>
  <si>
    <t>EVERPURE BOND SHAMPOO</t>
  </si>
  <si>
    <t>VIRUTEX LIMPIADOR  BEBE 900 ML</t>
  </si>
  <si>
    <t>VIRUTEX LIMPIADOR BAMBU 900 ML</t>
  </si>
  <si>
    <t>VIRUTEX LIMPIADOR BAMBU 1800 ML</t>
  </si>
  <si>
    <t>CARAVAN 13 EAU DE PARFUM POUR HOMME</t>
  </si>
  <si>
    <t>CARAVAN 24 EAU DE PARFUM POUR FEMME</t>
  </si>
  <si>
    <t>CARAVAN 30 EAU DE PARFUM POUR FEMME</t>
  </si>
  <si>
    <t>CARAVAN 43 EAU DE PARFUM POUR FEMME</t>
  </si>
  <si>
    <t>CARAVAN 44 EAU DE PARFUM POUR FEMME</t>
  </si>
  <si>
    <t>CARAVAN 66 EAU DE PARFUM POUR HOMME</t>
  </si>
  <si>
    <t>REBEL FRAGANCES BRAVE MEN EDT X 100 ML</t>
  </si>
  <si>
    <t>REBEL FRAGANCES CRAZY EDT X 100 ML</t>
  </si>
  <si>
    <t>REBEL FRAGANCES FREE SPIRIT EDT</t>
  </si>
  <si>
    <t>REBEL FRAGANCES LOVE EDT X 100 ML</t>
  </si>
  <si>
    <t>PACK 2 VINOS TABERNERO BORGOÑA+BOT 275ML</t>
  </si>
  <si>
    <t>PACK 2 VINOS TABERNERO ROSE + BOT 275ML</t>
  </si>
  <si>
    <t>PACK 2 VINOS TABERNERO G.TINTO+BOT 275ML</t>
  </si>
  <si>
    <t>PACK 2 VINOS TABERNERO BLANCO+BOT 275ML</t>
  </si>
  <si>
    <t>CARAM MULTI-BIOTICOS CHICHA 5SOB X4UND</t>
  </si>
  <si>
    <t>VIRUTEX ESCOBA PISOS DELICADOS CM NM</t>
  </si>
  <si>
    <t>SET WINNIE THE POOH(SHA+LOT+BAR JAB+ESP)</t>
  </si>
  <si>
    <t>RON MANDATARIO + PISCO 4 GALLOS QUEB 700</t>
  </si>
  <si>
    <t>RON MANDATARIO 6 700ML + COCA COLA 1.5LT</t>
  </si>
  <si>
    <t>GIN ANDEAN CON BOTÁNICOS BOT 700ML</t>
  </si>
  <si>
    <t>ESTUCHE CHOCOLATE CUISINE&amp;CO CJ120GR</t>
  </si>
  <si>
    <t>CHIPS QUINOA F. HIERBAS QFOODS X100G</t>
  </si>
  <si>
    <t>CHIPS QUINOA GUACAMOLE QFOODS X100G</t>
  </si>
  <si>
    <t>CHIPS QUINOA NATURAL QFOODS X100G</t>
  </si>
  <si>
    <t>GALLETAS SABOR NARANJA SGLUTEN 200G C&amp;CO</t>
  </si>
  <si>
    <t>TORTILLAS NACHOS CHIPS 170G CUISINE&amp;CO</t>
  </si>
  <si>
    <t>BEBIDA C/ALOE SAPPE X300MLOW SUGAR UVA</t>
  </si>
  <si>
    <t>CG LAB OUTLAST ULTIMATTE BELLA BELLINI</t>
  </si>
  <si>
    <t>CG LAB OUTLAST ULTIMATTE HELLO MERLOT</t>
  </si>
  <si>
    <t>CG LAB OUTLAST ULTIMATTE NO WINE-ING</t>
  </si>
  <si>
    <t>CG LAB OUTLAST ULTIMATTE PROSECCO POP</t>
  </si>
  <si>
    <t>CG LAB OUTLAST ULTIMATTE SPRITZ BLITZ</t>
  </si>
  <si>
    <t>CG LAB OUTLAST ULTIMATTE STRAWB SPRIT</t>
  </si>
  <si>
    <t>CG LAB OUTLAST ULTIMATTE VINO YOU DIDN'T</t>
  </si>
  <si>
    <t>CG LAB OUTLAST ULTIMATTE WINE O CLOCK</t>
  </si>
  <si>
    <t>CG LAB OUTLAST ULTIMATTE YAY, ROSÉ</t>
  </si>
  <si>
    <t>CG MÁSC PESTAÑAS LASH BLAST CLEAN VB WP</t>
  </si>
  <si>
    <t>RT BROCHA SET OJOS NATURALLY BEA</t>
  </si>
  <si>
    <t>CAVA JAUME SERRA ICE BLANCO 750ML</t>
  </si>
  <si>
    <t>CAVA JAUME SERRA ICE ROSE 750ML</t>
  </si>
  <si>
    <t>CAVA ORGANICA PATA NEGRA 750ML</t>
  </si>
  <si>
    <t>BASE OUTLAST EXT MEDIUM BEIGE</t>
  </si>
  <si>
    <t>BASE OUTLAST EXT GOLDEN TAN</t>
  </si>
  <si>
    <t>BASE OUTLAST EXT NATURAL TAN</t>
  </si>
  <si>
    <t>SET REY LEON JABON LIQ 300ML+SHAMP 300ML</t>
  </si>
  <si>
    <t>PACK RON CARTAVIO +OLD TIMES BLACK 750ML</t>
  </si>
  <si>
    <t>PACK VODKA RUSSKAYA NEUTRO + PINK 1L</t>
  </si>
  <si>
    <t>SCHICK XTREME PIVOT BALL MAQ X1 HOMBRE</t>
  </si>
  <si>
    <t>SCHICK XTREME PIVOT BALL REP X4 HOMBRE</t>
  </si>
  <si>
    <t>SCHICK XTREME BEAUTY X2 MUJER</t>
  </si>
  <si>
    <t>EDT NIGHT ESCAPE FOR W. 100 ML</t>
  </si>
  <si>
    <t>EDT REBEL INK FOR WOMEN 100 ML</t>
  </si>
  <si>
    <t>DOSAGE FOR WOMEN WOMEN 100 ML</t>
  </si>
  <si>
    <t>EDT AQUA SOUL FOR MEN 100 ML</t>
  </si>
  <si>
    <t>EDT IMPERIAL FOR MEN 100 ML</t>
  </si>
  <si>
    <t>EDT DARK INK FOR MEN 100 ML</t>
  </si>
  <si>
    <t>JF SB VIOLET CRUSH TONING MASK 177ML</t>
  </si>
  <si>
    <t>ARROZ RISOTTO ARBORIO X 1KG INVERNI</t>
  </si>
  <si>
    <t>TRIPACK SALSAS PICANTES CASA VERDE X225G</t>
  </si>
  <si>
    <t>DUOPACK PURÉ DE MANZANA CASA VERDE X850G</t>
  </si>
  <si>
    <t>VINO BUENOS AIRES RED BLEND 750ML</t>
  </si>
  <si>
    <t>VINO ORANGE GOLD 750ML</t>
  </si>
  <si>
    <t>VINO COTE DES ROSES ROSE 375ML</t>
  </si>
  <si>
    <t>FEBREZE AIR APPLE REFRESH 250G/8.8OZ</t>
  </si>
  <si>
    <t>FEBREZE AIR PINO 250G/8.8OZ</t>
  </si>
  <si>
    <t>FEBREZE AIR CRNBERRY 250G/8.8OZ</t>
  </si>
  <si>
    <t>FEBREZE AIR VAINILLA 250G/8.8OZ</t>
  </si>
  <si>
    <t>MAYONESA B&amp;D X 190G</t>
  </si>
  <si>
    <t>CREMA DE AJI PARRILLERO B&amp;D X 190G</t>
  </si>
  <si>
    <t>SALSA BBQ B&amp;D X 200G</t>
  </si>
  <si>
    <t>KETCHUP PICANTE PARRILLERO B&amp;D X 200G</t>
  </si>
  <si>
    <t>HARINA DE COCO ORG DOYPACK 350G C&amp;CO</t>
  </si>
  <si>
    <t>STICKS DELAVIUDA 3 CHOCOLATES 120G</t>
  </si>
  <si>
    <t>STICKS DELAVIUDA FRUTA DE LA PASION 120G</t>
  </si>
  <si>
    <t>MONEDAS CHOCOLATE NAVIDEÑAS 2CERR X245G</t>
  </si>
  <si>
    <t>PAPA NOEL CHOCO NAVIDEÑOS 2CERR X125G</t>
  </si>
  <si>
    <t>TOA HUM F.PRICE LIMP. ABSOLUTA X100UND</t>
  </si>
  <si>
    <t>TOA HUM F.PRICE LIMP. ABSOLUTA 2X100UND</t>
  </si>
  <si>
    <t>TOA HUM F.PRICE LIMP. ABSOLUTA X192UND</t>
  </si>
  <si>
    <t>ALCOHOL MEDICINAL 70° X1L TAPA SPRAY</t>
  </si>
  <si>
    <t>AIRBRUSH ILUMINADOR GOLD GLOW</t>
  </si>
  <si>
    <t>ESMALTE INSTADRI HEATHER</t>
  </si>
  <si>
    <t>ESMALTE INSTADRI RACING</t>
  </si>
  <si>
    <t>ESMALTE INSTADRI ASAP APPLE</t>
  </si>
  <si>
    <t>CG POLVO COMPACTO TRUBLEND LIGHT</t>
  </si>
  <si>
    <t>CG POLVO COMPACTO TRUBLEND HONEY</t>
  </si>
  <si>
    <t>CG POLVO COMPACTOTRUBLEND MEDIUM</t>
  </si>
  <si>
    <t>CG POLVO COMPACTO TRUBLEND FAIR</t>
  </si>
  <si>
    <t>CG MASCARA CEJAS EASY BREEZY  BROW M</t>
  </si>
  <si>
    <t>CG MÁSCARA PESTAÑAS FULL LASH VERY BLACK</t>
  </si>
  <si>
    <t>VINO SIGNOS MALBEC 750ML</t>
  </si>
  <si>
    <t>VINO SIGNOS RED BLEND 750ML</t>
  </si>
  <si>
    <t>VINO SIERRA CANTABRIA BLANCO 750ML</t>
  </si>
  <si>
    <t>VINO SIERRA CANTABRIA ROSADO 750ML</t>
  </si>
  <si>
    <t>VINO SIERRA CANTABRIA SELECCIÓN 750ML</t>
  </si>
  <si>
    <t>VINO SIERRA CANTABRIA CRIANZA 750ML</t>
  </si>
  <si>
    <t>VINO SIERRA CANTABRIA GARNACHA 750ML</t>
  </si>
  <si>
    <t>VINO MURPHY GOODE SAUVIGNON BLANC 750ML</t>
  </si>
  <si>
    <t>VINO MURPHY GOODE CHARDONNAY 750ML</t>
  </si>
  <si>
    <t>VINO MURPHY GOODE RED BLEND 750ML</t>
  </si>
  <si>
    <t>VINO MURPHY GOODE CAB.SAUV 750ML</t>
  </si>
  <si>
    <t>VINO SALENTEIN RSVA CORTES BLANCAS 750ML</t>
  </si>
  <si>
    <t>VINO AIME MALBEC 750ML</t>
  </si>
  <si>
    <t>VINO AIME CABERNET SAUVIGNON 750ML</t>
  </si>
  <si>
    <t>VINO CALLIA  MALBEC 750ML</t>
  </si>
  <si>
    <t>VINO CALLIA CABERNET SAUVIGNON 750ML</t>
  </si>
  <si>
    <t>VINO CALLIA PINOT GRIGIO 750ML</t>
  </si>
  <si>
    <t>VINO CONTRACARA RESERVA MALBEC 750ML</t>
  </si>
  <si>
    <t>VINO CONTRACARA RESERVA BLEND 750ML</t>
  </si>
  <si>
    <t>ESPUMANTE CONCERTO DULCE 750ML</t>
  </si>
  <si>
    <t>VINO FINCA FLICHMAN ESTATE CH/VIOG 750ML</t>
  </si>
  <si>
    <t>VINO FINCA FLICHMAN ESTATE MALBEC 750ML</t>
  </si>
  <si>
    <t>VINO FINCA FLICHMAN ESTATE CSA 750ML</t>
  </si>
  <si>
    <t>VINO FINCA FLICHMAN RESERVA MALBEC 750ML</t>
  </si>
  <si>
    <t>VINO FINCA FLICHMAN RESERVA CSA 750ML</t>
  </si>
  <si>
    <t>VINO FINCA FLICHMAN RESERVA CHARD 750ML</t>
  </si>
  <si>
    <t>SCHICK QUATTRO PIEL DELICADA X3 MUJER</t>
  </si>
  <si>
    <t>GRN H BOMB LIP MASK MANGO HZ</t>
  </si>
  <si>
    <t>GRN H BOMB LIP MASK CHERRY HZ</t>
  </si>
  <si>
    <t>PACK NH FRUT.ROJOS  + SAMPLER 20 SOB.</t>
  </si>
  <si>
    <t>PACK MAQ. MAESTRO + 2 CAP. 10 UN BRITT</t>
  </si>
  <si>
    <t>3 PACK CAPSULAS ESPRESSO BRITT X 10 UN</t>
  </si>
  <si>
    <t>VINO GARZON ESTATE PINOT ROSE 750ML</t>
  </si>
  <si>
    <t>ESPUMANTE FREIXENET ASTI DOCG 750ML</t>
  </si>
  <si>
    <t>CIGARRILLOS LUCKY STRIKE D.CHILL 20U</t>
  </si>
  <si>
    <t>CAFÉ MOLIDO ARTIDORO PUNO X 250GR</t>
  </si>
  <si>
    <t>CAFÉ GRANO ARTIDORO PUNO X 250GR</t>
  </si>
  <si>
    <t>BOLSITA BON O BON X 90GR</t>
  </si>
  <si>
    <t>PACK BROWNIE GUSTOZZI EDICIÓN LTDA 6 UND</t>
  </si>
  <si>
    <t>BETUN PASTA SANTIAGO NEGRO 90ML</t>
  </si>
  <si>
    <t>BETUN PASTA SANTIAGO MARRON 90ML</t>
  </si>
  <si>
    <t>BETUN PASTA SANTIAGO NEUTRO 90ML</t>
  </si>
  <si>
    <t>BETUN LÍQUIDO  SANTIAGO NEGRO 60ML</t>
  </si>
  <si>
    <t>BETUN LÍQUIDO SANTIAGO BLANCO 60ML</t>
  </si>
  <si>
    <t>BETUN LÍQUIDO SANTIAGO MARRON 60ML</t>
  </si>
  <si>
    <t>BETUN LÍQUIDO SANTIAGO NEUTRAL 60ML</t>
  </si>
  <si>
    <t>LIMPIADOR GAMUZA SANTIAGO 100ML</t>
  </si>
  <si>
    <t>CREMA PARA CUERO MATE SANTIAGO 100ML</t>
  </si>
  <si>
    <t>CREMA PARA CUERO BRILLANTE  100ML</t>
  </si>
  <si>
    <t>DESODORANTE PARA CALZADO SANTIAGO 80ML</t>
  </si>
  <si>
    <t>ESPONJA PARA ZAPATOS NEGRO</t>
  </si>
  <si>
    <t>ESPONJA PARA ZAPATOS NEUTRAL</t>
  </si>
  <si>
    <t>AZUCAR BLANCA ONZA X 500 SOBRES - CONF</t>
  </si>
  <si>
    <t>AZUCAR RUBIA ONZA X 500 SOBRES - CONF</t>
  </si>
  <si>
    <t>VINO PASCUAL TOSO ROSE 750ML</t>
  </si>
  <si>
    <t>VINO PASCUAL TOSO BARRANCAS R.WINE 750ML</t>
  </si>
  <si>
    <t>HON MIRIN BÁRCIDDA X 500 ML</t>
  </si>
  <si>
    <t>JENGIBRE ENCUR ROJO GARI BÁRCIDDA X 1 KG</t>
  </si>
  <si>
    <t>COND SHICHIMI TOGARASHI BÁRCIDDA X 30 G</t>
  </si>
  <si>
    <t>VINAGRE DE ARROZ BÁRCIDDA X 500 ML</t>
  </si>
  <si>
    <t>PANKO PREMIUM BÁRCIDDA X 1 KG</t>
  </si>
  <si>
    <t>ALGAS NORI BÁRCIDDA 10 HOJAS X 28 G</t>
  </si>
  <si>
    <t>ALGAS NORI BÁRCIDDA 50 HOJAS X 140 G</t>
  </si>
  <si>
    <t>SALSA SOYA CLARA BÁRCIDDA X 500 ML</t>
  </si>
  <si>
    <t>SALSA SOYA OSCURA BÁRCIDDA X 500 ML</t>
  </si>
  <si>
    <t>SALSA SOYA CHAMPIÑ BÁRCIDDA X 500 ML</t>
  </si>
  <si>
    <t>SALSA SOYA JAPONESA BÁRCIDDA X 500 ML</t>
  </si>
  <si>
    <t>SALSA DE OSTIÓN BÁRCIDDA X 500 G</t>
  </si>
  <si>
    <t>SALSA PICANTE DE AJOS BÁRCIDDA X 500 G</t>
  </si>
  <si>
    <t>SALSA DULCE PICANTE BÁRCIDDA X 500 G</t>
  </si>
  <si>
    <t>SALSA HOISIN BÁRCIDDA X 500 G</t>
  </si>
  <si>
    <t>CHAMPIÑONES ENLATADOS BÁRCIDDA X 425 G</t>
  </si>
  <si>
    <t>FREJOLES NEGROS ESSENTIAL EVERYDAY X425G</t>
  </si>
  <si>
    <t>PANKO PREMIUM BÁRCIDDA X 200 G</t>
  </si>
  <si>
    <t>PACK RON DIPLOMATICO RES EX+VASO+MOLDE H</t>
  </si>
  <si>
    <t>PACK RON DIPLOMATICO MANTUANO + VASO</t>
  </si>
  <si>
    <t>RTD SOUR PIÑA COLADA MONTESIERPE 700 ML</t>
  </si>
  <si>
    <t>LICOR DE CREMA ALB SARCAY ORIGINAL 700ML</t>
  </si>
  <si>
    <t>LICOR DE CREMA ALB SARCAY CARAMEL 700ML</t>
  </si>
  <si>
    <t>PACK JUERGUERO CARNAVAL (PIS+EVER+JUEG)</t>
  </si>
  <si>
    <t>PISCO MACERADO CARNAVAL ARANDANO 750 ML</t>
  </si>
  <si>
    <t>RTD PARTY BOX MARACUYA VODKA 3L</t>
  </si>
  <si>
    <t>RTD PARTY BOX MANZANA VODKA 3L</t>
  </si>
  <si>
    <t>MANI TOSTADO BAJO EN SAL X 453G PLANTERS</t>
  </si>
  <si>
    <t>PIMIENTA ENTERA MOLINILLOX50G CUISNE&amp; CO</t>
  </si>
  <si>
    <t>COLLAMIN COLAGENO HIDROLIZADO X 310G</t>
  </si>
  <si>
    <t>GIN BOMBAY 750 ML+2 AGUA T. BRITIV 150ML</t>
  </si>
  <si>
    <t>BEBIDA PUM PUM TRES CRUCES 6P LAT 473ML</t>
  </si>
  <si>
    <t>PICNIC COOKED PORK SHOULDER TULIP X 454G</t>
  </si>
  <si>
    <t>PORK LUNCHEON MEAT TULIP X 200G</t>
  </si>
  <si>
    <t>COMINO MOLIDO LA SAZÓN DE DON BENITO 30G</t>
  </si>
  <si>
    <t>PIMIENTA NEGR LA SAZÓN DE DON BENITO 30G</t>
  </si>
  <si>
    <t>ORÉGANO MOLID LA SAZÓN DE DON BENITO 20G</t>
  </si>
  <si>
    <t>COMINO C/PIMI LA SAZÓN DE DON BENITO 30G</t>
  </si>
  <si>
    <t>SAZ AJÍ PANCA LA SAZÓN DE DON BENITO 63G</t>
  </si>
  <si>
    <t>SAZONAD TUCO LA SAZÓN DE DON BENITO 63G</t>
  </si>
  <si>
    <t>AGUA EVIAN CON GAS SPARKLING 750ML</t>
  </si>
  <si>
    <t>AGUA EVIAN CON GAS SPARKLING 330ML</t>
  </si>
  <si>
    <t>BEBIDA YUYU CLOROFILE 300ML</t>
  </si>
  <si>
    <t>RON FLOR DE CAÑA 4 AÑOS 1.75L</t>
  </si>
  <si>
    <t>RON FLOR DE CANA 5 AÑOS 1.75L</t>
  </si>
  <si>
    <t>NTG HYDRO BOOST SERUM 30ML F2</t>
  </si>
  <si>
    <t>NEUTROGENA PELE OLEOSA MORENA FPS 70 40G</t>
  </si>
  <si>
    <t>NEUTROGENA FAC OLEO CLARA FPS 70 40G</t>
  </si>
  <si>
    <t>NEUTROGENA FAC PELE OLEO FPS 70 40G</t>
  </si>
  <si>
    <t>FITOSHAMPOO MANZANILLA ILUMINADOR 250 ML</t>
  </si>
  <si>
    <t>FITOSHAMPOO ARGAN REPARADOR 250 ML</t>
  </si>
  <si>
    <t>FITOACONDICIONADOR ALOE VERA 200 ML</t>
  </si>
  <si>
    <t>FITOACONDICIONADOR ARGAN 200 ML</t>
  </si>
  <si>
    <t>FITOACONDICIONADOR MANZANILLA200 ML</t>
  </si>
  <si>
    <t>BRUSCHETAS TOM. &amp; OREG MARETTI 70GR</t>
  </si>
  <si>
    <t>BRUSCHETAS MEDITERRANEAN MARETTI 70GR</t>
  </si>
  <si>
    <t>BRUSCHETAS TOM. &amp; OREG  MARETTI 150GR</t>
  </si>
  <si>
    <t>BRUSCHETAS MEDITERRANEAN MARETTI 150GR</t>
  </si>
  <si>
    <t>SIMOND'S DERMOCREAM UREA 10%</t>
  </si>
  <si>
    <t>SIMOND´S DERMO AVENASORGANICAS+CERAMIDAS</t>
  </si>
  <si>
    <t>CAJA CORAZÓN SKITTLES X 184.5G</t>
  </si>
  <si>
    <t>CAJA CORAZÓN SKITTLES+STARBURST X 181.7G</t>
  </si>
  <si>
    <t>MARSHMALLOWS+GOMAS CORAZÓN GUANDY X 271G</t>
  </si>
  <si>
    <t>SIROPE EL DATIL 315GR</t>
  </si>
  <si>
    <t>GIN HENDRICKS LUNAR 700ML</t>
  </si>
  <si>
    <t>GIN HENDRICKS NEPTUNIA 700ML</t>
  </si>
  <si>
    <t>VODKA PRAVDA ESPRESSO BOT 750ML</t>
  </si>
  <si>
    <t>TRATAMIENTO DIAMOND STRENGTH HARDENER</t>
  </si>
  <si>
    <t>REMOVEDOR DE ESMALTE STRENGTHENING</t>
  </si>
  <si>
    <t>SCOTCHGARD PROTECTOR TERRAZAS X10.5OZ</t>
  </si>
  <si>
    <t>NEOPAN CEPILLO PONY/TRANFORMS 0-2 AÑOS</t>
  </si>
  <si>
    <t>PACK SAN VALENTIN GOMAS FINI X 75 G</t>
  </si>
  <si>
    <t>BALL SH LARGO INCREIBLE DP 750ML</t>
  </si>
  <si>
    <t>BALL SH ONDA Y RIZOS DP 750ML</t>
  </si>
  <si>
    <t>BALL AC LARGO INCREIBLE DP 750ML</t>
  </si>
  <si>
    <t>BALL AC ONDA Y RIZO DP 750ML</t>
  </si>
  <si>
    <t>GELATINA AKAMI 50GR FRESA</t>
  </si>
  <si>
    <t>GELATINA AKAMI 50GR NARANJA</t>
  </si>
  <si>
    <t>CRISINOS OREGANO S/GLUTEN CUISINE&amp;CO80G</t>
  </si>
  <si>
    <t>CRISINOS AVE&amp;AJON S/GLUTEN CUISINE&amp;CO80G</t>
  </si>
  <si>
    <t>CRISINOS FIN HIER S/GLUTEN CUISINE&amp;CO80G</t>
  </si>
  <si>
    <t>GINGER BEER MR PERKINS 4 UN X 200ML</t>
  </si>
  <si>
    <t>PISCO PURO CUATRO GALLOS ACHOLADO 1.75L</t>
  </si>
  <si>
    <t>PISCO PURO CUATRO GALLOS QUEBRANTA 1.75L</t>
  </si>
  <si>
    <t>PISCO PURO CUATRO GALLOS ITALIA 1.75L</t>
  </si>
  <si>
    <t>LICOR NEGRONI ABROGATTO 18 PACK 2 110ML</t>
  </si>
  <si>
    <t>LICOR NEGRONI ABROGATTO 18 BOT 110ML</t>
  </si>
  <si>
    <t>RON DIPLOMATICO SELECCIÓN DE FAMIL 700ML</t>
  </si>
  <si>
    <t>SIDRA THE GOOD CIDER MANZANA BOT 750ML</t>
  </si>
  <si>
    <t>SIDRA THE GOOD CIDER FRUTOS BSQ BT 750ML</t>
  </si>
  <si>
    <t>SCOTCH BRITE PAÑO ABSORBENTE 9 UNDS</t>
  </si>
  <si>
    <t>PISCO PORTON ROSA DEL PERU BOT 750ML</t>
  </si>
  <si>
    <t>PISCO PURO QUEBRANTA DECANTO 750ML</t>
  </si>
  <si>
    <t>PISCO PURO ITALIA DECANTO 750ML</t>
  </si>
  <si>
    <t>PISCO PURO ACHOLADO DECANTO 750ML</t>
  </si>
  <si>
    <t>AVENA MAXIMA X 5KG</t>
  </si>
  <si>
    <t>AGUA TÓNIC BRITVIC LOW CAL 12 UN X 150ML</t>
  </si>
  <si>
    <t>JABÓN PARA ROPA CARICIA BEBÉ 180G</t>
  </si>
  <si>
    <t>JABÓN PARA ROPA CARICIA LAVANDA 180G</t>
  </si>
  <si>
    <t>JABÓN PARA ROPA ÑA PANCHA FLORAL 180G</t>
  </si>
  <si>
    <t>JABÓN PARA ROPA ÑA PANCHA FLORAL 360G</t>
  </si>
  <si>
    <t>LENTEJA MÁXIMA X 1 KG</t>
  </si>
  <si>
    <t>ARVEJA PARTIDA MÁXIMA X 1KG</t>
  </si>
  <si>
    <t>MAIZ POP CORN MÁXIMA X 1KG</t>
  </si>
  <si>
    <t>CERVEZA SIX HOP IPA BOT 330ML</t>
  </si>
  <si>
    <t>CERVEZA BLACK CUCO IPA BOT 330ML</t>
  </si>
  <si>
    <t>ACEITUNA RELLE PIMIENTO LA ESPAÑOLA 130G</t>
  </si>
  <si>
    <t>ACEITUNA NEGRA S/HUESO LA ESPAÑOLA 130G</t>
  </si>
  <si>
    <t>CERVEZA SUNSET MARACUYA&amp;SAL M. LATA355ML</t>
  </si>
  <si>
    <t>CHIFLES LECHE DE TIGRE CRICKETS X 250G</t>
  </si>
  <si>
    <t>NIVEA MASCARILLA ROSE CARE</t>
  </si>
  <si>
    <t>AMB.SHICK AIR TECH CON REPUESTO COLONIA</t>
  </si>
  <si>
    <t>AMB.SHICK AIR TECH CON REPUESTO FRESA</t>
  </si>
  <si>
    <t>VINO 19 CRIMES ROSE 750ML</t>
  </si>
  <si>
    <t>AMB.SHICK AIR TECH CON REPUESTO MEZCLA T</t>
  </si>
  <si>
    <t>AMB.SHICK AIR TECH CON REPUESTO CHICLE</t>
  </si>
  <si>
    <t>RON COLONIAL BOT 700ML</t>
  </si>
  <si>
    <t>AMB.SHICK SPLASH X 2 TORONJA  LIMA</t>
  </si>
  <si>
    <t>AMB.SHICK SPLASH X 2 FRESA  VAINILLA</t>
  </si>
  <si>
    <t>AMB.SHICK SPLASH X 2 CARRO NUEVO  COLON</t>
  </si>
  <si>
    <t>CARAMELOS SURTIDOS CUISINE&amp;CO X 100UN</t>
  </si>
  <si>
    <t>CARAMELOS DE LIMÓN CUISINE&amp;CO X 100UN</t>
  </si>
  <si>
    <t>SALSA CASERA HERDEZ  X 453GR</t>
  </si>
  <si>
    <t>SALSA CASERA CHILE HABANERO HERDEZ X453G</t>
  </si>
  <si>
    <t>SALSA VERDE HERDEZ X 240GR</t>
  </si>
  <si>
    <t>SALSA CHIPOTLE PICANT CREMO HERDEZ X240G</t>
  </si>
  <si>
    <t>SALSA DE GUACAMOLE HERDEZ X 240GR</t>
  </si>
  <si>
    <t>GALLETAS DE LA FORTUNA LEONOR X 8 UNDS</t>
  </si>
  <si>
    <t>CERVEZA CHERRY CHOUFFE BOT 330ML</t>
  </si>
  <si>
    <t>CERVEZA DUVEL TRIPLE HOP CITRA BOT 330ML</t>
  </si>
  <si>
    <t>CERVEZA DUVEL 666  BOT 330ML</t>
  </si>
  <si>
    <t>VINO VIÑA VIEJA CHENIN BLANC 750ML</t>
  </si>
  <si>
    <t>VINO VIÑA VIEJA CAB.SAUVIGNON 750ML</t>
  </si>
  <si>
    <t>VINO VIÑA VIEJA MALBEC/MERLOT 750ML</t>
  </si>
  <si>
    <t>LICOR PALLINI LIMONCELLO BOT 1L</t>
  </si>
  <si>
    <t>GINGER BEER BRITVIC 4 UN X 150ML</t>
  </si>
  <si>
    <t>TIO NACHO SH CRECIMIENTO SALUDABLE 415ML</t>
  </si>
  <si>
    <t>TIO NACHO ACO CRECIMIENTO SALUDABLE415ML</t>
  </si>
  <si>
    <t>LIP LIFTER GLOSS PEARL</t>
  </si>
  <si>
    <t>LIP LIFTER GLOSS REEF</t>
  </si>
  <si>
    <t>LIP LIFTER GLOSS STONE</t>
  </si>
  <si>
    <t>LIP LIFTER GLOSS MOON</t>
  </si>
  <si>
    <t>LIP LIFTER GLOSS PETAL</t>
  </si>
  <si>
    <t>LIMADER ESPONJA OVAL ESPUMA X1</t>
  </si>
  <si>
    <t>RTD CHILCANO FRUTOS ROJOS LATA 355ML</t>
  </si>
  <si>
    <t>RTD CHILCANO MANGO LATA 355ML</t>
  </si>
  <si>
    <t>CARAMELO LÍQUIDO SPRAY PEPPA PIG X39G</t>
  </si>
  <si>
    <t>CARAMELO EXPLOSIVO PEPPA PIG X17G</t>
  </si>
  <si>
    <t>ESPUMA LIMPIADOR ZAPATILLA SANTIAGO X100</t>
  </si>
  <si>
    <t>PISCO FERREYROS ACHOL. BLEND X 750 ML</t>
  </si>
  <si>
    <t>GIN MG ROSA BOT 700 ML</t>
  </si>
  <si>
    <t>GIN MG 40 BOT 700 ML</t>
  </si>
  <si>
    <t>CERA EN AEROSOL INSTABRILLO 480ML</t>
  </si>
  <si>
    <t>CERA LIQUIDA 500ML SIEMPRE NUEVO</t>
  </si>
  <si>
    <t>LIMPIA VIDRIOS 350ML CON DESEMPAÑ 2 EN</t>
  </si>
  <si>
    <t>SILICONA UV3 400ML CITRUS AEROSOL</t>
  </si>
  <si>
    <t>AMB AUTOFRES GEL ECO.CARRO N.CLASSIC 80</t>
  </si>
  <si>
    <t>RON BARCELO BLANCO BOT 750ML</t>
  </si>
  <si>
    <t>RON BARCELO DORADO BOT 750ML</t>
  </si>
  <si>
    <t>LATA M&amp;M'S X90G</t>
  </si>
  <si>
    <t>TREE HUT EXFOLIANTE DE COCO COLADA 18 OZ</t>
  </si>
  <si>
    <t>TREE HUT EXFOLIANTE DE VITAMINA C 18 OZ</t>
  </si>
  <si>
    <t>PACK BACK TO SCHOOL FINI X 95G</t>
  </si>
  <si>
    <t>SALSA AJI CHARAPITA SABORES SELVA 90ML</t>
  </si>
  <si>
    <t>VINO VIÑA POMAL ROSADO 750ML</t>
  </si>
  <si>
    <t>VINO VIÑA POMAL CRIANZA 750ML</t>
  </si>
  <si>
    <t>VINO VIÑA POMAL RESERVA 75ML</t>
  </si>
  <si>
    <t>VINO VIÑA POMAL GRAN RESERVA 75ML</t>
  </si>
  <si>
    <t>PACK 2 VINOS TABERNERO ROSE PASAP.ROSSO</t>
  </si>
  <si>
    <t>COPELLO PACK BORG/TINTO 750ML</t>
  </si>
  <si>
    <t>CERVEZA DE MAIZ PUM PUM TC 6P LT355ML</t>
  </si>
  <si>
    <t>CERVEZA HEINEKEN PACK 4 LATAS 500ML</t>
  </si>
  <si>
    <t>ELV HIDRA HIALURONICO SH 1L COSBEL</t>
  </si>
  <si>
    <t>PACK CHILCANERO FINCA ROTONDO(PIS+GA+JA)</t>
  </si>
  <si>
    <t>ESPÁRRAGO VERDE SALMU CASA VERDE X 190GR</t>
  </si>
  <si>
    <t>ESPÁRRAGO VERDE SALMU CASA VERDE X 330GR</t>
  </si>
  <si>
    <t>SALSA VERDE DOYPACK CASA VERDE X 160GR</t>
  </si>
  <si>
    <t>SALSA ROJA DOY PACK CASA VERDE X 160GR</t>
  </si>
  <si>
    <t>CO CEPILLO VELVET VENT</t>
  </si>
  <si>
    <t>CO CEPILLO VELVET PADDLE</t>
  </si>
  <si>
    <t>CO SET 2PK VELVET CUSHIONMID SIZE</t>
  </si>
  <si>
    <t>RON BOTRAN COBRE 700ML</t>
  </si>
  <si>
    <t>CREMA DE COCO REAL 623 GR</t>
  </si>
  <si>
    <t>VERMOUTH ROSSO TOSTI 750ML</t>
  </si>
  <si>
    <t>CREMA IRLANDESA MOLLY´S BOT 700ML</t>
  </si>
  <si>
    <t>BRANDY MONTENEGRO VECCHIA ROMAGNA  700ML</t>
  </si>
  <si>
    <t>RTD THREE BIRDS FRAMBUESA LATA X 355 ML</t>
  </si>
  <si>
    <t>RTD THREE BIRDS MANGO LATA X 355 ML</t>
  </si>
  <si>
    <t>CO SCUNCI 3 PK STRETCH COMBS.</t>
  </si>
  <si>
    <t>CO SCUNCI 3PK 6CM OCTOPUS JAW CLIP</t>
  </si>
  <si>
    <t>CO SCUNCI 4PK THIN HEADBANDS</t>
  </si>
  <si>
    <t>CO SCUNCI 2000PK POLYBANDS</t>
  </si>
  <si>
    <t>RTD THREE BIRDS LIMÓN LATA X 355 ML</t>
  </si>
  <si>
    <t>VINO WINE LOVERS BLEND 750ML</t>
  </si>
  <si>
    <t>CAFÉ MOLIDO TOSTAD BLEND C-A-VR 200 C&amp;CO</t>
  </si>
  <si>
    <t>VODKA MONT BLANC ORIGINAL BOT 750ML</t>
  </si>
  <si>
    <t>SALSA PICANTE ROCOTO MANI AKIKEPIKE 195G</t>
  </si>
  <si>
    <t>VODKA MONT BLANC PURE DIAMOND BOT 700ML</t>
  </si>
  <si>
    <t>SALSA PICANTE ROCOT CRIOL AKIKEPIKE 195G</t>
  </si>
  <si>
    <t>SALSA PICANTE CREMA ROCOT AKIKEPIKE 195G</t>
  </si>
  <si>
    <t>SALSA PICANTE AJI PACHAMA AKIKEPIKE 195G</t>
  </si>
  <si>
    <t>SALSA PICANTE AJI POLLERO AKIKEPIKE 195G</t>
  </si>
  <si>
    <t>HUNGRY JACK SYRUP LITE 816ML</t>
  </si>
  <si>
    <t>QUINUA CON MACA ORG INKAFOREST 200GR</t>
  </si>
  <si>
    <t>MACA QUINUA &amp; CAC ORG INKAFOREST 200GR</t>
  </si>
  <si>
    <t>CHOC. EN POLVO SLENDER 35% CACAO X 200GR</t>
  </si>
  <si>
    <t>GARNIER HIDRATANTE SERUM GEL 50ML</t>
  </si>
  <si>
    <t>GOO SET FAMILY PACK COMBS X6</t>
  </si>
  <si>
    <t>GOO ACC METAL CONTOUR CLIPS X12</t>
  </si>
  <si>
    <t>RT BROCHA EF FOUND/POWD/BRONZ</t>
  </si>
  <si>
    <t>RT BROCHA TCH BLUSH/HIGHL/COUNTOUR</t>
  </si>
  <si>
    <t>FM BASIC SHEET MASK HYD ALOE X2U</t>
  </si>
  <si>
    <t>CIGARRILLOS PALL MALL SUNRISE XL 20U</t>
  </si>
  <si>
    <t>BRITVIC GINGER MIX 4PACK X 150 ML</t>
  </si>
  <si>
    <t>LECHE UHT PARCIALM DESCREM VIGOR X800ML</t>
  </si>
  <si>
    <t>FRU HAIR FOOD SANDIA ACO 300ML NAT</t>
  </si>
  <si>
    <t>FRU HAIR FOOD SANDIA SH 300ML NAT</t>
  </si>
  <si>
    <t>FRU HAIR FOOD SANDIA JAR 350ML</t>
  </si>
  <si>
    <t>MEZCLA MANIMIX TRUNUTS X 150GR</t>
  </si>
  <si>
    <t>MEZCLA MANIMIX TRUNUTS PQ 6UN X 30GR</t>
  </si>
  <si>
    <t>VODKA MONTBLANC ORIGINAL LATA 750ML</t>
  </si>
  <si>
    <t>VINAG BALSA DE MODENA ANDRE MILANO 500ML</t>
  </si>
  <si>
    <t>VODKA MONT BLANC ORIG BT 750+ESTUCH+SHOT</t>
  </si>
  <si>
    <t>VINAG BALSA DE MODENA ANDREMILANO 1000ML</t>
  </si>
  <si>
    <t>VINAGRE BLANCO ANDREA MILANO 1000 ML</t>
  </si>
  <si>
    <t>VINAGRE TINTO ANDREA MILANO 1000 ML</t>
  </si>
  <si>
    <t>DESODORANTE STICK X54GR  NIVEA SENSITIVE</t>
  </si>
  <si>
    <t>NIVEA DEO PEARL AND BEAUTY 54G</t>
  </si>
  <si>
    <t>DEO STICK NIVEA MEN SILVER PROTECT 54G</t>
  </si>
  <si>
    <t>DEO INVISIBLE B&amp;W NIVEA, FEM STICK 54G</t>
  </si>
  <si>
    <t>BOMBONES DULCE D/LECHE BOB ESTUCHE X 96G</t>
  </si>
  <si>
    <t>VINO ESTANCIA MENDOZA CHARD-CHEN 750ML</t>
  </si>
  <si>
    <t>TALCO NAT SAYSI REFRESCA MENTA 100GR</t>
  </si>
  <si>
    <t>MAYONESA ACEVICHADA ORIG LEGOVIC X 340GR</t>
  </si>
  <si>
    <t>MAYONESA ACEVICHADA PICANT LEGOVIC 340GR</t>
  </si>
  <si>
    <t>GARBANZO X 500GR CUISINE&amp;CO</t>
  </si>
  <si>
    <t>INFUSION LA FIDELIA COFRE ETERNO 10 UN</t>
  </si>
  <si>
    <t>ELVIVE HA PURE SHAMPOO 680ML</t>
  </si>
  <si>
    <t>ELVIVE HA PURE CTT 300G</t>
  </si>
  <si>
    <t>ELVIVE HA PURE ACO 680ML</t>
  </si>
  <si>
    <t>SANGRÍA LOLEA N° 3 750ML</t>
  </si>
  <si>
    <t>SANGRÍA LOLEA N° 4 750ML</t>
  </si>
  <si>
    <t>TIO NACHO SHAMPOO COCO ULTRAHIDRA 950 ML</t>
  </si>
  <si>
    <t>PICKLES ENTEROS CUISINE&amp;CO X 380GR</t>
  </si>
  <si>
    <t>PICKLES EN RODAJAS CUISINE&amp;CO X 380GR</t>
  </si>
  <si>
    <t>SALSA TIPO MEXICAN REG CUISINE&amp;CO 195G</t>
  </si>
  <si>
    <t>SALSA TIPO MEXICAN PICANT CUISINE&amp;CO195G</t>
  </si>
  <si>
    <t>ROLLO DE ALUMINIO PARRILLERO 5M U-THIL</t>
  </si>
  <si>
    <t>NOBEL ARNICA CRACKLING SPRAY 100 ML</t>
  </si>
  <si>
    <t>CERÁMICA CORAZÓN BACI X 62.5 G</t>
  </si>
  <si>
    <t>CARTERA GUANDY X 300 G</t>
  </si>
  <si>
    <t>CORAZÓN MAMÁ MILKY WAY/SNICKERS X 95.2G</t>
  </si>
  <si>
    <t>VICK TERMOMETRO DIGITAL V901</t>
  </si>
  <si>
    <t>ACEITE PARA UÑAS Y CUTÍCULAS VITAMINA E</t>
  </si>
  <si>
    <t>TRATAMIENTO FORTALECEDOR MIRACLE CURE</t>
  </si>
  <si>
    <t>SCHICK GEL QUATTRO RASPBERRY 200ML MUJER</t>
  </si>
  <si>
    <t>AZUCAR DE COCO MI TIERRA X 250G</t>
  </si>
  <si>
    <t>GIN BEEFEATER DRY700+4BOT AGUA T.MR PERK</t>
  </si>
  <si>
    <t>GIN BEEFEAT PINK700+ 4BOT P.SODA MR PERK</t>
  </si>
  <si>
    <t>TACOS AHUMADOS POTA BALSILLAS MAR 120G</t>
  </si>
  <si>
    <t>PACK JF VIBRANTSH250ML+AC250ML+SPRY150ML</t>
  </si>
  <si>
    <t>SF COL X3 X250ML(CITRIC+HERBAL+ROSAS)</t>
  </si>
  <si>
    <t>SF CHERRY LCION 100ML+SHWR GEL100ML+ESPJ</t>
  </si>
  <si>
    <t>SF VNILLA LCION 100ML+SHWR GEL100ML+ESPJ</t>
  </si>
  <si>
    <t>SF CHERRY VANILLA &amp; PERA LCION 3 X 100ML</t>
  </si>
  <si>
    <t>ESTUCHE VIDA DE SAPHIR 200 + 25 ML </t>
  </si>
  <si>
    <t>DW PACK BUT SALT SCRUB+HAND CRM+ESPONJA</t>
  </si>
  <si>
    <t>PACK HY-ADVANCE DIA + NOCHE +NECESER</t>
  </si>
  <si>
    <t>PACK HY ADVANCE NOCHE + SERUM+NECESER</t>
  </si>
  <si>
    <t>PACK LIMPIEZA:MICE+EXFO+LTONICA</t>
  </si>
  <si>
    <t>FRUTOS DEL MONJE ERITRITOL 1LB AMAZONIA</t>
  </si>
  <si>
    <t>SUAVIZANTE DE ROPA CARICIA BEBÉ 75ML</t>
  </si>
  <si>
    <t>AGUARDIENTE ANTIOQUEÑO S/AZUCAR BT 750ML</t>
  </si>
  <si>
    <t>ACOND KONZILX340ML , COL+VIT B7</t>
  </si>
  <si>
    <t>ACOND KONZILX340ML , SEDA LIQ+PRO VIT B5</t>
  </si>
  <si>
    <t>SHAMPOO KONZILX340ML , COLAGENO+VIT B7</t>
  </si>
  <si>
    <t>SHAMPOO KONZILX340ML , SEDA LIQ+PRO VIT</t>
  </si>
  <si>
    <t>KONZIL UR SH RESTAURACION 340 ML</t>
  </si>
  <si>
    <t>KONZIL UR ACO RESTAURACION 340 ML</t>
  </si>
  <si>
    <t>PISCO CUATRO FUNDOS ACHOLADO BOT 500ML</t>
  </si>
  <si>
    <t>RTD SANTIAGO Q. CHILCANO DE PISCO LIMON</t>
  </si>
  <si>
    <t>RTD SANTIAGO Q. CHILCANO DE PISCO CIRUEL</t>
  </si>
  <si>
    <t>AMARETTO DISARONNO VELVET BOT 700 ML</t>
  </si>
  <si>
    <t>TIO NACHO SHAMPOO ENGROSADOR 950ML</t>
  </si>
  <si>
    <t>TIO NACHO SHAMPOO HERBOLARIA 950 ML</t>
  </si>
  <si>
    <t>STEVIA LA BOLIVIANA CJX120UND</t>
  </si>
  <si>
    <t>STEVIA LA BOLIVIANA FR X 150GR</t>
  </si>
  <si>
    <t>ENDULZANTE LA BOLIVIANA LIQ X 100ML</t>
  </si>
  <si>
    <t>ENDULZANTE NUTRASTEVIA COLÁGENO FR 50GR</t>
  </si>
  <si>
    <t>ESPUMANTE MIONETTO PROSECCO DOC 750ML</t>
  </si>
  <si>
    <t>ESPUMANTE MIONETTO PROS ROSE DOC 750ML</t>
  </si>
  <si>
    <t>ENDULZANTE NUTRASTEVIA CON YACON FR 50GR</t>
  </si>
  <si>
    <t>ENDULZT NUTRASTEVIA CON YACON LIQ 100ML</t>
  </si>
  <si>
    <t>PACK X2 AROMASENSE JAB FRUTOS ROJ+BAMB</t>
  </si>
  <si>
    <t>PACK X2 AROMASENSE JABON AVENA+TE VERDE</t>
  </si>
  <si>
    <t>DUO SET BODY &amp; HAND  COCONUT X 100ML</t>
  </si>
  <si>
    <t>DUO SET  BODY LOTION CHERRY X 500ML</t>
  </si>
  <si>
    <t>MANI BAÑADO EN COB. SABOR CHOCOLATE X1KG</t>
  </si>
  <si>
    <t>PASAS BAÑADAS EN COB SABOR CHOCOLATE 1KG</t>
  </si>
  <si>
    <t>PASAS BORRACHAS BAÑADAS COB SAB CHOC 1KG</t>
  </si>
  <si>
    <t>TAPENADE ALCACHOFA OLIVOS DEL SUR 260G</t>
  </si>
  <si>
    <t>TAPENADE MIX ACEITUNAS ODS 260G</t>
  </si>
  <si>
    <t>TAPENADE TRADICIONAL OLIVOS DEL SUR 260G</t>
  </si>
  <si>
    <t>HUMMUS PIQUILLO ODS 220GR</t>
  </si>
  <si>
    <t>HUMMUS TRADICIONAL ODS 220GR</t>
  </si>
  <si>
    <t>JARABE AGAVE AMERICA ORGANICA 200GR</t>
  </si>
  <si>
    <t>HUMMUS ALCACHOFA ODS 220 GR</t>
  </si>
  <si>
    <t>PEPINILLO ENTERO FRASCO  ODS 550 GR</t>
  </si>
  <si>
    <t>PEPINILLO  RODAJAS FRASCO ODS 520 GR</t>
  </si>
  <si>
    <t>PALMITO ENTERO FRASCO ODS 200 GR</t>
  </si>
  <si>
    <t>PALMITO ENTERO FRASCO ODS 410 GR</t>
  </si>
  <si>
    <t>ACEITUNA BOTIJA DESH FCO ODS X 225 GR</t>
  </si>
  <si>
    <t>ACEITUNA VERDE DESH FCO ODS 225 GR.</t>
  </si>
  <si>
    <t>ACEITUNA VERDE RELL/CAST FCO ODS 225 GR</t>
  </si>
  <si>
    <t>ACEITUNA VERDE RELL/ROC FCO ODS 225 GR</t>
  </si>
  <si>
    <t>ACEITUNA VERDE RELL/PIM FCO ODS 225 GR</t>
  </si>
  <si>
    <t>PACK CHILCANERO MULITA TACAMA ACHOLADO</t>
  </si>
  <si>
    <t>PISCO DEMONIO A. LA LEYENDA BOT 700 ML</t>
  </si>
  <si>
    <t>SUN BUM REVITALIZING SHAMPOO</t>
  </si>
  <si>
    <t>SUN BUM REVITALIZING CONDITIONER</t>
  </si>
  <si>
    <t>SUN BUM 3 IN 1 LEAVE IN CONDITIONER</t>
  </si>
  <si>
    <t>SUN BUM COCONUT ARGAN OIL</t>
  </si>
  <si>
    <t>SUN BUM TEXTURIZING SEA SPRAY</t>
  </si>
  <si>
    <t>SUN BUM BLONDE HAIR LIGHTENER</t>
  </si>
  <si>
    <t>SUN BUM BLONDE TONE ENHANCER</t>
  </si>
  <si>
    <t>SUN BUM PROTECTING HEAT PROTECTOR</t>
  </si>
  <si>
    <t>EXH STRETCH &amp; STRENGTHEN VERY BROWN</t>
  </si>
  <si>
    <t>EXH STRETCH &amp; STRENGTHEN VERY BLACK</t>
  </si>
  <si>
    <t>DEL OJOS EXHLASH ENHANCING LINER RICH BR</t>
  </si>
  <si>
    <t>DEL OJOS EXHLASH ENHANCING LINER MAT BLA</t>
  </si>
  <si>
    <t xml:space="preserve"> SET SIMOND'S DERMOCREAM UREA 10%</t>
  </si>
  <si>
    <t>MEDICASP SHAMPOO ANTICASPA 400ML</t>
  </si>
  <si>
    <t>PALMERS COCONUT OIL FORM CREMA MANOS 96G</t>
  </si>
  <si>
    <t>DISCOS DESMAQ X 70UND HELLO KITTY F&amp;C</t>
  </si>
  <si>
    <t>TALCO ANTIBACTERIAL DEO PIES X 90GR</t>
  </si>
  <si>
    <t>TALCO ANTIBACTERIAL DEO PIES X 150GR</t>
  </si>
  <si>
    <t>TALCO ANTIBACTERIAL DEO PIES X 300+90GR</t>
  </si>
  <si>
    <t>REDOXON TOTAL COMPRIMIDO RECUBIERTO X10</t>
  </si>
  <si>
    <t>NUTRI CO PLANT PROTEIN CACAO DP 500 G</t>
  </si>
  <si>
    <t>NUTRI CO PLANT PROTEIN VAINILLA DP 500 G</t>
  </si>
  <si>
    <t>COLAGENO HIDROLIZADO COMPLEMENTA X300GR</t>
  </si>
  <si>
    <t>DIP PESTO GENOVES QUINOA VERDE 180G</t>
  </si>
  <si>
    <t>BROWNIE C/CHOCOLATE BITTER TANA 320GR</t>
  </si>
  <si>
    <t>SHAMPOO BALLERINA CARBON DP 750ML</t>
  </si>
  <si>
    <t>FÓRMULA INFANTIL ENFAMIL CONFORT X 1.1KG</t>
  </si>
  <si>
    <t>PISCO LA BOTIJA ED. ALIANZA LIMA 700 ML</t>
  </si>
  <si>
    <t>VINO CASA SILVA QUINTA GENERACION 750ML</t>
  </si>
  <si>
    <t>VINO TRUMPETER MALBEC 1.5LT</t>
  </si>
  <si>
    <t>VINO RUTINI COLECCION CAB/MB 1.5LT</t>
  </si>
  <si>
    <t>VINO PACHECO PEREDA MALBEC 750ML</t>
  </si>
  <si>
    <t>VINO PACHECO PEREDA SAUV.BLANC 750ML</t>
  </si>
  <si>
    <t>VINO RUCA MALEN CAPITULO UNO CHARD 750ML</t>
  </si>
  <si>
    <t>VINO RUCA MALEN CAP.UNO CAB.SAUV 750ML</t>
  </si>
  <si>
    <t>VINO RUCA MALEN CAP.UNO MALBEC 750ML</t>
  </si>
  <si>
    <t>VINO RUCA MALEN CAP.DOS MALBEC 750ML</t>
  </si>
  <si>
    <t>VINO PEÑASOL 750ML</t>
  </si>
  <si>
    <t>VINO TACAMA ROSE SEMI SECO 2LT</t>
  </si>
  <si>
    <t>VINO TACAMA TOÑUZ QUEBRANTA/TANNAT 750ML</t>
  </si>
  <si>
    <t>CEREAL AVENA&amp;ARROZ BOLSA CUISINE&amp;CO 250G</t>
  </si>
  <si>
    <t>KETCHUP B&amp;D DOYPACK 1KG</t>
  </si>
  <si>
    <t>MOSTAZA B&amp;D DOYPACK 1KG</t>
  </si>
  <si>
    <t>MAYONESA B&amp;D X 400G</t>
  </si>
  <si>
    <t>TUCO CON CARNE B&amp;D 230G</t>
  </si>
  <si>
    <t>AC DE AJONJOLI BOTX200 OLIVOS DEL SUR</t>
  </si>
  <si>
    <t>AC DE OLIVA EXTR VIRG X250 JARRA OLIVOS</t>
  </si>
  <si>
    <t>ACEITE DE COCO X 200 OLIVOS DEL SUR</t>
  </si>
  <si>
    <t>ACEITE DE COCO X 350 OLIVOS DEL SUR</t>
  </si>
  <si>
    <t>CAFÉ MOLIDO 86 TAZAS TIYAPUY 250GR</t>
  </si>
  <si>
    <t>MUÑA EN HOJA NUESTRA SALUD 50GR</t>
  </si>
  <si>
    <t>INF. FRUT TROPICAL NATURE'S HEART 20 UN</t>
  </si>
  <si>
    <t>PACK 2 VINOS 20 ALDEAS 750ML C/U</t>
  </si>
  <si>
    <t>SANYTOL DESODORANTE CALZADO SPRAY 150ML</t>
  </si>
  <si>
    <t>AVENA INST.SAB MANZANA&amp;CAN CUISINE&amp;CO45G</t>
  </si>
  <si>
    <t>AVENA INST.SAB CHOCOLATE CUISINE&amp;CO 45G</t>
  </si>
  <si>
    <t>AVEN INST.SAB FRUTOS ROJOS CUISINE&amp;CO45G</t>
  </si>
  <si>
    <t>PASTA DENTRIFICA DE CALENDULA  75 ML</t>
  </si>
  <si>
    <t>LOCION CAPILAR REVITALIZANTE 100 ML</t>
  </si>
  <si>
    <t>BOLITAS DE ALGODÓN F&amp;C X100G</t>
  </si>
  <si>
    <t>PADS DESMAQ F&amp;C X80 UN</t>
  </si>
  <si>
    <t>KERABRASIL SHAMPOO ARGAN 500 ML</t>
  </si>
  <si>
    <t>KERABRASIL SHAMPOO MONOI 500 ML</t>
  </si>
  <si>
    <t>KERABRASIL SHAMPOO COLOR 500 ML</t>
  </si>
  <si>
    <t>KERABRASIL REACONDICIONADOR ARGAN 500ML</t>
  </si>
  <si>
    <t>KERABRASIL REACONDICIONADOR MONOI 500ML</t>
  </si>
  <si>
    <t>KERABRASIL REACONDICIONADOR COLOR 500ML</t>
  </si>
  <si>
    <t>KERABRASIL TRATAMIENTO ARGAN 500ML</t>
  </si>
  <si>
    <t>KERABRASIL TRATAMIENTO MONOI 500ML</t>
  </si>
  <si>
    <t>LICOR CREMA BROGANS BOT 1L</t>
  </si>
  <si>
    <t>RON CENTENARIO 12 ANOS BOT 750ML+2 VASOS</t>
  </si>
  <si>
    <t>VINO 19 CRIMES MARTHA CHARDONNAY 750ML</t>
  </si>
  <si>
    <t>CACAO EN POLVO MARIMIEL DP200G</t>
  </si>
  <si>
    <t>KERABRASIL TRATAMIENTO COLOR 500ML</t>
  </si>
  <si>
    <t>PACK MUSS KIDS MANZANIL SH400ML+CPP300ML</t>
  </si>
  <si>
    <t>PACK ESCOBA LA PODEROSA+RECOGEDOR COLOR</t>
  </si>
  <si>
    <t>WHISKY MONKEY SHOULDER BOT 700ML</t>
  </si>
  <si>
    <t>WHISKY GLENFIDDICH GRAND CRU 23Y BOT 700</t>
  </si>
  <si>
    <t>PACK GIN HENDRICKS + ONZERA PREMIUM</t>
  </si>
  <si>
    <t>MIXTURA FIESTA 180G CUISINE&amp;CO</t>
  </si>
  <si>
    <t>ESTUCHE EDP PERFECT MAN +DESODORANTE</t>
  </si>
  <si>
    <t>ESTUCHE EDP SEDUCTION MAN+ DESODORANTE</t>
  </si>
  <si>
    <t>MR. CLASSIC KIT DE BARBA</t>
  </si>
  <si>
    <t>SHAMPOO BRILLO SIMONIZ RAPIDA DIS 1000ML</t>
  </si>
  <si>
    <t>3065 ANTIEMPAÑANTE 120ML</t>
  </si>
  <si>
    <t>REFRIG.RADIADOR GALON VERDE</t>
  </si>
  <si>
    <t>REFRIG.RADIADOR GALON AZUL</t>
  </si>
  <si>
    <t>RUBBING COMPOUND CREMA 200GR</t>
  </si>
  <si>
    <t>SIM.AUTOFRES. GEL ECONOMICO FRESA 80GR</t>
  </si>
  <si>
    <t>SIM.AUTOFRES. GEL ECONOMICO CITRUS 80GR</t>
  </si>
  <si>
    <t>SIM. AUTOFRES GEL ECO.CARRO N. SPORT 80G</t>
  </si>
  <si>
    <t>*SIM ESPUMAGIC LIMPIADOR ESP MULT 650ML</t>
  </si>
  <si>
    <t>PACK 2 VINOS 19 CRIMES CALI RED+CH 750ML</t>
  </si>
  <si>
    <t>PACK 2 VINOS E.GASCON MB + CAB 750ML C/U</t>
  </si>
  <si>
    <t>TAPETE QUICK FIT SIMONIZ PVC NEGRO 3PZS</t>
  </si>
  <si>
    <t>DETERGENTE LIQUIDO UNIVERSAL 1.8L FROSCH</t>
  </si>
  <si>
    <t>EMSAL LIMP/CUID PISOS ECOAMIGABLES1L</t>
  </si>
  <si>
    <t>LAVAVAJILLAS LIQUIDO FROSCH 750ML</t>
  </si>
  <si>
    <t>AMMENS OF.MZLLA.SH400ML+SHDOY400ML+TAL60</t>
  </si>
  <si>
    <t>PROTEC.UV3 300ML FRESA</t>
  </si>
  <si>
    <t>CRISTAL - EAU DE TOILETTE + &amp; BODY SPRAY</t>
  </si>
  <si>
    <t>ME TO EAU TOILETTE CONT 50ML+SHOWER GEL</t>
  </si>
  <si>
    <t>DOBLE BLACK EAU DE TOILETTE&amp; SHOWER GEL</t>
  </si>
  <si>
    <t>GALLETA C/GOCCE DI CIOCCO CAMPIELLO 350G</t>
  </si>
  <si>
    <t>GALLETA ARIELLE FROLLINI CAMPIELLO 250G</t>
  </si>
  <si>
    <t>GALLETA I BISCOTI 123 CAMPIELLO 300G</t>
  </si>
  <si>
    <t>GALLETA C/CEREALI INTEGRA CAMPIELLO 350G</t>
  </si>
  <si>
    <t>BOLSA DE BASURA ANTIBACT 50L 10U VIRUTEX</t>
  </si>
  <si>
    <t>BOLSA DE BASURA ROLLO BLANCA 5L X15U VTX</t>
  </si>
  <si>
    <t>ESPONJA SPUNITA 3X2 CLÁSICA VIRUTEX</t>
  </si>
  <si>
    <t>PAÑO ANTIBACTERIAL COBRE VIRUTEX X14</t>
  </si>
  <si>
    <t>ESPONJA ACANALADA COBRE X2 VIRUTEX</t>
  </si>
  <si>
    <t>VINO TARON 4M 750ML</t>
  </si>
  <si>
    <t>VINO TARON CRIANZA 750ML</t>
  </si>
  <si>
    <t>VINO TARON RESERVA 750ML</t>
  </si>
  <si>
    <t>VINO TARON CEPAS CENTENARIAS 750ML</t>
  </si>
  <si>
    <t>VINO EL CIRCO FUNAMBULISTA 750ML</t>
  </si>
  <si>
    <t>SENSODYNE PROTECCIÓN COMPLETA 90GR</t>
  </si>
  <si>
    <t>NUTRISS RET RAIZ 7.0 20G+20ML</t>
  </si>
  <si>
    <t>NUTRIS RET RAIZ 7.1 20G+20ML</t>
  </si>
  <si>
    <t>AZUCAR BLANCA ONZA X 500 SOBRES - PC</t>
  </si>
  <si>
    <t>DETERGENTE ECOLOGICO BIO ETERNA 2L</t>
  </si>
  <si>
    <t>DAWN ULTRA ORIGINAL 21.6OZ/638ML</t>
  </si>
  <si>
    <t>JOHNOSNS BABY GIFTSETS ESTUCHE GRANDE</t>
  </si>
  <si>
    <t>GIN HENDRICKS FLORA BOT 700ML</t>
  </si>
  <si>
    <t>PACK CERVECERO DIA DEL PADRE CANDELARIA</t>
  </si>
  <si>
    <t>GIN MALARIA BOT 700 ML</t>
  </si>
  <si>
    <t>PIÑA DESHIDRATADA GO BARMAN 60G</t>
  </si>
  <si>
    <t>MIX BERRIES LIOFILIZADA GO BARMAN 18G</t>
  </si>
  <si>
    <t>LIMA DESHIDRATADA CITRICO GO BARMAN 25 G</t>
  </si>
  <si>
    <t>AGUA MINERAL CON GAS SOCOSANI BOT X750ML</t>
  </si>
  <si>
    <t>VINO KNOCK KNOCK 750ML</t>
  </si>
  <si>
    <t>PACK VINO KNOCK KNOCK 750ML+COPA</t>
  </si>
  <si>
    <t>VINO CASTEL PIETRA  PINOT GRIGIO 750ML</t>
  </si>
  <si>
    <t>VINO MONTGRAS DE VINE RSVA MERLOT 750ML</t>
  </si>
  <si>
    <t>VINO CASTEL PIETRA P.GRIGIO ROSE 750ML</t>
  </si>
  <si>
    <t>VINO CASTEL PIETRA MERLOT 750ML</t>
  </si>
  <si>
    <t>AC CARTAMO SABOR MANTEQUILL OLEICO 170G</t>
  </si>
  <si>
    <t>CANTU THERMAL SHIELD HEAT PROTECTANT </t>
  </si>
  <si>
    <t>CANTU 340 GR  DEFINE AND SHINE CUSTARD</t>
  </si>
  <si>
    <t>CANTU 18.5 OZ STRENGTHENING STYLING GEL</t>
  </si>
  <si>
    <t>ACEITE OLIVA EX. VIR. 4LT OLIVOS DEL SUR</t>
  </si>
  <si>
    <t>ACEITE OLIVA VIRGEN 2LT OLIVOS DEL SUR</t>
  </si>
  <si>
    <t>VINO LA MASCOTA CABERNET FRANC 750ML</t>
  </si>
  <si>
    <t>VINO TRAPICHE RSVA MALBEC 750ML</t>
  </si>
  <si>
    <t>VINO TRAPICHE RSVA CAB.SAUV 750ML</t>
  </si>
  <si>
    <t>VINO TRAPICHE RSVA CHARDONNAY 750ML</t>
  </si>
  <si>
    <t>VINO MONTGRAS DE VINE RSV CAB.SAUV 750ML</t>
  </si>
  <si>
    <t>VINO TRAPICHE ASTICA CAB/MALBEC 750ML</t>
  </si>
  <si>
    <t>VINO SEPTIMA CABERNET FRANC 750ML</t>
  </si>
  <si>
    <t>VINO SEPTIMA SAUVIGNON BLANC 750ML</t>
  </si>
  <si>
    <t>KONZIL UR SH NUTRICION 340 ML</t>
  </si>
  <si>
    <t>KONZIL UR ACO NUTRICION 340 ML</t>
  </si>
  <si>
    <t>AMMENS OF.ORIGI SH400ML+SHDOY400ML+TAL60</t>
  </si>
  <si>
    <t>MACA NEGRA ORGANICA INKAFOREST 200GR</t>
  </si>
  <si>
    <t>INF. DE HOJA MANGO&amp;PIÑA LA FIDELIA 78GR</t>
  </si>
  <si>
    <t>INF. DE HOJA CEREZO&amp;CAMU LA FIDELIA 80GR</t>
  </si>
  <si>
    <t>INF. DE HOJA PIÑA&amp;SAUCO LA FIDELIA 74GR</t>
  </si>
  <si>
    <t>INF. DE HOJA NIBS&amp;CACAO LA FIDELIA 64GR</t>
  </si>
  <si>
    <t>PAPA MIX 160G + CAMOTES 160G TIYAPUY</t>
  </si>
  <si>
    <t>PACK LONCHERA TIYAPUY X6UN</t>
  </si>
  <si>
    <t>PAPAS NATIVAS FIESTAS PATRIAS LATA X400G</t>
  </si>
  <si>
    <t>CHOCOLATE SNICKERS DISPLAY 516G 24X21.5G</t>
  </si>
  <si>
    <t>FM BASIC HYA ACID MASK SACHET 10ML</t>
  </si>
  <si>
    <t>FM BASIC PEPTIDES MASK SACHET 10ML</t>
  </si>
  <si>
    <t>FM BASIC CERAMIDE MASK SACHET 10ML</t>
  </si>
  <si>
    <t>FM BASIC VITAMIC C MASK SACHET 10ML</t>
  </si>
  <si>
    <t>VEET PURE CREMA PIEL NORMAL X 100ML</t>
  </si>
  <si>
    <t>VEET PURE CREMA PIEL SENSIBLE X 100ML</t>
  </si>
  <si>
    <t>CHAMPIÑONES  ENTEROS LATA ODS 425G</t>
  </si>
  <si>
    <t>SALSA AVOCADO PALTA DIP MILD HERDEZ 425G</t>
  </si>
  <si>
    <t>SALSA AVOCADO HOT SAUCE HERDEZ 142G</t>
  </si>
  <si>
    <t>SALSA BLANCA CASA VERDE 325G</t>
  </si>
  <si>
    <t>BEBIDA LONDA CRANBERRY LIGHT 500ML</t>
  </si>
  <si>
    <t>BEBIDA LONDA CRANBERRY GREEN TEA 1L</t>
  </si>
  <si>
    <t>RTD WASSKA HAPPY PUNCH PIÑA COL.LT 355ML</t>
  </si>
  <si>
    <t>RTD WASSKA HAPPY PUNCH MARACUYA LT 355ML</t>
  </si>
  <si>
    <t>BABARIA GEL DE DUCHA COCO Y VAINILLA X1L</t>
  </si>
  <si>
    <t>PAPEL ANTIADHERENTE PARA AIR FRYER UTHIL</t>
  </si>
  <si>
    <t>CEREAL FRUTYCOLOR BOLSA CUISINE&amp;CO 250G</t>
  </si>
  <si>
    <t>STICKS CREMA DE CASTAÑA LA IBÉRICA X350G</t>
  </si>
  <si>
    <t>VINO DEMUERTE ROSE 750ML</t>
  </si>
  <si>
    <t>VINO DEMUERTE WHITE 750ML</t>
  </si>
  <si>
    <t>VINO SANTIAGO QUEIROLO BORGOÑA 2LT</t>
  </si>
  <si>
    <t>VINO SANTIAGO QUEIROLO BORGOÑA 4LT</t>
  </si>
  <si>
    <t>VINO SANTIAGO QUEIROLO MAGDALENA 2LT</t>
  </si>
  <si>
    <t>VINO SANTIAGO QUEIROLO MAGDALENA 4LT</t>
  </si>
  <si>
    <t>VINO SANTIAGO QUEIROLO ROSE 2LT</t>
  </si>
  <si>
    <t>VINO SANTIAGO QUEIROLO ROSE 4LT</t>
  </si>
  <si>
    <t>QUITAMANCHA VANISH ROSADO 120GR DOYPACK</t>
  </si>
  <si>
    <t>QUITAMANCHA VANISH BLANCO 120GR DOYPACK</t>
  </si>
  <si>
    <t>SCUNCI 6PK ASSORTED SCRUNCHIES GDE</t>
  </si>
  <si>
    <t>SCUNCI 3PK OPEN CUT RECTANGLE CLAW CLIP</t>
  </si>
  <si>
    <t>VEET PURE CREMA PIEL NORMAL X 200ML</t>
  </si>
  <si>
    <t>VINO MONTGRAS DE VINE RSV SAUV.BL 750ML</t>
  </si>
  <si>
    <t>VEET PURE CREMA PIEL SENSIBLE X 200ML</t>
  </si>
  <si>
    <t>VEET PURE CREMA PIEL KIT FACIAL 2X50ML</t>
  </si>
  <si>
    <t>VERMOUTH DOLIN DE CHAMBERY ROUGE BT750ML</t>
  </si>
  <si>
    <t>VERMOUTH DOLIN DE CHAMBERY DRY BOT 750ML</t>
  </si>
  <si>
    <t>DETERGENTE DOYPACK ETERNA 1.8L</t>
  </si>
  <si>
    <t>TINTE PALETTE ICC 5-60 CHOCOLATE MOCCA</t>
  </si>
  <si>
    <t>TINTE PALETTE ICC 6-460 CHOCOLATE AVELL</t>
  </si>
  <si>
    <t>VINO BARON DE CHIREL TINTO 750ML</t>
  </si>
  <si>
    <t>VINO BARON DE CHIREL BLANC 750ML</t>
  </si>
  <si>
    <t>VINO MARQUES DE RISCAL RESERVA 1.5LT</t>
  </si>
  <si>
    <t>VINO LOS PASOS CHARDONNAY-SEMILLON 750ML</t>
  </si>
  <si>
    <t>VINO LOS PASOS MALBEC 750ML</t>
  </si>
  <si>
    <t>VINO PROTOS CRIANZA 375ML</t>
  </si>
  <si>
    <t>CAJA CURITAS FROZEN 20UNDS</t>
  </si>
  <si>
    <t>CAJA CURITAS MARVEL 20UNDS</t>
  </si>
  <si>
    <t>BEBIDA AVENA ORIGEN NATURES HEART 946ML</t>
  </si>
  <si>
    <t>TIO NACHO SHAMPOO ANTICANAS 415 ML</t>
  </si>
  <si>
    <t>TIO NACHO ACONDICIONADOR ANTICANAS 415ML</t>
  </si>
  <si>
    <t>MIX  DE PIMIENTAS ENTERAS CUISINE&amp;CO 45G</t>
  </si>
  <si>
    <t>ESCOBA GRANDAZA VIRUTEX</t>
  </si>
  <si>
    <t>VASO 16OZ CRISTAL RESQ</t>
  </si>
  <si>
    <t>DOMO CRISTAL S/PERF P. VASO RESQ 16OZ</t>
  </si>
  <si>
    <t>ANIS NAJAR SECO X 125 ML</t>
  </si>
  <si>
    <t>ANIS NAJAR SEMI DULCE X 125 ML</t>
  </si>
  <si>
    <t>ANIS NAJAR CREMA X 125 ML</t>
  </si>
  <si>
    <t>RON VIEJO DE CALDAS ROBLE BLANCO X 750ML</t>
  </si>
  <si>
    <t>PIMIENTA BLANCA ENTERA CUISINE&amp;CO 45G</t>
  </si>
  <si>
    <t>GOMAS TRULULU SPLASH 90G</t>
  </si>
  <si>
    <t>GOMAS TRULULU FRESITAS 90G</t>
  </si>
  <si>
    <t>CARAMELO BIG BEN CAFE BLSX100U</t>
  </si>
  <si>
    <t>CJ PERÚ GOLOSINASMIX INTERANDINA X206.5G</t>
  </si>
  <si>
    <t>SACAGRASA MULTISUPERFICIES 650ML VIRUTEX</t>
  </si>
  <si>
    <t>LIMPIAVIDRIOS MULTISUPERFICIES 650MLVTX</t>
  </si>
  <si>
    <t>LIMPIADOR BAÑO MULTISUPERFICIE 650ML VTX</t>
  </si>
  <si>
    <t>SERUM FACIAL RVTLT RETINOL NOCHE 30ML</t>
  </si>
  <si>
    <t>CANTU CURL ACTIVATOR CREAM AGUACATE</t>
  </si>
  <si>
    <t>CANTU CLEANSING CREAM SHAMPO AGUACATE</t>
  </si>
  <si>
    <t>CANTU HYDRATE CREAM CONDITIONE AGUACATE</t>
  </si>
  <si>
    <t>CANTU 18.5 OZ GEL DE AGUACATE</t>
  </si>
  <si>
    <t>PACK CUMBRE 250GR + CHOCOLATE 170 BRITT</t>
  </si>
  <si>
    <t>INFUSIÓN DIGES-TÉ NATURE'S HEART 20 UN</t>
  </si>
  <si>
    <t>PACK INFUSIÓN FRUT. ROJOS + JAMAICA NH</t>
  </si>
  <si>
    <t>PANELA ORGÁNICA ONZA CAJA 50 SOBRES</t>
  </si>
  <si>
    <t>PANELA ORGÁNICA ONZA DOYPACK 500G</t>
  </si>
  <si>
    <t>STEVIA ONZA CAJA X 100 SOBRES</t>
  </si>
  <si>
    <t>STEVIA ONZA POTE X 150 G</t>
  </si>
  <si>
    <t>STEVIA &amp; PANELA CAJA 50 SOBRES</t>
  </si>
  <si>
    <t>AZUCAR RUBIA ONZA CAJA X 60 SACHETS</t>
  </si>
  <si>
    <t>ACEITE DE AJONJOLÍ Y SOYA 270ML BARCIDDA</t>
  </si>
  <si>
    <t>GALLETAS MINI CHIPS CACAO GULLÓN X200G</t>
  </si>
  <si>
    <t>GALLETA SANDWICH CHOCO GULLÓN X250G</t>
  </si>
  <si>
    <t>GALLETAS CHIP CHOCO S/GLUTEN GULLÓN 130G</t>
  </si>
  <si>
    <t>ARROZ PARA COCINA ORIENTAL MIZU X1KG</t>
  </si>
  <si>
    <t>TREE HUT BODYWASH COCO  COLADA 532 ML</t>
  </si>
  <si>
    <t>TREE HUT BODYWASH ROSA MARROQUI 532 ML</t>
  </si>
  <si>
    <t>TREE HUT BODYWASH VITAMINA C 532 ML</t>
  </si>
  <si>
    <t>TREE HUT BUTTER COCO COLADA 240 GR</t>
  </si>
  <si>
    <t>TREE HUT FACE SCRUB BLUEBERRY 210 GR</t>
  </si>
  <si>
    <t>FONDY DARK 62% CACAO LA IBERICA X 50G</t>
  </si>
  <si>
    <t>FONDY DARK 62% CACAO X50G BOLSA X6UN</t>
  </si>
  <si>
    <t>LIMP ANTIBAC AROMA LAVANDA 900 ML HC</t>
  </si>
  <si>
    <t>LIMP ANTIBAC AROMA PRIMAVERA 900 ML HC</t>
  </si>
  <si>
    <t>LIMP ANTIBAC AROMA BEBÉ 900 ML HC</t>
  </si>
  <si>
    <t>DESINFECTANTE AROMA PINO 900 ML HC</t>
  </si>
  <si>
    <t>DESINFECTANTE AROMA LIMÓN 900 ML HC</t>
  </si>
  <si>
    <t>DETERGENTE FLORAL ÑA PANCHA 2KG</t>
  </si>
  <si>
    <t>DETERGENTE FLORAL ÑA PANCHA 4KG</t>
  </si>
  <si>
    <t>BANDITAS NEXCARE DUO X10</t>
  </si>
  <si>
    <t>BANDITAS NEXCARE FLEXIBLES X20</t>
  </si>
  <si>
    <t>BANDITAS NEXCARE CODO-RODILLA X8</t>
  </si>
  <si>
    <t>BANDITAS NEXCARE FLEXIBLES X16</t>
  </si>
  <si>
    <t>BANDITAS NEXCARE CURACIÓN AVANZADA X6</t>
  </si>
  <si>
    <t>SH GRAPEFRUIT ORANGE FAITH &amp; NATURE</t>
  </si>
  <si>
    <t>ACO GRAPEFRUIT ORANGE FAITH &amp; NATURE</t>
  </si>
  <si>
    <t>SH COCONUT FAITH &amp; NATURE</t>
  </si>
  <si>
    <t>ACO COCONUT FAITH &amp; NATURE</t>
  </si>
  <si>
    <t>NEUTROGENA HYDROBOOST FPS25 6X40G</t>
  </si>
  <si>
    <t>ESPONJA SCOTCH-BRITE EXTREMA X3</t>
  </si>
  <si>
    <t>SALSA SOYA CLARA PREM JADE BRIDGE 500ML</t>
  </si>
  <si>
    <t>SALSA SOY OSCURA PREM JADE BRIDGE 500ML</t>
  </si>
  <si>
    <t>SALSA SOY LIGE S/ADIT JADE BRIDGE 500ML</t>
  </si>
  <si>
    <t>SALSA SOY CLARA S/GLU JADE BRIDGE 150ML</t>
  </si>
  <si>
    <t>SALSA SOYA CHAMPIÑON JADE BRIDGE 625ML</t>
  </si>
  <si>
    <t>SALSA HOISIN JADE BRIDGE210ML</t>
  </si>
  <si>
    <t>SALSA DE OSTION JADE BRIDGE 250ML</t>
  </si>
  <si>
    <t>RODILLO QUITAPELUSA SCOTCH-BRITE</t>
  </si>
  <si>
    <t>SHAMPOO BALLERINA MANZANILLA FCO 410ML</t>
  </si>
  <si>
    <t>SHAMPOO BALLERINA PALTA ALMEN FCO 410ML</t>
  </si>
  <si>
    <t>SHAMPOO BALLERINA LARGO INCRE FCO 410ML</t>
  </si>
  <si>
    <t>SHAMPOO BALLERINA ONDA RIZO FCO 410ML</t>
  </si>
  <si>
    <t>SHAMPOO BALLERINA CARBON FCO 410ML</t>
  </si>
  <si>
    <t>ACOND BALLERINA MANZANILLA FCO 410ML</t>
  </si>
  <si>
    <t>ACOND BALLERINA PALTA ALMEN FCO 410ML</t>
  </si>
  <si>
    <t>ACOND BALLERINA LARGO INCRE FCO 410ML</t>
  </si>
  <si>
    <t>ACOND BALLERINA ONDA RIZO FCO 410ML</t>
  </si>
  <si>
    <t>ACOND BALLERINA CARBON FCO 410ML</t>
  </si>
  <si>
    <t>JABON LIQUIDO AVENA X 4L MAXIMA</t>
  </si>
  <si>
    <t>JABON LIQ ANTIBACT FRUT ROJ X 4L MAXIMA</t>
  </si>
  <si>
    <t>DESINFECTANTE PINO X 5L MAXIMA</t>
  </si>
  <si>
    <t>LIMP.DE MTTO 700ML PISOS DE PORCELANATO</t>
  </si>
  <si>
    <t>PROTEC.Y BRILLADOR 700ML PISOS DE PORCEL</t>
  </si>
  <si>
    <t>LIMP.PROTE.500ML MESONES GRANITO/ MARMO</t>
  </si>
  <si>
    <t>SHAMPOO UNICORN DREAMS 400 ML BEAUTIK</t>
  </si>
  <si>
    <t>ACONDICIO UNICORN DREAMS 400ML BEAUTIK</t>
  </si>
  <si>
    <t>SPRAY DESENR UNICORN DREAMS 200ML BEAU</t>
  </si>
  <si>
    <t>EAU D TOI UNICORN DREAMS 100ML BEAUTI</t>
  </si>
  <si>
    <t>EPIC PROTEIN COFFEE COMPLETE 38GR</t>
  </si>
  <si>
    <t>COMPOTA MANGO QUINUA CASA VERDE 120GR</t>
  </si>
  <si>
    <t>MERMELADA ARAN&amp;MANG CASA VERDE 210GR</t>
  </si>
  <si>
    <t>MERMELADA ARAND LIGHT CASA VERDE 180GR</t>
  </si>
  <si>
    <t>PERT SH CONTROL CAFEINA C/AC.PALTA 650ML</t>
  </si>
  <si>
    <t>PERT SH AC. OLIVA C/AC.PALTA 2EN1 650ML</t>
  </si>
  <si>
    <t>MÁQ. AFEITAR 2 HOJAS X5 UU F&amp;C</t>
  </si>
  <si>
    <t>MÁQ. AFEITAR 2 HOJAS 1 MANGO 6RTOS F&amp;C</t>
  </si>
  <si>
    <t>SNICKERS PEANUT BUTTER X50.5G</t>
  </si>
  <si>
    <t>CHUPETE MARACUYA GLOBO POP X24UN</t>
  </si>
  <si>
    <t>MANI TOSTADO SIN SAL PLANTERS X453G</t>
  </si>
  <si>
    <t>CHOCOLATE  DE LICOR DE CAFÉ BRITT 18UN</t>
  </si>
  <si>
    <t>NTG HYDRBST EXFOLIATNG CLEAN 12X141G</t>
  </si>
  <si>
    <t>HASK SHAMPOO CURL 355 ML</t>
  </si>
  <si>
    <t>HASK ACONDICIONADOR CURL 355 ML</t>
  </si>
  <si>
    <t>PREMEZCLA ORG BROWNIE MIX ECOANDINO 300G</t>
  </si>
  <si>
    <t>VINO LOS HELECHOS MALBEC 750ML</t>
  </si>
  <si>
    <t>VINO C.PATRONALES G.RSVA MERLOT 750ML</t>
  </si>
  <si>
    <t>MANZANAS DESHID SNACK FRUITS X50G</t>
  </si>
  <si>
    <t>PIÑA DESHID SNACK FRUITS X50G</t>
  </si>
  <si>
    <t>MARSHMALLOW ALVORADA FINI X 250G</t>
  </si>
  <si>
    <t>MARSHMALLOW CORAZON GUANDY X 71GR</t>
  </si>
  <si>
    <t>MARSHMALLOW TWISTER GUANDY X 71GR</t>
  </si>
  <si>
    <t>SCOTCH TOPES DE GOMA TRANS 1/2 PLGX60</t>
  </si>
  <si>
    <t>SCOTCH TOPES DE GOMA TRANS CUAD X12</t>
  </si>
  <si>
    <t>SCOTCH FIELTRO CUADRADO BEIGE 1PL X16</t>
  </si>
  <si>
    <t>SCOTCH DESLIZADORES REDONDOS REUSABLESX4</t>
  </si>
  <si>
    <t>SCOTCH MASKING TAPE 24 MM X 40 M</t>
  </si>
  <si>
    <t>PACK RON CARTAVIO XO 750ML + COPA</t>
  </si>
  <si>
    <t>GOMA ROLLER FANTASÍA FINI X20G</t>
  </si>
  <si>
    <t>GOMA ROLLER SANDÍA FINI X20G</t>
  </si>
  <si>
    <t>NIVEA BODY HIDRATACIÓN EXPRESS 1000ML</t>
  </si>
  <si>
    <t>CREMA VANILLA &amp; MACAD CREIGHTONS 400ML</t>
  </si>
  <si>
    <t>CREMA COCONUT WATER CREIGHTONS 400ML</t>
  </si>
  <si>
    <t>CREMA MANGO &amp; PAPAYA CREIGHTONS 400ML</t>
  </si>
  <si>
    <t>REP FLORESTA EXTREMO CR 15% DEET 120 G</t>
  </si>
  <si>
    <t>REP FLORESTA FAMILIAR CR 7.5% DEET 120 G</t>
  </si>
  <si>
    <t>REPELENTE FLORESTA NATURAL LOCION 120ML</t>
  </si>
  <si>
    <t>SUPER BLANCO DR. BECKMANN 6X40GR</t>
  </si>
  <si>
    <t>VINO SUBMISSION CHARDONNAY 750ML</t>
  </si>
  <si>
    <t>VINO SUBMISSION RED BLEND 750ML</t>
  </si>
  <si>
    <t>VINO SUBMISSION PINOT NOIR 750ML</t>
  </si>
  <si>
    <t>VINO SUBMISSION CABERNET SAUVIGNON 750ML</t>
  </si>
  <si>
    <t>VINO BIANCHI OASIS SUR MALBEC 750ML</t>
  </si>
  <si>
    <t>VINO BIANCHI OASIS SUR CAB.SAUV 750ML</t>
  </si>
  <si>
    <t>VINO BIANCHI GRAN FAMIGLIA CORTE 750ML</t>
  </si>
  <si>
    <t>PACK PISCO PANCHO F.750+WASSKA LI+SHAKER</t>
  </si>
  <si>
    <t>PACK PISCO CUATRO G.750+WASSKA LI+SHAKER</t>
  </si>
  <si>
    <t>PACK PISCO CUATRO G.750+WASSKA MA+SHAKER</t>
  </si>
  <si>
    <t>PACK LICOR JAGERMEISTER 700ML +2 SHOTS</t>
  </si>
  <si>
    <t>NIVEA MICELLAR PIEL MIXTA A GRASA 400 ML</t>
  </si>
  <si>
    <t>JABON DE MANOS ALOE VERA</t>
  </si>
  <si>
    <t>JABON DE MANOS COCO</t>
  </si>
  <si>
    <t>GOMAS OSO EXTREME MOGUL X 80G</t>
  </si>
  <si>
    <t>GOMAS SANDÍA EXTREME MOGUL X 80G</t>
  </si>
  <si>
    <t>GOMAS DE MORAS BERRIES MOGUL X 80G</t>
  </si>
  <si>
    <t>BOMBONES BON O BON DOYPACK X 105G</t>
  </si>
  <si>
    <t>CHICLE WRIGLEYS ORBIT PEPPERMINT X 14UND</t>
  </si>
  <si>
    <t>CHICLE WRIGLEYS ORBIT SPEARMINT X 14UND</t>
  </si>
  <si>
    <t>CARAMELO SPRING POP MINIONS X 14 GR</t>
  </si>
  <si>
    <t>CIGARRILLOS MARLBORO CRAFTED BLUE KS 20U</t>
  </si>
  <si>
    <t>CIGARRILLOS MARLBORO CRAFTED RED 20U</t>
  </si>
  <si>
    <t>CIGARRILLOS MARLBORO CRAFTED SUMMER 20U</t>
  </si>
  <si>
    <t>AC OLIVA EXTRA VIRGEN X500 FINCA ROTONDO</t>
  </si>
  <si>
    <t>AC PALTA SABOR AJO 250ML OLIVOS DEL SUR</t>
  </si>
  <si>
    <t>AC PALTA SABOR AJÍ 250ML OLIVOS DEL SUR</t>
  </si>
  <si>
    <t>VINO PATA NEGRA ROBLE RED BLEND 750ML</t>
  </si>
  <si>
    <t>VINO PATA NEGRA ROBLE TEMPRANILLO 750ML</t>
  </si>
  <si>
    <t>VINO PATA NEGRA SAUV.BLANC/VERDEJO 750ML</t>
  </si>
  <si>
    <t>NEUTROGENA HYDROB SERUM CONCENTRADO 30ML</t>
  </si>
  <si>
    <t>FRUTO DEL MONJE FR 60GR VÍA</t>
  </si>
  <si>
    <t>FRUTO DEL MONJE CJ 50 UN VÍA</t>
  </si>
  <si>
    <t>SALSA HOISIN BÁRCIDDA X 2.3KG</t>
  </si>
  <si>
    <t>ACEITE DE AJONJOLI BÁRCIDDA X 1.63L</t>
  </si>
  <si>
    <t>VINO MONTGRAS DAY ONE CAB.SAUVIG 750ML</t>
  </si>
  <si>
    <t>VINO MONTGRAS DAY ONE CARMENERE 750ML</t>
  </si>
  <si>
    <t>AGAVE ORGANICO AMERICA ORGANICA 1.3KG</t>
  </si>
  <si>
    <t>SALSA SOYA CLARA BÁRCIDDA X 1.86L</t>
  </si>
  <si>
    <t>SALSA SOYA OSCURA BÁRCIDDA X 1.86L</t>
  </si>
  <si>
    <t>SALSA DE OSTIÓN BÁRCIDDA X 2.3KG</t>
  </si>
  <si>
    <t>MANTECA MANPAN 10KG</t>
  </si>
  <si>
    <t>CEREAL MUESLI MINDFUL NUTRITION  300GR</t>
  </si>
  <si>
    <t>AVENA FITNESS NATURANDES 600GR</t>
  </si>
  <si>
    <t>CHOCOLATE MINDFUL KETO DRINK 240GR</t>
  </si>
  <si>
    <t>INFUSIÓN DULCES SUEÑOS WAWASANA 50 UN</t>
  </si>
  <si>
    <t>TINTE NATURAL HENNA NEGRO</t>
  </si>
  <si>
    <t>TINTE NATURAL HENNA BITTER</t>
  </si>
  <si>
    <t>TINTE NATURAL HENNA CHOCOLATE</t>
  </si>
  <si>
    <t>INKA MUÑA DEL VALLE X 100 SB</t>
  </si>
  <si>
    <t>MATE DE COCA DEL VALLE X 100 SB</t>
  </si>
  <si>
    <t>TE PURO DEL VALLE X 100 SB</t>
  </si>
  <si>
    <t>DIGESTIVO DEL VALLE X 100 SB</t>
  </si>
  <si>
    <t>TE VERDE DEL VALLE X 100 SB</t>
  </si>
  <si>
    <t>GOMITAS RED SENSATION MIX FINI DP X 165G</t>
  </si>
  <si>
    <t>GOMITAS WILD STRAWBERRIES FINI DP X 165G</t>
  </si>
  <si>
    <t>GOMITAS LITTLE MIX FINI DP X 165G</t>
  </si>
  <si>
    <t>CERVEZA CANDELARIA REVOLUCIÓN LAT 473ML</t>
  </si>
  <si>
    <t>ENERGIZANTE REDBULL THE RED EITION 250ML</t>
  </si>
  <si>
    <t>BEBIDA ENERGIZANTE REDBULL REDX250MLX4UN</t>
  </si>
  <si>
    <t>CONDIMENTOS DROGHERIA A. GARLIC MILL 50G</t>
  </si>
  <si>
    <t>INFUSIÓN STASH CINNAMON APPLE CHAM X20UN</t>
  </si>
  <si>
    <t>INFUSIÓN STASH CRANBERRY POMEGRAN X18UN</t>
  </si>
  <si>
    <t>RT ESPONJA MIRACLE POWDER</t>
  </si>
  <si>
    <t>ANIS NAJAR 1854 BOT 750 ML</t>
  </si>
  <si>
    <t>PISCO PURO QUEBRANTA CENT. NAJAR 700ML</t>
  </si>
  <si>
    <t>INFUSIÓN STASH DOUBLE SPICE CHAI X18UN</t>
  </si>
  <si>
    <t>FREJOL PINTO BEAN ESSENTIAL EVERYDA 425G</t>
  </si>
  <si>
    <t>MULTIPACK LONCHERA STICKS MAMALAMA X100G</t>
  </si>
  <si>
    <t>PISCO MV QUEBRANTA CENT. NAJAR 700 ML</t>
  </si>
  <si>
    <t>PISCO PURO ITALIA CENT. NAJAR 700ML</t>
  </si>
  <si>
    <t>PISCO PURO ACHOLADO CENT. NAJAR 700ML</t>
  </si>
  <si>
    <t>PAPAS NATIVAS ORGÁNI PARTNERS CHIPS 140G</t>
  </si>
  <si>
    <t>CJ GOLOSINAS SURTIDAS GUANDY X 210.5G</t>
  </si>
  <si>
    <t>PISCO LABLANCO KERO QUEBRANTA BOT 750ML</t>
  </si>
  <si>
    <t>PISCO LABLANCO KERO ACHOLADO BOT 750ML</t>
  </si>
  <si>
    <t>GALLETA MUESLI &amp; CRANB TIVOLI LATA X150G</t>
  </si>
  <si>
    <t>GALLETA TIRAMISU C/CHO TIVOLI LATA X150G</t>
  </si>
  <si>
    <t>GALLETAS S/GLUTEN TIVOLI LATA X142G</t>
  </si>
  <si>
    <t>GALLETAS S/AZUCAR TIVOLI LATA X142G</t>
  </si>
  <si>
    <t>TRIGO MOTE CUISINE&amp;CO X 500GR</t>
  </si>
  <si>
    <t>FRIJOL NEGRO CUISINE&amp;CO X 500GR</t>
  </si>
  <si>
    <t>GELATINA SABOR PIÑA ZANA 50GR</t>
  </si>
  <si>
    <t>FRUTA DESHIDRATADA SUFRUT X 200G , MANGO</t>
  </si>
  <si>
    <t>FRUTA DESHIDRATADA SUFRUT X 200G , PIÑA</t>
  </si>
  <si>
    <t>FRUTA DESHIDRATADA SUFRUT X 200G , MIX</t>
  </si>
  <si>
    <t>CREMA AVELL Y CACAO ISATELLA ZANA 210GR</t>
  </si>
  <si>
    <t>NOPAL MIX FIBRA NATURANDES 200GR</t>
  </si>
  <si>
    <t>VINO C.PATRONALES LEAL CARMENERE 750ML</t>
  </si>
  <si>
    <t>VINO BÍLA-HAUT BLANC - ROUSSILLON 750ML</t>
  </si>
  <si>
    <t>VINO BÍLA-HAUT ROUGE - ROUSSILLON 750ML</t>
  </si>
  <si>
    <t>VINO BELLERUCHE BLANC - DU-RHÔNE 750 ML</t>
  </si>
  <si>
    <t>VINO BELLERUCHE ROSÉ - DU-RHÔNE 750ML</t>
  </si>
  <si>
    <t>VINO BELLERUCHE ROUGE - DU-RHÔNE 750ML</t>
  </si>
  <si>
    <t>VINO BÍLA-HAUT OCCULTUM LAPIDEM 750ML</t>
  </si>
  <si>
    <t>VINO MARQUES RISCAL FINCA TORREA 750ML</t>
  </si>
  <si>
    <t>VINO MARQUES RISCAL FINCA MONTICO 750ML</t>
  </si>
  <si>
    <t>VINO MARQUES DE RISCAL LIMOUSINE 750ML</t>
  </si>
  <si>
    <t>VINO TAPIZ ALTA COLLECT CAB.SAUV 750ML</t>
  </si>
  <si>
    <t>VINO TAPIZ CLASSIC TORRONTES 750ML</t>
  </si>
  <si>
    <t>VINO TAPIZ BICENTENARIO G.RESERVA 750ML</t>
  </si>
  <si>
    <t>VINO WAPISA PINOT NOIR 750ML</t>
  </si>
  <si>
    <t>VINO ALTA VISTA ESTATE MALBEC 750ML</t>
  </si>
  <si>
    <t>VINO ALTA VISTA ESTATE CAB.SAUV 750ML</t>
  </si>
  <si>
    <t>VINO ALTA VISTA TERR SELECT MALBEC 750ML</t>
  </si>
  <si>
    <t>VINO HAMPTON WATER ROSE 750ML</t>
  </si>
  <si>
    <t>VINO HERESIE RED 750ML</t>
  </si>
  <si>
    <t>VINO HERESIE WHITE 750ML</t>
  </si>
  <si>
    <t>VINO LOS HELECHOS CABERNET 750ML</t>
  </si>
  <si>
    <t>VINO LOS HELECHOS CHARDONNAY 750ML</t>
  </si>
  <si>
    <t>VINO LOS HELECHOS DESIGN CAB.FRANC 750ML</t>
  </si>
  <si>
    <t>ELECTROLIFE FRESA 625ML</t>
  </si>
  <si>
    <t>ELECTROLIFE NARANJA-MAND 625ML</t>
  </si>
  <si>
    <t>ELECTROLIFE UVA 625 ML</t>
  </si>
  <si>
    <t>ELECTROLIFE FRESA-KIWI 625 ML</t>
  </si>
  <si>
    <t>D'HIPOGLOS C EMULSIÓN X 60GR</t>
  </si>
  <si>
    <t>D'HIPOGLOS C EMULSIÓN X 120GR</t>
  </si>
  <si>
    <t>VINO QARAMY LATIDO MALBEC 750ML</t>
  </si>
  <si>
    <t>VINO EL TURCO MALBEC 750ML</t>
  </si>
  <si>
    <t>VINO EL TURCO BLEND 750ML</t>
  </si>
  <si>
    <t>VINO QARAMY MALBEC 750ML</t>
  </si>
  <si>
    <t>VINO QARAMY CAB.SAUV 750ML</t>
  </si>
  <si>
    <t>VINO QARAMY FINCA BLEND 750ML</t>
  </si>
  <si>
    <t>VINO ALANDES CONCRETE TANK BLEND 750ML</t>
  </si>
  <si>
    <t>VINO ALANDES UCO VALLEY MALBEC 750ML</t>
  </si>
  <si>
    <t>VINO PARADOUX BLEND 750ML</t>
  </si>
  <si>
    <t>VINO ALANDES GRAN CAB.FRANC 750ML</t>
  </si>
  <si>
    <t>VINO VIÑA ALBALI RESERVA 750ML</t>
  </si>
  <si>
    <t>VINO VIÑA ALBALI GRAN RESERVA 750ML</t>
  </si>
  <si>
    <t>VINO VIÑA ALBALI G.RESERVA DE FAM 750ML</t>
  </si>
  <si>
    <t>VINO MUCHO MAS 750ML</t>
  </si>
  <si>
    <t>VINO BENMARCO MALBEC 750ML</t>
  </si>
  <si>
    <t>VINO BENMARCO CABERNET FRANC 750ML</t>
  </si>
  <si>
    <t>VINO PESQUERA RESERVA 750ML</t>
  </si>
  <si>
    <t>VINO DILEMA MALBEC 750ML</t>
  </si>
  <si>
    <t>VINO DILEMA CAB/SAUV 750ML</t>
  </si>
  <si>
    <t>VINO DILEMA PINK 750ML</t>
  </si>
  <si>
    <t>VINO DILEMA RED VELVET 750ML</t>
  </si>
  <si>
    <t>VINO DILEMA SWEET ROSE 750ML</t>
  </si>
  <si>
    <t>FITME CONCEALER VANILLA</t>
  </si>
  <si>
    <t>FIT ME PRIMER MATTIFYING</t>
  </si>
  <si>
    <t>SALLY HANSEN TOP COAT INSTA-DRY</t>
  </si>
  <si>
    <t>VINO E.MENDOZA S.VINEYARD MALBEC 750ML</t>
  </si>
  <si>
    <t>VINO E.MENDOZA RESERVA CAB.FRANC 750ML</t>
  </si>
  <si>
    <t>VINO LAN VERDEJO 750ML</t>
  </si>
  <si>
    <t>VINO ANDICA GRAN RESERVA CAB.SAUV 750ML</t>
  </si>
  <si>
    <t>VINO ANDICA GRAN RESERVA CARMENERE 750ML</t>
  </si>
  <si>
    <t>VINO ANDICA RESERVA SAUV.BLANC 750ML</t>
  </si>
  <si>
    <t>VINO PYROS SINGLE VINEYARD MALBEC 750ML</t>
  </si>
  <si>
    <t>VINO PYROS S.APPELATION MALBEC 750ML</t>
  </si>
  <si>
    <t>VINO A.VISTA S.VINEYARD MALBEC 750ML</t>
  </si>
  <si>
    <t>VINO A.VISTA S.VINEYARD TEMIS 750ML</t>
  </si>
  <si>
    <t>VINO ALTA VISTA ALTO 750ML</t>
  </si>
  <si>
    <t>VINO LOS HAROLDOS G.CORTE BLEND 750ML</t>
  </si>
  <si>
    <t>VINO DOÑA PAULA ALTITUDE 1350 750ML</t>
  </si>
  <si>
    <t>VINO DOÑA PAULA ESTATE B.EDITION 750ML</t>
  </si>
  <si>
    <t>VINO SOMBRERO SAUVIGNON BLANC 750ML</t>
  </si>
  <si>
    <t>PISCO PURO SANTA MARIA M. QUEBRANT 750ML</t>
  </si>
  <si>
    <t>PISCO PURO SANTA MARIA M. MOSCATEL 750ML</t>
  </si>
  <si>
    <t>PISCO PURO SANTA MARIA M. TORONTEL 750ML</t>
  </si>
  <si>
    <t>PISCO PURO SANTA MARIA M. ITALIA 750ML</t>
  </si>
  <si>
    <t>PISCO PURO SANTA MARIA M. ALBILLA 750ML</t>
  </si>
  <si>
    <t>PISCO MV SANTA MARIA M. QUEBRANTA 750ML</t>
  </si>
  <si>
    <t>PISCO MV SANTA MARIA M. TORONTEL 750ML</t>
  </si>
  <si>
    <t>RON CORTEZ ORO BOT 1LT</t>
  </si>
  <si>
    <t>RON CORTEZ BLANCO BOT 1LT</t>
  </si>
  <si>
    <t>TIDE DET LIQ ORIGINAL HE 2.97LT/64LAV</t>
  </si>
  <si>
    <t>TIDE LQ 2X HE ORIG 4/154Z 107LD N1</t>
  </si>
  <si>
    <t>DOWNY UNSTPBLS FRESH 4/5.5Z</t>
  </si>
  <si>
    <t>DOWNY FRSHPRCT APRIL FRESH 4/5.5Z</t>
  </si>
  <si>
    <t>TIO NACHO SHAMPOO ACLARANTE 950 ML</t>
  </si>
  <si>
    <t>DEO 100% NATURAL PERUVIAN H MENTA 79G</t>
  </si>
  <si>
    <t>DEO 100% NATURAL PERUVIAN H JAZMIN 79G</t>
  </si>
  <si>
    <t>CO CEPILLO PERFOMA PORC. PADDLE BRUSH</t>
  </si>
  <si>
    <t>CO CEPILLO PERFOMA THERMAL ROUND</t>
  </si>
  <si>
    <t>CO CEPILLO PERFOMA P. SPIRAL ROUND BRUSH</t>
  </si>
  <si>
    <t>JF DETOX&amp;REPAIR CARE&amp;PROTECT SPRAY 200ML</t>
  </si>
  <si>
    <t>JF DETOX&amp;REPAIR SHAMPOO 250ML</t>
  </si>
  <si>
    <t>JF DETOX&amp;REPAIR CONDITIONER250ML</t>
  </si>
  <si>
    <t>B&amp;D MOSTAZA200G + KETCHUP200G + MAYO190G</t>
  </si>
  <si>
    <t>B&amp;D MOSTAZA220G + KETCHUP245G + MAYO 95G</t>
  </si>
  <si>
    <t>VINO BARTON&amp;GUESTIER ROSE 1.5LT</t>
  </si>
  <si>
    <t>VINO VEGA GALVEZ VIDAL DE SAZ 750ML</t>
  </si>
  <si>
    <t>VINO VEGA GALVEZ AIREN 750ML</t>
  </si>
  <si>
    <t>VINO DOMINIO VEGA BLANCO DE MARIA 750ML</t>
  </si>
  <si>
    <t>VINO DOM DE LA VEGA TINTO DE ABEL 750ML</t>
  </si>
  <si>
    <t>CAVA DOM DE LA VEGA EXPRESION BRUT 750ML</t>
  </si>
  <si>
    <t>CAVA DOM DE LA VEGA CUVEE PRESTIGE 750ML</t>
  </si>
  <si>
    <t>AGUA DE COCO COPRA 1L</t>
  </si>
  <si>
    <t>LIMPIATODO AROMA PRIMAVERA X1800 ML HC</t>
  </si>
  <si>
    <t>LIMPIATODO AROMA LAVANDA X1800 ML HC</t>
  </si>
  <si>
    <t>LIMPIATODO AROMA BEBÉ X1800 ML HC</t>
  </si>
  <si>
    <t>DESINFECTANTE PINO X 1800 ML HC</t>
  </si>
  <si>
    <t>DESINFECTANTE LIMÓN X1800ML HC</t>
  </si>
  <si>
    <t>LIMPIATODO AROMA PRIMAVERA X3800 ML HC</t>
  </si>
  <si>
    <t>LIMPIATODO AROMA LAVANDA X3800 ML HC</t>
  </si>
  <si>
    <t>LIMPIATODO AROMA BEBÉ X3800 ML HC</t>
  </si>
  <si>
    <t>TOFEE LA IBERICA CJ REG X190G</t>
  </si>
  <si>
    <t>PAST DE CHOCOLATE C/LECHE IBERICA X150G</t>
  </si>
  <si>
    <t>BOMBONES PISCO IBERICA X18UN</t>
  </si>
  <si>
    <t>BLACK WHISKEY HONEY BOT 750ML</t>
  </si>
  <si>
    <t>RON FLOR DE CAÑA 130 ANIVERSARIO 750ML</t>
  </si>
  <si>
    <t>VINO CASARENA 505 MALBEC 750ML</t>
  </si>
  <si>
    <t>VINO CASA BOHER SAUVIGNON BLANC 750ML</t>
  </si>
  <si>
    <t>VINO CASA BOHER CAB.SAUVIGNON 750ML</t>
  </si>
  <si>
    <t>VINO HERACLIO ALFARO CRIANZA 750ML</t>
  </si>
  <si>
    <t>VINO SARDÓN 750ML</t>
  </si>
  <si>
    <t>VINO PETIT PITTACUM - MENCÍA 750ML</t>
  </si>
  <si>
    <t>VINO VAL DE LA OSA 750ML</t>
  </si>
  <si>
    <t>VINO ABADIA SAN CAMPIO MARINERO 750ML</t>
  </si>
  <si>
    <t>VINO VIÑA COSTEIRA AMOR DE BARES 750ML</t>
  </si>
  <si>
    <t>SHAMPOO 2EN1 CASA DE MICKEY MOUSE 350ML</t>
  </si>
  <si>
    <t>VINO RUPESTRE RESERVA GARNACHA 750ML</t>
  </si>
  <si>
    <t>ESPUMANTE RICCADONNA MOSCATO ROSE 200ML</t>
  </si>
  <si>
    <t>PACK PISCO VIÑAS DE ORO + MR PERK + COPA</t>
  </si>
  <si>
    <t>HT MINERAL MILK SPF30 100ML SPRAY</t>
  </si>
  <si>
    <t>HT MINERAL MILK FACE SPF30 50ML LOCIÓN</t>
  </si>
  <si>
    <t>HT OZONO ANTIOX MIST SPF15 100ML</t>
  </si>
  <si>
    <t>BB ADVPRO KIDS SPF100 118ML</t>
  </si>
  <si>
    <t>BB MINERAL SENSITIVE SPF50 LTN 180ML</t>
  </si>
  <si>
    <t>BB MINERAL SENSITIVE SPF50 LTN 60ML</t>
  </si>
  <si>
    <t>BB AP KIDS SPF50+ STICK 14.2G</t>
  </si>
  <si>
    <t>COVERGIRL MÁSCARA EXH VERY BLACK WP</t>
  </si>
  <si>
    <t>BASE OUTLAST EXTREME SOFT HONEY SPF</t>
  </si>
  <si>
    <t>BOLSA DE BASURA 75L 10U + ESPONJA ANTIB</t>
  </si>
  <si>
    <t>CAJA BOX HALLOWEEN X 133.2G,FRANKENSTEIN</t>
  </si>
  <si>
    <t>CAJA BOX HALLOWEEN X 133.2G, DRÁCULA</t>
  </si>
  <si>
    <t>GRANOLA TRUMUNCH CHOCONUECES 300GR</t>
  </si>
  <si>
    <t>GRANOLA SURTIDA TRUMUNCH 8 UN</t>
  </si>
  <si>
    <t>JARABE AGAVE AZUL OLIVOS DEL SUR 690GR</t>
  </si>
  <si>
    <t>DET LIQUIDO CARICIA TOTAL CARE 2.6L</t>
  </si>
  <si>
    <t>CERVEZA HEINEKEN 150 AÑOS PK 6 BOT 330ML</t>
  </si>
  <si>
    <t>OSO MOGUL DRÁCULA HW ARCOR X 130G</t>
  </si>
  <si>
    <t>CALABAZA MOMIA HW 100G ARCOR</t>
  </si>
  <si>
    <t>CAJA SORPRESA MONSTER HW 100G</t>
  </si>
  <si>
    <t>CARAM HW SANGRIENTOS MORA AZUL 312G</t>
  </si>
  <si>
    <t>SAPITO PINTALENGUA HW ARCOR X 270G</t>
  </si>
  <si>
    <t>CHUPETE MINI MR.POPS HW PINT ARCOR 200G</t>
  </si>
  <si>
    <t>CHUPETE MR.POPS HW CÍCLOP ARCOR 432G</t>
  </si>
  <si>
    <t>BALDE CALABAZA PEPPA PIG HW X100G</t>
  </si>
  <si>
    <t>VINO PASETTI FONTEROMANA D.O.C. 750ML</t>
  </si>
  <si>
    <t>ORÉGANO TIPO PIZZA MAXIMA X 500GR</t>
  </si>
  <si>
    <t>VINO PASETTI TESTAROSSA D.O.C. 750ML</t>
  </si>
  <si>
    <t>VINO PASETTI MONTEPUL D'ABRUZZO 750ML</t>
  </si>
  <si>
    <t>MAZAMORRA MORADA LORENZO 120GR</t>
  </si>
  <si>
    <t>MAZAMORRA DE PIÑA LORENZO 120GR</t>
  </si>
  <si>
    <t>COMINO MOLIDO MAXIMA X 500GR</t>
  </si>
  <si>
    <t>MAZAMORRA DE DURAZNO LORENZO 120GR</t>
  </si>
  <si>
    <t>PACK RON BOTRAN 12AÑO 750ML+18AÑOS 200ML</t>
  </si>
  <si>
    <t>PACK RON BOTRAN 8AÑO 750ML+12AÑOS 200ML</t>
  </si>
  <si>
    <t>PURE DE MANZANA LORENZO 120GR</t>
  </si>
  <si>
    <t>CHUPETE POUCH KOOCHIKOO 60G</t>
  </si>
  <si>
    <t>CHUPETE KOOCHIKOO POUCH 144G</t>
  </si>
  <si>
    <t>CARAMELOS KOOCHIKOO LIMA LIMON X16</t>
  </si>
  <si>
    <t>TOALLITA HUMEDA MAMI Y YO X 120</t>
  </si>
  <si>
    <t>TOALLITA HUMEDA MAMI Y YO 4 X 48</t>
  </si>
  <si>
    <t>ALCOHOL PORTUGAL 70º 1 L C/ GATILLO</t>
  </si>
  <si>
    <t>PIMIENTA MOLIDO MAXIMA X 500GR</t>
  </si>
  <si>
    <t>NIVEA LUMINOUS SERUM ANTIEDAD 30ML</t>
  </si>
  <si>
    <t>NIVEA LUMINOUS SERUM ANTI IMPERF30ML</t>
  </si>
  <si>
    <t>FILETE CABALLA AC VEG BELTRAN 170G 6PACK</t>
  </si>
  <si>
    <t>FILETE DE ATUN AC VEG BELTRAN 170G 6PACK</t>
  </si>
  <si>
    <t>TROZOS DE ATUN AC VEG BELTRAN 170G 6PACK</t>
  </si>
  <si>
    <t>FILETE DE ATUN AC VEG BELTRAN 120G 5PACK</t>
  </si>
  <si>
    <t>FILETE DE ATUN AC VEG BELTRAN 1000G</t>
  </si>
  <si>
    <t>VINO N.SENETINER CAMILA ROSE DULCE 750ML</t>
  </si>
  <si>
    <t>VINO N.SENETINER CAMILA RED BLEND 750ML</t>
  </si>
  <si>
    <t>VINO N.SENETINER CAMILA MALBEC 750ML</t>
  </si>
  <si>
    <t>VINO N.SENETINER CAMILA CHARDONNAY 750ML</t>
  </si>
  <si>
    <t>PACK 2 VINOS QUEIROLO BORG+CHILCANO</t>
  </si>
  <si>
    <t>RTD FLOR DE CAÑA HARD SELT.NARANJA 355ML</t>
  </si>
  <si>
    <t>RTD FLOR DE CAÑA HARD SELT. LIME 355ML</t>
  </si>
  <si>
    <t>RTD FLOR DE CAÑA HARD SELT.ORGINAL 355ML</t>
  </si>
  <si>
    <t>PACK CERVEZA ERDINGER 4PK BOT 330 + VASO</t>
  </si>
  <si>
    <t>BB KIDS SPORT ROLLON 60+</t>
  </si>
  <si>
    <t>BB ADV PROT SPORT ROLL ON</t>
  </si>
  <si>
    <t>BLOQ BAHIA DRYTOUCH HIALURO SPF50 55G</t>
  </si>
  <si>
    <t>AC OLIVA EXTR VIRGEN SAB INTEN EL OLIVAR</t>
  </si>
  <si>
    <t>RISOTTO LISTO SAB QUESO 175G INVERNI</t>
  </si>
  <si>
    <t>RISOTTO LISTO SAB ESPÁRRAGO 175G INVERNI</t>
  </si>
  <si>
    <t>RISOTTO LISTO SAB CHAMPIÑON 175G INVERNI</t>
  </si>
  <si>
    <t>RISOTTO LISTO SAB MILANESA 175G INVERNI</t>
  </si>
  <si>
    <t>PENNE RIGATE INTEGRAL GAROFALO</t>
  </si>
  <si>
    <t>FUSILLI INTEGRAL GAROFALO</t>
  </si>
  <si>
    <t>SPAGHETTI GLUTEN FREE GAROFALO</t>
  </si>
  <si>
    <t>ARROZ CARNAROLI 1000G INVERNI</t>
  </si>
  <si>
    <t>PENNE RIGATE GLUTEN FREE GAROFALO</t>
  </si>
  <si>
    <t>CHIFFERINI RIGATI N.38 500G AGNESI</t>
  </si>
  <si>
    <t>TORTIGLIONI 500G MISURA</t>
  </si>
  <si>
    <t>MAICENA UNIVERSIAL X 100 GR</t>
  </si>
  <si>
    <t>PASTA LEGUM TRICOL MACAR 250GR EL DORADO</t>
  </si>
  <si>
    <t>PAPEL DE ARROZ 22CM X 300 G BARCIDDA</t>
  </si>
  <si>
    <t>GOMAS FINI HALLOWEEN (PDQ)</t>
  </si>
  <si>
    <t>BLISTER PACK - SPF 30 BANANA LIP BALM</t>
  </si>
  <si>
    <t>BLISTER PACK -SPF 30 WATERMELON LIP BALM</t>
  </si>
  <si>
    <t>BLISTER PACK - SPF 30 COCONUT LIP BALM</t>
  </si>
  <si>
    <t>KT TOTAL PLEX SHAMPOO X 250ML</t>
  </si>
  <si>
    <t>KT TOTAL PLEX COND X 250ML</t>
  </si>
  <si>
    <t>KIT KATIVA TOTAL PLEX</t>
  </si>
  <si>
    <t>KT T.PLEX SELLANTE REC &amp; PROT 100ML</t>
  </si>
  <si>
    <t>KT T.PLEX CONCENT.RECONSTRUCTOR 70ML</t>
  </si>
  <si>
    <t>POLVO ALMID JOHNSONS BABY ORIGINAL 100G</t>
  </si>
  <si>
    <t>PACK JOHNNIE WALKER BLACK 750 ML+2 VASOS</t>
  </si>
  <si>
    <t>POLVO ALMID JOHNSONS BABY ORIGINAL 200G</t>
  </si>
  <si>
    <t>POLVO ALMID JOHNSONS BABY ORIGINAL 400G</t>
  </si>
  <si>
    <t>VINO EXPOVINO 2023 RUTINI MALBEC 750ML</t>
  </si>
  <si>
    <t>POLVO ALMID JOHNSONS BABY BED TIME 200G</t>
  </si>
  <si>
    <t>POLVO ALMID JOHNSONS BABY BED TIME 400G</t>
  </si>
  <si>
    <t>PACK GIN TANQUERAY LONDON 700+COPA VIDRI</t>
  </si>
  <si>
    <t>PACK CHIVAS 13 AÑOS 700ML + VASO TÉRMICO</t>
  </si>
  <si>
    <t>DESHUMEDECEDOR ATRAPA OLOR PARA CALZADO</t>
  </si>
  <si>
    <t>RON APPLETON STATE 21 AÑOS BOT 750ML</t>
  </si>
  <si>
    <t>CHOCOTEJAS BRITT PECANAS X6UNX156G</t>
  </si>
  <si>
    <t>CHOCOTEJAS BRITT MIX X6UNX156G</t>
  </si>
  <si>
    <t>CHOCOTEJAS BRITT TRADICIONAL 6XUNX156G</t>
  </si>
  <si>
    <t>TINTE MEN EXPRESS 90 NEGRO NATURAL</t>
  </si>
  <si>
    <t>TINTE MEN EXPRESS 80 CASTAÑO NEGRO NAT</t>
  </si>
  <si>
    <t>TINTE MEN EXPRESS 70 CASTAÑO OSCURO NAT</t>
  </si>
  <si>
    <t>GEL MOCO DE GORILA GAMER X270 GRS</t>
  </si>
  <si>
    <t>GEL MOCO DE GORILA GAMER X 340GR</t>
  </si>
  <si>
    <t>PACK VINO DEMUERTE ONE &amp; ROSE 750ML C/U</t>
  </si>
  <si>
    <t>GELATINA CUISINE&amp;CO 130 GR, FRESA</t>
  </si>
  <si>
    <t>GELATINA CUISINE&amp;CO 130 GR, NARANJA</t>
  </si>
  <si>
    <t>GELATINA CUISINE&amp;CO 130 GR, PIÑA</t>
  </si>
  <si>
    <t>GELATINA SIN AZUCX19GR CUISINE&amp;CO,NARANJ</t>
  </si>
  <si>
    <t>GELATINA SIN AZUCX19GR CUISINE&amp;CO,PIÑA</t>
  </si>
  <si>
    <t>GELATINA SIN AZUCX19GR CUISINE&amp;CO,FRESA </t>
  </si>
  <si>
    <t>ESCOBA ESCOBON HUDE</t>
  </si>
  <si>
    <t>ESCOBA LIMPIATECHO HUDE</t>
  </si>
  <si>
    <t>SET DE LIMPIEZA PERICO HUDE</t>
  </si>
  <si>
    <t>CARAMELO ROLL ON HOT WHEELS UN</t>
  </si>
  <si>
    <t>MINI PANETON PAW PATROL X 75G</t>
  </si>
  <si>
    <t>PANETON SAPITO 450G</t>
  </si>
  <si>
    <t>PANETON ARCOR 450 GR</t>
  </si>
  <si>
    <t>MIEL DE ABEJA ARTICHAY 200GR</t>
  </si>
  <si>
    <t>MIEL DE ABEJA ARTICHAY 300GR</t>
  </si>
  <si>
    <t>ALGARROBINA ARTICHAY 300GR</t>
  </si>
  <si>
    <t>WHISKY BUCHANAN´S DELUXE 12 AÑOS 750 ML</t>
  </si>
  <si>
    <t>LAVAVAJ LIQU ECO HOUSE CÍTRICOS 900ML</t>
  </si>
  <si>
    <t>BIORE CLEAN DETOX LIMPIADOR ROSTRO 200ML</t>
  </si>
  <si>
    <t>BIORE CLEANDETOX HUMECTANTE ROSTRO 100ML</t>
  </si>
  <si>
    <t>BIORE CLEAN DETOX TÓNICO SUAVE 235ML</t>
  </si>
  <si>
    <t>CICATRICURE PORCELANA FPS 50 X 40 GR</t>
  </si>
  <si>
    <t>PECANAS SALADAS X KG</t>
  </si>
  <si>
    <t>MANI ENGALLETADO CON CHIA X KG</t>
  </si>
  <si>
    <t>MANI ENGALLETADO CON AJONJOLI X KG</t>
  </si>
  <si>
    <t>TWO PACK TABASCO + SALSERA</t>
  </si>
  <si>
    <t>NUECES CAJU FRITOS PLANTERS 226 GR</t>
  </si>
  <si>
    <t>MANÍ TOSTADO C/SAL PLANTERS 170 GR</t>
  </si>
  <si>
    <t>CÓCTEL MANÍES PLANTERS 340 GR</t>
  </si>
  <si>
    <t>SEMILLAS MIX TOSTADOS PLANTERS 292 GR</t>
  </si>
  <si>
    <t>SEMILLAS MIX TOST C/MIEL PLANTERS 283 GR</t>
  </si>
  <si>
    <t>MANÍ TOST C/MIEL PLANTERS 340 GR</t>
  </si>
  <si>
    <t>CAFÉ CHRISTMAS BLEND ARTIDORO 250GR</t>
  </si>
  <si>
    <t>DEO PIES ANTIBACTERIAL AL 260ML</t>
  </si>
  <si>
    <t>VINO GR-174 D.O.Q PRIORAT 750ML</t>
  </si>
  <si>
    <t>ESPUMANTE CANTI ASTI LIBERTY DOCG 750ML</t>
  </si>
  <si>
    <t>VINO DIABLO PURPLE MALBEC 750ML</t>
  </si>
  <si>
    <t>ESPUMANTE FREIXENET MIA ROSADO 200ML</t>
  </si>
  <si>
    <t>ESPUMANTE FREIXENET MIA MOSCATO 200ML</t>
  </si>
  <si>
    <t>ESCOBA ECOLÓGICA VIRUTEX</t>
  </si>
  <si>
    <t>PACK CERVECERA FIN DE AÑO CANDELARIA</t>
  </si>
  <si>
    <t>LICOR MOZART CREMA DE CHOCOLATE BT 700ML</t>
  </si>
  <si>
    <t>MUSS BABY SH ROMERO SEDA 750 ML</t>
  </si>
  <si>
    <t>MUSS BABY SH MANZANILLA 750 ML</t>
  </si>
  <si>
    <t>MUSS BABY CREMA CORPORAL 300 ML</t>
  </si>
  <si>
    <t>SALSA SRIRACHA CUISINE&amp;CO X 482GR</t>
  </si>
  <si>
    <t>PACK MATTE INK X3 AMAZONIAN+RULER+LOVER</t>
  </si>
  <si>
    <t>SET DE REGALO TRÍO DE CREMAS PARA MANOS</t>
  </si>
  <si>
    <t>PACK INFUSIÓN CEREZ&amp;CAM LA FIDELIA + MUG</t>
  </si>
  <si>
    <t>BN PACK COLONIA X 500ML + COL 35ML</t>
  </si>
  <si>
    <t>BN EXFO 150ML+LCION 150ML+SHWR GEL 150ML</t>
  </si>
  <si>
    <t>NUTRIBELA PRO HIALURÓNICO POTE 300ML</t>
  </si>
  <si>
    <t>ESTUCHE BELLEZA I LOVE COSMETICS 3X250ML</t>
  </si>
  <si>
    <t>EXCELLLENCE NUDES 8U</t>
  </si>
  <si>
    <t>GARNIER AGUA MICELAR PRIDE</t>
  </si>
  <si>
    <t>NATURE'S HEART FRUTAS Y CHOCOLATE X120G</t>
  </si>
  <si>
    <t>NATURE'S HEART MEZCLA ANTIOXIDANTE X170G</t>
  </si>
  <si>
    <t>PACK THE GLENLIVET FOUN 700+4 POSAVASOS</t>
  </si>
  <si>
    <t>PACK CHIVAS 12 AÑOS 700ML + TARJETERO</t>
  </si>
  <si>
    <t>GALLE CRISPARROZ SEA SALT 100G WANT WANT</t>
  </si>
  <si>
    <t>SANYTOL DESINFECTANTE ROPA FRASCO 1 LT</t>
  </si>
  <si>
    <t>DETERGENTE LÍQUIDO WOOLITE BABY 2LT</t>
  </si>
  <si>
    <t>LYSOL CANISTER PUREZA ALGONDO X 80UN</t>
  </si>
  <si>
    <t>LYSOL CANISTER PUREZA ALGONDO X 35UN</t>
  </si>
  <si>
    <t>PACK DISARONNO ORIGINAL 700ML + 2 VASOS</t>
  </si>
  <si>
    <t>PACK DISARONNO VELVET 700ML + 2 VASOS</t>
  </si>
  <si>
    <t>CERVEZA HEINEKEN PACK 6 LATAS 310ML</t>
  </si>
  <si>
    <t>CHOCOLATE PETI CHOQS CACAOSUYO X 100G</t>
  </si>
  <si>
    <t>KIT DE LIMPIEZA PARA ZAPATILLAS</t>
  </si>
  <si>
    <t>KIT DE LIMPIEZA PARA ZAPATOS</t>
  </si>
  <si>
    <t>AMB DIFUS JAR AUTO FRESCO MADERA CAN 8ML</t>
  </si>
  <si>
    <t>AMB DIFUSOR JAR AUTO FRESCO LAVANDA 8ML</t>
  </si>
  <si>
    <t>AMB DIFUSOR CUBO AUTO FRESCO MAD CAN 5ML</t>
  </si>
  <si>
    <t>AMB DIFUSOR CUBO AUTO FRESCO LAVANDA 5ML</t>
  </si>
  <si>
    <t>AMBIENT DUO AUTO FRESCO MAD/CUER 4.5 ML</t>
  </si>
  <si>
    <t>TEQUILA DON JULIO BLANCO BOT 750ML</t>
  </si>
  <si>
    <t>TEQUILA DON JULIO AÑEJO BOT 750ML</t>
  </si>
  <si>
    <t>TEQUILA DON JULIO 1942 BOT 750ML</t>
  </si>
  <si>
    <t>TEQUILA DON JULIO 70 AÑEJO BOT 750ML</t>
  </si>
  <si>
    <t>WHISKY GRANTS 12 AÑOS BOT 750ML</t>
  </si>
  <si>
    <t>PACK WHISKY JACK DANIELS APPLE 750+COPA</t>
  </si>
  <si>
    <t>VINO BUENOS AIRES MALBEC 750ML</t>
  </si>
  <si>
    <t>VINO BUENOS AIRES MALBEC RESERVA 750ML</t>
  </si>
  <si>
    <t>VINO MEZZACORONA DINOTTE RED BLEND 750ML</t>
  </si>
  <si>
    <t>PACK 2 VINOS N.SENETINER MALBEC&amp;CSA750ML</t>
  </si>
  <si>
    <t>PACK 2 VINOS TRUMPETER MALBEC 750ML C/U</t>
  </si>
  <si>
    <t>PACK 2 VINOS DON MATIAS CSA&amp;MERLOT 750ML</t>
  </si>
  <si>
    <t>PACK CAVA FREIX CORDON NEGRO 750ML+COPA</t>
  </si>
  <si>
    <t>PACK 2 VINOS PATA NEGRA ROBLE 750ML C/U</t>
  </si>
  <si>
    <t>BLACK WHISKEY SINGLE BARREL BOT 700ML</t>
  </si>
  <si>
    <t>RON ANDEAN BOT 700ML</t>
  </si>
  <si>
    <t>PACK NAVID SNICKERS/M&amp;M/MILKYWAY X149.9G</t>
  </si>
  <si>
    <t>CL FR YUMMY GLOSS COCONUTS ABOUT YOU</t>
  </si>
  <si>
    <t>CL FR YUMMY GLOSS HAVANA GOOD TIME</t>
  </si>
  <si>
    <t>CL FR YUMMY GLOSS LET'S GET FIZZICAL</t>
  </si>
  <si>
    <t>CL FR YUMMY GLOSS MY STRAWBOOTY</t>
  </si>
  <si>
    <t>CL FR YUMMY GLOSS SUGAR POPPY</t>
  </si>
  <si>
    <t>CL FR YUMMY GLOSS YOU'RE JUST JELLY</t>
  </si>
  <si>
    <t>CONCENTRADO DE ALMENDRA LA PURITA X198 G</t>
  </si>
  <si>
    <t>CONCENTRADO DE ALMENDRA LA PURITA X66 G</t>
  </si>
  <si>
    <t>CREMA DE CHANTILLY KEN X 275 GR</t>
  </si>
  <si>
    <t>PANETTONE CLAS RUSTICHELLA D'ABRUZZO 1KG</t>
  </si>
  <si>
    <t>GANCHOS COMMAND TRANSPARENTES X40</t>
  </si>
  <si>
    <t>ELVIVE HA PURE MICELLAR SH 300ML</t>
  </si>
  <si>
    <t>RT SET MULTI 5PK EVERYDAY ESSENTIAL</t>
  </si>
  <si>
    <t>VINO CARMELO RODERO 9MESES 750ML</t>
  </si>
  <si>
    <t>RT SET ROSTRO 4PK FACE BASE</t>
  </si>
  <si>
    <t>MANCHICHIS 2 CERRITOS BL X 1KG</t>
  </si>
  <si>
    <t>PAPA NOEL CHOCO NAVID 2CERRIT BL X245G</t>
  </si>
  <si>
    <t>DUO PACK  BIOTIN 5000MCG</t>
  </si>
  <si>
    <t>DUO PACK HAIR, SKIN, NAILS</t>
  </si>
  <si>
    <t>DUO PACK VIT C 1000MG</t>
  </si>
  <si>
    <t>DUOPACK ZINC 50MG SUNDANCE 90TAB C/U</t>
  </si>
  <si>
    <t>DUO PACK SD VIT D3 2000 IU</t>
  </si>
  <si>
    <t>DUO PACK SD VIT B-6 100MG</t>
  </si>
  <si>
    <t>DUO COMPLETE B COMP+C 100 TABS</t>
  </si>
  <si>
    <t>HYDROLIZADO COLLAGEN 1000MG + C</t>
  </si>
  <si>
    <t>VINO CARMELO RODERO CRIANZA 750ML</t>
  </si>
  <si>
    <t>FISH OIL 1200MG OMEGA 3 SUNDANCE</t>
  </si>
  <si>
    <t>BRUSCHETTA DE PIMIENTO Y ALCACHOFA235GR</t>
  </si>
  <si>
    <t>PESTO GENOVÉS CASA VERDE 225GR</t>
  </si>
  <si>
    <t>CASA VERDE TAPENADE DE ACEITUNA 225GR</t>
  </si>
  <si>
    <t>TOMATES PELADOS VISCIANO 400 GR</t>
  </si>
  <si>
    <t>CARAMELOS FELIZ NAV PAPA NOEL ARCOR 312G</t>
  </si>
  <si>
    <t>BOMBONES BON O BON CAJA CON ÁRBOL X 90 G</t>
  </si>
  <si>
    <t>CARAMELOS STDS FELIZ NAVIDAD ARCOR 219G</t>
  </si>
  <si>
    <t>GALLETAS SURTIDITAS NAVIDAD CAJA X 400G</t>
  </si>
  <si>
    <t>CARAMELOS BUTTER TOFFEES ARCOR CJ 108G</t>
  </si>
  <si>
    <t>SANYTOL LIMPIADOR MULTIUSOS DOY PACK 750</t>
  </si>
  <si>
    <t>CEPILLO COCINA DIFICIL ACCESO</t>
  </si>
  <si>
    <t>CEPILLO JUNTAS</t>
  </si>
  <si>
    <t>CEPILLO LAVANDERIA CERDA DURO</t>
  </si>
  <si>
    <t>PLUMERO MICROFIBRA</t>
  </si>
  <si>
    <t>FALSIES SURREAL WTP VERY BLACK</t>
  </si>
  <si>
    <t>FALSIES SURREAL WSH VERY BLACK</t>
  </si>
  <si>
    <t>PACK JW BLACK + TANQUERAY + SMIRNOFF</t>
  </si>
  <si>
    <t>PACK JW BLACK + ZACAPA AMBAR + SMIRNOFF</t>
  </si>
  <si>
    <t>MINI BASTÓN NAVIDAD ARCOR X 40G</t>
  </si>
  <si>
    <t>MINI BASTON NAVIDAD PRIVILEGIO X 33.6G</t>
  </si>
  <si>
    <t>MINNIE - PERFUME 50ML</t>
  </si>
  <si>
    <t>FROZEN - SET PERFUME COLLET</t>
  </si>
  <si>
    <t>GALLETAS QUINOA C/NARANJA +NUTRI CO 150G</t>
  </si>
  <si>
    <t>GALLETAS QUINOA C/LÚCUMA +NUTRI CO 150G</t>
  </si>
  <si>
    <t>GALLETAS QUINOA C/MANI +NUTRI CO 150G</t>
  </si>
  <si>
    <t>BOMBONES BON O BON CUBITO X 90G</t>
  </si>
  <si>
    <t>BARQUILLO C/CREMA AVELLAN PIROULINE 400G</t>
  </si>
  <si>
    <t>BARQUILLO C/CREMA CHOCOLA PIROULINE 400G</t>
  </si>
  <si>
    <t>CHOCO LINAJE SURTIDO NAVIDAD ESTUCHE 60G</t>
  </si>
  <si>
    <t>VINO F.ROTONDO PATRIM QUEBRA BCO 750ML</t>
  </si>
  <si>
    <t>VINO F.ROTONDO PATRIM QUEBRA ROSE 750ML</t>
  </si>
  <si>
    <t>SANGRIA VIÑA VIEJA LATA 355ML</t>
  </si>
  <si>
    <t>TEQUILA MAESTRO DOBEL DIAMANTE 700ML</t>
  </si>
  <si>
    <t>TEQUILA 1800 MILENIO EXTRA AÑEJO 700ML</t>
  </si>
  <si>
    <t>REFIL NEUTROGENA HB WATER GEL 6X50G</t>
  </si>
  <si>
    <t>SALLY HANSEN ESMALTE GOOD KIND TOASTED T</t>
  </si>
  <si>
    <t>SALLY HANSEN ESMALTE GOOD KIND CRYSTAL B</t>
  </si>
  <si>
    <t>SALLY HANSEN ESMALTE GOOD KIND PINK LAVE</t>
  </si>
  <si>
    <t>SALLY HANSEN ESMALTE GOOD KIND WARM</t>
  </si>
  <si>
    <t>SALLY HANSEN ESMALTE GOOD KIND SMO</t>
  </si>
  <si>
    <t>SALLY HANSEN ESMALTE GOOD KIND ROAST</t>
  </si>
  <si>
    <t>SALLY HANSEN ESMALTE INSTADRI CONFETTI</t>
  </si>
  <si>
    <t>SALLY HANSEN ESMALTE INSTADRI PETAL ME</t>
  </si>
  <si>
    <t>GIN BEEFEATER BOTANICS BOT 700ML</t>
  </si>
  <si>
    <t>VODKA ABSOLUT EOY BOT 700ML</t>
  </si>
  <si>
    <t>AC DE PALTA VIRGENX250ML OLIVOS DEL SUR </t>
  </si>
  <si>
    <t>AC PALTA SAB ALBAHACA 250ML OLIVOS DEL S</t>
  </si>
  <si>
    <t>AC AJONJOLI  BOTX500ML VIDRIO OLIVOS DEL</t>
  </si>
  <si>
    <t>AC OLIV XTVI BOTX200+VINAG MANZ 100 OLIV</t>
  </si>
  <si>
    <t>PACK ANTIBACTERIAL VIRUTEX</t>
  </si>
  <si>
    <t>PACK BOLSAS INFALTABLES 5L+35L+75L+PAÑO</t>
  </si>
  <si>
    <t>NIVEA LIP CARE BLACKEBERRY SHINE 4.8GR</t>
  </si>
  <si>
    <t>MERMELADA ARAND&amp;YAC ECOANDINO 240GR</t>
  </si>
  <si>
    <t>TOSTADAS NAT CRACKERS CRANBERRY 160GR</t>
  </si>
  <si>
    <t>TOSTADAS NAT CRACKERS PISTACHOS 160GR</t>
  </si>
  <si>
    <t>TOSTADAS NAT CRACKERS CAJU-PASAS 160GR</t>
  </si>
  <si>
    <t>BAMBO NATURE SWIM PANTS, TALLA S 7-12KG</t>
  </si>
  <si>
    <t>BAMBO NATURE SWIM PANTS, TALLA M12KG+</t>
  </si>
  <si>
    <t>KATIVA HYALURO KERATIN Q10 SHAM X355 ML</t>
  </si>
  <si>
    <t>KATIVA HYALURO KERATIN Q10 ACO X355 ML</t>
  </si>
  <si>
    <t>CERVEZA MAHOU LATA 330ML</t>
  </si>
  <si>
    <t>CERVEZA MAHOU SIN/A LATA 330ML</t>
  </si>
  <si>
    <t>CERVEZA MAHOU TOSTADA BOT 330 ML</t>
  </si>
  <si>
    <t>CERVEZA MAHOU TOSTADA LAT 330 ML</t>
  </si>
  <si>
    <t>VINO MARCHESE ANTINORI TOSCANA IGT 750ML</t>
  </si>
  <si>
    <t>VINO MARCHESE ANTINORI VERMENT DOC 750ML</t>
  </si>
  <si>
    <t>VINO MARQUES DE MURRIETA RESERVA 750ML</t>
  </si>
  <si>
    <t>VINO STUDIO MIRAVAL ROSE 750ML</t>
  </si>
  <si>
    <t>VINO CHATEAU MIRAVAL ROSE 750ML</t>
  </si>
  <si>
    <t>VINO MONTES OUTER LIMITS S.BLANC 750ML</t>
  </si>
  <si>
    <t>VINO TRABOCCHETTO PECORINO DOC 750ML</t>
  </si>
  <si>
    <t>VINO THE PALE BY SACHA LICHINE 750ML</t>
  </si>
  <si>
    <t>VINO WHISPERING ANGEL 750ML</t>
  </si>
  <si>
    <t>VINO PARALLELE 45 750ML</t>
  </si>
  <si>
    <t>VINO LA VIEILLE FERME 750ML</t>
  </si>
  <si>
    <t>VINO SANTA CRISTINA ROSSO 750ML</t>
  </si>
  <si>
    <t>VINO SANTA CRISTINA LE MAESTRELLE 750ML</t>
  </si>
  <si>
    <t>VINO TERMES D.O.TORO 750ML</t>
  </si>
  <si>
    <t>VINO TWO HANDS HARRY&amp;EDWARD GARDEN 750ML</t>
  </si>
  <si>
    <t>Q-TIPS HISOPOS X170 UNID</t>
  </si>
  <si>
    <t>Q-TIPS HISOPOS X375 UNID</t>
  </si>
  <si>
    <t>NENEGLOSS ADVANCED POMADA BEBE X 60GR</t>
  </si>
  <si>
    <t>COLÁGENO HIDROLIZADO CAMU-C PIRUW 510G</t>
  </si>
  <si>
    <t>CHIA NEGRA ORGANICA ECOANDINO 250GR</t>
  </si>
  <si>
    <t>JARABE DE AGAVE ORGANICO 690G CUISINE&amp;CO</t>
  </si>
  <si>
    <t>GEL MOCO DE GORILA X 340GR PUNK</t>
  </si>
  <si>
    <t>AGUA TÓNICA BRITVIC RASPBERRY 4 PACK</t>
  </si>
  <si>
    <t>RTD WASSKA HAPPY PUNCH FRUT ROJ LT 355ML</t>
  </si>
  <si>
    <t>JARABE DE MAPLE ORGANICO VIFRANC 250ML</t>
  </si>
  <si>
    <t>JARABE DE MAPLE ORGANICO VIFRANC 189ML</t>
  </si>
  <si>
    <t>GALLETAS WHITTARD CLASSIC ALL BUTTE 150G</t>
  </si>
  <si>
    <t>GALLETAS WHITTARD EARL GREY ALL BUT 150G</t>
  </si>
  <si>
    <t>PASTILLA BAÑO X3 LAVANDA CLASICA VIRUTEX</t>
  </si>
  <si>
    <t>ESPONJA ACANALADA COBRE X6 VIRUTEX</t>
  </si>
  <si>
    <t>KT KERATINA CYSTEIN PROTEIN SHA  X 355ML</t>
  </si>
  <si>
    <t>KT KERATINA CYSTEIN PROTEIN COND X 355ML</t>
  </si>
  <si>
    <t>KATIVA VITAMIN E BAMBOO SHAMPOO X 355 ML</t>
  </si>
  <si>
    <t>KATIVA VITAMIN E BAMBOO CONDITI X 355 ML</t>
  </si>
  <si>
    <t>COMBO ECO-FULL RENOVADOR+SILICONA+AMB</t>
  </si>
  <si>
    <t>TRIPACK JB SPA PREMIUM RADIANT COCO 115G</t>
  </si>
  <si>
    <t>VINO CHATEAU MIRAVAL 1.5LT</t>
  </si>
  <si>
    <t>MINI POTE CORAZON BON O BON X 45G</t>
  </si>
  <si>
    <t>POTE CORAZON BLANCO BON O BON 105GR</t>
  </si>
  <si>
    <t>BOMBONES BON O BON OSITO ACRÍLICO X 90G</t>
  </si>
  <si>
    <t>RAMO DE FLORES BON O BON X 6UN</t>
  </si>
  <si>
    <t>BEBIDA DE ARROZ SCOTTI ORGANICA X 1 LT</t>
  </si>
  <si>
    <t>BEBIDA DE ARROZ CON ALMENDRAS SCOTTI 1LT</t>
  </si>
  <si>
    <t>VINO PINTA NEGRA 750ML</t>
  </si>
  <si>
    <t>VINO PINTA NEGRA RESERVA 750 ML</t>
  </si>
  <si>
    <t>VINO PINTA NEGRA BLANCO RESERVA 750 ML</t>
  </si>
  <si>
    <t>VINO DORY 750 ML</t>
  </si>
  <si>
    <t>VINO DORY ROSADO 750 ML</t>
  </si>
  <si>
    <t>VINO JUMILLA MONASTRELL 750 ML</t>
  </si>
  <si>
    <t>VINO JUMILLA GARNACHA 750 ML</t>
  </si>
  <si>
    <t>VINO JUMILLA MONASTRELL ROSADO 750 ML</t>
  </si>
  <si>
    <t>VINO JUMILLA SAUVIGNON BLANC 750 ML</t>
  </si>
  <si>
    <t>PACK 2 VINOS HERESIE BOT X 750ML C/U</t>
  </si>
  <si>
    <t>VINO EL COTO VERDEJO 750ML</t>
  </si>
  <si>
    <t>VINO EL COTO BLANCO 375ML</t>
  </si>
  <si>
    <t>CERVEZA HEINEKEN PACK 4 LATAS 473ML</t>
  </si>
  <si>
    <t>CERVEZA TRES CRUCES LAG PACK 6 LT 310ML</t>
  </si>
  <si>
    <t>VINO JUVE&amp;CAMPS 822 750ML</t>
  </si>
  <si>
    <t>KINGMAX CASTAÑA AGUA 567G</t>
  </si>
  <si>
    <t>KINGMAX LONGAN EN CONSERVA 567G</t>
  </si>
  <si>
    <t>CERVEZA TRES CRUCES LAG PACK 12 LT 310ML</t>
  </si>
  <si>
    <t>CERVEZA TRES CRUCES LIGH PACK 12 LT310ML</t>
  </si>
  <si>
    <t>CERVEZA TRES CRUCES PUMPUM PK 6 LT 310ML</t>
  </si>
  <si>
    <t>PASTILLA PARA INODORO HOME CARE 1UND</t>
  </si>
  <si>
    <t>PASTILLA PARA INODORO HOME CARE 2UND</t>
  </si>
  <si>
    <t>VINO SILK &amp; SPICE RED BLEND 750ML</t>
  </si>
  <si>
    <t>VINO SILK &amp;  SPICE WHITE BLEND 750ML</t>
  </si>
  <si>
    <t>VINO SILK &amp; SPICE SILK ROUTE 750ML</t>
  </si>
  <si>
    <t>VINO SILK &amp;  SPICE SPICE ROAD 750ML</t>
  </si>
  <si>
    <t>SNACK RICE PUFF BABY MUM MUM FRE&amp;ARA 50G</t>
  </si>
  <si>
    <t>SNACK RICE PUFF BABY MUM MUM MAN&amp;PLA 50G</t>
  </si>
  <si>
    <t>XTREME PIEL SENSIBLE HOMBRE X3</t>
  </si>
  <si>
    <t>CICATRICURE PORCELANA GEL ANTIMANCHA 50G</t>
  </si>
  <si>
    <t>VINO VENTISQUERO RESERVA RED BLEND 750ML</t>
  </si>
  <si>
    <t>SUPER STAY VINYL INK PUNCHY</t>
  </si>
  <si>
    <t>SUPER STAY VINYL INK PEPPY</t>
  </si>
  <si>
    <t>SUPER STAY VINYL INK CHARMED</t>
  </si>
  <si>
    <t>SUPER STAY VINYL INK CAPTIVATED</t>
  </si>
  <si>
    <t>SUPER STAY VINYL INK FEARLESS</t>
  </si>
  <si>
    <t>TIO NACHO SHAMPOO ANTICANAS HENNA 950 ML</t>
  </si>
  <si>
    <t>TEATRICAL CREMA ACLARADOR FACIAL 75 ML</t>
  </si>
  <si>
    <t>ELVIVE ANTI-CAIDA SHAMPOO 370ML</t>
  </si>
  <si>
    <t>ELVIVE ANTI-CAIDA SHAMPOO 680ML</t>
  </si>
  <si>
    <t>ELVIVE ANTI-CAIDA ACO 680ML</t>
  </si>
  <si>
    <t>ELVIVE ANTI-CAIDA CTT 300</t>
  </si>
  <si>
    <t>ELV ANTI-CAIDA LEAVELN CPP300ML</t>
  </si>
  <si>
    <t>ELVIVE ANTI-CAIDA SERUM 1.5% AMINEXIL</t>
  </si>
  <si>
    <t>SERUM NOCHE EXPRESS ACLARA</t>
  </si>
  <si>
    <t>GEL TRANSPARENTE EXPRESS ACLARA</t>
  </si>
  <si>
    <t>RVT PRO-RETINOL CLEANSER 150ML</t>
  </si>
  <si>
    <t>RVT RETINOL DAY CREAM 50ML</t>
  </si>
  <si>
    <t>SIMILAC 3 KID X 1.4 KG</t>
  </si>
  <si>
    <t>CAFE MOLIDO PACHAMAMA BRITT 250GR</t>
  </si>
  <si>
    <t>CAFE MOLIDO VALLE SAGRADO BRITT 250GR</t>
  </si>
  <si>
    <t>CAFE MOLIDO CUMB SAGRADA BRITT 250GR</t>
  </si>
  <si>
    <t>CAFÉ MOLIDO TUES OSCURO LEYENDA 250GR</t>
  </si>
  <si>
    <t>RON TANDUAY DARK BOT 750ML</t>
  </si>
  <si>
    <t>RON TANDUAY WHITE BOT 750ML</t>
  </si>
  <si>
    <t>RON TANDUAY SILVER ASIAN BOT 750ML</t>
  </si>
  <si>
    <t>RON TANDUAY GOLD ASIAN BOT 750ML</t>
  </si>
  <si>
    <t>RON TANDUAY DOUBLE BOT 750ML</t>
  </si>
  <si>
    <t>LIMP VIDRIOS LAVANDA C/GAT X650ML HC</t>
  </si>
  <si>
    <t>LAVAVAJILLA LIQ LIMON 4L HOME CARE</t>
  </si>
  <si>
    <t>LAVAVAJILLA LIQ LIMON 500ML HOME CARE</t>
  </si>
  <si>
    <t>LAVAVAJILLA LIQ NEU 500ML HOME CARE</t>
  </si>
  <si>
    <t>LAVAVAJILLA LIQ LIMON 900ML HOME CARE</t>
  </si>
  <si>
    <t>LAVAVAJILLA LIQ NEU 900ML HOME CARE</t>
  </si>
  <si>
    <t>SUAVIZANTE HOME CARE X3L FLORAL</t>
  </si>
  <si>
    <t>SUAVIZANTE HOME CARE X3L LAVANDA</t>
  </si>
  <si>
    <t>SNACK BEBE QFOODS QUINUA Y CAMOTE X25GR</t>
  </si>
  <si>
    <t>SNACK BEBE QFOODS QUINUA Y PLATANO X25GR</t>
  </si>
  <si>
    <t>MIX BARRAS SIETE DRAGONES 5 UN</t>
  </si>
  <si>
    <t>GOMAS MOGUL OSO EXTREME X 55GR</t>
  </si>
  <si>
    <t>GOMAS MOGUL SANDÍA EXTREME X 50GR</t>
  </si>
  <si>
    <t>CARAMELOS MASTICABLES SURTI MOGUL X 400G</t>
  </si>
  <si>
    <t>CARAMELOS ARCOR BOLSÓN SURTIDO X 1KG</t>
  </si>
  <si>
    <t>CHOCOLATE SAPITO PINTALENGUA BOLSA 270G</t>
  </si>
  <si>
    <t>CHOCOLATE SAPITO FRESA BOLSA 270G</t>
  </si>
  <si>
    <t>SALLY HANSEN ESMALTE MIRACLE TO TAUPE</t>
  </si>
  <si>
    <t>SALLY HANSEN ESMALTE MIRACLE APOLLO</t>
  </si>
  <si>
    <t>SALLY HANSEN ESMALTE MIRACLE ELECTRIC</t>
  </si>
  <si>
    <t>SALLY HANSEN ESMALTE MIRACLE LOVE ME</t>
  </si>
  <si>
    <t>SALLY HANSEN ESMALTE MIRACLE REGAL ROSÉ</t>
  </si>
  <si>
    <t>SALLY HANSEN ESMALTE MIRACLE RHAPSODY</t>
  </si>
  <si>
    <t>TOALLAS HUMEDAS SPIDERMAN X 25UN</t>
  </si>
  <si>
    <t>TOALLAS HUMEDAS SPIDERMAN X 100UN</t>
  </si>
  <si>
    <t>DEPILE FOR MEN BAJO LA DUCHA X200 ML</t>
  </si>
  <si>
    <t>DEPILE PIEL SENSIBLE FOR MEN X200 ML</t>
  </si>
  <si>
    <t>BABARIA CREMA FACIAL RETINOL 50ML</t>
  </si>
  <si>
    <t>BABARIA SERUM FACIAL BOTOX 30ML</t>
  </si>
  <si>
    <t>MIEL DE ABEJA  X 250 G</t>
  </si>
  <si>
    <t>SNACK ALCACHOFA MARINADA CASA VERDE X45G</t>
  </si>
  <si>
    <t>SNACK ESPÁRRAGO VERDE CASA VERDE X38G</t>
  </si>
  <si>
    <t>AC COCO ORG. VIRGEN PERUVIAN HEALTH 1LT</t>
  </si>
  <si>
    <t>SF VIT C SKIN RENEW CLEANSING OIL 200ML</t>
  </si>
  <si>
    <t>SF VIT C GLOW BOOST SKIN SERUM 30ML</t>
  </si>
  <si>
    <t>SF VIT C DAILY MICRO POLISH WASH 125ML</t>
  </si>
  <si>
    <t>VINAGRE DE ARROZ ANDREA MILANO 500ML</t>
  </si>
  <si>
    <t>VINAGRE DE JEREZ ANDREA MILANO 500ML</t>
  </si>
  <si>
    <t>KT POST ALISADO BRAS SHAMPOO X 355ML</t>
  </si>
  <si>
    <t>KT POST ALISADO BRAS COND X 355ML</t>
  </si>
  <si>
    <t>KT POST ALISADO BRAS DEEP TREA X300ML</t>
  </si>
  <si>
    <t>KT ARGAN OLIVE PEPTIDES SHA X 355ML</t>
  </si>
  <si>
    <t>KT ARGAN OLIVE PEPTIDES COND X 355ML</t>
  </si>
  <si>
    <t>YAK BETUN LIQUIDO INCOLORO  50 ML</t>
  </si>
  <si>
    <t>YAK BETUN LIQUIDO NEGRO 50 ML</t>
  </si>
  <si>
    <t>ALCOHOL MEDICINAL 70° ALKOFARMA X 1L</t>
  </si>
  <si>
    <t>AC VEGETAL OLIVADO H. ALAMEIN BOT 900ML</t>
  </si>
  <si>
    <t>PACK PISCO MULE SUMMER VIÑAS DE ORO</t>
  </si>
  <si>
    <t>WHISKEY JACK DANIEL'S APPLE 1000ML</t>
  </si>
  <si>
    <t>WHISKEY JACK DANIEL'S HONEY 1000ML</t>
  </si>
  <si>
    <t>DIP DE ESPÁRRAGO VERDE 285GR</t>
  </si>
  <si>
    <t>DIP CON PALTA CASA VERDE 225GR</t>
  </si>
  <si>
    <t>CREMA DE ACEITUNAS VERDES PIKI 400 GR</t>
  </si>
  <si>
    <t>MAYONESA DE ACEITE DE OLIVA PIKI 400 GR</t>
  </si>
  <si>
    <t>SALSA TÁRTARA PIKI 400 GR</t>
  </si>
  <si>
    <t>SALSA AJI AMARILLO CON HUACATAY 400GR</t>
  </si>
  <si>
    <t>RTD PORTON PUNCH LATA 355 ML</t>
  </si>
  <si>
    <t>RTD PORTON MULE LATA 355 ML</t>
  </si>
  <si>
    <t>CETAPHIL CREMA HIDRATANTE 453G</t>
  </si>
  <si>
    <t>CETAPHIL PRO AC LIMP ESPUMA 236ML</t>
  </si>
  <si>
    <t>VITANE SH LISO BRASILERO 400 ML</t>
  </si>
  <si>
    <t>VITANE AC LISO BRASILERO 400 ML</t>
  </si>
  <si>
    <t>CETAPHIL LIMPIADOR PIEL GRASO 237ML</t>
  </si>
  <si>
    <t>CETAPHIL LOCION LIMPIADORA X 473 ML</t>
  </si>
  <si>
    <t>CARAMELO PERITA ARCOR 350G</t>
  </si>
  <si>
    <t>BANDITAS PLÁSTICAS X10</t>
  </si>
  <si>
    <t>VINO NIETO S. PATRIMONIAL SEMILLON 750ML</t>
  </si>
  <si>
    <t>VINO NIETO S. PATRIMONIAL BONARDA 750ML</t>
  </si>
  <si>
    <t>DETERGENTE LIQUIDO MAS COLOR 1.83L</t>
  </si>
  <si>
    <t>DETERGENTE LIQUIDO MAS COLOR 3L</t>
  </si>
  <si>
    <t>DETERGENTE LIQ MAS COLOR DOYPACK 830ML</t>
  </si>
  <si>
    <t>ENERGIZER PILA MAX AA-4</t>
  </si>
  <si>
    <t>ENERGIZER PILA MAX AAA-4</t>
  </si>
  <si>
    <t>FROSCH REMOVEDOR MANCHAS &amp; SPRAY PRELAV</t>
  </si>
  <si>
    <t>TUBA LIMPIA ALFOMBRAS Y TAPICES 500 ML</t>
  </si>
  <si>
    <t>FROSCH PASTILLAS LAVAVAJILLAS AUTO 30 UN</t>
  </si>
  <si>
    <t>SF VIT C SKIN D. DAILY MOISTURISER75ML</t>
  </si>
  <si>
    <t>SF VIT C DARK CIRCLES EYE CREAM 15ML</t>
  </si>
  <si>
    <t>VINO CELESTE ROBLE 750 ML</t>
  </si>
  <si>
    <t>CARAMELOS MENTOL ALKA 500G</t>
  </si>
  <si>
    <t>VINO AGUIJON DE ABEJA OBRERA CFR 750ML</t>
  </si>
  <si>
    <t>VINO AGUIJON DE ABEJA REYNA CFR</t>
  </si>
  <si>
    <t>VINO AGUIJON DE ABEJA REYNA MB 750ML</t>
  </si>
  <si>
    <t>VINO HD MALBEC 750ML</t>
  </si>
  <si>
    <t>VINO HD RESERVA MALBEC 750ML</t>
  </si>
  <si>
    <t>SAL DE MARAS MOLIDA OLI21 500 G</t>
  </si>
  <si>
    <t>SAL DE MARAS SEMIGRUESA OLI21 500 G</t>
  </si>
  <si>
    <t>BEBIDA AVENA S/ AZUCAR NH TWOPACK 946ML</t>
  </si>
  <si>
    <t>SALES GO BARMAN MARGARITA 90G</t>
  </si>
  <si>
    <t>SALES GO BARMAN BLOODY MARY 90G</t>
  </si>
  <si>
    <t>SALES GO BARMAN MICHELADAS &amp; TEQUILA 90G</t>
  </si>
  <si>
    <t>RTD PISCANO MARACUYA LAT 473ML</t>
  </si>
  <si>
    <t>RTD PISCANO LIMON LAT 473ML</t>
  </si>
  <si>
    <t>LABIAL MAYBELLINE  VINYL INK GOLDEN</t>
  </si>
  <si>
    <t>PALETTE ICC TRATAMIENTO POST COLOR</t>
  </si>
  <si>
    <t>ACEITE DE AJONJOLI X200ML CUISINE &amp; CO</t>
  </si>
  <si>
    <t>TURRON SELECTO LA IBERICA 225GR</t>
  </si>
  <si>
    <t>FACIAL GEL NIVEA ÁCIDO HIALURÓNICO 200ML</t>
  </si>
  <si>
    <t>FACIAL GEL NIVEA ÁCIDO HIALURÓNICO 100ML</t>
  </si>
  <si>
    <t>AGUA MICELAR GARNIER BIFASICA 100ML</t>
  </si>
  <si>
    <t>ENERGIZANTE REDBULL GREEN EDITION 250ML</t>
  </si>
  <si>
    <t>SOPA CREMOSA CALABAZA Y CAMOTE AUGA430GR</t>
  </si>
  <si>
    <t>SOPA LENTEJA VERDEROJA Y MARRON AUGA43OG</t>
  </si>
  <si>
    <t>INFUSION JAMAICA C/ MIEL WAWASANA 20 UN</t>
  </si>
  <si>
    <t>VINO VENTISQUERO GREY CARMENERE 750ML</t>
  </si>
  <si>
    <t>INFUSION MENTA C/MUÑA WAWASANA 50 UN</t>
  </si>
  <si>
    <t>INFUSION PROSTATE WAWASANA 20 UN</t>
  </si>
  <si>
    <t>CAFÉ MOLIDO INTENSO EXPLORA 250GR</t>
  </si>
  <si>
    <t>CAFÉ MOLIDO DARK EXPLORA 250GR</t>
  </si>
  <si>
    <t>CAFÉ MOLIDO GOLD EXPLORA 250GR</t>
  </si>
  <si>
    <t>VINO C. DIABLO FABULOUS RED 750ML</t>
  </si>
  <si>
    <t>VINO C. DIABLO FANTASTIC SWEET 750ML</t>
  </si>
  <si>
    <t>VINO FRONTERA SWEET SELECTION 750ML</t>
  </si>
  <si>
    <t>VINO EL CIRCO VOLATINERO 750ML</t>
  </si>
  <si>
    <t>VINO EL CIRCO EQUILIBRISTA 750ML</t>
  </si>
  <si>
    <t>VINO LA PICOSSA TINTO 750ML</t>
  </si>
  <si>
    <t>VINO LA PICOSSA BLANCO 750ML</t>
  </si>
  <si>
    <t>VINO MARIETA ROSADO 750ML</t>
  </si>
  <si>
    <t>VINO MARIETA RIBEIRO 750ML</t>
  </si>
  <si>
    <t>SANGRIA LOLAILO TINTO 750ML</t>
  </si>
  <si>
    <t>SANGRIA LOLAILO BLANCO 750ML</t>
  </si>
  <si>
    <t>SANGRIA LOLAILO ROSADO 750ML</t>
  </si>
  <si>
    <t>VINO TRAPICHE TESORO MALBEC 750ML</t>
  </si>
  <si>
    <t>VINO TRAPICHE TESORO CABERNET 750ML</t>
  </si>
  <si>
    <t>VINO TRAPICHE TESORO CHARDONNAY 750ML</t>
  </si>
  <si>
    <t>VINO FINCA ROTONDO CHARDONNAY 750ML</t>
  </si>
  <si>
    <t>BLOODY MARY MIX Q MIXERS 946 ML</t>
  </si>
  <si>
    <t>BANDITAS IMPERMEABLES X15</t>
  </si>
  <si>
    <t>PASTA FETTUCCINI NIDI REGGIA 500GR</t>
  </si>
  <si>
    <t>PASTA FUSILLI TRICOLORE REGGIA 500GR</t>
  </si>
  <si>
    <t>ÑOQUIS DE PAPA REGGIA 500GR</t>
  </si>
  <si>
    <t>PASTA DE LASAGNE REGGIA 500GR</t>
  </si>
  <si>
    <t>GREEN TEA WITH GINGER BIGELOW 18UN</t>
  </si>
  <si>
    <t>MATCHA WITH TURMERIC BIGELOW 18UN</t>
  </si>
  <si>
    <t>GINGER HONEY LEMON HERBAL TEA 18UN</t>
  </si>
  <si>
    <t>MERENFRESA SAN ROQUE 144GR</t>
  </si>
  <si>
    <t>TAB CHOCO C/PECANAS S/ AZUCAR MILKY 100G</t>
  </si>
  <si>
    <t>VINO VENTISQUERO GREY CAB.SAUV 750ML</t>
  </si>
  <si>
    <t>GALLETA AVENA DOBLE ZERO SANTIVERI X190G</t>
  </si>
  <si>
    <t>TAB CHOCO C/ALMENDRA S/AZUCAR MILKY 100G</t>
  </si>
  <si>
    <t>VINAGRE BLANCO MAXIMA X 5 LITROS</t>
  </si>
  <si>
    <t>RON FLOR DE CAÑA ECO BOT 750ML</t>
  </si>
  <si>
    <t>BRANDY TORRES 5 AÑOS BOT 700 ML</t>
  </si>
  <si>
    <t>VINO TAPIZ CLASSIC MERLOT 750ML</t>
  </si>
  <si>
    <t>VINO TAPIZ CLASSIC SYRAH 750ML</t>
  </si>
  <si>
    <t>VINO TAPIZ CLASSIC MALBEC 750ML</t>
  </si>
  <si>
    <t>VINO TAPIZ CLASSIC CAB SAUV 750ML</t>
  </si>
  <si>
    <t>VINO BIEN AL SUR MODERN CAB SAUV 750ML</t>
  </si>
  <si>
    <t>VINO BIEN AL SUR MODERN MALBEC 750ML</t>
  </si>
  <si>
    <t>SALLY HANSEN ESMALTE INSTADRI BEET-ING</t>
  </si>
  <si>
    <t>VINO BIEN AL SUR SELECTION CSA 750ML</t>
  </si>
  <si>
    <t>VINO BIEN AL SUR SELECTION MB 750ML</t>
  </si>
  <si>
    <t>VINO INTIPALKA RESERVA FAMILIA MB 750ML</t>
  </si>
  <si>
    <t>CIPRIANI COCKTAIL BELLINI 750ML</t>
  </si>
  <si>
    <t>ESPUMANTE CIPRIANI PROSECCO DOC 750ML</t>
  </si>
  <si>
    <t>ESPUMANTE CIPRIANI PROSECCO DOCG 750ML</t>
  </si>
  <si>
    <t>ACEITE DE MAIZ GALON 96OZ-2.84LT MAZOLA</t>
  </si>
  <si>
    <t>VINO EL COTO SEMIDULCE 750ML</t>
  </si>
  <si>
    <t>SOPA CREMA DE CHAMPIÑONES AUGA 430GR</t>
  </si>
  <si>
    <t>SOPA DE MAIZ DULCE AUGA 430GR</t>
  </si>
  <si>
    <t>PROTEINA WHEY SABOR CHOCOLATE 1.1KG</t>
  </si>
  <si>
    <t>HARINA DE MAÍZ AMARILLO P.A.N 1KG</t>
  </si>
  <si>
    <t>SALSA DE AJI PANCA MAXIMA X 1KG</t>
  </si>
  <si>
    <t>PLANT PROTEIN LÚCUMA DOYPACK 500 G</t>
  </si>
  <si>
    <t>POLVO COMPAC CLEAN INVISIBLE SOFT HONEY</t>
  </si>
  <si>
    <t>POLVO COMPA CLEAN INVISIBLE CLASS IVORY</t>
  </si>
  <si>
    <t>POLVO COMPAC CLEAN INVISIBLE CREAM NATU</t>
  </si>
  <si>
    <t>POLVO COMPAC CLEAN INVISIBLE BUFF BEIGE</t>
  </si>
  <si>
    <t>CORRECTOR CLEAN INVISIBLE CLASSIC TAN</t>
  </si>
  <si>
    <t>CORRECTOR CLEAN INVISIBLE LIGHT IVORY</t>
  </si>
  <si>
    <t>CORRECTOR CLEAN INVISIBLE GOLDERN IVORY</t>
  </si>
  <si>
    <t>CORRECTOR CLEAN INVISIBLE WARM NUDE</t>
  </si>
  <si>
    <t>TIPPYS DESMAQUILLADOR UNAS BIO 60 UND</t>
  </si>
  <si>
    <t>SALSA DE AJOS MAXIMA X 1KG</t>
  </si>
  <si>
    <t>SALSA DE AJI AMARILLO MAXIMA X 1KG</t>
  </si>
  <si>
    <t>CREMA MANI CREAMY SKIPPY 462GR</t>
  </si>
  <si>
    <t>CREMA MANI NATURAL CREAMY SKIPPY 425GR</t>
  </si>
  <si>
    <t>ENERGIZER PILA MAX AA-16</t>
  </si>
  <si>
    <t>ENERGIZER PILA MAX AAA-16</t>
  </si>
  <si>
    <t>LINT RAYOVAC OPP 2AA BLISTER C/PILAS</t>
  </si>
  <si>
    <t>LINT ENR COMPACT METAL LIGHT 80 LM</t>
  </si>
  <si>
    <t>DUO PACK KIT SILICONA 420ML</t>
  </si>
  <si>
    <t>FLOR DE JAMAICA CUISINE &amp; CO 50GR</t>
  </si>
  <si>
    <t>EMOLIENTE CUISINE &amp; CO 120GR</t>
  </si>
  <si>
    <t>LINAZA CUISINE &amp; CO 300GR </t>
  </si>
  <si>
    <t>SALSA SIRACHA BÁRCIDDA 289G</t>
  </si>
  <si>
    <t>VINO ANDICA RSVA CHARDONNAY 750ML</t>
  </si>
  <si>
    <t>VINO ANDICA GRSVA PINOT NOIR 750ML</t>
  </si>
  <si>
    <t>CREMA MANI ROASTED HONEY SKIPPY 462GR</t>
  </si>
  <si>
    <t>PREMEZCLA KATZEL PANCAKE MIX 216GR</t>
  </si>
  <si>
    <t>ELVIVE ANTI-CAIDA ACO 370ML</t>
  </si>
  <si>
    <t>PACK SOMETHING SPECIAL 750ML + BOT 200ML</t>
  </si>
  <si>
    <t>LICOR CAPITAN BOLA 8 BOT 500ML</t>
  </si>
  <si>
    <t>LICOR EXPRESSO MARTINI BOLA 8 BOT 500ML</t>
  </si>
  <si>
    <t>LICOR NEGRONI BOLA 8 BOT 500ML</t>
  </si>
  <si>
    <t>VODKA SOVIET PREMIUM X 1 L</t>
  </si>
  <si>
    <t>VODKA SOVIET GREEN APPLE X 1 L</t>
  </si>
  <si>
    <t>VODKA SOVIET PREMIUM X 2 L</t>
  </si>
  <si>
    <t>VODKA SOVIET GREEN APPLE X 2 L</t>
  </si>
  <si>
    <t>CARMENCITA CÚRCUMA MOLIDA 48G TARRO CRIS</t>
  </si>
  <si>
    <t>CARMENCITA JENGIBRE MOLIDO37G TARRO CRIS</t>
  </si>
  <si>
    <t>PISCO PORTON ACHOLADO QUILLOAY BT 750 ML</t>
  </si>
  <si>
    <t>ANIS NAJAR FRUTOS ROJOS BOT 750ML</t>
  </si>
  <si>
    <t>VINO SELEC PUENTE AUSTRAL CAB SAUV 750ML</t>
  </si>
  <si>
    <t>VINO SELEC PUENTE AUSTRAL CARM 750ML</t>
  </si>
  <si>
    <t>VINO PUENTE AUSTRAL RSVA CAB SAUV 750ML</t>
  </si>
  <si>
    <t>VINO PUENTE AUSTRAL RSVA CARM 750ML</t>
  </si>
  <si>
    <t>PACK BALLATINES F+HAVANA CL AÑEJ ESP.700</t>
  </si>
  <si>
    <t>VINO PUENTE AUSTRAL RSVA MERLOT 750ML</t>
  </si>
  <si>
    <t>VINO PUENTE AUSTRAL RSVA SAUV BL 750ML</t>
  </si>
  <si>
    <t>VINO PUENTE AUSTRAL GRAN RSVA CBSV 750ML</t>
  </si>
  <si>
    <t>VINO PUENTE AUSTRAL GRAN RSVA CARM 750ML</t>
  </si>
  <si>
    <t>PACK CHIVAS 12 + BEEFEATER BL ORANGE 700</t>
  </si>
  <si>
    <t>SALSA SHOYU KIKKO 350 ML</t>
  </si>
  <si>
    <t>FREJOLES ROJOS PEQUEÑOS GOYA 439G</t>
  </si>
  <si>
    <t>FREJOL CARITA GOYA 439G</t>
  </si>
  <si>
    <t>FREJOLES PINTO GOYA 439G</t>
  </si>
  <si>
    <t>FREJOLES NEGROS GOYA 439G</t>
  </si>
  <si>
    <t>VINO PUENTE AUSTRAL GRAN RSVA CH 750ML</t>
  </si>
  <si>
    <t>VINO PUENTE AUSTRAL UNIQ TERROIR CB SAUV</t>
  </si>
  <si>
    <t>KATIVA BUTTER COCONUT SHAMPOO X 355 ML</t>
  </si>
  <si>
    <t>KATIVA BUTTER COCONUT ACO X 355 ML</t>
  </si>
  <si>
    <t>PACK VINYL INK</t>
  </si>
  <si>
    <t>ANDEAN GIN ARANDANOS BOT 700 ML</t>
  </si>
  <si>
    <t>LIMP. ANTIBACT. NEVERAS/REFRIGERADO500ML</t>
  </si>
  <si>
    <t>LIMP. DESENGRA. ESTUFAS DE CRISTAL 240ML</t>
  </si>
  <si>
    <t>LIMP. BRILLADOR ACERO INOXIDABLE 400ML</t>
  </si>
  <si>
    <t>QUITAGRASA PARRILLAS BBQ AEROSOL 600ML</t>
  </si>
  <si>
    <t>BINNER COCINAS PERFECTAS  500ML + RPTO</t>
  </si>
  <si>
    <t>POLVO Y BRILLO FLORES DE P. 300ML + RPTO</t>
  </si>
  <si>
    <t>KT PACK COCKT HYAL DT 150ML + OLCOCO60ML</t>
  </si>
  <si>
    <t>KT PACK COCKT COCO DT 150ML + OL ARG60ML</t>
  </si>
  <si>
    <t>METAMUCIL SABOR NARANJA TARRO 174G</t>
  </si>
  <si>
    <t>BOMBONES BON O BON CAJA PRISMA X 75G</t>
  </si>
  <si>
    <t>BON O BON CHOCOLINAS CAJA CORAZÓN X 75G</t>
  </si>
  <si>
    <t>MOCHILA OSO BON O BON  X90G</t>
  </si>
  <si>
    <t>PANELA GRANULADA X1KG ECOPANELA</t>
  </si>
  <si>
    <t>CHICLE TOPLINE INCA KOLA ZERO X 11GR</t>
  </si>
  <si>
    <t>MARSHMALLOWS MOGUL FRIES X160G</t>
  </si>
  <si>
    <t>CHUPETIN MISTER POPS PINTALENGUA X432G</t>
  </si>
  <si>
    <t>CHUPETIN MISTER POPS EXTREME X432G</t>
  </si>
  <si>
    <t>DIP DE QUINUA NATURAL AYNI 200G</t>
  </si>
  <si>
    <t>DIP DE QUINUA PICANTE AYNI 200G</t>
  </si>
  <si>
    <t>CHIMICHURRI ARTESANAL AYNI 200G</t>
  </si>
  <si>
    <t>CHOCOLATES CONFIT. 47.9G M&amp;M MILK CHOCOL</t>
  </si>
  <si>
    <t>TWIX COOKIE BARRA X50.7G</t>
  </si>
  <si>
    <t>CERVEZA MAHOU SIN ALCOHOL PK 6 BT 250ML</t>
  </si>
  <si>
    <t>ORGANIC BLACK BEAN SPAGHETTI 227G</t>
  </si>
  <si>
    <t>ORGANIC EDAMAME SPAGHETTI 227G</t>
  </si>
  <si>
    <t>ORGANIC EDM MUNG BEAN FETTUCCINE 227G</t>
  </si>
  <si>
    <t>CONAIR CEPILLO DETANGLING HEART</t>
  </si>
  <si>
    <t>RTD PARTY BOX UVA DANGER LAT 355ML</t>
  </si>
  <si>
    <t>VINO ENTREMONTES SEMISECO 750ML</t>
  </si>
  <si>
    <t>VINO C PATRONALES MAUCHO RSV CARIG 750ML</t>
  </si>
  <si>
    <t>VINO C PATRONALES MAUCHO RSV MB 750ML</t>
  </si>
  <si>
    <t>VINO C PATRONALES MAUCHO RSV VIOG 750ML</t>
  </si>
  <si>
    <t>TWO PACK BEBIDA NATURE'S HEART+ESPUMADOR</t>
  </si>
  <si>
    <t>SCHICK QUATTRO TITANIUM PAGUE 4 LLEVE 5</t>
  </si>
  <si>
    <t>LATA ESPUMANTE DIAMANTE 355ML</t>
  </si>
  <si>
    <t>EST.CORAZON  CHOCOLATE CUISINE&amp;CO CJ 80G</t>
  </si>
  <si>
    <t>KT COCONUT ALMOND RETINOL COND X 355ML</t>
  </si>
  <si>
    <t>EVO RADIANCE FACE SCRUB POMEGRANATE 150G</t>
  </si>
  <si>
    <t>EVO VELVET FACE SCRUB PEACH 150G</t>
  </si>
  <si>
    <t>EVO NOURISHING FACE SCRUB ARGAN OIL 150G</t>
  </si>
  <si>
    <t>EVO NOURISHING BODY SCRUB ARGAN 150ML</t>
  </si>
  <si>
    <t>EVO  STI. BODY SCRUB MONOI 150ML</t>
  </si>
  <si>
    <t>CHOCOLATE M&amp;M'S PEANUT X 49.3G</t>
  </si>
  <si>
    <t>NUTRIBELA CR TRAT BIOKERATINA FR900ML</t>
  </si>
  <si>
    <t>VINO G.BLANCO S SECOX750TABER</t>
  </si>
  <si>
    <t>CERVEZA HEINEKEN BOTELLA X330 ML SIXPACK</t>
  </si>
  <si>
    <t>SALV. DE TRIGO ENT.X400 COSECHA DEL PAR.</t>
  </si>
  <si>
    <t>SALV. DE TRIGO MOL.X400 COSECHA DEL PAR.</t>
  </si>
  <si>
    <t>SUSTAGEN VAINILLA X 400GR.</t>
  </si>
  <si>
    <t>SUSTAGEN CHOCOLATE X400GR.</t>
  </si>
  <si>
    <t>INFUSION RELAX  X 12 UND WAWASANA</t>
  </si>
  <si>
    <t>INFUSION DIGESTIVO X 12 UND WAWASANA</t>
  </si>
  <si>
    <t>INFUSION GRIPAL X 12 UND WAWASANA</t>
  </si>
  <si>
    <t>SOPA FREJOLES NEGROS GOYA 425G</t>
  </si>
  <si>
    <t>FETTUCCINI EXTRA  ESPINACAX500GRS LA MON</t>
  </si>
  <si>
    <t>FETTUCCINI EXTRA HUEVOX500GRS LA MONTANA</t>
  </si>
  <si>
    <t>TORTIGLIONI # 46 X 500 GR AGNESI</t>
  </si>
  <si>
    <t>COMPOTA FRUTAS  CRIOLLLAS 113 GR HEINZ</t>
  </si>
  <si>
    <t>SOPA INST CAMARON X 2.5 OZ VASO NISSIN</t>
  </si>
  <si>
    <t>SOPA INST POLLO  X 2.5 OZ VASO NISSIN</t>
  </si>
  <si>
    <t>SOPA INST CARNE X 2.25OZ VASO NISSIN</t>
  </si>
  <si>
    <t>FRUNAS STARBURST ORIGINAL FRUIT 58.7 GR</t>
  </si>
  <si>
    <t>CARAMELOS SKITTLES FRUIT 62 GR</t>
  </si>
  <si>
    <t>CARAMELOS SKITTLES WILD BERRY 62 GR</t>
  </si>
  <si>
    <t>ESTUCHE DE CHOCOLATES  BON O BON 225 GR</t>
  </si>
  <si>
    <t>ELICHE # 56 X 500 GR AGNESI</t>
  </si>
  <si>
    <t>ESTUCHE DE CHOC. BLANCO 255 GR BON O BO</t>
  </si>
  <si>
    <t>CHIC.METRICO ORIGINALBUBBLE TAPE X 56.7</t>
  </si>
  <si>
    <t>PROTEC.DIARIO CAREFREE REGULAR E/I X 15</t>
  </si>
  <si>
    <t>PROTECT.DIARIO CAREFREE BRISA X15</t>
  </si>
  <si>
    <t>NEW LOOK AMARILLO  X 260 ML.</t>
  </si>
  <si>
    <t>NEW LOOK ROJO  X 260 ML.</t>
  </si>
  <si>
    <t>PASTILLAS MATAPOL. CEDRITO LAVANDAX120GR</t>
  </si>
  <si>
    <t>PASTILLAS MATAPOLILLA FRESA CEDRITO</t>
  </si>
  <si>
    <t>PASTILLAS MATAPOLILLA CITRUS CEDRITO</t>
  </si>
  <si>
    <t>GUANTES ANTIDESLIZANTE TALLA 7</t>
  </si>
  <si>
    <t>GUANTES ANTIDESLIZANT  TALLA 7.5</t>
  </si>
  <si>
    <t>GUANTES ANTIDESLIZANTE TALLA 8</t>
  </si>
  <si>
    <t>GUANTES ANTIDESLIZANT TALLA 8.5</t>
  </si>
  <si>
    <t>GUANTES ANTIDESLIZANTE TALLA 9</t>
  </si>
  <si>
    <t>CERA TEKNO AL AGUA 300 ML</t>
  </si>
  <si>
    <t>ENJUAG. BUC. COOL MINT X 180ML LISTERINE</t>
  </si>
  <si>
    <t>LISTERINE COOLMINT 12X500ML</t>
  </si>
  <si>
    <t>SH AMMENS 400ML+SH.400ML MAN</t>
  </si>
  <si>
    <t>SH AMMENS 400ML+SH.400ML ORI</t>
  </si>
  <si>
    <t>SH AMMENS 400ML+SH.400ML AVE</t>
  </si>
  <si>
    <t>RPTO. CERA DEPILAT.X500GR NATURAL DEPILE</t>
  </si>
  <si>
    <t>ALMIDON NIAGARA 20OZ, HEAVY PROFESSIONAL</t>
  </si>
  <si>
    <t>ALMIDON NIAGARA 20OZ, LIMON</t>
  </si>
  <si>
    <t>JABON FORM. ORIGINAL X100GR NEUTROGENA</t>
  </si>
  <si>
    <t>JABON X 3.5 OZ ACNE NEUTROGENA</t>
  </si>
  <si>
    <t>CIGARRILLOS MARLBORO RED X20UND</t>
  </si>
  <si>
    <t>CIGARRILLOS MARLBORO GOLD X 20UND</t>
  </si>
  <si>
    <t>PUROS KING EDWARD TIP X 5 UN</t>
  </si>
  <si>
    <t>TRAPEADOR FELPA C/OJAL VERDE 70X50CM</t>
  </si>
  <si>
    <t>TRAPEADOR YUTE C/OJAL GRIS 70X50CM</t>
  </si>
  <si>
    <t>TALCO ORIGINAL X 200 GR. JOHNSON'S</t>
  </si>
  <si>
    <t xml:space="preserve"> TALCO ORIGINALX400GR JOHNSON'S</t>
  </si>
  <si>
    <t>TALCO X 400 GR.  JOH, LAVANDA/MANZANILLA</t>
  </si>
  <si>
    <t>TALCO ORIG. X 600 GR. JOHNSON'S</t>
  </si>
  <si>
    <t>CREMA LIQUIDA ORIGINALX200 ML. JOHNSON'S</t>
  </si>
  <si>
    <t>JABON LIQ. GLICERINA CELESTEX340MLSIMON</t>
  </si>
  <si>
    <t>JABON LIQ. GLICER. DERMOPROTX360MLSIMOND</t>
  </si>
  <si>
    <t>JABON LIQ.  GLICERINA X 360MLSIMO, AVENA</t>
  </si>
  <si>
    <t>JABON LIQ.  GLICERINA X 360MLS, ANTIBACT</t>
  </si>
  <si>
    <t>SALSA SPAGUETTI X 680 GR RAGU MUSHROOM</t>
  </si>
  <si>
    <t>SALSA SPAGHETTI 677GR RAGU , CARNE RAGU</t>
  </si>
  <si>
    <t>SALSA SPAGUETTI X 680 GR RAGU TRADITIONA</t>
  </si>
  <si>
    <t>WHISKY CHIVAS REGAL 12 AÑOS BOT 700 ML</t>
  </si>
  <si>
    <t>CAVA BRUT CARTA NEVADA FREXINET X 750 ML</t>
  </si>
  <si>
    <t>ANIS DEL MONO DULCE X 1 LT.</t>
  </si>
  <si>
    <t>ANIS DEL MONO SECO  X 1 LT.</t>
  </si>
  <si>
    <t>GRAND MARNIER CORDON ROUGE X700</t>
  </si>
  <si>
    <t>VODKA ABSOLUT MANDARIN X 750 ML</t>
  </si>
  <si>
    <t>SOPA RAMEN MARUCHAN X 85G, POLLO</t>
  </si>
  <si>
    <t>SOPA RAMEN MARUCHAN X 85G, CAMARON</t>
  </si>
  <si>
    <t>SOPA RAMEN MARUCHAN X 85G, CARNE DE RES</t>
  </si>
  <si>
    <t>SOPA RAMEN MARUCHAN X 85G, POLLO PICANTE</t>
  </si>
  <si>
    <t>CHOCLO DULCE DESGRANADO X 432 DEL MONTE</t>
  </si>
  <si>
    <t>VODKA ABSOLUT SABOR BOT 700 ML , LIME</t>
  </si>
  <si>
    <t>VODKA STOLICHNAYAX750ML</t>
  </si>
  <si>
    <t>VINO CAB.SAUVIGNON GATO NEGRO  X  750 ML</t>
  </si>
  <si>
    <t>VINO MERLOT GATO NEGRO  X 750 ML.</t>
  </si>
  <si>
    <t>GUANTES MULTIUSO CLASICO SMALL VIRUTEX</t>
  </si>
  <si>
    <t>GUANTES MULTIUSO CLASICO MEDIUM VIRUTEX</t>
  </si>
  <si>
    <t>GUANTES MULTIUSO CLASICO LARGE VIRUTEX</t>
  </si>
  <si>
    <t>CEPILLO VANDUX MOD.24116</t>
  </si>
  <si>
    <t>TRIGO NUCLEAR X110GR CHUR CEREAL</t>
  </si>
  <si>
    <t>COMPOTA ZANAHORIA Y NARANJA 113 GR HEINZ</t>
  </si>
  <si>
    <t>COMPOTA DE FRUTAS X 113 GR HEINZ , MANGO</t>
  </si>
  <si>
    <t>TRIGO NUCLEAR LIGHT X110GR CHUR CEREAL</t>
  </si>
  <si>
    <t>VERMOUTH MARTINI 750 ML ROSSO</t>
  </si>
  <si>
    <t>VERMOUTH MARTINI 750 ML BIANCO</t>
  </si>
  <si>
    <t>VERMOUTH MARTINI 750 ML DRY</t>
  </si>
  <si>
    <t>JABON GLICERINA X 80GRS BABY JOHNSON</t>
  </si>
  <si>
    <t>PAN LINAZA LEINSAMEN X500 GR MESTEMACHER</t>
  </si>
  <si>
    <t>PAN MUSLI VOLLKORN X 500 GR MESTEMACHER</t>
  </si>
  <si>
    <t>KING KONG 3 DULCES SAN ROQUE X 450 GR</t>
  </si>
  <si>
    <t>KING KONG MANJAR/PIÑA  SAN ROQUE X 450GR</t>
  </si>
  <si>
    <t>LOC..X4 AMP ACEITE ESENCIAL SEMI DI LINO</t>
  </si>
  <si>
    <t>LOCION X 4 AMP A LA MEDULA SEMI DI LINO</t>
  </si>
  <si>
    <t>LANOSTERIN LOCION BLISTER X4, CONT.CAIDA</t>
  </si>
  <si>
    <t>LANOSTERIN LOCION BLIST, REESTRUCTURANTE</t>
  </si>
  <si>
    <t>PISCO VIEJO TONEL TORONTEL 500ML</t>
  </si>
  <si>
    <t>PISCO VIEJO TONEL ACHOLADO 500ML</t>
  </si>
  <si>
    <t>PISCO VIEJO TONEL MV QUEBRANTA 500 ML</t>
  </si>
  <si>
    <t>PISCO VIEJO TONEL ITALIA 500ML</t>
  </si>
  <si>
    <t>PISCO VIEJO TONEL ALBILLA 500ML</t>
  </si>
  <si>
    <t>PISCO VIEJO TONEL MOSCATEL 500ML</t>
  </si>
  <si>
    <t>PISCO VIEJO TONEL MOLLAR 500ML</t>
  </si>
  <si>
    <t>ADEREZO PARA POLLO X100GR PIKI</t>
  </si>
  <si>
    <t>ADEREZO PARA PAVO  X100 GR PIKI</t>
  </si>
  <si>
    <t>COMPOTA POSTRES X 113GR HEINZ , PERA CON</t>
  </si>
  <si>
    <t>SOPA INST VASO MARUCHAN X 64G, POLLO</t>
  </si>
  <si>
    <t>SOPA INST VASO MARUCHAN X 64G, CARNE</t>
  </si>
  <si>
    <t>SOPA INST VASO MARUCHAN X 64G, GALLINA</t>
  </si>
  <si>
    <t>MAIZ CANCHA DESGRANADO X 425 GR KUSKI</t>
  </si>
  <si>
    <t>CARAMELOS MENTA CHOCOLATE 365 GR</t>
  </si>
  <si>
    <t>SOPA INST POLLO X 3 OZ TOP RAMEN NISSIN</t>
  </si>
  <si>
    <t>SOPA INST CARNE X 3 OZ TOP RAMEN NISSIN</t>
  </si>
  <si>
    <t>SOPA INST X 3 OZ TOP RAMEN NISSIN , POLL</t>
  </si>
  <si>
    <t>JAB.LIQ.P/BEBES GLICERINAX300 DR.ZAIDMAN</t>
  </si>
  <si>
    <t>CR.ANTIARRUGAS DIAX 50ML Q-10 PLUS NIVEA</t>
  </si>
  <si>
    <t>ESPUMA AFEITAR P.NORMALX200ML NIVEA MEN</t>
  </si>
  <si>
    <t>ESPUMA AFEITAR P.SENSIBLEX200MLNIVEA MEN</t>
  </si>
  <si>
    <t>SOPA SHIN RAMYUM(PICAN)X 120 GR NONGSHIM</t>
  </si>
  <si>
    <t>SOPA  C/FIDEOS PICANTE X 86 GR NONG SHIM</t>
  </si>
  <si>
    <t>AFTER SHAVE P.NORMAL X 100ML NIVEA MEN</t>
  </si>
  <si>
    <t>AFTER SHAVE P.SENSIBLE X 100ML NIVEA MEN</t>
  </si>
  <si>
    <t>SECADOR DE COCINA NIDO  CON RAYA CON ASA</t>
  </si>
  <si>
    <t>GUANTE INDUST. DURALON 25 T-7 1/2</t>
  </si>
  <si>
    <t>GUANTE INDUST. DURALON 25 T-8</t>
  </si>
  <si>
    <t>GUANTE INDUST. DURALON 25 T-8 1/2</t>
  </si>
  <si>
    <t>GUANTE INDUST. DURALON 25 T-9</t>
  </si>
  <si>
    <t>GUANTE INDUST. DURALON 25 T-9  1/2</t>
  </si>
  <si>
    <t>GUANTE INDTR. DURALON 35 T-71/2</t>
  </si>
  <si>
    <t>GUANTE INDTR. DURALON 35 T-81/2</t>
  </si>
  <si>
    <t>SOPA KIMCHI BOWL X 86 G NONG SHIM</t>
  </si>
  <si>
    <t>SALSA POMODORO BASILICO X400 GR AGNESI</t>
  </si>
  <si>
    <t>GUANTE INDTR. DURALON 35 T-9</t>
  </si>
  <si>
    <t>GUANTE INDTR. DURALON 35 T-91/2</t>
  </si>
  <si>
    <t>GUANTE INDTR. DURALON 35 T-8</t>
  </si>
  <si>
    <t>CERA DEP.P/MICROONDAS JOJOBA X200GDEPILE</t>
  </si>
  <si>
    <t>SALSA POMODORO BOLOGNESE X 400 GR AGNESI</t>
  </si>
  <si>
    <t>SALSA  POMODORO  OLIVE X 400 GR AGNESI</t>
  </si>
  <si>
    <t>SALSA POMODORO ARRABBIATA X400 GR AGNESI</t>
  </si>
  <si>
    <t>CREMA SECA ALOE Y VIT.EX400M NIVEA BODY</t>
  </si>
  <si>
    <t>CR.ANTIAR. NOCHE Q10 PLUS X50ML NIVEA</t>
  </si>
  <si>
    <t>CAFE EXPRESSO MOLIDO X 250 GRS. ILLY</t>
  </si>
  <si>
    <t>CAFE ESPRESSO PARA PASAR X 250 GRS. ILLY</t>
  </si>
  <si>
    <t>PISCO ITALIA  VIÑAS DE ORO X 750 ML</t>
  </si>
  <si>
    <t>PISCO PURO VIÑAS DE ORO QUEBRANTE 750ML</t>
  </si>
  <si>
    <t>PISCO ACHOLADO  VIÑAS DE ORO X 750 ML.</t>
  </si>
  <si>
    <t>PISCO VIÑAS DE ORO X 750, NEGRA CRIOLLA</t>
  </si>
  <si>
    <t>CLIP PEQUEÑO COLORES X 2 UNID.</t>
  </si>
  <si>
    <t>JAB.DE GLICERINA PARA BEBE X90G GLICI</t>
  </si>
  <si>
    <t>GUANTE TRAB.DELICADO  SMALL SCOTCH BRITE</t>
  </si>
  <si>
    <t>GUANTE TRAB.DELICADO MEDIUM SCOTCH BRITE</t>
  </si>
  <si>
    <t>GUANTE TRAB.DELICADO LARGE SCOTCH BRITE</t>
  </si>
  <si>
    <t>GUANTE MULTIUSO SMALL SCOTCH BRITE</t>
  </si>
  <si>
    <t>GUANTE MULTIUSO MEDIUM SCOTCH BRITE</t>
  </si>
  <si>
    <t>GUANTE MULTIUSO LARGE  SCOTCH BRITE</t>
  </si>
  <si>
    <t>GUANTE LIMPIEZA PESADA SMALL SCOTCH BRIT</t>
  </si>
  <si>
    <t>GUANTE LIMPIEZA PESADA MEDIUM SCOTCH BRI</t>
  </si>
  <si>
    <t>GUANTE LIMPIEZA PESADA LARGE SCOTCH BRIT</t>
  </si>
  <si>
    <t>COL. P/NIÑAS X 200 ML+COL.X 100 ML AMENS</t>
  </si>
  <si>
    <t>CIGARRILLOS WINSTON FF BOX X 20 UND</t>
  </si>
  <si>
    <t>CIGARRILLOS WINSTON LIGHT BOX X 20 UND</t>
  </si>
  <si>
    <t>LOCION P/BEBES GOLDEN X 260 ML SIMONDS</t>
  </si>
  <si>
    <t>LOCION P/BEBES MARINA X 260 ML SIMONDS</t>
  </si>
  <si>
    <t>TINTE 10 EBANO (NEGRO ) NUTRISSE</t>
  </si>
  <si>
    <t>TINTE 30 EXPRESSO(CAST.OSCURO) NUTRISSE</t>
  </si>
  <si>
    <t>TINTE 40 MOCA (CASTAÑO ) NUTRISSE</t>
  </si>
  <si>
    <t>TINTE 50 CASTAÑA(CASTAÑO.CLARO) NUTRISSE</t>
  </si>
  <si>
    <t>TINTE 53 NUEZ (CASTA.DOR.CLARO) NUTRISSE</t>
  </si>
  <si>
    <t>TINTE 60 CAPUCCINO(RUB.OSCURO) NUTRISSE</t>
  </si>
  <si>
    <t>TINTE 61CHOCOLATE(RUB.OSC.CENI) NUTRISSE</t>
  </si>
  <si>
    <t>TINTE 71 VAINILLA(RUBIO CENIZO) NUTRISSE</t>
  </si>
  <si>
    <t>TINTE NUTRISSE, CHOCOLATE (CACAO) 67</t>
  </si>
  <si>
    <t>TINTE NUTR, AMBAR /CAST CLA DOR CAOBA 57</t>
  </si>
  <si>
    <t>NUTR 52 CHOCOLATIS CASTAÑ C IRISAD CAOBA</t>
  </si>
  <si>
    <t>TINTE NUTRISSE, COB  51</t>
  </si>
  <si>
    <t>TINTE NUTRISSE, COB 81</t>
  </si>
  <si>
    <t>QUITA ESMALTE REGULARX200 CM CUTEX</t>
  </si>
  <si>
    <t>QUITA ESMALTE HUMECTANTE X200 CM CUTEX</t>
  </si>
  <si>
    <t>QUITA ESMALTE ENDURECEDOR  X200 CM CUTEX</t>
  </si>
  <si>
    <t>QUITA ESMALTE REGULAR X 100CM CUTEX</t>
  </si>
  <si>
    <t>QUITA ESMALTE HUMECTANTE  X 100CM CUTEX</t>
  </si>
  <si>
    <t>QUITA ESMALTE ENDURECEDOR X 100CM CUTEX</t>
  </si>
  <si>
    <t>GUANTES CONVENIENTE  PEQUEÑO VIRUTEX</t>
  </si>
  <si>
    <t>SALSA POMODORO VERDURA X400 GR AGNESI</t>
  </si>
  <si>
    <t>SALSA POMODORO X400 GR AGNES, NAPOLITANA</t>
  </si>
  <si>
    <t>GUANTES CONVENIENTE  MEDIANO VIRUTEX</t>
  </si>
  <si>
    <t>GUANTES CONVENIENTE  GRANDE VIRUTEX</t>
  </si>
  <si>
    <t>CAFE MOLIDO X 250GR.MOUNTAIN VILLARICA</t>
  </si>
  <si>
    <t>CAFE EN GRANO X 250GR.MOUNTAIN VILLARICA</t>
  </si>
  <si>
    <t>CAFE EXPRESS X 250GR.MOUNTAIN VILLARICA</t>
  </si>
  <si>
    <t>SALSA CASERA AL OLIVO X 200GR EL OLIVAR</t>
  </si>
  <si>
    <t>SALSA VINAGRETA MOSTAZAX 200GR EL OLIVAR</t>
  </si>
  <si>
    <t>SALSA CASERA F.HIERBAS X 200GR EL OLI</t>
  </si>
  <si>
    <t>TE NARANJA X 25 SOBRES HERBI</t>
  </si>
  <si>
    <t>TE DURAZNO X 25 SOBRES HERBI</t>
  </si>
  <si>
    <t>VITA PLUSS TRIGO X 140GR. SAURI</t>
  </si>
  <si>
    <t>VITA PLUSS ARROCITO X 150GR. SAURI</t>
  </si>
  <si>
    <t>GALLETAS DE SALVADO X 100 GR.</t>
  </si>
  <si>
    <t>PASAS BORRACHAS X 150 GR. ''2 CERRITOS''</t>
  </si>
  <si>
    <t>PASAS C/CHOCOLATE ''2 CERRITOS''</t>
  </si>
  <si>
    <t>CHOCOLATE CONF.X 1.74 OZ.M&amp;M PEANUT</t>
  </si>
  <si>
    <t>ACEITUNASVERDESC/ANCHOASX130G.LAESPAÑOLA</t>
  </si>
  <si>
    <t>FETTUCCINE AL HUEVO X250GR AGNESI</t>
  </si>
  <si>
    <t>MERMELADA DIETETICA FRESA X470GR D'MARCO</t>
  </si>
  <si>
    <t>MERM.DIET. MARACUYA/PAPAYA X470G D'MARCO</t>
  </si>
  <si>
    <t>CARAMELO CHICHA MORADA X 360 GR ARCOR</t>
  </si>
  <si>
    <t>CARAMELO SURTIDO DE FRUTAS 330 GR ARCOR</t>
  </si>
  <si>
    <t>ACEITE DE OLIVA VIRGEN X1LT EL OLIVAR</t>
  </si>
  <si>
    <t>SARDINAS/AC. X 125 GR PALACIO DE ORIENTE</t>
  </si>
  <si>
    <t>SARDINAS/LIMON X 125 GR PAL. DE ORIENTE</t>
  </si>
  <si>
    <t>MERMELADA DIETET. NARANJA X470GR D'MARCO</t>
  </si>
  <si>
    <t>SARDINAS/PICANTE X 125 GR PAL.DE ORIENTE</t>
  </si>
  <si>
    <t>MERMELADA DIET. DURAZNOX470GR D'MARCO</t>
  </si>
  <si>
    <t>ESPARRAGOS BLANCOS X210GR VALLE FERTIL</t>
  </si>
  <si>
    <t>FIDEO DE GLUTEN CAPELETTI X 250GR AGE</t>
  </si>
  <si>
    <t>FIDEO DE GLUTEN CINTA ANCHA X 250 GR AGE</t>
  </si>
  <si>
    <t>FIDEO DE  GLUTEN CINTA X 250 GR. AGE</t>
  </si>
  <si>
    <t>FIDEO FETUCCINI INTEGRAL X 500 GR.AGE</t>
  </si>
  <si>
    <t>FIDEO ESPAGHETTI INTEGRAL X 50O GR AGE</t>
  </si>
  <si>
    <t>ANIS AZUL SEMISECO X 750 NAJAR</t>
  </si>
  <si>
    <t>ANIS VERDE SECO X 750 NAJAR</t>
  </si>
  <si>
    <t>ESPUMANTE TACAMA BRUT X 750</t>
  </si>
  <si>
    <t>ESPUMANTE TACAMA SEMI SECO X 750</t>
  </si>
  <si>
    <t>CAVA CODORNIU SEMI/SECO X 750 ML</t>
  </si>
  <si>
    <t>CAVA CODORNIU BRUT X 750</t>
  </si>
  <si>
    <t>VINO MARQUES DE CASA CONCHA CABERNX750ML</t>
  </si>
  <si>
    <t>VINO MARQUES D CASA CONCHA MERLOT X750ML</t>
  </si>
  <si>
    <t>VINO ERRAZURIZ ESTATE CAB.SAUVIG 750ML</t>
  </si>
  <si>
    <t>VINO ERRAZURIZ ESTATE MERLOT 750ML</t>
  </si>
  <si>
    <t>VINO ERRAZURIZ ESTATE CARMENERE 750ML</t>
  </si>
  <si>
    <t>VINO ERRAZURIZ ESTATE SYRAH 750ML</t>
  </si>
  <si>
    <t>ESPARRAGOS VERDES X210GR VALLE FERTIL</t>
  </si>
  <si>
    <t>MERMELADA DIETETICA FRESA X210GR D'MARC0</t>
  </si>
  <si>
    <t>MERMELADA DIET.PIÑA-PAPAYA X210G D'MARC0</t>
  </si>
  <si>
    <t>VINO N.CORREAS COLEC.PRIV MALBEC X750</t>
  </si>
  <si>
    <t>VINO N.CORREAS COLEC.PRIV MERLOT X750</t>
  </si>
  <si>
    <t>VINO MAISON NICOLAS RESERVE MERLOT X 750</t>
  </si>
  <si>
    <t>VINO MAISON NICOLAS RESERVE CAB.SAUVX750</t>
  </si>
  <si>
    <t>LICOR DE CACAO CHOUVA BARDINET X 750 ML</t>
  </si>
  <si>
    <t>LICOR DE AMARETTO BARDINET X 700 ML</t>
  </si>
  <si>
    <t>LICOR BARDINET SOUR APPLE X 700 ML.</t>
  </si>
  <si>
    <t>MASCO DE CIRUELA  SANT.QUEIROLO X 750ML.</t>
  </si>
  <si>
    <t>VINO TRAPICHE VINEYARDS CAB.SAUV 750ML</t>
  </si>
  <si>
    <t>VINO TRAPICHE VINEYARDS MALBEC 750ML</t>
  </si>
  <si>
    <t>VINO MONTES CLASSIC MERLOT X750ML</t>
  </si>
  <si>
    <t>VINO MONTES CLASSIC MALBEC X750ML</t>
  </si>
  <si>
    <t>VINO TINTO MERLOT X 750 ML DON LUIS</t>
  </si>
  <si>
    <t>VINO CABERNET SAUVIGNON X750 ML DON LUIS</t>
  </si>
  <si>
    <t>SHAMPO FRASCOJIN X400 ML AMMENS , ORIGIN</t>
  </si>
  <si>
    <t>SHAMPO FRASCOJIN X400 ML AMMENS , MANZAN</t>
  </si>
  <si>
    <t>SHAMPO FRASCOJIN X400 ML AMMENS , AVENA</t>
  </si>
  <si>
    <t>SHAMPOO  SIMOND'S X 400ML, VITAMINA</t>
  </si>
  <si>
    <t>HILO DENTAL REACH C/CERA X50MTS</t>
  </si>
  <si>
    <t>HILO DENTAL REACH MENTA X 50MT</t>
  </si>
  <si>
    <t>C. DEPILAT X200GR OLLA NATURAL DEPILE</t>
  </si>
  <si>
    <t>C. DEPILAT X200GR C/JOJOBA OLLA DEPILE</t>
  </si>
  <si>
    <t>RPTO. CERA DEPILAT.NATURALX200GR DEPILE</t>
  </si>
  <si>
    <t>CERA DEPILATORIA ALOE RPTOX200GR.DEPILE</t>
  </si>
  <si>
    <t>ACEITE ORIGINAL X 100 ML. JOHNSON'S</t>
  </si>
  <si>
    <t>ACEITE C/ALOE+VIT.E X100ML BABY JOHNSON</t>
  </si>
  <si>
    <t>ACEITE X 100 ML. JOHNSON'S, BED TIME</t>
  </si>
  <si>
    <t>ACEITE ORIGINALX 300 ML. BABY  JOHNSON'S</t>
  </si>
  <si>
    <t>TEKNOWAX AUTOBRILLANTE ROJA X 300 ML</t>
  </si>
  <si>
    <t>TEKNOWAX AUTOBRILLANTE NEUTRAL X 300 ML</t>
  </si>
  <si>
    <t>CERA AUTOBRILLANT. AMARILLAX330MLTEKNOTA</t>
  </si>
  <si>
    <t>PUROS KING EDWARD WOOD TIP CHERRY  X 5UN</t>
  </si>
  <si>
    <t>PUROS KING EDWARD WOOD TIP VAINILLA X 5</t>
  </si>
  <si>
    <t>P.V.M JR. HERSIL X 360 GR , VAINILLA</t>
  </si>
  <si>
    <t>P.V.M JR. HERSIL X 360 GR , CHOCOLATE</t>
  </si>
  <si>
    <t>P.V.M POLVO HERSIL X 460 GR , VAINILLA</t>
  </si>
  <si>
    <t>P.V.M POLVO HERSIL X 460 GR , CHOCOLATE</t>
  </si>
  <si>
    <t>P.V.M POLVO HERSIL X 460 GR , FRESA</t>
  </si>
  <si>
    <t>GALLETA BUTTER CRISPS X100GR JULES DESTR</t>
  </si>
  <si>
    <t>GALLETA BUTTER CRUMBLE 100GR JULES DESTR</t>
  </si>
  <si>
    <t>GALLETA VIRTUOSO  X100GR JULES DESTROOPE</t>
  </si>
  <si>
    <t>GALLETA ALMONDS THINS X100GR JULES DESTR</t>
  </si>
  <si>
    <t>MERMELADA FRESAX284GR ST.DALFOUR</t>
  </si>
  <si>
    <t>MERMELADA ALBARICOQUEX284GR ST.DALFOUR</t>
  </si>
  <si>
    <t>MERMELADA FRAMBUESAX284GR ST.DALFOUR</t>
  </si>
  <si>
    <t>MERMELADA CUATRO FRUTASX284GR ST.DALFOUR</t>
  </si>
  <si>
    <t>MERMELADA NARANJA.X284GR ST.DALFOUR</t>
  </si>
  <si>
    <t>MERMELADA X 284 GR ST DALFOUR , ARANDANO</t>
  </si>
  <si>
    <t>VINO TINTO TRIVENTO TRIBU MALBEC X750 ML</t>
  </si>
  <si>
    <t>VINO TINTO TRIVENTO TRIBU CAB. SAUV.X750</t>
  </si>
  <si>
    <t>CIGARRILLOS PALL MALL RED XL 20U CJ.DURA</t>
  </si>
  <si>
    <t>CIGARRILLOS PALL MALL BLUE XL 20U C.DURA</t>
  </si>
  <si>
    <t>GUANTES ETERNA MONOC. U/DOMEST. T/7</t>
  </si>
  <si>
    <t>GUANTES ETERNA MONOC. U/DOMEST.T/7.5</t>
  </si>
  <si>
    <t>GUANTES ETERNA MONOC. U/DOMEST.T/8</t>
  </si>
  <si>
    <t>GUANTES ETERNA MONOC. U/DOMEST. T/8.5</t>
  </si>
  <si>
    <t>VINO LAGARDE RSVA.CAB.SAU. X 750 ML</t>
  </si>
  <si>
    <t>VINO LAGARDE RESERVA MALBEC X 750 ML</t>
  </si>
  <si>
    <t>TURRON DE AJONJOLI X 6 PACK CROSOY</t>
  </si>
  <si>
    <t>TURRON AJONJOLI/MANI  X 6 PACK CROSOY</t>
  </si>
  <si>
    <t>TURRON AJONJ./KIWICHA  X 6 PACK CROSOY</t>
  </si>
  <si>
    <t>TURRON DE MANI  X 6 PACK CROSOY</t>
  </si>
  <si>
    <t>TURRON DE KAÑIHUA X 6 PACK CROSOY</t>
  </si>
  <si>
    <t>TURRON  X 6 PACK CROSOY, AJONJOLI-LINAZA</t>
  </si>
  <si>
    <t>TURRON  X 6 PACK CROSOY, AJONJOLI-MACA</t>
  </si>
  <si>
    <t>TINTE KOLESTON , CASTAÑO CLARO 5/0</t>
  </si>
  <si>
    <t>TINTE KOLESTON , CASTAÑO MEDIANO 4/0</t>
  </si>
  <si>
    <t>TINTE KOLESTON , CASTAÑO OSCURO 3/0</t>
  </si>
  <si>
    <t>TINTE KOLESTON , CHOCOLATE 6/7</t>
  </si>
  <si>
    <t>TINTE KOLESTON , RUBIO CENIZO CLARO 8/1</t>
  </si>
  <si>
    <t>TINTE KOLESTON , RUBIO CENIZO MEDIANO 7/</t>
  </si>
  <si>
    <t>TINTE KOLESTON , RUBIO CENIZO OSCURO 6/1</t>
  </si>
  <si>
    <t>TINTE KOLESTON , RUBIO MEDIANO 7/0</t>
  </si>
  <si>
    <t>TINTE KOLESTON , RUBIO CLARO ESPECIAL 12</t>
  </si>
  <si>
    <t>TINTE KOLESTON , RUBIO DORADO ESP 1281</t>
  </si>
  <si>
    <t>TINTE IGORA VITAL X 60GR, NEGRO N1/1-0</t>
  </si>
  <si>
    <t>TINTE IGORA VITAL, CASTA¥O OSCURO N2/3-0</t>
  </si>
  <si>
    <t>TINTE IGORA VITA, CASTA¥O MEDIANO N3/4-0</t>
  </si>
  <si>
    <t>TINTE IGORA VITAL, CASTA¥O CLARO N4/5-00</t>
  </si>
  <si>
    <t>TINTE IGORA VITAL, RUBIO OSCURO N5/6-00</t>
  </si>
  <si>
    <t>TINTE IGORA VITAL X 6, CHOCOLATE R5/6-68</t>
  </si>
  <si>
    <t>TINTE IGORA VITA, RUBIO MED. CENIZO 7-11</t>
  </si>
  <si>
    <t>TINTE IGORA VITAL, RUBIO OSC. CENIZO 6-1</t>
  </si>
  <si>
    <t>TINTE IGORA VITAL, RUB EXTRA CL CEN 9-1</t>
  </si>
  <si>
    <t>TINTE IGORA VITAL, CHOCOLATE DORADO 6-34</t>
  </si>
  <si>
    <t>T.FACIAL DEMAQX25PZAS NIVEA VISA, SUAVE</t>
  </si>
  <si>
    <t>CREMA DE MENTA X 750ML MITJANS</t>
  </si>
  <si>
    <t>MERMELADA DIET.MARACUYA/PAPAYA D'MARCO</t>
  </si>
  <si>
    <t>MERMELADA DIET.NARANJA X 210GR D'MARCO</t>
  </si>
  <si>
    <t>MERMELADA DIET.DURAZNO X 210GR D'MARCO</t>
  </si>
  <si>
    <t>MERMELADA DIETETICA D'MARCO X AGUAYMANTO</t>
  </si>
  <si>
    <t>LICOR DE AMARETTO  X 750ML MITJANS</t>
  </si>
  <si>
    <t>LICOR DE CURAZAO X 750ML MITJANS</t>
  </si>
  <si>
    <t>KION EN POLVO (JENJIBRE)X 10G ALIDA CHIA</t>
  </si>
  <si>
    <t>LICOR MITJANS X 750ML, TRIPLE SEC</t>
  </si>
  <si>
    <t>LIMPIADOR X 1 LT LA OCA BRILLAN, CITRICO</t>
  </si>
  <si>
    <t>WHISKY BALLANTINES FINEST BOT 700 ML</t>
  </si>
  <si>
    <t>TINTE EXCELLENCE P, CAST.CLARO NATURAL 5</t>
  </si>
  <si>
    <t>VINO LUIGI BOSCA RESERVA PINOT NOIR X750</t>
  </si>
  <si>
    <t>VINO TINTO LUIGI BOSCA MALBEC RESERVAX75</t>
  </si>
  <si>
    <t>TINTE EXCELLENCE, RUB.OSC.CENICIENTO 6.1</t>
  </si>
  <si>
    <t>TINTE EXCELLE, RUB.OSC.DOR.COBRIZ. 6.34.</t>
  </si>
  <si>
    <t>TINTE EXCELLENCE PRECOLOR X47G , RUBIO N</t>
  </si>
  <si>
    <t>TINTE EXCELLENCE P, RUBIO CENICIENTO 7.1</t>
  </si>
  <si>
    <t>TINTE EXCELLENCE, RUB.CENIZA PROF. 7.11</t>
  </si>
  <si>
    <t>TINTE EXCELLENCE PRE, RUB.CLARO NATUR. 8</t>
  </si>
  <si>
    <t>TINTE EXCELLENCE, RUB.CLAR.CEN.PROF.8.11</t>
  </si>
  <si>
    <t>TINTE EXCELLENCE PR, RUBIO OSCURO NAT. 6</t>
  </si>
  <si>
    <t>TINTE EXCELLENCE, RUB.CLA.CENICIENTO 8.1</t>
  </si>
  <si>
    <t>TINTE EXCELLENCE PREC, CASTAÑO NATURAL 4</t>
  </si>
  <si>
    <t>TINTE EXCELLENCE, RUBIO MUY CL.CENIC.9.1</t>
  </si>
  <si>
    <t>TINTE EXCELLENCE PRECOLOR X47G, NEGRO 1</t>
  </si>
  <si>
    <t>AJO EN POLVO X 10G ALIDA CHIA</t>
  </si>
  <si>
    <t>TINTE EXCELLENCE PR, RUB.OSC.CENIZA 6.11</t>
  </si>
  <si>
    <t>TINTE EXCELLENC, RUBIO OSCURO DORADO 6.3</t>
  </si>
  <si>
    <t>TINTE EXCELLENCE P, # 6.7 CHOCOLATE PURO</t>
  </si>
  <si>
    <t>TINTE EXCELLENCE PREC, 5.3 CASTAÑO CLARO</t>
  </si>
  <si>
    <t>TINTE EXCELLENCE PRECOLOR, CAST.OSCURO 3</t>
  </si>
  <si>
    <t>TINTE EXCELLENCE PRECO, RUBIO DORADO 7.3</t>
  </si>
  <si>
    <t>TINTE EXCELLEN, CASTAÑO CLARO CENIZO 5.1</t>
  </si>
  <si>
    <t>TINTE EXCELLENC, CASTAÑO CLARO CAOBA 5.5</t>
  </si>
  <si>
    <t>VODKA SMIRNOFF 700 ML, GREEN APPLE</t>
  </si>
  <si>
    <t>SALSA FINAS HIERBAS LIGHT X340GR EL OLIV</t>
  </si>
  <si>
    <t>SALSA MOSTAZA LIGHT X 340 GR EL OLIVAR</t>
  </si>
  <si>
    <t>SALSA FINAS HIERBAS LIGHT X200GR EL OLIV</t>
  </si>
  <si>
    <t>SALSA MOSTAZA LIGHT X 200 GR EL OLIVAR</t>
  </si>
  <si>
    <t>CIGARROS LUCKY STRIKE BLUE X20 UN</t>
  </si>
  <si>
    <t>CIGARROS LUCKY STRIKE ORIGINAL RED X20UN</t>
  </si>
  <si>
    <t>CHIFLES PIURANOS SALADOS X200GR CRICKETS</t>
  </si>
  <si>
    <t>CHIFLES PIURANOS PICANTES X200G CRICKETS</t>
  </si>
  <si>
    <t>VINO MISIONES DE RENGO CAB.SAUV. X750ML</t>
  </si>
  <si>
    <t>VINO MISIONES D RENGO CARMENER 750</t>
  </si>
  <si>
    <t>VINO SEPTIMA CAB. SAUVIGNON X 750 ML</t>
  </si>
  <si>
    <t>VINO SEPTIMA MALBEC X 750 ML</t>
  </si>
  <si>
    <t>PISCO MONTESIERPE QUEBRANTA X 700 ML</t>
  </si>
  <si>
    <t>PISCO MONTESIERPE X 700 ML, TORONTEL</t>
  </si>
  <si>
    <t>PISCO MONTESIERPE X 700 ML, MOSCATEL</t>
  </si>
  <si>
    <t>MARSHMELLOWS X 255 GR  GUANDY, BLANCOS</t>
  </si>
  <si>
    <t>MARSHMELLOWS X 255 GR  GUANDY, COLORES</t>
  </si>
  <si>
    <t>CAFE MOLIDO TOSTADO OSCURO BRITT X 250GR</t>
  </si>
  <si>
    <t>CAFE MOLIDO TOSTADO CLARO BRITT X 250GR</t>
  </si>
  <si>
    <t>CAFE MOLIDO ESPRESSO BRITT X 250GR</t>
  </si>
  <si>
    <t>CAFE MOLIDO DESCAFEINADO BRITT X 250GR</t>
  </si>
  <si>
    <t>CAFE MOLIDO PACHAMAMA BRITT X 250GR</t>
  </si>
  <si>
    <t>CAFE MOLIDO VALLE SAGRADO BRITT X 250GR</t>
  </si>
  <si>
    <t>CAFE PARA PASAR MOLIDO BRITT X 250 , CUM</t>
  </si>
  <si>
    <t>COBERTURA LA IBERICA X 200 GR, DE LECHE</t>
  </si>
  <si>
    <t>COBERTURA LA IBERICA X 200 GR, BITTER</t>
  </si>
  <si>
    <t>VINO TINTO BENJAMIN NIETO CAB/SAUV X 750</t>
  </si>
  <si>
    <t>VINO TINTO BENJAMIN NIETO MALBEC X 750ML</t>
  </si>
  <si>
    <t>VINO BENJAMIN NIETO SENETINER X 7, SYRAH</t>
  </si>
  <si>
    <t>VINO BENJAMIN NIETO SENETIN, TEMPRANILLO</t>
  </si>
  <si>
    <t>VINO BENJAMIN NIETO SENETINE, CHARDONNAY</t>
  </si>
  <si>
    <t>MOLIDOS PIKI DOY PACK X120 G, AJOS</t>
  </si>
  <si>
    <t>MOLIDOS PIKI DOY PACK X120 G, AJI PANCA</t>
  </si>
  <si>
    <t>MOLIDOS PIKI DOY PACK X120, AJI AMARILLO</t>
  </si>
  <si>
    <t>MOLIDOS PIKI DOY PACK X120 G , ROCOTO</t>
  </si>
  <si>
    <t>VINO TRIVENTO RESERVA,CABERNET SAUVIGNON</t>
  </si>
  <si>
    <t>TINTE LUMINANCE CASTANO OSCURO  3.0</t>
  </si>
  <si>
    <t>TINTE LUMINANCE CASTANO MEDIANO  4.0</t>
  </si>
  <si>
    <t>TINTE LUMINANCE RUBIO OSCURO  6.0</t>
  </si>
  <si>
    <t>TINTE LUMINANCE CASTANO CLARO  5.0</t>
  </si>
  <si>
    <t>TINTE PALETTE CO, 8-1 RUBIO CLARO CENIZO</t>
  </si>
  <si>
    <t>TINTE PALETTE CO, 7-1 RUBIO MEDIO CENIZO</t>
  </si>
  <si>
    <t>TINTE PALETTE COLOR CRE, 7-0 RUBIO MEDIO</t>
  </si>
  <si>
    <t>TINTE PALETTE COL, 6-99 VIOLETA PROFUNDO</t>
  </si>
  <si>
    <t>TINTE PALETTE COLOR CREM, 5-68 CHOCOLATE</t>
  </si>
  <si>
    <t>TINTE PALETTE COLOR C, 4-0 CASTAÑO MEDIO</t>
  </si>
  <si>
    <t>TINTE PALETTE COLOR CREM, 1-1 NEGRO AZUL</t>
  </si>
  <si>
    <t>TINTE PALETTE COLOR CREME, 1-0 NEGRO</t>
  </si>
  <si>
    <t>TINTE PALETTE COLOR CREME, RUBIO OSCURO</t>
  </si>
  <si>
    <t>TINTE PALETTE COLO, 6.68 CHOCOLATE CLARO</t>
  </si>
  <si>
    <t>TINTE PALETTE COLOR, CASTAÑO ROJIZO 4-88</t>
  </si>
  <si>
    <t>CURRY  X 10G ALIDA CHIA</t>
  </si>
  <si>
    <t>SPAGHETTINI #2 X 500 GR AGNESI</t>
  </si>
  <si>
    <t>TINTE PALETTE COLOR, CASTAÑO OSCURO 3-0</t>
  </si>
  <si>
    <t>VINO TINTO LAS MORAS CABERNET SAUV.X750</t>
  </si>
  <si>
    <t>VINO TINTO LAS MORAS MALBEC X 750 ML</t>
  </si>
  <si>
    <t>VINO TINTO LAS MORAS X 750 ML, SHIRAZ</t>
  </si>
  <si>
    <t>VINO LAS MORAS RSRVA CAB.SAUV-SHIRAZx750</t>
  </si>
  <si>
    <t>VINO TINTO LAS MORAS RESERVA MALBEC X750</t>
  </si>
  <si>
    <t>PISCO FERREYROS 750ML , PURO QUEBRANTA</t>
  </si>
  <si>
    <t>PISCO FERREYROS 750ML , ACHOLADO</t>
  </si>
  <si>
    <t>PISCO FINCA ROTONDO X 750 ML, ITALIA</t>
  </si>
  <si>
    <t>PISCO FINCA ROTONDO X 750 ML, PURO</t>
  </si>
  <si>
    <t>PISCO FINCA ROTONDO X 750 ML, ACHOLADO</t>
  </si>
  <si>
    <t>PISCO FINCA ROTONDO X 750 ML, TORONTEL</t>
  </si>
  <si>
    <t>PISCO FINCA ROTONDO X 750 ML, MOSCATEL</t>
  </si>
  <si>
    <t>VINO TTO TRAPICHE BROQUEL CAB.SAUV.X 750</t>
  </si>
  <si>
    <t>VINO TINTO TRAPICHE BROQUEL MALBEC X 750</t>
  </si>
  <si>
    <t>DEPILE CREMA CORP  R. MOSQ X150ML + PAL</t>
  </si>
  <si>
    <t>DEPILE CREMA CORP ALOE X150ML + PAL</t>
  </si>
  <si>
    <t>CAFE SABORIZADO VILLARIC, FRENCH CARAMEL</t>
  </si>
  <si>
    <t>GALLETA NUTRI DELI X 50GR, MACA</t>
  </si>
  <si>
    <t>GALLETA NUTRI DELI X 50GR, COCO</t>
  </si>
  <si>
    <t>GALLETA NUTRI DELI X 50GR, ALGARROBINA</t>
  </si>
  <si>
    <t>GALLETA NUTRI DELI X 50GR, DE AVENA</t>
  </si>
  <si>
    <t>GALLETA NUTRI DELI X 50GR, KIWICHA</t>
  </si>
  <si>
    <t>CAFÉ MAXWELL HOUSE INT SUISSE MOCAX 117G</t>
  </si>
  <si>
    <t>CAFÉ MAXWELL HOUSE INT VAINILLA FR X114G</t>
  </si>
  <si>
    <t>CAFÉ MAXWELL HOUSE SUISSE MOCA DESCX114G</t>
  </si>
  <si>
    <t>CAFE MOLIDO ZENA GOURMET X 250GR, NORMAL</t>
  </si>
  <si>
    <t>CAFE MOLIDO ZENA GOURMET X 250G, EXPRESS</t>
  </si>
  <si>
    <t>GALLETAS BABY MUM MUM X 50 GR, ORIGINAL</t>
  </si>
  <si>
    <t>GALLETAS BABY MUM MUM VEGETALES</t>
  </si>
  <si>
    <t>GALLETAS BABY MUM MUM X 50 GR, ZANAHORIA</t>
  </si>
  <si>
    <t>GALLETAS BABY MUM MUM X 50 GR , ARANDANO</t>
  </si>
  <si>
    <t>IGORA BRILLANCE, CHOCOLATE INTENSO</t>
  </si>
  <si>
    <t>IGORA BRILLANCE, RUBI PROFUNDO</t>
  </si>
  <si>
    <t>IGORA BRILLANCE, ROJO RUBI</t>
  </si>
  <si>
    <t>IGORA BRILLANCE, ROJO BORGOÑA INTENSO</t>
  </si>
  <si>
    <t>IGORA BRILLANCE, NEGRO</t>
  </si>
  <si>
    <t>IG. BRILLANCE, CHOCOLATE MISTICO FASHION</t>
  </si>
  <si>
    <t>IGORA BRILLANCE, RUBIO MEDIO CENIZO 701</t>
  </si>
  <si>
    <t>TURRON PACK X 6 CROSOY, AJONJOLI/PECANAS</t>
  </si>
  <si>
    <t>TURRON PACK X 6 CROSO, AJONJOLI/CASTAÑAS</t>
  </si>
  <si>
    <t>TURRON PACK X 4 CROSOY, PECANAS</t>
  </si>
  <si>
    <t>MARSHMELLOWS  X 100 GR GUANDY, BICOLOR</t>
  </si>
  <si>
    <t>MARSHMELLOWS  X 100 GR GUAND, MINI COLOR</t>
  </si>
  <si>
    <t>MARSHMELLOWS  X 100 GR GUANDY, BLANCOS</t>
  </si>
  <si>
    <t>FRANELA MANO 33.5X30CM, AMARILLO</t>
  </si>
  <si>
    <t>FRANELA LIMPIEZA 70X45CM, ROJO</t>
  </si>
  <si>
    <t>FRANELA LIMPIEZA 70X45CM, VERDE</t>
  </si>
  <si>
    <t>FRANELA LIMPIEZA 70X45CM, AMARILLO</t>
  </si>
  <si>
    <t>FRANELA LIMPIEZA 70X45CM, CELESTE</t>
  </si>
  <si>
    <t>FRANELA LIMPIEZA 70X45CM, NARANJA</t>
  </si>
  <si>
    <t>FRANELA LIMPIEZA 70X45CM, AZULINO</t>
  </si>
  <si>
    <t>SHAMPOO X 200 ML AMMENS, MANZANILLA</t>
  </si>
  <si>
    <t>SHAMPOO X 200 ML AMMENS, ORIGINAL</t>
  </si>
  <si>
    <t>VINO TRAPICHE ASTICA, CABERNET SAUVIGNON</t>
  </si>
  <si>
    <t>JABON GLICI 150GR, GERMICIDA</t>
  </si>
  <si>
    <t>JABON GLICI 150GR, NATURAL</t>
  </si>
  <si>
    <t>BARRA CRUNCHY GRANOLA X6 N, OATS'N HONEY</t>
  </si>
  <si>
    <t>SPAGHETTI #3 X 500 GR AGNESI</t>
  </si>
  <si>
    <t>BARRA CRUNCHY GRANOLA X6 NATUR, CINNAMON</t>
  </si>
  <si>
    <t>BARRA CRUNCHY GRANOLA X6, VARIETY PACK 2</t>
  </si>
  <si>
    <t>BARRA CRUNCHY 42G NATURE V, OATS'N HONEY</t>
  </si>
  <si>
    <t>VODKA ABSOLUT 700 ML, RASPBERRI</t>
  </si>
  <si>
    <t>GORRO PARA DUCHA T-MEDIUM, ROSADO</t>
  </si>
  <si>
    <t>GORRO PARA DUCHA T-GRANDE , ROSADO</t>
  </si>
  <si>
    <t>LIP CARE X 4.7G NIVEA, CHERRY</t>
  </si>
  <si>
    <t>MOLIDOS DOY PACK X350GR PIKI, AJOS</t>
  </si>
  <si>
    <t>MOLIDOS DOY PACK X350GR PI, AJI AMARILLO</t>
  </si>
  <si>
    <t>MOLIDOS DOY PACK X350GR PIKI, AJI PANCA</t>
  </si>
  <si>
    <t>GUANTE VIRUTEX CORRUGADO , PEQUEÑO</t>
  </si>
  <si>
    <t>GUANTE VIRUTEX CORRUGADO, MEDIANO</t>
  </si>
  <si>
    <t>GUANTE VIRUTEX CORRUGADO , GRANDE</t>
  </si>
  <si>
    <t>ENJÜAGE BUCAL X 1 LT LI, CONTROL CALCULO</t>
  </si>
  <si>
    <t>ACONDICIONADOR FCOJIN X 400ML, ORIGINAL</t>
  </si>
  <si>
    <t>TINTE COLORSILK, 2N NEGRO NATURAL</t>
  </si>
  <si>
    <t>TINTE COLORSILK, 3RB CAST.CAOBA OSC.</t>
  </si>
  <si>
    <t>TINTE COLORSILK, 4WB CAST.MED.PROF.</t>
  </si>
  <si>
    <t>TINTE COLORSILK, 7A RUBIO CEN.MED</t>
  </si>
  <si>
    <t>TINTE COLORSILK, 8A RUB.CEN.CLARO</t>
  </si>
  <si>
    <t>TINTE COLORSI, 3WB CASTAÑO DORADO OSCURO</t>
  </si>
  <si>
    <t>TINTE COLORSILK, 6A RUBIO CENIZO OSCURO</t>
  </si>
  <si>
    <t>TINTE COLO, # 27 CASTAÑO CALIDO PROFUNDO</t>
  </si>
  <si>
    <t>ACONDIC. AMMENS NATURAL X200, MANZANILLA</t>
  </si>
  <si>
    <t>GALLETAS INTEGRALES X90GR, COCO</t>
  </si>
  <si>
    <t>GALLETAS INTEGRALES X90GR, NARANJA</t>
  </si>
  <si>
    <t>PACK 4 X 25GR FORTE GOL, ORIGINAL C/MIEL</t>
  </si>
  <si>
    <t>DESHUM BOLASECA MINI X70GR, BEBE</t>
  </si>
  <si>
    <t>DESHUM BOLASECA MINI X70GR, PINO FRESH</t>
  </si>
  <si>
    <t>DESHUM BOLASECA MINI RECAMB X70GR, BEBE</t>
  </si>
  <si>
    <t>DESHUM BOLASECA MINI RECAMB X70GR, PINO</t>
  </si>
  <si>
    <t>JUGO L'ONDA PET X 1LT, CRANBERRY REGULAR</t>
  </si>
  <si>
    <t>JUGO L'ONDA PET X 1LT, CRANBERRY LIGTH</t>
  </si>
  <si>
    <t>AC. EXTRA VIRGEN AJO X250 EL OLIVAR</t>
  </si>
  <si>
    <t>JABON AMMENS X 80GR, ORIGINAL</t>
  </si>
  <si>
    <t>JABON AMMENS X 80GR, MILK</t>
  </si>
  <si>
    <t>TE VERDE C/FRUTASX20SOB WAWASANA, LIMON</t>
  </si>
  <si>
    <t>COLADO CRECIDITOS PERA X 170 GR HEINZ</t>
  </si>
  <si>
    <t>TE VERDE C/FRUTASX20SOB WAWASANA, PIÑA</t>
  </si>
  <si>
    <t>TE VERDE C/FRUTASX20SOB WAWASAN, NARANJA</t>
  </si>
  <si>
    <t>ADEREZO X350GR PIKI, POLLO</t>
  </si>
  <si>
    <t>ADEREZO X350GR PIKI, CERDO</t>
  </si>
  <si>
    <t>ADEREZO X350GR PIKI, RES</t>
  </si>
  <si>
    <t>KING KONG X 75GR SAN ROQUE, MANJAR</t>
  </si>
  <si>
    <t>KING KONG X 75GR SAN ROQU, MANJAR Y PIÑA</t>
  </si>
  <si>
    <t>KING KONG X 75GR SA, MANJAR, PIÑA Y MANI</t>
  </si>
  <si>
    <t>KING KONG X 75GR SAN, MANJAR PURA LUCUMA</t>
  </si>
  <si>
    <t>KING KONG X 75GR SAN ROQUE, CHIRIMOYA</t>
  </si>
  <si>
    <t>PISCO VIÑAS DE ORO X 750ML, TORONTEL</t>
  </si>
  <si>
    <t>PISCO VIÑAS DE ORO X 750ML, ALBILLA</t>
  </si>
  <si>
    <t>PISCO VIÑAS DE ORO X 750ML, MOSCATEL</t>
  </si>
  <si>
    <t>TINTE CREME GLOSS CAST, MARRON GLACE 415</t>
  </si>
  <si>
    <t>TINTE CREME GLOSS CAS, CASTAÑO CLARO 500</t>
  </si>
  <si>
    <t>TINTE CREME GLOSS CASTING, RUBIO 700</t>
  </si>
  <si>
    <t>TINTE CREME GLOSS CA, RUBIO AVELLANA 713</t>
  </si>
  <si>
    <t>TINTE CREME GLOSS CAST, RUBIO OSCURO 600</t>
  </si>
  <si>
    <t>TINTE CREME GLOSS CASTING, CHOCOLATE 535</t>
  </si>
  <si>
    <t>TINTE CREME GLOSS CASTING, CARAMEL 630</t>
  </si>
  <si>
    <t>TINTE CREME GLOSS CA, CASTAÑO OSCURO 300</t>
  </si>
  <si>
    <t>TINTE CREME GLOSS CASTING, NEGRO 200</t>
  </si>
  <si>
    <t>TINTE CREME GLOSS C, CASTAÑO NATURAL 400</t>
  </si>
  <si>
    <t>TINTE CREME GLOSS CASTING, NEGRO RICO</t>
  </si>
  <si>
    <t>TINTE CREME GLOSS, 603 CHOCOLATE MARRON</t>
  </si>
  <si>
    <t>BEBIDA ELECTROLIGHT X 475ML, FRESA</t>
  </si>
  <si>
    <t>BEBIDA ELECTROLIGHT X 475ML, PI¥A</t>
  </si>
  <si>
    <t>BEBIDA ELECTROLIGHT X 475ML, GRANADILLA</t>
  </si>
  <si>
    <t>BEBIDA ELECTROLIGHT X 475ML , MORA AZUL</t>
  </si>
  <si>
    <t>TAPENADE CALÉ 185G, MIX ACEITUNAS</t>
  </si>
  <si>
    <t>TAPENADE CALÉ 185G, ACEITUNAS AGRIDULCE</t>
  </si>
  <si>
    <t>TAPENADE CALÉ 185G, ACEITUNA C/ALCACHOFA</t>
  </si>
  <si>
    <t>TAPENADE CALÉ 185G, ACEITUNAS AL AJI</t>
  </si>
  <si>
    <t>SHICK MAQ XTREME 3X4, PIEL SENSIBLE</t>
  </si>
  <si>
    <t>SHICK MAQ XTREME 3X4, PIEL DELICADA</t>
  </si>
  <si>
    <t>MANTEQ.DE MANI PEANUT, PLANTERS CRUNCHY</t>
  </si>
  <si>
    <t>MANTEQ.DE MANI PEANUT B, PLANTERS CREAMY</t>
  </si>
  <si>
    <t>GUANTES LAVANDERIA SCOTCH BRITE, LARGE</t>
  </si>
  <si>
    <t>COLADO CRECIDITOS MANZANA  X170 GR HEINZ</t>
  </si>
  <si>
    <t>COLADO CRECIDITOS FRUTAS TROPICALES X170</t>
  </si>
  <si>
    <t>TAPENADE X 185GR, ALCACHOFA ALA ITALIANA</t>
  </si>
  <si>
    <t>TRIPACK JABON GLICI 90GR , ALGAS , 2028</t>
  </si>
  <si>
    <t>TRIPACK JABON GLICI 9, ALOE VERA, 202811</t>
  </si>
  <si>
    <t>TRIPACK JABON GLIC , ANTIBACTERIAL , 202</t>
  </si>
  <si>
    <t>TRIPACK JABON GLI, MIEL DE ABEJA, 202813</t>
  </si>
  <si>
    <t>TRIPACK JABON GLICI 90GR , NATURAL , 202</t>
  </si>
  <si>
    <t>TRIPACK JABON GLICI 90GR , BEBE , 2028</t>
  </si>
  <si>
    <t>TINTE IGORA BRIL, 668 CHOCOLATE IMPERIAL</t>
  </si>
  <si>
    <t>TINTE PALETE GOLD CO, CHOCOLATE ORO 6-60</t>
  </si>
  <si>
    <t>CHICLES WRIGLEY 15STK SLIM, SPEARMINT</t>
  </si>
  <si>
    <t>CHICLES WRIGLEY 15STK SLIM, DOUB. MINT</t>
  </si>
  <si>
    <t>CHICLES WRIGLEY 15STK SLIM, JUICY FRUIT</t>
  </si>
  <si>
    <t>CHICLE EXTRA WRIGLEY 15, CLASSIC BUBBLE</t>
  </si>
  <si>
    <t>CHICLE EXTRA WRIGLEY 15STK, MENTA POLAR</t>
  </si>
  <si>
    <t>HARIBO GOMAS X 80GR, OSITOS DE ORO</t>
  </si>
  <si>
    <t>HARIBO GOMAS X 80GR, HAPPY COLA</t>
  </si>
  <si>
    <t>HARIBO GOMAS X 80GR, WORMS</t>
  </si>
  <si>
    <t>VOLUME EXP.COLOSSAL, WATERPROOF</t>
  </si>
  <si>
    <t>CEREAL PEBBLES X 11OZ POST, FRUITY</t>
  </si>
  <si>
    <t>CEREAL PEBBLES X 11OZ POST, COCOA</t>
  </si>
  <si>
    <t>PISCO LA BLANCO MOSTO VERDE X 50, ITALIA</t>
  </si>
  <si>
    <t>PISCO LA BLANCO MOSTO VERDE X, ACHOLADO</t>
  </si>
  <si>
    <t>PISCO LA BLANCO MOSTO VERDE X, TORONTEL</t>
  </si>
  <si>
    <t>PISCO LA BLANCO MOSTO VERDE X, QUEBRANTA</t>
  </si>
  <si>
    <t>TINTE CABELLO P/HOMBRE JUST FOR, CASTAÑO</t>
  </si>
  <si>
    <t>TINTE CABELLO P/HOMBRE JUST FOR M, NEGRO</t>
  </si>
  <si>
    <t>TINTE CABELLO P/HOMBRE J, CASTAÑO OSCURO</t>
  </si>
  <si>
    <t>SIROPE SABOR A FRESA SPITZE X 480 GR</t>
  </si>
  <si>
    <t>ELECTROLIGHT CERO X 475 ML, FRESA</t>
  </si>
  <si>
    <t>ELECTROLIGHT CERO X 475 ML, GRANADILLA</t>
  </si>
  <si>
    <t>LABIAL COLOR SENS X 4.2G, LUST FOR BLUSH</t>
  </si>
  <si>
    <t>FOURPACK JABON NEKO 75GR, ALOE</t>
  </si>
  <si>
    <t>FOURPACK JABON NEKO 75GR, AVENA</t>
  </si>
  <si>
    <t>FOURPACK JABON NEKO 75GR , EXTRAPROTECCI</t>
  </si>
  <si>
    <t>FOURPACK JABON NEKO 75GR , EXTRASUAVE</t>
  </si>
  <si>
    <t>JABON NEKO x 125GR , EXTRAPROTECCION</t>
  </si>
  <si>
    <t>TRIPACK JABON NEKO 125GR, ALOE</t>
  </si>
  <si>
    <t>TRIPACK JABON NEKO 125G , EXTRAPROTECCIO</t>
  </si>
  <si>
    <t>TRIPACK JABON NEKO 125GR , EXTRASUAV</t>
  </si>
  <si>
    <t>AMBIENTADOR AIRWICK FRESH MATICR, CITRUS</t>
  </si>
  <si>
    <t>AMBIENTADOR AIRWICK FR, MANZANA Y CANELA</t>
  </si>
  <si>
    <t>TABACO P/CIGARRILLO RAW</t>
  </si>
  <si>
    <t>PISCO PURO CUATRO GALLOS  X 700, ITALIA</t>
  </si>
  <si>
    <t>PISCO PURO CUATRO GALLOS  X 70, ACHOLADO</t>
  </si>
  <si>
    <t>PISCO PURO CUATRO GALLOS  X 7, QUEBRANTA</t>
  </si>
  <si>
    <t>CHOC.BAÑ.DOS CERRITOS S, PASAS BORRACHAS</t>
  </si>
  <si>
    <t>TE VERDE X20SOB BIGELOW, C/JAZMIN</t>
  </si>
  <si>
    <t>COLADO CRECIDITOS POSTRE FRUTAS X 170 GR</t>
  </si>
  <si>
    <t>COLADO CRECIDITOS X170GR.HEINZ, BANANA</t>
  </si>
  <si>
    <t>TE VERDE X20SOB BIGELOW, C/GRANADA</t>
  </si>
  <si>
    <t>TE VERDE X20SOB BIGELOW, C/BLUEBERRY</t>
  </si>
  <si>
    <t>TE VERDE X20SOB BIGELOW, C/LIMON</t>
  </si>
  <si>
    <t>HERB TEA X20SOB BIGELOW, RED RASPBERRY</t>
  </si>
  <si>
    <t>GEL HIGIENE INTIMA NIVEA X250ML, NATURAL</t>
  </si>
  <si>
    <t>COLADO CRECIDITOS X170GR.HE, FRUTA MIXTA</t>
  </si>
  <si>
    <t>VINO ESCORIHUELA GASCON CAB.SAUV.X750</t>
  </si>
  <si>
    <t>GEL HIGIENE INTIMA NIVEA X250ML, SUAVE</t>
  </si>
  <si>
    <t>VINO ESCORIHUELA GASCON SYRAH X 750 ML</t>
  </si>
  <si>
    <t>VINO ESCORIHUELA GASCON MALBEC X 750 ML</t>
  </si>
  <si>
    <t>VINO ESCORIHUELA GASCON SANGIOVESE X 750</t>
  </si>
  <si>
    <t>SHAMPOO ELVIVE 680ML, COLOR VIVE</t>
  </si>
  <si>
    <t>SHAMPOO ELVIVE 680ML, REPARAC.TOTAL 5</t>
  </si>
  <si>
    <t>ACO ELVIVE 680ML, REPARAC.TOTAL 5</t>
  </si>
  <si>
    <t>MASCARA MAYBELLINE THE FALSIES BLACK, WP</t>
  </si>
  <si>
    <t>CRISSINOS FIBRA LIGHT X 70GR, OREGANO</t>
  </si>
  <si>
    <t>CRISSINOS FIBRA LIGHT X 70GR, AJONJOLI</t>
  </si>
  <si>
    <t>BOMBONES DE LA VIUDA 150GR,  LECHE</t>
  </si>
  <si>
    <t>BOMBONES DE LA VIUDA 150GR, NEGRO</t>
  </si>
  <si>
    <t>BOMBONES DE LA VIUDA 150, DULCE DE LECHE</t>
  </si>
  <si>
    <t>MINI ALFAJORES PACK 5 UN TINKA, VAINILLA</t>
  </si>
  <si>
    <t>GELATINA DIET FRESA X 19GR UNIVERSAL</t>
  </si>
  <si>
    <t>MINI ALFAJORES PACK 5 UN TINK, CHOCOLATE</t>
  </si>
  <si>
    <t>GUANTE COCINA CREATIVA VIRUTEX, XS</t>
  </si>
  <si>
    <t>GUANTE COCINA CREATIVA VIRUTEX, SM</t>
  </si>
  <si>
    <t>GUANTE BAÑO Y LAVANDERIA CREATIVA V, T-M</t>
  </si>
  <si>
    <t>LIMPIADOR DE CALZADO YAK, NEGRO</t>
  </si>
  <si>
    <t>LIMPIADOR DE CALZADO YAK, INCOLORO</t>
  </si>
  <si>
    <t>CHIFLE ''CRICKET'S'' X 250 G, SALADO</t>
  </si>
  <si>
    <t>CHIFLE ''CRICKET'S'' X 250 G, PICANTE</t>
  </si>
  <si>
    <t>DEO INVISIBLE B&amp;W NIVEA, FEM ROLL X 50</t>
  </si>
  <si>
    <t>DEO INVISIBLE B&amp;W NIVEA, MEN ROLL X 50</t>
  </si>
  <si>
    <t>MERMELADA X 280GR SPITZE, ROCOTO</t>
  </si>
  <si>
    <t>MERMELADA X 280GR SPITZE, AJI AMARILLO</t>
  </si>
  <si>
    <t>MERMELADA X 280GR SPITZE, AJI LIMO</t>
  </si>
  <si>
    <t>WAFFER LOACKER QUADRATINI 125, CHOCOLATE</t>
  </si>
  <si>
    <t>WAFFER LOACKER QUADRATINI, NAPOLITANIER</t>
  </si>
  <si>
    <t>WAFFER LOACKER CLASSIC 45 GR, VAINILLA</t>
  </si>
  <si>
    <t>WAFFER LOACKER CLASSIC 45, NAPOLITANIER</t>
  </si>
  <si>
    <t>CEREAL ORGÁNICO 300G, CON JUGO DE FRUTAS</t>
  </si>
  <si>
    <t>AMB. AIR WICK ELECTRICO, MANZ/CAN RPTOX2</t>
  </si>
  <si>
    <t>Schick Gel Afeitar Sensitive200ml</t>
  </si>
  <si>
    <t>MERMELADA X 340GR MACKA, ORANGE &amp; WHISKY</t>
  </si>
  <si>
    <t>MERMELADA X 340GR MA, ORANGE &amp; CHAMPAGNE</t>
  </si>
  <si>
    <t>MERMELADA X 340GR MACKAYS, THREE BERRY</t>
  </si>
  <si>
    <t>MERMELADA X 340G, STRAWBERRY &amp; CHAMPAGNE</t>
  </si>
  <si>
    <t>MERMELAD, BLUEBERRY&amp;BLACKCURRANT PRESERV</t>
  </si>
  <si>
    <t>MERMELADA X 340GR MACKAYS, ALBARICOQUE</t>
  </si>
  <si>
    <t>MERMELADA X 340GR MACKAYS, CEREZA&amp;BAYAS</t>
  </si>
  <si>
    <t>CORRECTOR MYB EYE A. REWIND, MEDIUM</t>
  </si>
  <si>
    <t>CORRECTOR MYB EYE A. REWIND, HONEY</t>
  </si>
  <si>
    <t>SHOWER GEL NIVEA 250ML, WATER LILY &amp; OIL</t>
  </si>
  <si>
    <t>BEBIDA PACIFIC ALMENDRA 946ML, VAINILLA</t>
  </si>
  <si>
    <t>BEBIDA PACIFIC ALMENDRA 946ML, ORIGINAL</t>
  </si>
  <si>
    <t>CHOCOLATE ORQUIDEA X 85 GR, LECHE C/COCO</t>
  </si>
  <si>
    <t>GELATINA DIET LIMON X 19GR UNIVERSAL</t>
  </si>
  <si>
    <t>GELATINA DIET  X 19GR UNIVERSAL, NARANJA</t>
  </si>
  <si>
    <t>GELATINA DIET  X 19GR UNIVERSAL, PIÑA</t>
  </si>
  <si>
    <t>ESPARRAGOS BLANCOS X 360 GR VALLE FERTIL</t>
  </si>
  <si>
    <t>CHOCOLATE ORQUIDEA X 80, LECHE C/KIWICHA</t>
  </si>
  <si>
    <t>CHOCOLATE ORQUIDEA X 85, LECHE C/PECANAS</t>
  </si>
  <si>
    <t>CHOCOLATE ORQUIDEA X 85 GR., BITTER</t>
  </si>
  <si>
    <t>TAPENADE ACEITUNAS CALE X185G, ALCAPARRA</t>
  </si>
  <si>
    <t>HOJUELAS  X 200 GR MOLICUSCO, DE QUINUA</t>
  </si>
  <si>
    <t>GALLETAS FIBRALIGTH X 70G. DE  AJONJOLI</t>
  </si>
  <si>
    <t>GALLETAS FIBRALIGTH X 70G. DE SALVADO</t>
  </si>
  <si>
    <t>GALLETAS FIBRALIGTH X 70G. DE OREGANO</t>
  </si>
  <si>
    <t>CHOCOBRITT BLANCO PIRAMIDE 26 GR</t>
  </si>
  <si>
    <t>CHOCOBRITT OSCURO PIRAMIDE 26 GR</t>
  </si>
  <si>
    <t>CHOCOBRITT MARACUYA PIRAMIDE 28 GR</t>
  </si>
  <si>
    <t>CHOCOBRITT AVELLANA PIRAMIDE  26 GR</t>
  </si>
  <si>
    <t>FEBREZE AROMATIZANT, LAVENDER MEDITERRAN</t>
  </si>
  <si>
    <t>VINO LAPOSTOLLE CUV ALEX CAB SAUV 750ML</t>
  </si>
  <si>
    <t>CEREAL HONEY BUNC.PEACH RASBER. 411 POST</t>
  </si>
  <si>
    <t>CEREAL HONEY BUNC.BANANA BLUEB. 411 POST</t>
  </si>
  <si>
    <t>BARQUILLOS MONETTA X 130, CHOCOHAZELNUT</t>
  </si>
  <si>
    <t>SAL DE MARAS ESPECIADA 130 GR., ITALIANA</t>
  </si>
  <si>
    <t>SAL DE MARAS ESPECIADA 130 GR., PERUANA</t>
  </si>
  <si>
    <t>DEO BARRA X47MLSECR, CLINIC HYPOALLERGEN</t>
  </si>
  <si>
    <t>DEO X48GR SECRE, STICK BASE POWDER FRESH</t>
  </si>
  <si>
    <t>DEO X48GR SECRE, BASE STICK SHOWER FRESH</t>
  </si>
  <si>
    <t>JABON GLICERINA 1LT SIMOND´S, CELESTE</t>
  </si>
  <si>
    <t>GALLETA MISURA X 400GR, SIN HUEVO/LECHE</t>
  </si>
  <si>
    <t>GALLETA MISURA X 400GR, SIN AZUCAR</t>
  </si>
  <si>
    <t>VINO RESERO 1LT TETRA, TINTO</t>
  </si>
  <si>
    <t>CONDIMENTOS DROGHERIA A, GARLIC MILL 50G</t>
  </si>
  <si>
    <t>CONDIMENTO, 4 SEASONS PEPPERC.GRIND.35GR</t>
  </si>
  <si>
    <t>CONDIMENTO, WHITE PEPPER CORN GRIND.45GR</t>
  </si>
  <si>
    <t>CONDIMEN, GARLIC &amp; RED PEPPER CORN GRIND</t>
  </si>
  <si>
    <t>CONDIMENTOS DROGHERIA, MEAT SUPREME 38GR</t>
  </si>
  <si>
    <t>CORRECTOR MAY. FITME, MEDIUM  25</t>
  </si>
  <si>
    <t>SHAMPOOX370ML ELVIVE, OLEO COCO</t>
  </si>
  <si>
    <t>SHAMPOOX370ML, SHAMPOO OLEO RIZOS 370ML</t>
  </si>
  <si>
    <t>ACOND.X370ML ELVIVE, OLEO COCO</t>
  </si>
  <si>
    <t>BUTTER TOFFEE X 400 GR ARCOR , SURTIDO</t>
  </si>
  <si>
    <t>GEL MOCO DE GORILA X270 GRS, GALAN POTE</t>
  </si>
  <si>
    <t>GEL MOCO DE GORILA X270 GRS, PUNK POTE</t>
  </si>
  <si>
    <t>GEL MOCO DE GORILA X 340GR, GALAN SQUIZZ</t>
  </si>
  <si>
    <t>GEL MOCO DE GORILA X 340G, ROCKER SQUIZZ</t>
  </si>
  <si>
    <t>GEL MOCO DE GORILA X 340GR, PUNK SQUIZZ</t>
  </si>
  <si>
    <t>WAFERS X 125 GR. DR SCHAR, AL CACAO</t>
  </si>
  <si>
    <t>WAFERS X 125 GR. DR SCHAR, ALA VANIGLIA</t>
  </si>
  <si>
    <t>WAFERS X 125 GR. DR SCHAR, ALLE NOCCIOLE</t>
  </si>
  <si>
    <t>MAQ. AIRBRUSH LEGS MEDIUM GLOW S.HANSEN</t>
  </si>
  <si>
    <t>MAQ.AIRBRUSH LEGS TAN GLOW S.HANSEN</t>
  </si>
  <si>
    <t>ESPARRAGOS VERDES X 360 GR VALLE FERTIL</t>
  </si>
  <si>
    <t>VINO ESCORIHUELA G.PEQUEÑAS P.MALBECX750</t>
  </si>
  <si>
    <t>MAQ. AIRBRUSH LEGS DEEP GLOW S.HANSEN</t>
  </si>
  <si>
    <t>DEO ROLL ON  50 STRESS PROTECT NIVE, FEM</t>
  </si>
  <si>
    <t>DEO SPRAY x 150 STRESS PROTECT NIV, MALE</t>
  </si>
  <si>
    <t>PISCO PORTÓN MV X 750 ML, NEGRA CRIOLLA</t>
  </si>
  <si>
    <t>PISCO PORTÓN MV X 750 ML, ALBILLA</t>
  </si>
  <si>
    <t>CR.NIVEA BAJO LA DUCH, NUT.P/SEC X250 ML</t>
  </si>
  <si>
    <t>TE NEGRO BIGELOW X 20 S, ENGLISH TEATIME</t>
  </si>
  <si>
    <t>CHOCOLATE RELLENO BRITT 20 UN, FRUTAS</t>
  </si>
  <si>
    <t>CHOCOLATE RELLENO BRITT 20 UN, CAFÉ</t>
  </si>
  <si>
    <t>CHOCOLATE RELLENO BRITT 20 UN, LUCUMA</t>
  </si>
  <si>
    <t>DESOD. MINIX50ML DEO PIES, XTREM</t>
  </si>
  <si>
    <t>DESOD. MINIX50ML DEO PIES, MUJER</t>
  </si>
  <si>
    <t>DESO HI-DRI ROLL-ON X1.7OZ, POWDER FRESH</t>
  </si>
  <si>
    <t>BARQUILLO S/AZUCAR 70G GULLON, CHOCOLATE</t>
  </si>
  <si>
    <t>BARQUILLO S/AZUCAR 70G GULLON, VAINILLA</t>
  </si>
  <si>
    <t>BARQUILLO S/AZUCAR 210G GULLO, CHOCOLATE</t>
  </si>
  <si>
    <t>VINO DEVIL'S COLLECTION  TINTO, BLEND</t>
  </si>
  <si>
    <t>VINO DEVIL'S COLLECTION  BLANCO, BLEND</t>
  </si>
  <si>
    <t>SALSA PICANTE X 90ML MADRE SELV, PICANTE</t>
  </si>
  <si>
    <t>SCOTCH BRITE RPTO.MOPA ATRAPATODOX, MOPA</t>
  </si>
  <si>
    <t>SCOTCH BRITE MOPA ATRAPA POLVOX1, MOPA</t>
  </si>
  <si>
    <t>SCOTCH BRITE MOPA ALGODÓN C/MANGO, MOPA</t>
  </si>
  <si>
    <t>TOMATES X411 GR DEL MONTE, EN CUBOS</t>
  </si>
  <si>
    <t>DR. BECKMANN LIMPIA HORNOS X37, ORIGINAL</t>
  </si>
  <si>
    <t>DR. BECKMANN LIMP.ACEROX250ML, ORIGINAL</t>
  </si>
  <si>
    <t>PEPINO X 330 GR. HENGSTE, P/ HAMBURGUESA</t>
  </si>
  <si>
    <t>PUDIN DIET X 19GRS UNIVERSAL, CHOCOLATE</t>
  </si>
  <si>
    <t>PUDIN DIET X 19GRS UNIVERSAL, VAINILLA</t>
  </si>
  <si>
    <t>GELATINA UNIVERSAL 130 GR, FRESA</t>
  </si>
  <si>
    <t>GELATINA UNIVERSAL 130 GR, NARANJA</t>
  </si>
  <si>
    <t>GELATINA UNIVERSAL 130 GR, PIÑA</t>
  </si>
  <si>
    <t>CHOCOLATE ORGANICO ORQUIDEA 90 GR, DARK</t>
  </si>
  <si>
    <t>CHOCOLATE ORGANICO ORQUIDEA 90 GR, NIBS</t>
  </si>
  <si>
    <t>CHOCOLATE ORGANICO ORQUIDEA 9, MILD DARK</t>
  </si>
  <si>
    <t>VINO KENDALL JACKSON RESERVA, CHARDONNAY</t>
  </si>
  <si>
    <t>VINO KENDALL JACKSON RESERVA TIN, MERLOT</t>
  </si>
  <si>
    <t>VINO KENDALL JACKSON RESERVA T, CABERNET</t>
  </si>
  <si>
    <t>VINO KENDALL JACKSON RESERVA, ZINFANDEL</t>
  </si>
  <si>
    <t>QUITAMANCHAS VANISH 3.785L, BLANCO</t>
  </si>
  <si>
    <t>VASO ENTRENAM DOBLE PARED D, BABY MICKEY</t>
  </si>
  <si>
    <t>ESPUMANTE CINZANO SWEET EDITION 750 ML</t>
  </si>
  <si>
    <t>VINO CABALLO LOCO GRAND CRU, APALTA</t>
  </si>
  <si>
    <t>VINO CABALLO LOCO GRAND, SAGRADA FAMILIA</t>
  </si>
  <si>
    <t>SAL MARAS AHUMADA X150GR NCS, PARRILLERA</t>
  </si>
  <si>
    <t>PISCO GRAN DEMONIO 500ML ITALIA</t>
  </si>
  <si>
    <t>PISCO GRAN DEMONIO 500ML ACHOLADO</t>
  </si>
  <si>
    <t>PISCO GRAN DEMONIO 500ML MOSCATEL</t>
  </si>
  <si>
    <t>PISCO GRAN DEMONIO 500ML QUEBRANTA</t>
  </si>
  <si>
    <t>CEREAL ORGANICO NATURE PATH'S, CHOCOLATE</t>
  </si>
  <si>
    <t xml:space="preserve"> BEBIDA C/ALOE SAPPE  X300ML, DURAZNO</t>
  </si>
  <si>
    <t xml:space="preserve"> BEBIDA C/ALOE SAPPE  X300ML, UVA</t>
  </si>
  <si>
    <t>CAFÉ MOLIDO LEYENDA X 250, TUESTE OSCURO</t>
  </si>
  <si>
    <t>CAFÉ MOLIDO LEYENDA X 250GR, MOCCA</t>
  </si>
  <si>
    <t>CAFÉ MOLIDO LEYENDA X 2, CREMA IRLANDESA</t>
  </si>
  <si>
    <t>VINO ELSA BIANCHI BLANCO, TORRONTES</t>
  </si>
  <si>
    <t>VINO BIANCHI 750ML, MALBEC</t>
  </si>
  <si>
    <t>GELATINA UNIVERSAL 130 GR, LIMON</t>
  </si>
  <si>
    <t>VINO BIANCHI DOC TINTO BLANC, CHARDONNAY</t>
  </si>
  <si>
    <t>VINO BIANCHI FAMIGLI, CABERNET SAUVIGNON</t>
  </si>
  <si>
    <t>VINO BIANCHI PARTICULAR RAN RSVA, MALBEC</t>
  </si>
  <si>
    <t>VINO DR.LOOSEN BLANCO, RIESLING</t>
  </si>
  <si>
    <t>TRATAM. ELVIVEX300ML, OLEO COCO</t>
  </si>
  <si>
    <t>VINO DADA 1  DE FINCA LA, BONARDA/MALBEC</t>
  </si>
  <si>
    <t>VINO DADA 2 DE FINCA LAS MORAS T, MERLOT</t>
  </si>
  <si>
    <t>VINO GAZELA VINHO VERDE T, LOUREIRO/AZAL</t>
  </si>
  <si>
    <t>GELATINA UNIVERSAL 130 GR, UVA</t>
  </si>
  <si>
    <t>CHOCOLATE ORGANICO SHATTEL, EXTRA BITTER</t>
  </si>
  <si>
    <t>CHOCOLATE ORGANICO SHATTELL 70 G, BITTER</t>
  </si>
  <si>
    <t>CHOCOLATE ORGANICO SHATTELL 70 GR, CHIA</t>
  </si>
  <si>
    <t>CHOCOLATE ORGANICO SHATTELL 70 G, STEVIA</t>
  </si>
  <si>
    <t>ACIDO BIO HOMECARE X 2LT, HERBAL</t>
  </si>
  <si>
    <t>FOUR PACK FINCA ROTONDO X187 ML, REG</t>
  </si>
  <si>
    <t>BEBIDA ALMENDRA S/AZUCAR NH 946ML</t>
  </si>
  <si>
    <t>WHISKY JACK DANIELS X750 ML, HONEY</t>
  </si>
  <si>
    <t>ESM. SH HARD AS NAILS 13.3M, TOUGH CHICK</t>
  </si>
  <si>
    <t>SH TOP COATX11.8ML, BIG SHINY</t>
  </si>
  <si>
    <t>TOSTADITA WONG x 85GR, BLANCAS</t>
  </si>
  <si>
    <t>VODKA ABSOLUT BLUE X1L, ORGINAL</t>
  </si>
  <si>
    <t>FRIZZ EASE SERUM JF 50ML EXT.STRENGTH</t>
  </si>
  <si>
    <t>RON FLOR DE CAÑA 25 AÑOS 750 ML, REG</t>
  </si>
  <si>
    <t>QUITAMANCHAS LA OCAX500G, ROPA BLANCA</t>
  </si>
  <si>
    <t>BOMBONES ILUSION LA IBERICA 1, CHOCOLATE</t>
  </si>
  <si>
    <t>TOFFEES LA IBERICA BOLSA 100 GR, SURTIDO</t>
  </si>
  <si>
    <t>VINO GRAN LOS ARBOLE, CABERNET SAUVIGNON</t>
  </si>
  <si>
    <t>BOMBONES LA IBERICA REGALO 220, MIXTURA</t>
  </si>
  <si>
    <t>INSECTICIDA X 432G METRO, CUCARACHAS</t>
  </si>
  <si>
    <t>BLQ.SPR NEUTROGENA SPF50 WET SKIN14, REG</t>
  </si>
  <si>
    <t>BLQ.SPR NEUTROGENA SPF70 WET SKIN1, KIDS</t>
  </si>
  <si>
    <t>ADEREZO DOY PACK X 350 GR PIK, ANTICUCHO</t>
  </si>
  <si>
    <t>ADEREZO DOY PACK X 350, POLLO A LA BRASA</t>
  </si>
  <si>
    <t>FEBREZE AIR REFRE VANILLA, VANILLA LATTE</t>
  </si>
  <si>
    <t>PISCO INTIPALKA MV X750ML, ITALIA</t>
  </si>
  <si>
    <t>PISCO INTIPALKA MV X750ML, QUEBRANTA</t>
  </si>
  <si>
    <t>TINTE PALETTE PERFE, NEGRO PROFUNDO  110</t>
  </si>
  <si>
    <t>TINTE PALETTE PERFE, NEGRO ESPRESSO  200</t>
  </si>
  <si>
    <t>TINTE PALETTE PERF, CEREZA PROFUNDO  389</t>
  </si>
  <si>
    <t>TINTE PALETTE PERFEC, CASTAÑO FRAPPE 400</t>
  </si>
  <si>
    <t>TINTE PALETTE PERFECT, MOCA CREMOSO  500</t>
  </si>
  <si>
    <t>TINTE PALETTE PERFECT G, RUBIO MIEL  700</t>
  </si>
  <si>
    <t>TINTE PALETTE PERFECT, RUBIO ORO 713</t>
  </si>
  <si>
    <t>TINTE PALETTE PERFECT, CANELA TENTACION</t>
  </si>
  <si>
    <t>PISCO TABERNERO ED LIMITADA X700, ITALIA</t>
  </si>
  <si>
    <t>PISCO TABERNERO ED LIMITADA X7, ACHOLADO</t>
  </si>
  <si>
    <t>PISCO TABERNERO ED LIMITADA X, QUEBRANTA</t>
  </si>
  <si>
    <t>PISCO LA BOTIJA TABERNERO X700, ACHOLADO</t>
  </si>
  <si>
    <t>PISCO LA BOTIJA TABERNERO X70, QUEBRANTA</t>
  </si>
  <si>
    <t>ESM. S.HASEN CSM 14.7ML, ARM CANDY</t>
  </si>
  <si>
    <t>ESM. S.HASEN CSM 14.7ML, COMMANDER CHIC</t>
  </si>
  <si>
    <t>ESM. S.HASEN CSM 14.7ML, TICKLE ME PINK</t>
  </si>
  <si>
    <t>ESM. S.HASEN CSM 14.7ML, BACK T/FUCHSIA</t>
  </si>
  <si>
    <t>ESM. S.HASEN CSM 14.7ML, RED MY LIPS</t>
  </si>
  <si>
    <t>ESM. S.HASEN CSM 14.7ML, PEACH OF CAKE</t>
  </si>
  <si>
    <t>TRIPACK JB SPA PREMIUM 130G, REFRESCANTE</t>
  </si>
  <si>
    <t>SHICK MAQDES QUATTRO TITANIU HOM, P/SENS</t>
  </si>
  <si>
    <t>GALLETA DE ARROZ KUPIEC 75 GR, SESAMO</t>
  </si>
  <si>
    <t>GALLETA DE ARROZ KUPIEC 75, TRADICIONAL</t>
  </si>
  <si>
    <t>GALLETA DE ARROZ KUPIEC 70 GR, GIRASOL</t>
  </si>
  <si>
    <t>GALLETA DE ARROZ KUPIEC 70 GR, POPCORN</t>
  </si>
  <si>
    <t>PISCO LA BOTIJA 700ML+TUBO, ITALIA</t>
  </si>
  <si>
    <t>PISCO LA BOTIJA 700ML+TUBO, QUEBRANTA</t>
  </si>
  <si>
    <t>ALFAJOR RELLENO CJ X 6UND BRITT, MANJAR</t>
  </si>
  <si>
    <t>ALFAJOR RELLENO CJ X 6UND BRITT, SURTIDO</t>
  </si>
  <si>
    <t>AGUA SAN PELLEGRINO 330ML ARANCIATA ROS</t>
  </si>
  <si>
    <t>AGUA SAN PELLEGRINO 330ML, POMPELMO</t>
  </si>
  <si>
    <t>AGUA SAN PELLEGRINO 330ML, CLEMENTINA</t>
  </si>
  <si>
    <t>ACEITUNA RODAJAS 160GR OLIVALLE, VERDE</t>
  </si>
  <si>
    <t>ACEITUNA RODAJAS 160GR OLIVALLE, NEGRA</t>
  </si>
  <si>
    <t>JUGO L'ONDA 100% X32OZ, NARANJA</t>
  </si>
  <si>
    <t>GOMAS JELLY BEAN, BERRY 77G</t>
  </si>
  <si>
    <t>BEBIDA C/ALOE SAPPE  X1LT, MANZANA</t>
  </si>
  <si>
    <t>BEBIDA C/ALOE SAPPE  X1LT, DURAZNO</t>
  </si>
  <si>
    <t>PISCO PAGO DE LOS FRAILES TUBO, TORONTEL</t>
  </si>
  <si>
    <t>PISCO PAGO DE LOS FRAILES TUBO, ACHOLADO</t>
  </si>
  <si>
    <t>PISCO PAGO DE LOS FRAILES TUB, QUEBRANTA</t>
  </si>
  <si>
    <t>ETERNA GUANTE FLEX, TALLA 9</t>
  </si>
  <si>
    <t>ETERNA GUANTE FLEX, TALLA 7.5</t>
  </si>
  <si>
    <t>PISCO LA CARAVEDO BOT X 750 ML, ACHOLADO</t>
  </si>
  <si>
    <t>PISCO LA CARAVEDO BOT X 750 M, QUEBRANTA</t>
  </si>
  <si>
    <t>KATIVA SHAMPOO 250ML, ARGAN OIL</t>
  </si>
  <si>
    <t>KATIVA CONDITIONER 250ML, ARGAN OIL</t>
  </si>
  <si>
    <t>CAFÉ GOURMET TOSTADO, M, MONTCAFÉ, GRANO</t>
  </si>
  <si>
    <t>SALSA AJI STDO 165GR SPITZE, AJI LIMO</t>
  </si>
  <si>
    <t>SALSA AJI STDO 165GR, AJI AMAR.MARACUYA</t>
  </si>
  <si>
    <t>SALSA AJI STDO 165GR, ARNAUCHO C/CHINCHO</t>
  </si>
  <si>
    <t>PISCO 4GALLOS MV COLECC ART X 75, ITALIA</t>
  </si>
  <si>
    <t>PISCO 4GALLOS MV COLECC ART X, ACHOLADO</t>
  </si>
  <si>
    <t>PISCO 4GALLOS MV COLECC ART X, QUEBRANTA</t>
  </si>
  <si>
    <t>COLONIA BODY FANTASIES X, PINK SWEET PEA</t>
  </si>
  <si>
    <t>COLONIA BODY FANTASIES, ROMANCE &amp; DREAMS</t>
  </si>
  <si>
    <t>COLONIA BODY FANTASIES, PINK VANILA KISS</t>
  </si>
  <si>
    <t>CR CORPORAL HIDRA INSTIT ESPAÑOLX, AVENA</t>
  </si>
  <si>
    <t>MACARONI &amp; CHEESE CUPS 58G KRA, ORIGINAL</t>
  </si>
  <si>
    <t>JFM TINTE GEL BARBA Y BIGOTE, CAST OSC</t>
  </si>
  <si>
    <t>JFM TINTE GEL BARBA Y BIGOTE, NEGRO</t>
  </si>
  <si>
    <t>JFM TINTE  CONTROL GRADUAL, NEGRO</t>
  </si>
  <si>
    <t>DIPS SURT, ALCACHOFA,  ESPINACA Y QUINUA</t>
  </si>
  <si>
    <t>DIPS SURTIDOS X255 ML, PIMIENTO Y QUINUA</t>
  </si>
  <si>
    <t>GEL HIDRATANTE INSTIT, NATURAL GLICERINA</t>
  </si>
  <si>
    <t>SH PACK &amp; TOP COAT 14.7ML, MG SHOCK WAVE</t>
  </si>
  <si>
    <t>SH PACK &amp; TOP COAT 14.7ML, MG RED EYE</t>
  </si>
  <si>
    <t>SH PACK &amp; TOP COAT 14.7ML, MG PINK CADIL</t>
  </si>
  <si>
    <t>SH M GEL ESMALTE RED EYE 4, 120 BAR DARE</t>
  </si>
  <si>
    <t>SH M GEL ESMALTE RED, 160 PINKY PROMISE</t>
  </si>
  <si>
    <t>SH M GEL ESMALTE R, 170 PINK CADILLAQUER</t>
  </si>
  <si>
    <t>SH M GEL ESMALTE RED E, 210 PRETTY PIGGY</t>
  </si>
  <si>
    <t>SH M GEL ESMALTE RED EYE, 220 PINK TANK</t>
  </si>
  <si>
    <t>SH ESMALTE MIRACLE GEL STREET</t>
  </si>
  <si>
    <t>SH M GEL ESMALTE RED EYE, 360 TIDAL WAVE</t>
  </si>
  <si>
    <t>PASTINAS ORGANICAS  BIO GRANORO, FUSILLI</t>
  </si>
  <si>
    <t>SH M GEL ESMALTE RED EYE 43, 440 DIG FIG</t>
  </si>
  <si>
    <t>SH M GEL ESMALTE RED EYE 43, 450 GET MOD</t>
  </si>
  <si>
    <t>SH M GEL ESMALTE RED EYE, 480 WINE STOCK</t>
  </si>
  <si>
    <t>SH M GEL ESMALTE RED EYE, 500 MAD WOMEN</t>
  </si>
  <si>
    <t>SH M GEL ESMALTE RE, 510 GAME OF CHROMES</t>
  </si>
  <si>
    <t>SH M GEL ESMALTE RED EYE, CAPA TOP COAT</t>
  </si>
  <si>
    <t>PERFUMADOR TELAS FEBREZE 800ML, ORIGINAL</t>
  </si>
  <si>
    <t>PERFUMADOR TELAS FEBREZE 800ML, MASCOTAS</t>
  </si>
  <si>
    <t>CERVEZA CANDELARIA BOT 330ML,WITBIER</t>
  </si>
  <si>
    <t>PISCO PURO N PANCHO FIERRO X 750, ITALIA</t>
  </si>
  <si>
    <t>PISCO PURO N PANCHO FIERRO X 7, ACHOLADO</t>
  </si>
  <si>
    <t>CREMA BABARIA P, PIES SECOS Y AGRIETADOS</t>
  </si>
  <si>
    <t>TÉ ARIZONA CON GINSENG Y HONEY X 340 ML</t>
  </si>
  <si>
    <t>BRITT ESPRESSO X 10 CAP, CLASICO</t>
  </si>
  <si>
    <t>BRITT ESPRESSO X 10 CAP, DECAF</t>
  </si>
  <si>
    <t>BRITT ESPRESSO X 10 CAP, VALLE SAGRADO</t>
  </si>
  <si>
    <t>KATIVA SHAMPOO 1LT, ARGAN OIL</t>
  </si>
  <si>
    <t>KATIVA CONDITIONER 1LT, ARGAN OIL</t>
  </si>
  <si>
    <t>KATIVA SHAMPOO 1LT , COCONUT</t>
  </si>
  <si>
    <t>TE VERDE X 50G, LIMON</t>
  </si>
  <si>
    <t>TE VERDE X 50G, PIÑA</t>
  </si>
  <si>
    <t>TE VERDE X 50G, NARANJA</t>
  </si>
  <si>
    <t>TE VERDE X 50G, TORONJA</t>
  </si>
  <si>
    <t>CERV SIERRA ANDINA 330, HUARACINA PALE</t>
  </si>
  <si>
    <t>CERV SIERRA ANDINA 330, ALPAMAYO AMBER</t>
  </si>
  <si>
    <t>CERV SIERRA ANDINA 330, DON JUAN PORTER</t>
  </si>
  <si>
    <t>JAB GLIC 1LT SIMOND´S, HYGIENIC</t>
  </si>
  <si>
    <t>JAB GLIC 1LT SIMOND´S, CREMOSO</t>
  </si>
  <si>
    <t>CHOCOLATE SLENDER 100G, CHOCOLATE BITTER</t>
  </si>
  <si>
    <t>GELATINA UNIVERSAL 38 GR, FRESA</t>
  </si>
  <si>
    <t>CHOCOLATE SLENDER 100G, BITTER/QUINOA</t>
  </si>
  <si>
    <t>CHOCOLATE SLENDER 100G, MILK/QUINOA</t>
  </si>
  <si>
    <t>CHOCOLATE SLENDER 100G, MENTA S/AZUCAR</t>
  </si>
  <si>
    <t>CHOCOLATE SLENDER 100, AVELLANA S/AZUCAR</t>
  </si>
  <si>
    <t>CHOCOLATE SLENDER 100G, CASTA S/AZÙCAR</t>
  </si>
  <si>
    <t>PACK AMMENS SHAMPOOX675ML +, MANZANILLA</t>
  </si>
  <si>
    <t>DEO PIES X260ML+DEO PIES, ANTIBACTERIAL</t>
  </si>
  <si>
    <t>NECTAR SELVA PIÑA X 900ML</t>
  </si>
  <si>
    <t>NECTAR SELVA NARANJA X 900ML</t>
  </si>
  <si>
    <t>NECTAR SELVA BOT VIDRIO 900ML, MANGO</t>
  </si>
  <si>
    <t>FS MASTER CONTOUR MAYB, MEDIUM TO DEEP</t>
  </si>
  <si>
    <t>PISCO VARGAS TORONTEL RESERVA BOT 750ML</t>
  </si>
  <si>
    <t>GALLETAS QUINUA INCASUR 180GR , CHOCOCHI</t>
  </si>
  <si>
    <t>NECTAR SELVA DURAZNO X 300ML</t>
  </si>
  <si>
    <t>NECTAR SELVA MANGO X 300ML</t>
  </si>
  <si>
    <t>AMB. AIRWICK AMB ELE, DELICIAS DE VERANO</t>
  </si>
  <si>
    <t>TINTE NUTRISS, RUBIO OSCURO PROFUNDO 6.0</t>
  </si>
  <si>
    <t>TINTE NUTRISSE, CASTAÑO OSCURO PROF. 3.0</t>
  </si>
  <si>
    <t>GELATINA UNIVERSAL 38 GR, NARANJA</t>
  </si>
  <si>
    <t>GELATINA UNIVERSAL 38 GR, PIÑA</t>
  </si>
  <si>
    <t>SALSA FREE KRAFT X 473 ML., FRENCH</t>
  </si>
  <si>
    <t>TURRON DOÑA PEPA 650GR CASA, TRADICIONAL</t>
  </si>
  <si>
    <t>TINTE EXCELLENCE EP, TONO 6660</t>
  </si>
  <si>
    <t>PALETA DE SOMBRAS MNY EYE STUD, THE NUDE</t>
  </si>
  <si>
    <t>BOTANICOS GO BARMAN, MIX GIN A</t>
  </si>
  <si>
    <t>BOTANICOS GO BARMAN, MIX PISCO</t>
  </si>
  <si>
    <t>MERMELADA DIET 210G DMARCO, FRAMBUESA</t>
  </si>
  <si>
    <t>MERMELADA HELIOS S/GLUTEN X340GR , NARAN</t>
  </si>
  <si>
    <t>BOTANICOS GO BARMAN, VODKA TONIC</t>
  </si>
  <si>
    <t>BOTANICOS GO BARMAN, GIN TONIC</t>
  </si>
  <si>
    <t>CHILCANO TABERNERO 275ML, LIMON</t>
  </si>
  <si>
    <t>CHILCANO TABERNERO 275ML, MARACUYA</t>
  </si>
  <si>
    <t>CHILCANO TABERNERO 275ML, CRAMBERRY</t>
  </si>
  <si>
    <t>CHILCANO TABERNERO 275ML , EXTREME GUARA</t>
  </si>
  <si>
    <t>CHILCANO TABERNERO 275ML , NARANJ</t>
  </si>
  <si>
    <t>DEO NIVEA SACHET X18 UN, INVISIBLE MEN</t>
  </si>
  <si>
    <t>TEQUILA JIMADOR X 750 ML, BLANCO</t>
  </si>
  <si>
    <t>TEQUILA JIMADOR X 750 ML, REPOSADO</t>
  </si>
  <si>
    <t>PACK SECRET LOVE COLX50ML+BODYX, PASSION</t>
  </si>
  <si>
    <t>INTENSIFICADOR DOWNY 162 GR, FRESH</t>
  </si>
  <si>
    <t>INTENSIFICADOR DOWNY 162 GR, SHIMMER</t>
  </si>
  <si>
    <t>INTENSIFICADOR DOWNY 162 GR , APRIL</t>
  </si>
  <si>
    <t>SH ESMALTE INSTADRI EXPRESSO</t>
  </si>
  <si>
    <t>SH ESMALTE INSTADRI PUMPED UP PINK</t>
  </si>
  <si>
    <t>ESMALTE SH INSTA DRI, 216 FLASHY FUCHSIA</t>
  </si>
  <si>
    <t>SH ESMALTE INSTADRI GO FOR GOLD</t>
  </si>
  <si>
    <t>AGUA SOCOSANI SABORIZADA BOT 500M, LIMON</t>
  </si>
  <si>
    <t>AGUA SOCOSANI SABORIZADA BOT 50, MANZANA</t>
  </si>
  <si>
    <t>BANDAS DEPILE CORX6UN ALOE</t>
  </si>
  <si>
    <t>BANDAS DEPILE CORX6UN CALENDULA</t>
  </si>
  <si>
    <t>BANDAS DEPILE CORX6UN MOSQUETA</t>
  </si>
  <si>
    <t>SHAMPOO AMMENS FRASCO X 100, MANZANILLA</t>
  </si>
  <si>
    <t>SHAMPOO AMMENS FRASCO X 100 ml, AVENA</t>
  </si>
  <si>
    <t>AMMENS SHAM ORIGINALx675 + COLONIA, NIÑO</t>
  </si>
  <si>
    <t>CREMA VEET PIEL 2X100ML C, PIEL SENSIBLE</t>
  </si>
  <si>
    <t>COL BODY FANTASIESX236ML, COCONUT</t>
  </si>
  <si>
    <t>BEBIDA ORG.SCOTTI  1L, ARROZ SOYA</t>
  </si>
  <si>
    <t>BEBIDA ORG.SCOTTI  1L, ARROZ NATURAL</t>
  </si>
  <si>
    <t>BEBIDA ORG.SCOTTI  1L, AVENA NATURAL</t>
  </si>
  <si>
    <t>BEBIDA ORG.SCOTTI  1L, ARROZ CALCIO</t>
  </si>
  <si>
    <t>BEBIDA ORG.SCOTTI  1, ARROZ CON AVELLANA</t>
  </si>
  <si>
    <t>BEBIDA ORG.SCOTTI  1L, ARROZ CON COCO</t>
  </si>
  <si>
    <t>TRATAMIENTO CAP NUTRIBELA PO, REPARACION</t>
  </si>
  <si>
    <t>TRATAMIENTO CAP NUTRIBELA POTEX300 , TER</t>
  </si>
  <si>
    <t>PACK AMMENS SHAMPOOX675ML + RP, ORIGINAL</t>
  </si>
  <si>
    <t>PISCO PORTON BOT 50ML, ACHOLADO</t>
  </si>
  <si>
    <t>TAB CHOC LA IBER C/NIBS 90G</t>
  </si>
  <si>
    <t>TAB CHOC LA IBER C/NIBS CACAO 90G</t>
  </si>
  <si>
    <t>AGUA MR PERKINS 200ML, GINGER BEER</t>
  </si>
  <si>
    <t>RTD WILD RUSSKAYA 355 ML, PASSION FRUIT</t>
  </si>
  <si>
    <t>RTD WILD RUSSKAYA 355 M, TROPICAL ORANGE</t>
  </si>
  <si>
    <t>RTD WILD RUSSKAYA 355, SEX ON THE BEACH</t>
  </si>
  <si>
    <t>RTD HIT CARTAVIO 355 ML, PIÑA COLADA</t>
  </si>
  <si>
    <t>SHAMPOO PERT DETOX GRA, REP ACEITE OLIVA</t>
  </si>
  <si>
    <t>SHAMPOO PERT DETOX, HIDRATACION PROFUNDA</t>
  </si>
  <si>
    <t>SHAMPOO PERT DETOX GRANADA 650ML</t>
  </si>
  <si>
    <t>DOYPACK SHAMPOO DR.ZAIDMAN B, MANZANILLA</t>
  </si>
  <si>
    <t>FEBREZE AIR X 250G, HAWAIIAN ALOHA</t>
  </si>
  <si>
    <t>FEBREZE AIR X 250G, MEADOWS &amp; RAIN</t>
  </si>
  <si>
    <t>FEBREZE AIR X 250G, IR LINEN &amp; SKY</t>
  </si>
  <si>
    <t>FEBREZE AIR X 250G , PINE NAVIDAD</t>
  </si>
  <si>
    <t>FEBREZE AIR X 250G , CRANBERRY NAVIDAD</t>
  </si>
  <si>
    <t>DET DERSA TERRA LIQUIDO X 1L, CLASICO</t>
  </si>
  <si>
    <t>TINTE LOREAL MAGIC RETOUCH , CASTAÑO OSC</t>
  </si>
  <si>
    <t>TINTE LOREAL MAGIC RETOUCH , CASTAÑO CLA</t>
  </si>
  <si>
    <t>TINTE LOREAL MAGIC RETOUCH , RUBIO OSCUR</t>
  </si>
  <si>
    <t>RON CARTAVIO BOT X 250ML , SUPERIOR</t>
  </si>
  <si>
    <t>RON CARTAVIO BOT X 250ML , BLACK</t>
  </si>
  <si>
    <t>CERVEZA ARTESANAL 7 VIDAS BOT 330 , AMER</t>
  </si>
  <si>
    <t>CERVEZA ARTESANAL 7 VIDAS BOT 330 , IPA</t>
  </si>
  <si>
    <t>CERVEZA ARTESANAL 7 VIDAS BOT 330 , PALE</t>
  </si>
  <si>
    <t>MERMELADA DIET HELIOS S/GLUTE, FRAMBUESA</t>
  </si>
  <si>
    <t>MERMELADA DIET HELIOS S/GLUTE,  ARANDANO</t>
  </si>
  <si>
    <t>MERMELADA DIET HELIOS S/GLUTE, MELOCOTON</t>
  </si>
  <si>
    <t>MERMELADA DIET HELIOS S/GLUTE FRESA</t>
  </si>
  <si>
    <t>VINAGRE BALSAMICO X 250 CC  CREMONI, 4GP</t>
  </si>
  <si>
    <t>HERBAL TEA STASH X, BLUEBERRY SUPERFRUIT</t>
  </si>
  <si>
    <t>HERBAL TEA STASH X 2, WILDBERRY HIBISCUS</t>
  </si>
  <si>
    <t>CERVEZA ARTESANAL 7 VIDAS BOT 330 , MAIZ</t>
  </si>
  <si>
    <t>BODY NIVEA SENSESX400ML , ARGAN OIL</t>
  </si>
  <si>
    <t>BODY NIVEA SENSESX400ML , VAINILLA</t>
  </si>
  <si>
    <t>BODY NIVEA SENSESX400ML , JOJOBA</t>
  </si>
  <si>
    <t>SHAMPOO KONZILX375ML , COLAGENO+VIT B7</t>
  </si>
  <si>
    <t>SHAMPOO KONZILX375ML , ARG+PRO VIT A</t>
  </si>
  <si>
    <t>CR PARA PEINAR KONZILX230ML , SEDA LIQ+P</t>
  </si>
  <si>
    <t>CR PARA PEINAR KONZILX230ML , COL+VIT B7</t>
  </si>
  <si>
    <t>CR PARA PEINAR KONZILX230ML , ARG+PRO VI</t>
  </si>
  <si>
    <t>ACOND KONZILX375ML , SEDA LIQ+PRO VIT B5</t>
  </si>
  <si>
    <t>ACOND KONZILX375ML , ARG+PRO VIT A</t>
  </si>
  <si>
    <t>PISCO 4 GALLOS MV 700ML , NEG</t>
  </si>
  <si>
    <t>PISCO 4 GALLOS MV 700ML , MOL</t>
  </si>
  <si>
    <t>PISCO 4 GALLOS MV 700ML , TOR</t>
  </si>
  <si>
    <t>PISCO 4 GALLOS MV 700ML , ACH</t>
  </si>
  <si>
    <t>PISCO 4 GALLOS MV 700ML , MOS</t>
  </si>
  <si>
    <t>PISCO 4 GALLOS MV 700ML , ALB</t>
  </si>
  <si>
    <t>CITRICO COCTELERIA GO BARMAN,NARANJA45GR</t>
  </si>
  <si>
    <t>PISCO BARSOL 750 ML , QUEBRANTA2</t>
  </si>
  <si>
    <t>PISCO BARSOL 750 ML , ACHOLADO</t>
  </si>
  <si>
    <t>PISCO BARSOL 750 ML , ITALIA</t>
  </si>
  <si>
    <t>PISCO BARSOL 750 ML, MOSCATEL</t>
  </si>
  <si>
    <t>PISCO BARSOL MOSTO VERDE 750 ML, QUEBRAN</t>
  </si>
  <si>
    <t>PISCO BARSOL MOSTO VERDE 750 ML , ITALIA</t>
  </si>
  <si>
    <t>DESINFECTANTE VIRUTEX X 900ML , BE</t>
  </si>
  <si>
    <t>DESINFECTANTE VIRUTEX X 900ML , CITRIC</t>
  </si>
  <si>
    <t>DESINFECTANTE VIRUTEX X 900ML , PRIMAVER</t>
  </si>
  <si>
    <t>DESINFECTANTE VIRUTEX X 1800ML , BEB</t>
  </si>
  <si>
    <t>DESINFECTANTE VIRUTEX X 1800ML , CITRI</t>
  </si>
  <si>
    <t>DESINFECTANTE VIRUTEX X 1800ML , PRIMAVE</t>
  </si>
  <si>
    <t>DESINFECTANTE VIRUTEX X 4000ML , CITRI</t>
  </si>
  <si>
    <t>DESINFECTANTE VIRUTEX X 4000ML , LAVAN</t>
  </si>
  <si>
    <t>GEL MOCO DE GORILA 200g , GORILA PUNK</t>
  </si>
  <si>
    <t>PISCO KUMYA BOT 700 ML, ACHOLADO</t>
  </si>
  <si>
    <t>AGUA TÓNICA BRITVIC 12 UN X 150ML</t>
  </si>
  <si>
    <t>GINGER ALE BRITVIC 12 UN X 150ML</t>
  </si>
  <si>
    <t>CERVEZA ARTESANAL CURAKA 330ML,IPA</t>
  </si>
  <si>
    <t>CERVEZA ARTESANAL CURAKA 330ML,PALE ALE</t>
  </si>
  <si>
    <t>CERVEZA ARTESANAL CURAKA 330ML,RED ALE</t>
  </si>
  <si>
    <t>AGUA TÓNICA MR PERKINS ORIG 4 UN X 200ML</t>
  </si>
  <si>
    <t>SODA MR PERKINS PINK 4 UN X 200ML</t>
  </si>
  <si>
    <t>AGUA MR PERKINS 4P 200ML, GI, TONICA DRY</t>
  </si>
  <si>
    <t>AGUA TÓNICA MR PERKINS LIGHT 4 UN X 200M</t>
  </si>
  <si>
    <t>AGUA TÓNIC MR PERKINS AMAZN 4 UN X 200ML</t>
  </si>
  <si>
    <t>CARNAVAL COLA MR PERKINS 4 UN X 200ML</t>
  </si>
  <si>
    <t>SUPERSTAY MATTE INK : LOYALIST , PIONNER</t>
  </si>
  <si>
    <t>GREEN TEA STASH X, POMEGRANATE RASPBERRY</t>
  </si>
  <si>
    <t>SALSA SIN GLUTEN X  300 GR.HELIOS, PIZZA</t>
  </si>
  <si>
    <t>SALSA SIN GLUTEN X  300 G, TOMATE CACERO</t>
  </si>
  <si>
    <t>SUPERSTAY MATTE INK : LOYALIST , VOYAGER</t>
  </si>
  <si>
    <t>GELATINA DIET UNIVERSAL C/STEVIA, FRESA</t>
  </si>
  <si>
    <t>BRUSCHETTA SAB SURTID 295GR V, ALCACHOFA</t>
  </si>
  <si>
    <t>FRIZZ EASE JOHN FRIEDA 250ML , SH DREAM</t>
  </si>
  <si>
    <t>FRIZZ EASE JOHN FRIEDA 250ML , SH FLAWLE</t>
  </si>
  <si>
    <t>FRIZZ EASE JOHN FRIEDA 250ML , AC FLAWLE</t>
  </si>
  <si>
    <t>BEBIDA MOGU MOGU FRESA 320ML , FRESA</t>
  </si>
  <si>
    <t>BEBIDA MOGU MOGU MANGO 320ML , MANGO</t>
  </si>
  <si>
    <t>BEBIDA MOGU MOGU UVA 320ML , UVA</t>
  </si>
  <si>
    <t>JABON INTIMO BACTERION 300ML , NEUTRO</t>
  </si>
  <si>
    <t>DUO COLOR , NUTRITION 1 NEGRO</t>
  </si>
  <si>
    <t>DUO COLOR , NUTRITION 3 CASTAÑO OSCURO</t>
  </si>
  <si>
    <t>DUO COLOR , NUTRITION 5 CASTAÑO CLARO</t>
  </si>
  <si>
    <t>DUO COLOR , 7-1 RUBIO MEDIANO CENIZO</t>
  </si>
  <si>
    <t>DUO COLOR , NUTRITION 7-4 RUBIO HABANO</t>
  </si>
  <si>
    <t>DUO COLOR , 7-62 RUBIO MEDIANO ROJO PURP</t>
  </si>
  <si>
    <t>SHAMPOO MUSS KIDS 400ML , GIRLS EXTRACTO</t>
  </si>
  <si>
    <t>SHAMPOO MUSS KIDS 400ML , BOYS LYCHEE</t>
  </si>
  <si>
    <t>SIXPACK JABON NIVEA 90G, PROTEINADELECHE</t>
  </si>
  <si>
    <t>RON CABO BLANCO 1L , LIMON</t>
  </si>
  <si>
    <t>RON CABO BLANCO 1L, DURAZNO</t>
  </si>
  <si>
    <t>Superstay Full Coverage, WARM NUDE</t>
  </si>
  <si>
    <t>Superstay Full Coverage, NAT BEIGE</t>
  </si>
  <si>
    <t>Superstay Full Coverage, SUN BEIGE</t>
  </si>
  <si>
    <t>Superstay Full Coverage, CLASSIC IV</t>
  </si>
  <si>
    <t>ROO RETOUCH SCHWARZKOPFx120 , CASTAÑO</t>
  </si>
  <si>
    <t>ROO RETOUCH SCHWARZKOPFx120 , NEGRO</t>
  </si>
  <si>
    <t>LABIAL SUPERSTAY MATTE INK , RULER</t>
  </si>
  <si>
    <t>LABIAL SUPERSTAY MATTE INK , AMAZONIAN</t>
  </si>
  <si>
    <t>SHAMPOO HASK X 355ML, KERAT PROT</t>
  </si>
  <si>
    <t>SHAMPOO HASK X 355ML, ARGAN OIL</t>
  </si>
  <si>
    <t>ACOND HASK X 355ML, ARGAN OIL</t>
  </si>
  <si>
    <t>ACOND HASK X 355ML, COCONU OIL</t>
  </si>
  <si>
    <t>SHAMPOO HOMBRE VITAN, ADVANCE USO DIARIO</t>
  </si>
  <si>
    <t>SHAMPOO HOMBRE VITANE 400ML , ANTICAIDA</t>
  </si>
  <si>
    <t>SHAMPOO MUJER VITANE 400ML, COLOR SAFE</t>
  </si>
  <si>
    <t>SHAMPOO MUJER VITANE 400M, RESTAURA 6EN1</t>
  </si>
  <si>
    <t>ACONDICIONADOR VITANE 400ML, COLOR SAFE</t>
  </si>
  <si>
    <t>ACONDICIONADOR VITANE 400, RESTAURA 6EN1</t>
  </si>
  <si>
    <t>ACONDICIONADOR VITANE 400ML , ANTICAIDA</t>
  </si>
  <si>
    <t>GEL VITANE POTE 500ML, MAX EXTREME CTRL</t>
  </si>
  <si>
    <t>FITOSHAMPOO WELEDA X250ML , ROMERO</t>
  </si>
  <si>
    <t>FITOSHAMPOO WELEDA X250ML , ORTIGA</t>
  </si>
  <si>
    <t>FITOSHAMPOO WELEDA X250ML , MANZANILLA</t>
  </si>
  <si>
    <t>FITOSHAMPOO WELEDA X250ML , CALÉNDULA</t>
  </si>
  <si>
    <t>FITOACONDICIONAD WELEDAX250ML , ALOE</t>
  </si>
  <si>
    <t>FITOACONDICIONAD WELEDAX250ML , ORTIGA</t>
  </si>
  <si>
    <t>GEL DE BAÑO LIQ BABARIA X600ML , AVENA</t>
  </si>
  <si>
    <t>GEL DE BAÑO LIQ BABARIA X600ML , ALMENDR</t>
  </si>
  <si>
    <t>COLONIA BABARIA X600ML , ROYALE</t>
  </si>
  <si>
    <t>COLONIA BABARIA X600ML, LAVANDA</t>
  </si>
  <si>
    <t>MASCARA MNY TEMPTATION, WSH BLACK</t>
  </si>
  <si>
    <t>ILUMINADOR MNY MASTER CHROME, ROSE GOLD</t>
  </si>
  <si>
    <t>TABLETA CHOCOLATE STEVIA X 75GR TR , ALM</t>
  </si>
  <si>
    <t>TABLETA CHOCOLATE STEVIA X 75GR TR , ARR</t>
  </si>
  <si>
    <t>TABLETA CHOCOLATE STEVIA X 75GR TR , DAR</t>
  </si>
  <si>
    <t>MASC GARNIER TELA SACHET 32GR , GRANADA</t>
  </si>
  <si>
    <t>MASC GARNIER TELA SACHET 32GR, GREEN TEA</t>
  </si>
  <si>
    <t>VINO TRAPICHE MEDALLA 750ML , MALBEC</t>
  </si>
  <si>
    <t>VINO TRAPICHE MEDALLA 750ML , BLEND</t>
  </si>
  <si>
    <t>VINO KIDIA GRAN RESERVA 750ML , CARMENER</t>
  </si>
  <si>
    <t>VINO COSECHA TARAPACA 750ML , CARMENERE</t>
  </si>
  <si>
    <t>VINO COSECHA TARAPACA 750ML, CAB SAUV</t>
  </si>
  <si>
    <t>VINO TARAPACA GRAN RESER 750ML , CARMENE</t>
  </si>
  <si>
    <t>VINO TARAPACA RESERVA 750ML , CARMENE</t>
  </si>
  <si>
    <t>VINO TARAPACA RESERVA 750ML, CAB SAU</t>
  </si>
  <si>
    <t>VINO H.CANALE G.RESERVA 750ML, CAB FRANC</t>
  </si>
  <si>
    <t>VINO H.CANALE G.RESERVA 750ML, PINOT N</t>
  </si>
  <si>
    <t>VINO H.CANALE OLD VINEYA750ML , MALBEC</t>
  </si>
  <si>
    <t>VINO H.CANALE OLD VINEYA750ML, PINOT N</t>
  </si>
  <si>
    <t>VINO H.CANALE ESTATE 750ML, CABER SAUV</t>
  </si>
  <si>
    <t>VINO H.CANALE INTIMO 750ML MALB</t>
  </si>
  <si>
    <t>VINO H.CANALE  INTIMO 750ML CSA</t>
  </si>
  <si>
    <t>VINO H.CANALE BLACK RIVER750ML , MALBEC</t>
  </si>
  <si>
    <t>VINO ZORRO DE UCO 750ML , MALBEC</t>
  </si>
  <si>
    <t>VINO SOMBRERO 750ML , MALBEC</t>
  </si>
  <si>
    <t>PISCO BIONDI GR COSECHA 500ML , ITALIA</t>
  </si>
  <si>
    <t>PISCO BIONDI GR COSECHA 500ML , QUEBRANT</t>
  </si>
  <si>
    <t>PISCO BIONDI GR COSECHA 500ML , ACHOLADO</t>
  </si>
  <si>
    <t>REFILL MIXOLOGY KIT GO BARMAN , VODKA</t>
  </si>
  <si>
    <t>REFILL MIXOLOGY KIT GO B, GIN TONIC PINK</t>
  </si>
  <si>
    <t>REFILL MIXOLOGY KIT GO BARMAN , CHILCANO</t>
  </si>
  <si>
    <t>VINO HERMANDAD 750 ML , BLEND</t>
  </si>
  <si>
    <t>VINO TINTO HAROLDOS 750 ML , MALBEC</t>
  </si>
  <si>
    <t>VINO TINTO HAROLDOS 750 ML, CAB SAUV</t>
  </si>
  <si>
    <t>VINO HAROLDOS 750 ML , CHIN</t>
  </si>
  <si>
    <t>CERA BARBERIA X70GR , SHINE&amp;WET</t>
  </si>
  <si>
    <t>CERA BARBERIA X70GR , VOLU&amp;MATT</t>
  </si>
  <si>
    <t>LIMPIADOR MULTI ECO HOUSE LAVANDA 900ML</t>
  </si>
  <si>
    <t>LIMPIADOR MULTI ECO HOUSE FLORAL 900ML</t>
  </si>
  <si>
    <t>LIMPIADOR MULTI ECO HOUSE CITRICO 900ML</t>
  </si>
  <si>
    <t>ACEITE CAPILAR HASK X59ML, ARGAN OIL</t>
  </si>
  <si>
    <t>ACEITE CAPILAR HASK X59ML, COCONU OIL</t>
  </si>
  <si>
    <t>CHICLE ORBIT BOTTLE WHITE 15 , SPEARMINT</t>
  </si>
  <si>
    <t>DIP X200GR CASA VERDE, PIMIENT PI</t>
  </si>
  <si>
    <t>DIP X200GR CASA VERDE, ALCACH ESP</t>
  </si>
  <si>
    <t>GOMAS HARIBO X 35G , GOLDBEARS</t>
  </si>
  <si>
    <t>CHOCOLATE OSCURO BRITT X 142GR , LUCUMA</t>
  </si>
  <si>
    <t>CHOCOLATE OSCURO BRITT X 142GR , PLATANO</t>
  </si>
  <si>
    <t>SAL MARAS ECO X500GR NAT CRYST , PARRILL</t>
  </si>
  <si>
    <t>MASCARILLA FREEMAN X, CARBON&amp;BLACK SUGAR</t>
  </si>
  <si>
    <t>MASCARILLA FREEMAN X175ML, CARBON MUD</t>
  </si>
  <si>
    <t>MASCARILLA FREEMAN X1, DEAD SEA MINERALS</t>
  </si>
  <si>
    <t>DIP HUMMUS 240GR VALLE FERTIL, ALCACHOFA</t>
  </si>
  <si>
    <t>DIP HUMMUS 240GR VALLE FERT, TRADICIONAL</t>
  </si>
  <si>
    <t>DIP HUMMUS 240GR VALLE FERTIL, AJO</t>
  </si>
  <si>
    <t>MASCARILLA FREEMAN X15ML, CARBON MUD</t>
  </si>
  <si>
    <t>GIN MALFY BOT 700ML, CON LIMONE</t>
  </si>
  <si>
    <t>GIN MALFY BOT 700ML , ORIGINALE</t>
  </si>
  <si>
    <t>GIN MALFY BOT 700ML, CON ARANCI</t>
  </si>
  <si>
    <t>PISCO FINCA ROTONDO MACHU PICCHU , QUEBR</t>
  </si>
  <si>
    <t>CHOCOLATE QUMA 70% CACAO ORGA. , EX.DARK</t>
  </si>
  <si>
    <t>CHOCOLATE QUMA 70% CACAO ORG, CACAO NIBS</t>
  </si>
  <si>
    <t>CHOCOLATE QUMA 70% CACAO ORGA., 0 AZUCAR</t>
  </si>
  <si>
    <t>CHOCOLATE QUMA 70% CACAO ORGA, GLDN BERR</t>
  </si>
  <si>
    <t>CHOCOLATE QUMA 70% CACAO ORGA, INTEN 91%</t>
  </si>
  <si>
    <t>BASE PISCO SOUR 3,2,1 SOUR!, LIMÓN</t>
  </si>
  <si>
    <t>BASE PISCO SOUR 3,2,1 SOUR!, 0030</t>
  </si>
  <si>
    <t>CHILCANO PISCANO BOT 275ML , MANZANA</t>
  </si>
  <si>
    <t>FOUR LOKO 473ML , GOLD</t>
  </si>
  <si>
    <t>FOUR LOKO 473ML , PONCHE</t>
  </si>
  <si>
    <t>FOUR LOKO 473ML , BLUE</t>
  </si>
  <si>
    <t>FOUR LOKO 473ML , PURPLE</t>
  </si>
  <si>
    <t>FOUR LOKO 473ML , MARACUYÁ</t>
  </si>
  <si>
    <t>SHAMPOO BALLERINA DP 750ML , MANZANILLA</t>
  </si>
  <si>
    <t>SHAMPOO BALLERINA DP 750ML, PALTA Y ALM</t>
  </si>
  <si>
    <t>SHAMPOO BALLERINA DP 750ML , HIERBAS</t>
  </si>
  <si>
    <t>ACONDIC BALLERINA DP 900ML , MANZANILLA</t>
  </si>
  <si>
    <t>ACONDIC BALLERINA DP 900ML, PALTA Y ALM</t>
  </si>
  <si>
    <t>ACONDIC BALLERINA DP 900ML , HIERBAS</t>
  </si>
  <si>
    <t>SHAMPOO JOHNSON'S BABY X1LT , ORIGINAL</t>
  </si>
  <si>
    <t>SHAMPOO JOHNSON'S BABY X1LT , MANZANILLA</t>
  </si>
  <si>
    <t>SHAMPOO JOHNSON'S NIÑO X1L, FUERZA Y VIT</t>
  </si>
  <si>
    <t>SHAMPOO JOHNSON'S NIÑO X1L, HIDR INTENSA</t>
  </si>
  <si>
    <t>SHAMPOO JOHNSON'S BABY X750ML , ORIGINAL</t>
  </si>
  <si>
    <t>SHAMPOO JOHNSON'S BABY X750M, CAB OSCURO</t>
  </si>
  <si>
    <t>SHAMP JOHNSON'S NIÑO X750, GOT DE BRILLO</t>
  </si>
  <si>
    <t>SHAMP JOHNSON'S NIÑO X750M, FUERZA Y VIT</t>
  </si>
  <si>
    <t>SHAMP JOHNSON'S NIÑO X750M, FRAG PROLONG</t>
  </si>
  <si>
    <t>SHAMPOO JOHNSON'S BABY X400ML , ORIGINAL</t>
  </si>
  <si>
    <t>SHAMPOO JOHNSON'S BABY X400M , MANZANILL</t>
  </si>
  <si>
    <t>ACONDIC JOHNSON'S BABY X400ML , ORIGINAL</t>
  </si>
  <si>
    <t>SHAMP JOHNSON'S NIÑO X400, GOT DE BRILLO</t>
  </si>
  <si>
    <t>SHAMP JOHNSON'S NIÑO X400M, FRAG PROLONG</t>
  </si>
  <si>
    <t>SHAMP JOHNSON'S NIÑO X400M, HIDR INTENSA</t>
  </si>
  <si>
    <t>ACON JOHNSON'S NIÑO X400M, GOT DE BRILLO</t>
  </si>
  <si>
    <t>ACON JOHNSON'S NIÑO X400ML, HIDR INTENSA</t>
  </si>
  <si>
    <t>SHAMPOO JOHNSON'S BABY X200ML , ORIGINAL</t>
  </si>
  <si>
    <t>SHAMPOO JOHNSON'S BABY X200M , MANZANILL</t>
  </si>
  <si>
    <t>SHAMP JOHNSON'S NIÑO X200, GOT DE BRILLO</t>
  </si>
  <si>
    <t>SHAMP JOHNSON'S NIÑO X200M, FUERZA Y VIT</t>
  </si>
  <si>
    <t>ACOND JOHNSON'S NIÑO X200, GOT DE BRILLO</t>
  </si>
  <si>
    <t>ACOND JOHNSON'S NIÑO X200M, FUERZA Y VIT</t>
  </si>
  <si>
    <t>ACOND JOHNSON'S NIÑO X200M, FRAG PROLONG</t>
  </si>
  <si>
    <t>SHAMPOO JOHNSON'S BABY X100ML , ORIGINAL</t>
  </si>
  <si>
    <t>SHAMPOO JOHNSON'S BABY X100M , MANZANILL</t>
  </si>
  <si>
    <t>JB LIQ  JOHNSON'S BABY X400M, PIEZ CABEZ</t>
  </si>
  <si>
    <t>JB LIQ  JOHNSON'S BABY X40, HIDR INTENSA</t>
  </si>
  <si>
    <t>JB LIQ  JOHNSON'S BABY X400, LIBRE GERME</t>
  </si>
  <si>
    <t>JB LIQ  JOHNSON'S BABY X200, PIEZ A CABE</t>
  </si>
  <si>
    <t>JB LIQ  JOHNSON'S BABY X200M, RECIEN NAC</t>
  </si>
  <si>
    <t>JB LIQ  JOHNSON'S BABY X200, LIBRE GERME</t>
  </si>
  <si>
    <t>CREMA DE DUCHA WELEDA X200ml , CITRUS</t>
  </si>
  <si>
    <t>CREMA DE DUCHA WELEDA X200ml , GRANADA</t>
  </si>
  <si>
    <t>CREMA DE DUCHA WELEDA X200ml , ROSAMOSQU</t>
  </si>
  <si>
    <t>PISCO HUALCARA BOT 750ML , QUEBRANTA</t>
  </si>
  <si>
    <t>PISCO HUALCARA BOT 750ML , ACHOLADO</t>
  </si>
  <si>
    <t>PISCO HUALCARA BOT 750ML , ITALIA</t>
  </si>
  <si>
    <t>BEBIDA FRU+ 400ML , MANGO MARACUYA</t>
  </si>
  <si>
    <t>BEBIDA FRU+ 400ML , PIÑA MARACUYA</t>
  </si>
  <si>
    <t>BEBIDA FRU+ 400ML, MANGO DURAZNO</t>
  </si>
  <si>
    <t>Copa menstrual The DivaCup, MODELO #2</t>
  </si>
  <si>
    <t>Copa menstrual The DivaCup, MODELO #0</t>
  </si>
  <si>
    <t>SANGRÍA LOLEA BOT 750ML , TINTA</t>
  </si>
  <si>
    <t>RTD INDIE SPIRIT 355ML, GIN LIMA/P</t>
  </si>
  <si>
    <t>RTD INDIE SPIRIT 355ML, GIN FRUT B</t>
  </si>
  <si>
    <t>RTD INDIE SPIRIT 355ML, MOSCOW MUL</t>
  </si>
  <si>
    <t>RON CARTAVIO SABOR 750ML , COCO</t>
  </si>
  <si>
    <t>RON CARTAVIO SABOR 750ML , DURAZNO</t>
  </si>
  <si>
    <t>CAFÉ MOLIDO TOSTADO S.MARTIN 200G C&amp;CO</t>
  </si>
  <si>
    <t>CAFÉ MOLIDO TOSTADO AMAZONAS 200G C&amp;CO</t>
  </si>
  <si>
    <t>PALITOS DE CHOCO PEPERO, ORIGINAL</t>
  </si>
  <si>
    <t>PALITOS DE CHOCO PEPERO, WHITE COOKIE</t>
  </si>
  <si>
    <t>PALITOS DE CHOCOLA, CHOCOLATE Y ALMENDRA</t>
  </si>
  <si>
    <t>PALITOS DE CHOCO PEPERO , CRUNCH</t>
  </si>
  <si>
    <t>JABÓN GLICERI TRIPACK FAM CARE, ORIGINAL</t>
  </si>
  <si>
    <t>JABÓN GLICERI TRIPACK FAM CARE , MARACUY</t>
  </si>
  <si>
    <t>VINO OSADO BOT 750ML , MALBEC</t>
  </si>
  <si>
    <t>VINO OSADO BOT 750ML , BLEND</t>
  </si>
  <si>
    <t>VINO LOPEZ BOT 750ML, CAB SAUV</t>
  </si>
  <si>
    <t>VINO ESTANCIA MENDOZA RSVA 750ML , MB</t>
  </si>
  <si>
    <t>VINO ESTANCIA MENDOZA RSVA 750ML , CSA</t>
  </si>
  <si>
    <t>VINO BARCELONA RESERVA BOT 750ML , CSA</t>
  </si>
  <si>
    <t>VINO RUTINI ENCUENTRO BOT 750ML , MB</t>
  </si>
  <si>
    <t>VINO RUTINI ENCUENTRO BOT 750ML , CSA</t>
  </si>
  <si>
    <t>VINO RUTINI ENCUENTRO BOT 750ML , PN</t>
  </si>
  <si>
    <t>VINO RUTINI ENCUENTRO 750ML , CH</t>
  </si>
  <si>
    <t>SANGRIA LOLEA 200ML , TINTA</t>
  </si>
  <si>
    <t>VINO AMPLUS BOT 750ML , CSA</t>
  </si>
  <si>
    <t>VINO AMPLUS BOT 750ML , CARMENERE</t>
  </si>
  <si>
    <t>VINO AMPLUS BOT 750ML , MERLOT</t>
  </si>
  <si>
    <t>VINO SANTA EMA G.RESERVA 750ML , CSA</t>
  </si>
  <si>
    <t>VINO SANTA EMA G.RESERVA 750ML , MER</t>
  </si>
  <si>
    <t>VINO SANTA EMA G.RESERVA 750ML , CAR</t>
  </si>
  <si>
    <t>VINO RUPESTRE BOT 750ML , SBL</t>
  </si>
  <si>
    <t>VINO KADRABRA BOT 750ML , MALBEC</t>
  </si>
  <si>
    <t>PALITOS DE CHOCO PEPERO, CHOCO COOKIE</t>
  </si>
  <si>
    <t>PALITOS DE CHOCO PEPERO, SNOWY ALMOND</t>
  </si>
  <si>
    <t>INFUSION TWININGS X10 UND, MENTA PURA</t>
  </si>
  <si>
    <t>VINO KADRABRA BOT 750ML , CSA</t>
  </si>
  <si>
    <t>ESPUMANTE FREIXENET 750ML , PROSECCO</t>
  </si>
  <si>
    <t>VINO E.MENDOZA VARIETAL 750ML , MB</t>
  </si>
  <si>
    <t>VINO E.MENDOZA VARIETAL 750ML , CSA</t>
  </si>
  <si>
    <t>AMBIENTADOR DARYZA X GALON, LAVANDA</t>
  </si>
  <si>
    <t>TAMPON OB x 8UN , SUPER</t>
  </si>
  <si>
    <t>TAMPON OB x 8UN , MEDIO</t>
  </si>
  <si>
    <t>JUGO HOOP BOT X 355ML , COLORADA</t>
  </si>
  <si>
    <t>JUGO HOOP BOT X 355ML, LA CARROTA</t>
  </si>
  <si>
    <t>JUGO HOOP BOT X 355ML , ALMANGO</t>
  </si>
  <si>
    <t>SNACK NATURE´S HEART 70, F.SECOS/S.CALAB</t>
  </si>
  <si>
    <t>SNACK NATURE´S HEART 7, MANI/MAIZ/ALMEND</t>
  </si>
  <si>
    <t>TRIPACK JABON JOHNSON 110GR , AVENA</t>
  </si>
  <si>
    <t>TRIPACK JABON JOHNSON 110GR, BARRA ILUM</t>
  </si>
  <si>
    <t>TRIPACK JABON JOHNSON 110GR , ORIGINAL</t>
  </si>
  <si>
    <t>TRIPACK JABON JOHNSON 110GR, REFRESC UVA</t>
  </si>
  <si>
    <t>TRIPACK JABON JOHNSON 110GR , ALOE</t>
  </si>
  <si>
    <t>TRIPACK JABON JOHNSON 110GR , GRANADA</t>
  </si>
  <si>
    <t>TRIPACK JABON JOHNSON 110G, ROSAS Y SAND</t>
  </si>
  <si>
    <t>JB JABON BARRA UN x110g, CREMO ORIG</t>
  </si>
  <si>
    <t>JOHNBABY JABON 3PACKX110GR , ORIGI</t>
  </si>
  <si>
    <t>PISCO NASCA BOT 750ML, ACHOLADO</t>
  </si>
  <si>
    <t>JOHNBABY JABON 3PACKX110GR , AVENA</t>
  </si>
  <si>
    <t>JOHNBABY JABON 3PACKX110GR , LIBGERM</t>
  </si>
  <si>
    <t>JOHNBABY JABON 3PACKX110GR , HUMECT</t>
  </si>
  <si>
    <t>SIXPACK JABON JOHNSON 110GR , ORIYAVE</t>
  </si>
  <si>
    <t>TAB CHOC MILKY ALMENDRAS 100G</t>
  </si>
  <si>
    <t>TAB CHOC MILKY PECANAS Y PASAS 100G</t>
  </si>
  <si>
    <t>TAB CHOC MILKY PECANAS 100G</t>
  </si>
  <si>
    <t>TAB CHOC MILKY HOJUELAS 100G</t>
  </si>
  <si>
    <t>CHOCOLATE SIN AZUCAR X 100G , LECHE</t>
  </si>
  <si>
    <t>4PACK RICCADONNA 200ML , ASTI</t>
  </si>
  <si>
    <t>4PACK RICCADONNA 200ML , PROSECCO</t>
  </si>
  <si>
    <t>PRETZEL FLIPZ X141G , MILK CHOCOLATE</t>
  </si>
  <si>
    <t>PRETZEL FLIPZ X141G, WHITE FUDG</t>
  </si>
  <si>
    <t>JABÓN MONCLER X145GR , AMARILLO</t>
  </si>
  <si>
    <t>JABÓN MONCLER X145GR , AZUL</t>
  </si>
  <si>
    <t>JABÓN MONCLER TRIPACKX145GR, BLANCO</t>
  </si>
  <si>
    <t>JABÓN MONCLER TRIPACKX145GR , AMARILLO</t>
  </si>
  <si>
    <t>JB AMMENS BB TRIPACK 120GR , AVENA</t>
  </si>
  <si>
    <t>JB AMMENS BB TRIPACK 120GR , MILK</t>
  </si>
  <si>
    <t>JB AMMENS BB TRIPACK 120GR , MANZANILL</t>
  </si>
  <si>
    <t>FRUTA DESHIDR MONDO X 40G , PLATANO</t>
  </si>
  <si>
    <t>FRUTA DESHIDR MONDO X 40G , PIÑA</t>
  </si>
  <si>
    <t>RICOLA SUGAR FREE 27.5G , ORIGINAL</t>
  </si>
  <si>
    <t>RICOLA SUGAR FREE 27.5G, LIMON MENT</t>
  </si>
  <si>
    <t>RICOLA SUGAR FREE 27.5G , EUCALIPTO</t>
  </si>
  <si>
    <t>AVENA INSTAN X65G DYFFERENT , CRAN</t>
  </si>
  <si>
    <t>AVENA INSTAN X65G DYFFERENT , MANZ</t>
  </si>
  <si>
    <t>AVENA INSTAN X65G DYFFERENT , PLATANO</t>
  </si>
  <si>
    <t>PISCO HUALCARA 2L , ACHOLADO</t>
  </si>
  <si>
    <t>ACEITUNAS X 250GR C&amp;CO , NEGRAS</t>
  </si>
  <si>
    <t>ACEITUNAS X 250GR C&amp;CO, VERD DEHUE</t>
  </si>
  <si>
    <t>DESINFECT PISOS LYSOL X3785ML , LAVAND</t>
  </si>
  <si>
    <t>DESINFECT. PISOS LYSOL X800ML , CITRUS</t>
  </si>
  <si>
    <t>DESINFECT. PISOS LYSOL X800ML , LAVAND</t>
  </si>
  <si>
    <t>BRITT ESPRESSO X25CAPS , DESCAFE</t>
  </si>
  <si>
    <t>SAL 1KG CUISINE&amp;CO , COCINA</t>
  </si>
  <si>
    <t>SAL 1KG CUISINE&amp;CO , MESA</t>
  </si>
  <si>
    <t>PALITOS X100 GR LA MOLE, ALL OLIO</t>
  </si>
  <si>
    <t>TOSTADAS X150 GR LA MOLE , POMODORO</t>
  </si>
  <si>
    <t>TOSTADAS X150 GR LA MOLE , AGLIO</t>
  </si>
  <si>
    <t>CAFÉ TUNKI MOLIDOX250G , ESPRESSO</t>
  </si>
  <si>
    <t>CAFÉ MOLIDO ORG. X250GR ASHI , AROMA</t>
  </si>
  <si>
    <t>CAFÉ MOLIDO ORG. X250GR ASHI , BALANCE</t>
  </si>
  <si>
    <t>CAFÉ MOLIDO ORG. X250GR ASHI , FINO</t>
  </si>
  <si>
    <t>CAFÉ GRANO ORG. X250 GR ASHI , AROMA</t>
  </si>
  <si>
    <t>CAFÉ GRANO ORG. X250 GR ASHI , BALANCE</t>
  </si>
  <si>
    <t>PISCO MV FINCA ROTONDO 750 ML , ITALIA</t>
  </si>
  <si>
    <t>PISCO MV FINCA ROTONDO 750 ML , TORONT</t>
  </si>
  <si>
    <t>PISCO MV FINCA ROTONDO 750 ML , MOSCAT</t>
  </si>
  <si>
    <t>EPIC PROTEIN X35GR, CHOCO MACA</t>
  </si>
  <si>
    <t>EPIC PROTEIN X35GR , LUCUMA</t>
  </si>
  <si>
    <t>EPIC PROTEIN X1LB , ORIGINAL</t>
  </si>
  <si>
    <t>EPIC PROTEIN X1LB , LUCUMA</t>
  </si>
  <si>
    <t>VINO LUTZVILLE BOT 750ML , PINOTAGE</t>
  </si>
  <si>
    <t>VINO LUTZVILLE BOT 750ML , SHIRAZ</t>
  </si>
  <si>
    <t>VINO LA PODEROSA BOT 750ML , CAB.FR/ME</t>
  </si>
  <si>
    <t>VINO LA PODEROSA BOT 750ML , MALBEC</t>
  </si>
  <si>
    <t>VINO LA PODEROSA BOT 750ML , P.NOIR</t>
  </si>
  <si>
    <t>BITES ALMENX6UNIDS DYFFERENT , CINNAM</t>
  </si>
  <si>
    <t>BITES ALMENX6UNIDS DYFFERENT , CHOCO</t>
  </si>
  <si>
    <t>PISCO 1615 MOSTO VERDE 700ML , QUEBR</t>
  </si>
  <si>
    <t>PISCO 1615 MOSTO VERDE 700ML , TORONTE</t>
  </si>
  <si>
    <t>PISCO 1615 PURO 700ML , QUEBRAN</t>
  </si>
  <si>
    <t>PISCO 1615 PURO 700ML , ITALIA</t>
  </si>
  <si>
    <t>PISCO 1615 PURO 700ML , ACHOLADO</t>
  </si>
  <si>
    <t>INFUS.CJX10UN LA FIDELIA, LOS ANDES</t>
  </si>
  <si>
    <t>INFUS.CJX10UN LA FIDELIA, D. LUCUMA</t>
  </si>
  <si>
    <t>MASCARILLDESECHBIOTECX3UN , PAWPATR</t>
  </si>
  <si>
    <t>MASCARILLDESECHBIOTECX3UN , SKYE</t>
  </si>
  <si>
    <t>MASCARILLDESECHBIOTECX3UN , LOL</t>
  </si>
  <si>
    <t>MASCARILLDESECHBIOTECX3UN , BOBESPO</t>
  </si>
  <si>
    <t>CERVEZA MADDOK 330ML , VOLCANORED</t>
  </si>
  <si>
    <t>CERVEZA MADDOK 330ML , KAMACITRA</t>
  </si>
  <si>
    <t>CERVEZA MADDOK 330ML, CER CHOCO</t>
  </si>
  <si>
    <t>PISCO SARCAY SELECTO 750ML , ITALIA</t>
  </si>
  <si>
    <t>PISCO SARCAY SELECTO 750ML , QUEBRANTA</t>
  </si>
  <si>
    <t>PISCO NASCA BOT 750ML, MOSCATEL</t>
  </si>
  <si>
    <t>BARRAS TRUBALLS SIXPACK , CHOC&amp;MANI</t>
  </si>
  <si>
    <t>BARRAS TRUBALLS SIXPACK , MANI&amp;PASA</t>
  </si>
  <si>
    <t>BARRAS TRUBALLS SIXPACK , PECA&amp;NARA</t>
  </si>
  <si>
    <t>BARRAS TRUBALLS X90GR , CHOCO&amp;MANI</t>
  </si>
  <si>
    <t>BARRAS TRUBALLS X90GR , MANI&amp;PASA</t>
  </si>
  <si>
    <t>BARRAS TRUBALLS X90GR , PECA&amp;NARA</t>
  </si>
  <si>
    <t>DESINFECTANTE LYSOL X 360 ML , ALGODÓN</t>
  </si>
  <si>
    <t>DESINFECTANTE LYSOL X 360 ML , BRISA</t>
  </si>
  <si>
    <t>DESINFECTANTE LYSOL X 360 ML , LIMÓN</t>
  </si>
  <si>
    <t>CAFE HONEY ORGAN X250G ASHI , GRANO</t>
  </si>
  <si>
    <t>VINO COPPOLA DIAMOND 750ML , MERLOT</t>
  </si>
  <si>
    <t>COLONIA X 175 ML , CARS</t>
  </si>
  <si>
    <t>COLONIA X 175 ML , MINNIE</t>
  </si>
  <si>
    <t>DESENREDANTE X 300 ML , FROZEN</t>
  </si>
  <si>
    <t>DESODORANTE PIES X 260ML , ANTIBACT</t>
  </si>
  <si>
    <t>DESODORANTE PIES X 260ML , EXTREM</t>
  </si>
  <si>
    <t>VINO SINGLE VALLEY LOT 750ML , CAR</t>
  </si>
  <si>
    <t>VINO SINGLE VALLEY LOT 750ML , CSA</t>
  </si>
  <si>
    <t>BARRAS PROTEIN X5UNID WILD , CHOCOLATE</t>
  </si>
  <si>
    <t>BARRAS PROTEIN X5UNID WILD , COCO</t>
  </si>
  <si>
    <t>VINO PIATELLI RESERVA 750ML , MALBEC</t>
  </si>
  <si>
    <t>VINO PIATELLI RESERVA 750 ML , TORRON</t>
  </si>
  <si>
    <t>PISCO NASCA BOT 750ML, QUEBRANTE</t>
  </si>
  <si>
    <t>INFUSION TWININGS X1, BERRIES SILVESTRES</t>
  </si>
  <si>
    <t>INFUSION TWININGS, NARANJA, MANGA&amp;CANELA</t>
  </si>
  <si>
    <t>INFUSION TWI, MANZANILLA, CANELA&amp;MANZANA</t>
  </si>
  <si>
    <t>INFUSION TWININGS X10 UND, LIMON Y FRAN</t>
  </si>
  <si>
    <t>VINO PIATELLI RESERVA 750 ML , CH</t>
  </si>
  <si>
    <t>SALSA TRAPPEY X177ML, HOT SAUCE</t>
  </si>
  <si>
    <t>MACERADO DON SANTIAGO 500ML , PASAS</t>
  </si>
  <si>
    <t>INFUSION TWININGS X10 UND , EARL GREY</t>
  </si>
  <si>
    <t>VINO EUGENIO BUSTOS 750ML , MALBEC</t>
  </si>
  <si>
    <t>VINO EUGENIO BUSTOS 750ML, CAB. SAUVI</t>
  </si>
  <si>
    <t>MACERADO DON SANTIAGO 500ML , MANDARIN</t>
  </si>
  <si>
    <t>MACERADO DON SANTIAGO 500ML , CIRUELA</t>
  </si>
  <si>
    <t>ESPUMANTE BOTTEGA 0 BOT 750ML , WHITE</t>
  </si>
  <si>
    <t>INFUSION X12 UNIDS WAWASANA , INMUNE</t>
  </si>
  <si>
    <t>INFUSION X12 UNIDS WAWASANA , DETOX</t>
  </si>
  <si>
    <t>INFUS DIETTE X21UNIDS WAWASANA , FORTE</t>
  </si>
  <si>
    <t>TE VERDE X20 UN WAWASANA, FRUT ROJO</t>
  </si>
  <si>
    <t>TE VERDE X20 UN WAWASANA , JENGIBRE</t>
  </si>
  <si>
    <t>VINO TERRANOBLE RSVA 750ML , MERLOT</t>
  </si>
  <si>
    <t>VINO TERRANOBLE RSVA 750ML , CAB.SAUV</t>
  </si>
  <si>
    <t>VINO TERRANOBLE RSV 750ML , CHARDONNAY</t>
  </si>
  <si>
    <t>VINO TERRANOBLE 750ML , CAB.SAUV</t>
  </si>
  <si>
    <t>VINO TERRANOBLE 750ML , CARMENERE</t>
  </si>
  <si>
    <t>VINO TERRANOBLE 750ML , MERLOT</t>
  </si>
  <si>
    <t>VINO TERRANOBLE 750ML. , CHARDONNAY</t>
  </si>
  <si>
    <t>CHILCANO DECANTO 2MIX 355ML , LIMON</t>
  </si>
  <si>
    <t>CHILCANO DECANTO 2MIX 355ML , MARACUYA</t>
  </si>
  <si>
    <t>CHILCANO TABERNERO LATA 310ML , NARANJ</t>
  </si>
  <si>
    <t>VINO LA CELIA RESERVA 750ML , MALBEC</t>
  </si>
  <si>
    <t>VINO LA CELIA RESERVA 750ML, CAB. FRANC</t>
  </si>
  <si>
    <t>VINO LA CELIA PIONEER 750ML , MALBEC</t>
  </si>
  <si>
    <t>CHILCANO TABERNERO LATA 310ML , MARACU</t>
  </si>
  <si>
    <t>RTD LEGEND OLD TIMES BT 355ML , GUARAN</t>
  </si>
  <si>
    <t>VINO LA CELIA PIONEER 750ML, CAB. FRANC</t>
  </si>
  <si>
    <t>BEBIDA ALMENDRA 946M SILK , NATURAL</t>
  </si>
  <si>
    <t>BEBIDA ALMENDRA 946M SILK , VAINILLA</t>
  </si>
  <si>
    <t>BEBIDA ALMENDRA 946M SILK , NATURAL SIN</t>
  </si>
  <si>
    <t>BEBIDA ALMENDRA 946M SILK , VAINILLA SIN</t>
  </si>
  <si>
    <t>GELATINA UNIVERSAL X 5KG , FRESA</t>
  </si>
  <si>
    <t>CERVEZA KUNSTMANN 500 ML, GRAN TOROBAYO</t>
  </si>
  <si>
    <t>CERVEZA KUNSTMANN 330 ML , TOROBAYO</t>
  </si>
  <si>
    <t>AGUA MICELARX600ML TEATRICAL , ROSA</t>
  </si>
  <si>
    <t>CAFÉ ARTIDORO X250GR CUSCO , MOLIDO</t>
  </si>
  <si>
    <t>CERVEZA KUNSTMANN 330 ML , BOCK</t>
  </si>
  <si>
    <t>CERVEZA KUNSTMANN ESP 330 ML,LAGER S/A</t>
  </si>
  <si>
    <t>CERVEZA KUNSTMANN ESP 330 ML , ARANDANO</t>
  </si>
  <si>
    <t>GELATINA UNIVERSAL X 5KG , NARANJA</t>
  </si>
  <si>
    <t>GELATINA UNIVERSAL X 5KG , PIÑA</t>
  </si>
  <si>
    <t>PAELLERO X12GR CARMENCITA , VALENCIANA</t>
  </si>
  <si>
    <t>CREMA MR JIGGER X 750ML , MENTA</t>
  </si>
  <si>
    <t>CAFÉ ARTIDORO X250GR CUSCO , GRANO</t>
  </si>
  <si>
    <t>TOALLAS DESINF LYSOL FLPX36 , BRISA</t>
  </si>
  <si>
    <t>TOALLAS DESINF LYSOL FLPX36 , FRESCURA</t>
  </si>
  <si>
    <t>HUNGRY JACK SYRUP X816 ML , MAPLE</t>
  </si>
  <si>
    <t>PISCO SARCAY PURO 700ML , QUEBRAN</t>
  </si>
  <si>
    <t>PISCO SARCAY PURO 700ML , ALBILL</t>
  </si>
  <si>
    <t>PISCO SARCAY PURO 700ML , MOSCATEL</t>
  </si>
  <si>
    <t>PISCO SARCAY ACHOLADO 700ML , MOLL-ITA</t>
  </si>
  <si>
    <t>PISCO SARCAY ACHOLADO BOT 700 , SEISCE</t>
  </si>
  <si>
    <t>PISCO SARCAY MV 700ML , TORONT</t>
  </si>
  <si>
    <t>PISCO SARCAY MV 700ML , MOLLAR</t>
  </si>
  <si>
    <t>VINO 3 MEDALLAS BOT 750ML , CAB.SAUVIG</t>
  </si>
  <si>
    <t>VINO 120 BOT 750ML , CAB.SAUVIG</t>
  </si>
  <si>
    <t>VINO MEDALLA REAL 750ML , CARMENERE</t>
  </si>
  <si>
    <t>VINO HONORO VERA 750ML , GARNACHA</t>
  </si>
  <si>
    <t>TOSTADAS LA MOLE PANC X250G , ROSMAR</t>
  </si>
  <si>
    <t>TOSTADAS LA MOLE PANC X250G , TRADIC</t>
  </si>
  <si>
    <t>CEREAL CATALINA CRUNCH 255GR , MAPLE</t>
  </si>
  <si>
    <t>CEREAL CATALINA CRUNCH 255GR , HONEY</t>
  </si>
  <si>
    <t>BEBIDA INFUSIONADA HOOP 355ML , JAMAIC</t>
  </si>
  <si>
    <t>BEBIDA INFUSIONADA HOOP 355ML , GINGER</t>
  </si>
  <si>
    <t>VINO CALVET VARIETALS 750ML. , CHARDO</t>
  </si>
  <si>
    <t>VINO CALVET VARIETALS 750ML. , S.BLANC</t>
  </si>
  <si>
    <t>BARRA DE MANI DYFFERENT 175G , MANTEQ</t>
  </si>
  <si>
    <t>RTD MG SPIRIT BOT 275 ML, GIN TONIC</t>
  </si>
  <si>
    <t>RTD MG SPIRIT BOT 275 ML , MOJITO</t>
  </si>
  <si>
    <t>RTD MG SPIRIT BOT 275 ML , MARACUYÁ</t>
  </si>
  <si>
    <t>BARRA PROTEICA NAMPI X5UND , MENTA</t>
  </si>
  <si>
    <t>BARRA PROTEICA NAMPI X5UND , MOCCA</t>
  </si>
  <si>
    <t>RTD DR. LEMON LATA 473 ML , LIMON</t>
  </si>
  <si>
    <t>RTD WASSKA PUNCH 269 ML , LIMON</t>
  </si>
  <si>
    <t>MINI MIXOLOGY GO BARMAN 100GR , TONIC</t>
  </si>
  <si>
    <t>MINI MIXOLOGY GO BARMAN 90GR , PINK</t>
  </si>
  <si>
    <t>CEREAL DE GARB. DYFFERENT X210 , CINNA</t>
  </si>
  <si>
    <t>CEREAL DE GARB. DYFFERENT X210 , CHOCO</t>
  </si>
  <si>
    <t>PISCO CARNAVAL BOT 750 ML , ACHOLADO</t>
  </si>
  <si>
    <t>RTD BACARDI LATA 310 ML , COLA</t>
  </si>
  <si>
    <t>VINO PIERNAS LARGAS 750ML , CARMENERE</t>
  </si>
  <si>
    <t>VINO PIERNAS LARGAS RSVA 750ML , SBL</t>
  </si>
  <si>
    <t>VINO PIERNAS LARGAS G.RSVA 750ML , CSA</t>
  </si>
  <si>
    <t>VINO PIERNAS LARGAS G.RSVA 750ML , CAR</t>
  </si>
  <si>
    <t>VINO OBIKWA BOT 750ML , CAB.SAUVIG</t>
  </si>
  <si>
    <t>AGUA TÓNICA BRITVIC REGULAR 4 UN X 200ML</t>
  </si>
  <si>
    <t>VINO TERRAZAS RESERVA 750ML , MALBEC</t>
  </si>
  <si>
    <t>BATIDO NUTRISHAKE X200GR , FITNESS</t>
  </si>
  <si>
    <t>VINO GARZON ESTATE 750ML , CABERNET</t>
  </si>
  <si>
    <t>VINO GARZON RESERVA 750ML , TANNAT</t>
  </si>
  <si>
    <t>GINGER ALE MR PERKINS 4 UN X 180ML</t>
  </si>
  <si>
    <t>AGUA MR PERKINS 4PACK 180ML , ORGINAL</t>
  </si>
  <si>
    <t>VINO CONTRASTE VARIETAL 750ML , CSA</t>
  </si>
  <si>
    <t>VINO CONTRASTE RESERVA 750ML , MALBEC</t>
  </si>
  <si>
    <t>CEREAL POST HONEY BUNCH 340GR , ALMEN</t>
  </si>
  <si>
    <t>VINO TIERRA SELECTA 750ML. , MERLOT</t>
  </si>
  <si>
    <t>VINO TIERRA SELECTA 750ML , CHARDONNAY</t>
  </si>
  <si>
    <t>VINO TIERRA SELECTA 750ML , S.BLANC</t>
  </si>
  <si>
    <t>TRIPACK ALFAJOR GUSTOZZI X 60G , MANJA</t>
  </si>
  <si>
    <t>SALSA EL CHARRÚA X 200GR , AJI</t>
  </si>
  <si>
    <t>OLIPACK CALÉ ACEITUNA S/HUESO , VERDE</t>
  </si>
  <si>
    <t>MOGU MOGU 1L , FRESA</t>
  </si>
  <si>
    <t>GINGER BEER LONDON ESSENCE 200ML</t>
  </si>
  <si>
    <t>CREMA MR JIGGER X 750ML , CURACAO</t>
  </si>
  <si>
    <t>CREMA MR JIGGER X 750ML , TRIPLE SEC</t>
  </si>
  <si>
    <t>AGUA TÓNIC Q MIXERS SPECTAC 4 UN X 222ML</t>
  </si>
  <si>
    <t>BARRA QUINUA CHOC. QFOODS 6 UN , MANI</t>
  </si>
  <si>
    <t>BARRA QUINUA CHOC. QFOODS 6 UN , PASA</t>
  </si>
  <si>
    <t>VAPEADOR VUSE , TOBACCO</t>
  </si>
  <si>
    <t>VAPEADOR VUSE, GRAPE ICE</t>
  </si>
  <si>
    <t>VAPEADOR VUSE , STRAWBERRY</t>
  </si>
  <si>
    <t>VAPEADOR VUSE , WATERMELON</t>
  </si>
  <si>
    <t>TATTOO BROW 3D GEL, GREY BROWN</t>
  </si>
  <si>
    <t>TATTOO BROW 3D GEL, MEDM BROWN</t>
  </si>
  <si>
    <t>FIT ME ULTMT TWC, SPF 118 AS</t>
  </si>
  <si>
    <t>FIT ME ULTMT TWC, SPF 120 AS</t>
  </si>
  <si>
    <t>FIT ME ULTMT TWC, SPF 220 AS</t>
  </si>
  <si>
    <t>FIT ME ULTMT TWC, SPF 228 AS</t>
  </si>
  <si>
    <t>CHOCO RELLENO GORDIS X 150G , GALLETAS</t>
  </si>
  <si>
    <t>CHOCO RELLENO GORDIS X 150G , CASTAÑAS</t>
  </si>
  <si>
    <t>REHIDRATANTE SUEROX 630ML , MORA AZUL</t>
  </si>
  <si>
    <t>REHIDRATANTE SUEROX 630ML , NARANJA</t>
  </si>
  <si>
    <t>EXCELLENCE NUDES , 3U</t>
  </si>
  <si>
    <t>VINO PASO A PASO BOT 750ML , VERDEJO</t>
  </si>
  <si>
    <t>VINO PASO A PASO BOT 750ML , TEMP</t>
  </si>
  <si>
    <t>VINO M.DEL SUR ROBLE 750ML , BLEND</t>
  </si>
  <si>
    <t>VINO M.DEL SUR ROBLE 750ML , MALBEC</t>
  </si>
  <si>
    <t>EXCELLENCE NUDES , 4U</t>
  </si>
  <si>
    <t>EXCELLENCE NUDES , 7U</t>
  </si>
  <si>
    <t>EXCELLENCE NUDES , 9U</t>
  </si>
  <si>
    <t>VINO CASA SILVA RESERVA 750ML , MERLOT</t>
  </si>
  <si>
    <t>VINO CASA SILVA G.TERROIR 750ML , CAB</t>
  </si>
  <si>
    <t>VINO PACHECO PEREDA FAMILIA 750ML , MB</t>
  </si>
  <si>
    <t>SYRUP ESSENTIAL EVERYDAY , ORIGINAL</t>
  </si>
  <si>
    <t>VINO PACHECO PEREDA ESTIRPE 750ML , CS</t>
  </si>
  <si>
    <t>BARRAS SIETE DRAGONES 7 UN , CACAO&amp;CAÑ</t>
  </si>
  <si>
    <t>BARRAS SIETE DRAGONES 7 UN , AGUA&amp;MOR</t>
  </si>
  <si>
    <t>GALLETAS LEONOR CJ X180G , CHOCHOCHIP</t>
  </si>
  <si>
    <t>GALLETAS LEONOR CJ X180G , MULTIGRANO</t>
  </si>
  <si>
    <t>FRIZZ LAMBRUSCO DOLCE 750ML , ROSSO</t>
  </si>
  <si>
    <t>CAPSULAS CAFÉ VIAGGIO 10 UN , INTENS</t>
  </si>
  <si>
    <t>TINTE NATURAL HENNA, ROJO COBRI</t>
  </si>
  <si>
    <t>TINTE NATURAL HENNA, TIERRA CLA</t>
  </si>
  <si>
    <t>MIEL DE ABEJA ARTIDORO 300GR , AMAZON</t>
  </si>
  <si>
    <t>MIEL DE ABEJA ARTIDORO 300GR , CUSCO</t>
  </si>
  <si>
    <t>GRANOLA DYFFERENT 250GR , FRUTOS</t>
  </si>
  <si>
    <t>CEREAL 7 SEMILLAS NATURANDES , CHOCO</t>
  </si>
  <si>
    <t>PAPAS PARTNERS CHIPS 140G, CON SAL</t>
  </si>
  <si>
    <t>PAPAS PARTNERS CHIPS 140G, AJI LIMO</t>
  </si>
  <si>
    <t>FIT ME FRESH TINT, SPF50 03</t>
  </si>
  <si>
    <t>FIT ME FRESH TINT, SPF50 05</t>
  </si>
  <si>
    <t>FIT ME FRESH TINT, SPF50 08</t>
  </si>
  <si>
    <t>BROW FAST SCULPT, Med Brown</t>
  </si>
  <si>
    <t>SALSA PARILLERO PREMIUM X 190GR , ROCO</t>
  </si>
  <si>
    <t>SALSA PARILLERO PREMIUM X 190GR , AJI</t>
  </si>
  <si>
    <t>REHIDRATANTE SUEROX PACK X 4UN , MIX</t>
  </si>
  <si>
    <t>BEBIDA LIFE SOS X 355ML , RECOVERY</t>
  </si>
  <si>
    <t>CREMA X70GR CUISINE&amp;CO , CHAMPIGNO</t>
  </si>
  <si>
    <t>CREMA X70GR CUISINE&amp;CO , CHOCLO</t>
  </si>
  <si>
    <t>TABLTA TANA CHO CACAO X85GR, BITT 70%</t>
  </si>
  <si>
    <t>TABLTA TANA CHO CACAO X85GR, LECH 40%</t>
  </si>
  <si>
    <t>BEB LA BUENA MESA X 500ML, CHICHA MOR</t>
  </si>
  <si>
    <t>BEB LA BUENA MESA X 500ML , MARACUYA</t>
  </si>
  <si>
    <t>PACK INFUSIÓN JARDIN ANCESTRAL + TAZA</t>
  </si>
  <si>
    <t>VINO LOCO DE PIEDRA RSVA CAB SAUV 750ML</t>
  </si>
  <si>
    <t>VINO B&amp;G RESERVE MALBEC 750ML</t>
  </si>
  <si>
    <t>LOMO SALTADO 25G PROVENZAL</t>
  </si>
  <si>
    <t>SOPA MENESTRON 55G PROVENZAL</t>
  </si>
  <si>
    <t>ACEITE OLIVA EXTRAVIRGEN SANTOLIVO 500ML</t>
  </si>
  <si>
    <t>ACEITE OLIVA EXTRA VIRGEN SANTOLIVO 1L</t>
  </si>
  <si>
    <t>JABON DE MANOS ROSA MOSQUETA</t>
  </si>
  <si>
    <t>HASK SHAMPOO BLONDE CARE 355 ML</t>
  </si>
  <si>
    <t>GOODY LIGAS BLACK 4MM X10U</t>
  </si>
  <si>
    <t>VINO ESTAMPA GRAN RSVA CAB SAUV BLEND</t>
  </si>
  <si>
    <t>VINO ESTAMPA GOLD CAR BLEND</t>
  </si>
  <si>
    <t>VINO ESTAMPA DELVIENTO SAUV BLANC</t>
  </si>
  <si>
    <t>EVO COMFORT BODY SCRUB D. D'AMANDE 150ML</t>
  </si>
  <si>
    <t>LATA ESPUMANTE RUBY 355ML</t>
  </si>
  <si>
    <t>DR ZAID BABY COLONIA CITRICAX 200ML</t>
  </si>
  <si>
    <t>DR ZAIDMAN BABY ACEITE FCO X 200ML</t>
  </si>
  <si>
    <t>BALL JAB CREMA KARITE DP 12X750ML</t>
  </si>
  <si>
    <t>BALL JAB CREM PIELSENS DP 12X750ML</t>
  </si>
  <si>
    <t>CAFÉ BARISTA ARTIDORO 250GR , AMAZONAS</t>
  </si>
  <si>
    <t>CAFÉ BARISTA ARTIDORO 250GR , CAJAMARC</t>
  </si>
  <si>
    <t>SACASARRO 500ML HOME CARE</t>
  </si>
  <si>
    <t>LIMP VIDRIOS BRISA MARINA C/GATX650ML HC</t>
  </si>
  <si>
    <t>ESPONJA SALVAUÑAS X6 HOME CARE</t>
  </si>
  <si>
    <t>ESPONJA CERO RAYA X2 HOME CARE</t>
  </si>
  <si>
    <t>NUESTRO JARDÍN LA FIDELIA &amp; FITO ESPIN</t>
  </si>
  <si>
    <t>MASC PESTAÑAS CLEANTOPIA EXT BLACK 9.5ML</t>
  </si>
  <si>
    <t>DOYPACK LIMPIAVIDRIOS MULTISUPERFICIE</t>
  </si>
  <si>
    <t>DOYPACK SACAGRASA MULTISUPERFICIE</t>
  </si>
  <si>
    <t>SS VINYL INK PINK ROGUE</t>
  </si>
  <si>
    <t>SS VINYL INK PINK SULTRY</t>
  </si>
  <si>
    <t>VINO CASA BOHER CABERNET FRANC 750ML</t>
  </si>
  <si>
    <t>WHISKY JAMESON BOT 700ML</t>
  </si>
  <si>
    <t>FLUFY MARSHM BAÑADOS X50 UN CUISINE&amp;CO</t>
  </si>
  <si>
    <t>FRUTA DESH. SUFRUT BLEND 40G MANGO Y ARA</t>
  </si>
  <si>
    <t>PISCO LABLANCO GRAN HERENCIA MVQUEB 50ML</t>
  </si>
  <si>
    <t>TE VERDE C/JAZMIN BIGELOW 18 UN</t>
  </si>
  <si>
    <t>JF ULTRA FILLER SHAMPOO 245ML</t>
  </si>
  <si>
    <t>JF ULTRA FILLER ACONDICIONADOR 245ML</t>
  </si>
  <si>
    <t>PANETON BON O BON X 450G</t>
  </si>
  <si>
    <t>PANETON MINI BON O BON X 75G</t>
  </si>
  <si>
    <t>MEZCLA PARA PESCADO GOCHEF 120G</t>
  </si>
  <si>
    <t>MEZCLA PARA POLLO Y AVES GOCHEF 120G</t>
  </si>
  <si>
    <t>SYRUP ESSENTIAL EVERYDAY, SUGAR FREE</t>
  </si>
  <si>
    <t>VINO M.DEL SUR ROBLE 750ML , CABERNET</t>
  </si>
  <si>
    <t>RON DICTADOR 12 AÑOS BOT 700 ML</t>
  </si>
  <si>
    <t>RON DICTADOR 20 AÑOS BOT 700 ML</t>
  </si>
  <si>
    <t>FIT ME FRESH TINT SPF50 5.6</t>
  </si>
  <si>
    <t>EVO SERUMDETX ALGAS M.+A.HIALURÓNICO30ML</t>
  </si>
  <si>
    <t>KT HYALURONIC HAIR SERUM X 120 ML</t>
  </si>
  <si>
    <t>PISCO MULITA TACAMA ACHOLADO 700 ML</t>
  </si>
  <si>
    <t>LAVAV PASTA AYUDIN 750GR, LIMON SABILA</t>
  </si>
  <si>
    <t>LAVAV PASTA AYUDIN 520GR, LIMON SABILA</t>
  </si>
  <si>
    <t>BROWNIES TOPING NESTLE GUSTOZZI 3 UN</t>
  </si>
  <si>
    <t>KEKITOS GUSTOZZITO 3 UN</t>
  </si>
  <si>
    <t>BROWNIES SELECCIÓN GUSTOZZI 3 UN</t>
  </si>
  <si>
    <t>ALFAJORES GUSTOZZI 2 UN</t>
  </si>
  <si>
    <t>GELATINA NARANJA STEVIAX19G CUISINE&amp;CO</t>
  </si>
  <si>
    <t>SHAMPOO BARBIE 250ML</t>
  </si>
  <si>
    <t>VINO CASONA LOPEZ MALBEC 750ML</t>
  </si>
  <si>
    <t>VINO M.DEL SUR ROB 750ML , C.TARDIO</t>
  </si>
  <si>
    <t>VINO CASONA LOPEZ CABERNET SAUV 750ML</t>
  </si>
  <si>
    <t>ELVIVE GLYCOLIC GLOSS SHAMPOO 680ML</t>
  </si>
  <si>
    <t>ELVIVE GLYCOLIC GLOSS ACO 680ML</t>
  </si>
  <si>
    <t>VINO LA ESCONDIDA G.RSVA 750ML , MB</t>
  </si>
  <si>
    <t>RTD PARTY BOX LEMON DANGER 355ML</t>
  </si>
  <si>
    <t>MILKY WAY DARK BAR X 1.76 ONZ</t>
  </si>
  <si>
    <t>CONAIR CEPILLO DETANGLING M/S CUSHION</t>
  </si>
  <si>
    <t>PACK 2 VINOS LOS CARDOS MB + CAB SAUV</t>
  </si>
  <si>
    <t>PISCO LA CARAVEDO QUEBRANTA "U" 750 ML</t>
  </si>
  <si>
    <t>PISCO LA CARAVEDO ACHOLADO "U" 750 ML</t>
  </si>
  <si>
    <t>EDT MON AMOUR FOR HER 95 ML</t>
  </si>
  <si>
    <t>EDT JE T'AIME T FOR HER 95 ML</t>
  </si>
  <si>
    <t>EDT HEART STEALER FOR W. 100ML</t>
  </si>
  <si>
    <t>EDT MORNING BLOOM FOR W. 100ML</t>
  </si>
  <si>
    <t>LIP CARE X 4.7G NIVEA, ESSENCIAL</t>
  </si>
  <si>
    <t>NIVEA CREME HUMECTANTE 400 ML</t>
  </si>
  <si>
    <t>MEZCAL OJO DE TIGRE JOVEN BOT 750ML</t>
  </si>
  <si>
    <t>PAPA SECA CUISINE&amp;CO X 500GR</t>
  </si>
  <si>
    <t>CHOCOLATE COOKIES&amp;CREAM WHITTARD 350G</t>
  </si>
  <si>
    <t>BASE MAYBELLINE SUPERSTAY LUMI MATTE 119</t>
  </si>
  <si>
    <t>BASE MAYBELLINE SUPERSTAY LUMI MATTE 128</t>
  </si>
  <si>
    <t>BASE MAYBELLINE SUPERSTAY LUMI MATTE 132</t>
  </si>
  <si>
    <t>BASE MAYBELLINE SUPERSTAY LUMI MATTE 311</t>
  </si>
  <si>
    <t>VINO TINTO INDOMABLE BLEND DE MALBEC</t>
  </si>
  <si>
    <t>SILVO LIMPIA METALES 200ML</t>
  </si>
  <si>
    <t>BOWL NISSIN RAMEN 3 UN</t>
  </si>
  <si>
    <t>PALLARES C/TOCINO425 GR OLIVOS DEL SUR</t>
  </si>
  <si>
    <t>GARBANZOS CONTOCINO425 GR OLIVOS DEL SUR</t>
  </si>
  <si>
    <t>PACK JACK DANIELS N°7 750ML + 2 MINI</t>
  </si>
  <si>
    <t>BEBIDA LIFE SOS 355ML , RELAX</t>
  </si>
  <si>
    <t>ACEITE VEGETAL PREMIUM TONDERO X4.5 L</t>
  </si>
  <si>
    <t>LUXURY HOT CHOCOLATE WHITTARD 350G</t>
  </si>
  <si>
    <t>PLT DE SOMBRAS MB COLOR RIVAL ASSERCOY</t>
  </si>
  <si>
    <t>PLT DE SOMBRAS MB COLOR RIVAL EXTLOWK</t>
  </si>
  <si>
    <t>PORK HOT DOG SAUSAGES TULIP X 125G</t>
  </si>
  <si>
    <t>VINO LA ESCONDIDA G.RSVA 750ML , CSA</t>
  </si>
  <si>
    <t>VINO LA ESCONDIDA RESERVA 750ML , MB</t>
  </si>
  <si>
    <t>VINO LA ESCONDIDA RESERVA 750ML , CSA</t>
  </si>
  <si>
    <t>VINO LA ESCONDIDA BOT 750ML , MB</t>
  </si>
  <si>
    <t>VINO LA ESCONDIDA BOT 750ML , CSA</t>
  </si>
  <si>
    <t>VINO LA ESCONDIDA 750ML , CH</t>
  </si>
  <si>
    <t>ESPUMANTE TOSTI X 750ML , ASTI</t>
  </si>
  <si>
    <t>ESPUMANTE TOSTI X 750ML, PINK MOSCATO</t>
  </si>
  <si>
    <t>BARRA QUIN X5UNID MAMALAMA , MANI</t>
  </si>
  <si>
    <t>BARRA QUIN X5UNID MAMALAMA , MANI/CHOC</t>
  </si>
  <si>
    <t>REFRIG.RADIADOR GALON ROJO</t>
  </si>
  <si>
    <t>ATTITUDE SHAMPOO NAT BEBES NARANJA 473ML</t>
  </si>
  <si>
    <t>ATTITUDE SHAMPOO NAT BEBES PERA 473ML</t>
  </si>
  <si>
    <t>ATTITUDE BURBUJAS DE BAÑO NATURAL 473ML</t>
  </si>
  <si>
    <t>SENSODYNE PACK BLANQ EXTRA FRESH 2TX90G</t>
  </si>
  <si>
    <t>CERVEZA HEINEKEN PK 12 LT 310ML</t>
  </si>
  <si>
    <t>ACOND KATIVA OLEO LIQUID KERATIN 60ML</t>
  </si>
  <si>
    <t>KATIVA COCONUT RECONSTRUCTION OIL 60ml</t>
  </si>
  <si>
    <t>THE BARBERIA MEN SH 4 EN 1 ENERGY 300 ML</t>
  </si>
  <si>
    <t>ESCOBA HOME CARE INTERIORES C/MANGO</t>
  </si>
  <si>
    <t>ESCOBA HOME CARE MULTIUSOS C/MANGO</t>
  </si>
  <si>
    <t>ESCOBA HOME CARE DE LUJO C/MANGO</t>
  </si>
  <si>
    <t>BALDE MULTIUSOS HOME CARE 12 LT</t>
  </si>
  <si>
    <t>REPUESTO MOPA DE ALGODÓN HOME CARE</t>
  </si>
  <si>
    <t>ESCOBILLA HOME CARE FREGASUELO C/MANGO</t>
  </si>
  <si>
    <t>ESCOBA HOME CARE PISOS DELICADOS C/MANGO</t>
  </si>
  <si>
    <t>CHOCOLATE LECHE DETALLE LINAJE 102G</t>
  </si>
  <si>
    <t>LUMINAN KITDOBTUB INT 7.64 RUBIO ROJ COB</t>
  </si>
  <si>
    <t>LUMINANCE KIT DOB TUB INT 6.66</t>
  </si>
  <si>
    <t>HERDEZ SALSA CREMOSA CILANTRO LIME 434G</t>
  </si>
  <si>
    <t>HERDEZ SALSA HABANERO HOT SAUCE 142G</t>
  </si>
  <si>
    <t>GEL MOCO DE GORILA X 80GR PUNK</t>
  </si>
  <si>
    <t>SNACK POLLO BRASA SIETE DRAGONES 100G</t>
  </si>
  <si>
    <t>BEBIDA UHT CON AVENA VIGOR BOLSA X 800ML</t>
  </si>
  <si>
    <t>BEB SABOR CHOCOLATE VIGOR UHT BOL 800 ML</t>
  </si>
  <si>
    <t>WHISKY BLACK &amp; WHITE 750ML</t>
  </si>
  <si>
    <t>ANTITRANSP BARRA NIVEA MEN DEEP DARKWOOD</t>
  </si>
  <si>
    <t>FILETE BONITO AC VEG 120G TAMBOMAR</t>
  </si>
  <si>
    <t>ENT ANCHOVETA AC VEG DING 120G TAMBOMAR</t>
  </si>
  <si>
    <t>PACK 2 VINOS TACAMA TINTO 750ML C/U</t>
  </si>
  <si>
    <t>JABON LIQUIDO  SPIDERMAN 250ML</t>
  </si>
  <si>
    <t>LIP CARE X 4.7G NIVEA, FRESA STAR FRUITS</t>
  </si>
  <si>
    <t>SCUNCI BANANA COMBS X3 /14699</t>
  </si>
  <si>
    <t>PAPA NATIVA LIMÓN PIMIENTA TIYAPUY 142G</t>
  </si>
  <si>
    <t>PAPA NATIVA MIXTA TIYAPUY TUBO 100G</t>
  </si>
  <si>
    <t>WAFFER LOACKER QUAD 125G , DOUBLE</t>
  </si>
  <si>
    <t>WAFFER LOACKER QUAD 125G , NAPOLIT</t>
  </si>
  <si>
    <t>WAFFER LOACKER 175G , COCOA</t>
  </si>
  <si>
    <t>WAFFER LOACKER 175G , CREM</t>
  </si>
  <si>
    <t>WAFFER LOACKER 175G , PEANUT</t>
  </si>
  <si>
    <t>WAFFER LOACKER 175G , VAINILL</t>
  </si>
  <si>
    <t>VEET PURE BANDA CORPORAL X12</t>
  </si>
  <si>
    <t>VEET PURE BANDA BIKINI Y AXILAS X16</t>
  </si>
  <si>
    <t>TABASCO SIRACHA256ML                  </t>
  </si>
  <si>
    <t>TABASCO SWEET &amp; SPICY 256ML          </t>
  </si>
  <si>
    <t>SUPER STAY 24HR POWDER 130</t>
  </si>
  <si>
    <t>SUPER STAY 24HR POWDER 220</t>
  </si>
  <si>
    <t>LIFTER GLOSS PLUMP PEACH FEVER</t>
  </si>
  <si>
    <t>LIFTER GLOSS PLUMP HOT CHILI</t>
  </si>
  <si>
    <t>THE BARBERIA MEN BLACK GEL X 220 ML</t>
  </si>
  <si>
    <t>THE BARBERIA MEN BLACK GEL X 500 ML</t>
  </si>
  <si>
    <t>ESPUMANTE CINZANO TO SPRITZ BOT 750 ML</t>
  </si>
  <si>
    <t>VINO VIÑAS ARGENTINAS MALBEC 750ML</t>
  </si>
  <si>
    <t>BARRA GRAN ANDINX5UN MAMALAMA , CHOCO</t>
  </si>
  <si>
    <t>BARRA GRAN ANDINX5UN MAMALAMA , CRANB</t>
  </si>
  <si>
    <t>BARRA GRAN ANDINX5UN MAMALAMA , AGUAYM</t>
  </si>
  <si>
    <t>MERMELADA LIGHTX700G DMARCO , FRESA</t>
  </si>
  <si>
    <t>MERMELADA LIGHTX700G DMARCO , PIÑA&amp;PAP</t>
  </si>
  <si>
    <t>MERMELADA LIGHTX700G DMARCO , NARANJA</t>
  </si>
  <si>
    <t>VINO BLUME RUEDA 750ML</t>
  </si>
  <si>
    <t>VINO MUCHO MÁS BLANCO 750ML</t>
  </si>
  <si>
    <t>BLACK WHISKEY 100 AÑOS "U" 700ML</t>
  </si>
  <si>
    <t>TOALLITAS HUMEDAS X 25UND MINIONS</t>
  </si>
  <si>
    <t>RON MILLONARIO KUYTCHI 7 AÑOS 700ML</t>
  </si>
  <si>
    <t>Reddas x 250ml</t>
  </si>
  <si>
    <t>TWISTIKESO 200GR</t>
  </si>
  <si>
    <t>GANCHO COMMAND NEGRO DECORATIVO X1</t>
  </si>
  <si>
    <t>KATIVA CURLY PLEX SHAMPOO 355 ML</t>
  </si>
  <si>
    <t>KATIVA CURLY PLEX DP CONDITIONER 450 ML</t>
  </si>
  <si>
    <t>KATIVA CURLY PLEX CURL STRONG GEL 240ML</t>
  </si>
  <si>
    <t>SIXPACK JABON NIVEA AVENA125G</t>
  </si>
  <si>
    <t>RTD GIN GREENALLS 250ML , BLUEBERRY</t>
  </si>
  <si>
    <t>VINO MALA JUNTA 750ML , MALBEC</t>
  </si>
  <si>
    <t>VINO MALA JUNTA 750ML , CAB.FRANC</t>
  </si>
  <si>
    <t>VINO MALA JUNTA RESERVA 750ML , MALBEC</t>
  </si>
  <si>
    <t>VINO SOUTHERN OCEAN 750ML</t>
  </si>
  <si>
    <t>VINO ALTOCEDRO AÑO CERO MALBEC 750ML</t>
  </si>
  <si>
    <t>VINO CRUX XTRA MALBEC 750ML</t>
  </si>
  <si>
    <t>VINO CRUX XTRA CABERNET FRANC 750ML</t>
  </si>
  <si>
    <t>MARSHMALLOWS PIPOCA BOLSA 250G</t>
  </si>
  <si>
    <t>FINI CONO SURTIDO REGALIZ 105GR</t>
  </si>
  <si>
    <t>COLONIA X 175 ML , FROZEN</t>
  </si>
  <si>
    <t>LEJÍA MÁXIMA TRADICIONAL 639ML</t>
  </si>
  <si>
    <t>GALLETA INT BAYAS Y REM MISURA 260 GR</t>
  </si>
  <si>
    <t>GALLETA INT CHOCO MISURA 260 GR</t>
  </si>
  <si>
    <t>BODY MIST KITTY - VAINILLA X 175ML</t>
  </si>
  <si>
    <t>SET MINIONS(SH100ML/COL120ML/JB80GR/ESP)</t>
  </si>
  <si>
    <t>TOALLAS HUMEDAS PRINCESS X 25UND</t>
  </si>
  <si>
    <t>BEBIDA CHICHA MORADA DON FIDEL X 500ML</t>
  </si>
  <si>
    <t>FRUIT MIX VALLEALTO BOLSA 150G</t>
  </si>
  <si>
    <t>VINO MALA JUNTA RESERVA 750ML , CFR</t>
  </si>
  <si>
    <t>VINO MALA JUNTA RESERVA 750ML , BLEND</t>
  </si>
  <si>
    <t>HERBAL TEA STASH, GINGER PEA</t>
  </si>
  <si>
    <t>HERBAL TEA STASH, GOLDEN TUR</t>
  </si>
  <si>
    <t>HERBAL TEA STASH , PEPPERMINT</t>
  </si>
  <si>
    <t>HERBAL TEA STASH, LEMON GING</t>
  </si>
  <si>
    <t>TROPICAL MIX VALLEALTO BOLSA 150G</t>
  </si>
  <si>
    <t>TROPICAL MIX VALLEALTO POTE 200G</t>
  </si>
  <si>
    <t>ALOHA MIX VALLEALTO POTE 200G</t>
  </si>
  <si>
    <t>SIL.UV3 CHICL 300ML+PIC. DE TABAC 300ML</t>
  </si>
  <si>
    <t>HISOPOS HELLO KITTY X 400UND</t>
  </si>
  <si>
    <t>PISCO VIÑAS DE ORO GOLD MV TRNTL 700 ML</t>
  </si>
  <si>
    <t>PISCO VIÑAS DE ORO GOLD MV ACHOL 700ML</t>
  </si>
  <si>
    <t>VINO LAGARDE P. HMNAS MALB &amp; CAB F 750ML</t>
  </si>
  <si>
    <t>VINO LAGARDE P. HERMANAS CHARDO 750ML</t>
  </si>
  <si>
    <t>PISCO PURO SANTA MARIA M. MOLLAR 750ML</t>
  </si>
  <si>
    <t>PK RON BARCELO DARK TIKI 750ML + 2 VASOS</t>
  </si>
  <si>
    <t>SHAMPOO 2D - 3EN1 HELLO KITTY 300ML</t>
  </si>
  <si>
    <t>SHAMPOO 2D - 3EN1 MICKEY 300ML</t>
  </si>
  <si>
    <t>CRACKERS REDUCED SALT COLUSSI 250 GR</t>
  </si>
  <si>
    <t>CRACKERS WHOLEWHEAT COLUSSI 250 GR</t>
  </si>
  <si>
    <t>GALLETA ALMOND PIERTRA SAPORI 175GR</t>
  </si>
  <si>
    <t>PITUCA CHIPS ORIGINAL BOLSA X 146GR</t>
  </si>
  <si>
    <t>BOLSAS ETERNA AROMAS  PEQUEÑA X 20UN</t>
  </si>
  <si>
    <t>BIC ENCENDEDOR J5 MINI X 1 UND</t>
  </si>
  <si>
    <t>VINO ALTA VISTA VIVE MALBEC 750ML</t>
  </si>
  <si>
    <t>VINO ALTA VISTA VIVE RED BLEND 750ML</t>
  </si>
  <si>
    <t>MUTIPACK BON O BON 360G</t>
  </si>
  <si>
    <t>CAFÉ ESPRESSO HOUSE ARTIDORO 255GR</t>
  </si>
  <si>
    <t>VINO INTIPALKA PATR QUEBRANTA 750ML</t>
  </si>
  <si>
    <t>VINO INTIPALKA PATR TORONTEL 750ML</t>
  </si>
  <si>
    <t>RTD PISCANO LIMON LATA 355ML</t>
  </si>
  <si>
    <t>LICOR BOTTEGA GIANDUIA 500 ML</t>
  </si>
  <si>
    <t>PISCO EL LEGADO SARCAY MV ITALIA 700ML</t>
  </si>
  <si>
    <t>PANADOL 500MG X16 TAB</t>
  </si>
  <si>
    <t>ACEITE DE COCO EXTRA VIRGEN GATTI 218ML</t>
  </si>
  <si>
    <t>ACEITE PALTA EXTRA VIRGEN GATTI X 250ML</t>
  </si>
  <si>
    <t>COLAGENO HIDROL POLVO SANAVITA X15 SOB</t>
  </si>
  <si>
    <t>MANI GLASEADO SALADO MJNUTS X 100G</t>
  </si>
  <si>
    <t>VINO ALTOCEDRO LA CONSULTA SELECT 750ML</t>
  </si>
  <si>
    <t>VINO ALTOCEDRO RESERVA MALBEC 750ML</t>
  </si>
  <si>
    <t>MANTEQUILLA THE BUTTER 200G , ALMENDRA</t>
  </si>
  <si>
    <t>MANTEQUILLA THE BUTTER 200G, ALM CROC</t>
  </si>
  <si>
    <t>VINO 19 CRIMES 750ML , CAB.SAUVIG</t>
  </si>
  <si>
    <t>VINO 19 CRIMES 750ML, RED WINE</t>
  </si>
  <si>
    <t>VINO 19 CRIMES 750ML, CALI RED</t>
  </si>
  <si>
    <t>ESPUMANTE PERLINO 750ML , MOSCATO</t>
  </si>
  <si>
    <t>VINO N.SENETINER CADUS ASSEMBLAGE 750ML</t>
  </si>
  <si>
    <t>VERMOUTH PERLINO BOT 1 L , ROSSO</t>
  </si>
  <si>
    <t>VERMOUTH PERLINO BOT 1 L, EXTRA DRY</t>
  </si>
  <si>
    <t>VERMOUTH PERLINO BOT 1 L , BLANCO</t>
  </si>
  <si>
    <t>VINO CASA SILVA S38 CAB.SAUVIG 750ML</t>
  </si>
  <si>
    <t>VINO SMILEY ROSE 750ML</t>
  </si>
  <si>
    <t>VINO SMILEY SAUVIGNON BLANC 750ML</t>
  </si>
  <si>
    <t>VINO KNOCK KNOCK BLANCO 750ML</t>
  </si>
  <si>
    <t>VODKA 14INKAS ORIGENES PUCA SONCCO 750ML</t>
  </si>
  <si>
    <t>VINO SIERRA CANTABRIA RSVA UNICA 750ML</t>
  </si>
  <si>
    <t>VINO SIERRA CANTABRIA GRAN RESERVA 750ML</t>
  </si>
  <si>
    <t>PISCO VIÑAS DE ORO SILVER QUEBR 700ML</t>
  </si>
  <si>
    <t>PISCO VIÑAS DE ORO SILVER ITALIA 700ML</t>
  </si>
  <si>
    <t>PISCO VIÑAS DE ORO SLVR ACHO QTI 700ML</t>
  </si>
  <si>
    <t>PISCO VIÑAS DE ORO SLVR ACH QTM 700ML</t>
  </si>
  <si>
    <t>PISCO VIÑAS DE ORO QUEBRANTA 700 ML</t>
  </si>
  <si>
    <t>AC OLIV XTRAVRGN PREMX750 OLIVOS DEL SUR</t>
  </si>
  <si>
    <t>NUTRIBELA-AC-BIOKERATINA-FR370ML</t>
  </si>
  <si>
    <t>NUTRIBELA-SH-PRO-HIALURONIC-FR400ML</t>
  </si>
  <si>
    <t>NUTRIBELA-AC-CELULAS-MADRE-FR370ML</t>
  </si>
  <si>
    <t>CAVA CODORNIU ARS COLLECTA BLANC 750ML</t>
  </si>
  <si>
    <t>VINO T.SALMOS D.O.PRIORAT 750ML</t>
  </si>
  <si>
    <t>VINO TORRES PURGATORI 750ML</t>
  </si>
  <si>
    <t>ESPUMANTE  ALYDA BRUT ROSADO 750ML</t>
  </si>
  <si>
    <t>VINO  PAISAJE DE TUPUNGATO 750ML</t>
  </si>
  <si>
    <t>SET 2U CEPILLOS CONAIR COLORPOP</t>
  </si>
  <si>
    <t>SCUNCI COLLETS HOISERY PONYTAILERS  12U</t>
  </si>
  <si>
    <t>RON CLÉMENT CARAFE ELIXIR 700ML</t>
  </si>
  <si>
    <t>VINO RUCA MALEN CAP DOS CAB SAUV 750ML</t>
  </si>
  <si>
    <t>VINO RAMON BILBAO ROSADO 750ML</t>
  </si>
  <si>
    <t>VINO RAMON BILBAO VERDEJO 750ML.</t>
  </si>
  <si>
    <t>VINO RAMON BILBAO GRAN RESERVA 750ML.</t>
  </si>
  <si>
    <t>SALS D ACEIT PICANT CHIU CHOW 205GR  LKK</t>
  </si>
  <si>
    <t>ACEITE EXTRA VIRGEN LINAZA X 250ML GATTI</t>
  </si>
  <si>
    <t>ACEITE EXTRA VIRGEN AJONJOLÍ 250ML GATTI</t>
  </si>
  <si>
    <t>QUINUA PERLADA SELECTA X 250 GR INCA SUR</t>
  </si>
  <si>
    <t>CHOCOLATE X 9 MINI BARS RITTER SPORT</t>
  </si>
  <si>
    <t>SHAMPOO BOBBY ANTIPULGAS  X 1 LT</t>
  </si>
  <si>
    <t>RON APPLETON ESTATE 21 AÑOS X 750 ML</t>
  </si>
  <si>
    <t>SHAMPOO BOBBY CACHORRO  X 1 LT</t>
  </si>
  <si>
    <t>CHOCOLATE TOBLERONE MINI BOLSA X 200GR</t>
  </si>
  <si>
    <t>CHOCOLATE INST P/TAZA 324G SOL DEL CUSCO</t>
  </si>
  <si>
    <t>CHOC INSTP/TAZA C&amp;C 324G SOL DEL CUSCO</t>
  </si>
  <si>
    <t>KIWIGEN GOLDENX340GR INCASUR</t>
  </si>
  <si>
    <t>KIWIGEN GOLDEN  X 125 GR INCA SUR</t>
  </si>
  <si>
    <t>LONCHERA TOBLERONE HALLOWEEN X200G</t>
  </si>
  <si>
    <t>GIN ELEPHANT BOT 750 ML, LONDON DRY</t>
  </si>
  <si>
    <t>GIN RICHMOND BOT 1 L, LONDON DRY</t>
  </si>
  <si>
    <t>DOYPACK KETCHUP X 397GR HEINZ</t>
  </si>
  <si>
    <t>SHAMPOO BOBBY CON ALOE VERAX 250ML</t>
  </si>
  <si>
    <t>SHAMPOO BOBBY CON ALOE VERAX 1LT</t>
  </si>
  <si>
    <t>ESPUM/BAÑO SECO BOBBY C/ALOE VERA X 175M</t>
  </si>
  <si>
    <t>CHOC 42%CACAO P/TAZA 90G SOL DEL CUSCO</t>
  </si>
  <si>
    <t>GANCHO PUNTA METAL 3M</t>
  </si>
  <si>
    <t>MAYONESA REAL MAYO KRAFT X 443 ML</t>
  </si>
  <si>
    <t>QUINUA PERLADA NATIVA INCASUR X  250 GR.</t>
  </si>
  <si>
    <t>QUINUA PERLADA GOURMET INCASUR X 250 GR.</t>
  </si>
  <si>
    <t>PUNCHAO DE HABAS C/CHOCOLATEX 265 GR</t>
  </si>
  <si>
    <t>BOMBONES MERCI FINEST SELECTION 250G</t>
  </si>
  <si>
    <t>FEBREZE CARROS TORMENTA DE MEDIANOCHE X2</t>
  </si>
  <si>
    <t>KETCHUP PET X 14 OZ HEINZ</t>
  </si>
  <si>
    <t>MACARONI &amp; CHEESE ORIGINAL CJ206G KRAFT</t>
  </si>
  <si>
    <t>GIN RICHMOND BOT 1 L , PINK</t>
  </si>
  <si>
    <t>VINO LUIGI BOSCA DE SANGRE 750ML , MB</t>
  </si>
  <si>
    <t>MACARONI &amp; CHEESE THREE CHEESE206G KRAFT</t>
  </si>
  <si>
    <t>BOX CHOCOL. 200GR TOBLERONE (SD)</t>
  </si>
  <si>
    <t>CHOCOLA MILKA FELIZ NAVIDAD TWOPACK 200G</t>
  </si>
  <si>
    <t>3PACK MILKA X300G</t>
  </si>
  <si>
    <t>TAMAL DE QUINUA  180GR</t>
  </si>
  <si>
    <t>CHOCO TAB BLANC AVELL 100G RITTER SPORT</t>
  </si>
  <si>
    <t>CHOCO TAB NEGRO AVELL 100G RITTER SPORT</t>
  </si>
  <si>
    <t>CHOCOLATE ROSA DE TOBLERONE X 200G</t>
  </si>
  <si>
    <t>CHOCOLATE PACK X 3 UND TOBLERONE 300G</t>
  </si>
  <si>
    <t>VINO LUIGI BOSCA DE SANGRE 750ML , CSA</t>
  </si>
  <si>
    <t>VINO LUIGI BOSCA DE SANGRE 750ML , CFR</t>
  </si>
  <si>
    <t>MERMELADA LIGHT D'MARCO X210G , AR&amp;GR</t>
  </si>
  <si>
    <t>CEREAL QUINUA MAMALAMA X240G , CANELA</t>
  </si>
  <si>
    <t>CEREAL QUINUA MAMALAMA X240G, CHOCO Q</t>
  </si>
  <si>
    <t>SALSA DE AJI AMARILLO CON QUESO 90GR</t>
  </si>
  <si>
    <t>MIEL D ABEJA XKG DE OXAP GRNL X KG SB</t>
  </si>
  <si>
    <t>VINO VIÑA VILANO TEMPRANILLO ROSE 750 ML</t>
  </si>
  <si>
    <t>RON APPLETON SIGNATURE BLEND 1.75L</t>
  </si>
  <si>
    <t>CHOCOLATE TAB  MILKA KISS ME X 100GR</t>
  </si>
  <si>
    <t>DET POLVO MAGIA BLANCA 780GR, FLORAL</t>
  </si>
  <si>
    <t>CERVEZA MICHELOB PACK 6 LATAS 355ML</t>
  </si>
  <si>
    <t>BRUNCH BOX APEROL SPRITZ</t>
  </si>
  <si>
    <t>DET MAGIA BLANCA LAVANDA X480GR</t>
  </si>
  <si>
    <t>ACEITE DE COCO ORGANICO A GRANEL</t>
  </si>
  <si>
    <t>KIWIGEN GOLDEN SIN AZUCAR X 550G</t>
  </si>
  <si>
    <t>MORE+ SLEEP (MELATONINA) X100UN</t>
  </si>
  <si>
    <t>CRECER KIDS HIERRO VIT. C X60UN</t>
  </si>
  <si>
    <t>CRECER KIDS ZINC X60UN</t>
  </si>
  <si>
    <t>SHAMPOO ANTIPULGAS ANTIPARÁSITOS X300ML</t>
  </si>
  <si>
    <t>EDULCORANTE METRO (BOL X1500UN) -CONF</t>
  </si>
  <si>
    <t>CHOCOLATE LECHE C/ALMENDRAS VILLARS 100G</t>
  </si>
  <si>
    <t>SHAMPOO BOBBY HIPOALERGÉNICO CON AVENA</t>
  </si>
  <si>
    <t>ESPUMA BAÑO EN SECO PARA GATOS ALOE VERA</t>
  </si>
  <si>
    <t>NATA PARA COCINAR 18% MG ASTURIANA 200ML</t>
  </si>
  <si>
    <t>ACEITE VEG METRO X 900ML</t>
  </si>
  <si>
    <t>KIWIGEN X 400 GR CHOCOLATE</t>
  </si>
  <si>
    <t>COMPOTA FRUTAS PLATANO 113 GR HEINZ</t>
  </si>
  <si>
    <t>COMPOTA FRUTAS CIRUELA PASA 113 GR HEINZ</t>
  </si>
  <si>
    <t>COMPOTA FRUTAS MELOCOTON 113 GR HEINZ</t>
  </si>
  <si>
    <t>COMPOTA DE MANZANA  113 GR HEINZ</t>
  </si>
  <si>
    <t>COMPOTA POSTRES DE FRUTAS  113GR HEINZ</t>
  </si>
  <si>
    <t>TABLETA P/TAZA SOL DEL CUSCO 90G, TRAD</t>
  </si>
  <si>
    <t>CHOC.EN TAB.MARZIPAN X100 RITTER SPORT</t>
  </si>
  <si>
    <t>CHOC.EN TAB.NUGAT  X 100 RITTER SPORT</t>
  </si>
  <si>
    <t>CHOC.EN TAB.ALPENMILCH X100 RITTER SPORT</t>
  </si>
  <si>
    <t>CHOC TAB PETIT BISCUIT X100G RITTERSPORT</t>
  </si>
  <si>
    <t>CHOCO TAB RITTER SPORTX100GR, MENTA</t>
  </si>
  <si>
    <t>CHOCOLATE MILKA TABLETA 100 GR, DE LECHE</t>
  </si>
  <si>
    <t>CHOCOLATE MILKA TABLETA 100 GR, OREO</t>
  </si>
  <si>
    <t>SALSA FREE KRAFT X 473, THOUSAND ISLAND</t>
  </si>
  <si>
    <t>LIMPIATODO  DKASA  LAVANDA X 900ML</t>
  </si>
  <si>
    <t>LIMPIATODO DKASA FLORAL X 900ML</t>
  </si>
  <si>
    <t>LIMPIATODO DKASA FLORAL X1800ML</t>
  </si>
  <si>
    <t>CEREAL QUINUA MAMALAMA X240G, CACAO M</t>
  </si>
  <si>
    <t>INFUSION CARMENCITA 10UN, FRUTOS ROJ</t>
  </si>
  <si>
    <t>COLADO FLEX X 113 GR HEINZ, PERA</t>
  </si>
  <si>
    <t>QUINUA INSTANTANEA X 150G INCAS, NATURAL</t>
  </si>
  <si>
    <t>QUINUA INSTANTANEA X 250G INC, CHOCOLATE</t>
  </si>
  <si>
    <t>KIWIGEN X 180 GR., FRESA</t>
  </si>
  <si>
    <t>KIWIGEN X 180 GR., CHOCOLATE</t>
  </si>
  <si>
    <t>GALLETAS QUINUA INCASUR 180GR, COCO</t>
  </si>
  <si>
    <t>GALLETAS QUINUA INCASUR 18, FRUTOS ROJOS</t>
  </si>
  <si>
    <t>TAB CHOC FRANKONIA S/AZUC AVELLANAS 80G</t>
  </si>
  <si>
    <t>TAB CHOC FRANKONIA S/AZUC PRALINE 80G</t>
  </si>
  <si>
    <t>P011167</t>
  </si>
  <si>
    <t>SALSA HOISIN X 2268 GR</t>
  </si>
  <si>
    <t>PAULANER OKTOBERFEST BIER LATA 500ML</t>
  </si>
  <si>
    <t>NUTRIBELA-AC-REP-INTENSIVA-FR370ML</t>
  </si>
  <si>
    <t>PONJITA BOB ESPONJA</t>
  </si>
  <si>
    <t>VINO N.SENETINER V.BLANCA ESTATE 750ML</t>
  </si>
  <si>
    <t>PISCO KOREKENKE ITALIA X 700 ML</t>
  </si>
  <si>
    <t>VINO FLICHMAN S PARCEL ALTAMIRA 750ML</t>
  </si>
  <si>
    <t>VINO FLICHMAN S PARCEL CHACAYES 750ML</t>
  </si>
  <si>
    <t>BEBIDA INFUSIONADA HOOP 355ML , YERBERIT</t>
  </si>
  <si>
    <t>CERVEZA CANDELARIA SUNSET SES LATA 355ML</t>
  </si>
  <si>
    <t>MACARONI&amp;SALSA HUANCAINA 220G CUISINE&amp;CO</t>
  </si>
  <si>
    <t>VINO C.MACUL ISIDORA RIESLING 750ML</t>
  </si>
  <si>
    <t>VINO LAN ROSADO 750ML</t>
  </si>
  <si>
    <t>MAYO PICANTE EGGLESS X 352G</t>
  </si>
  <si>
    <t>GALLETA DYFFERENT CHOCOLATE BOLSA 210G</t>
  </si>
  <si>
    <t>MAGNESOL KIDS X 150 GR</t>
  </si>
  <si>
    <t>JF BLONDE REPAIR TRAT PRE SHAMPOO 100ML</t>
  </si>
  <si>
    <t>AGUA TONICA MR PERKINS LT 180ML X 12 UN</t>
  </si>
  <si>
    <t>BLOQ HAWAIIAN SHEER TCH FPS50 120ML</t>
  </si>
  <si>
    <t>PROT BB DRY BALANCE SPORT FPS50X180ML</t>
  </si>
  <si>
    <t>BANANA BOAT ADV PROT LOC SPF50</t>
  </si>
  <si>
    <t>CALABAZA FINI 120GR</t>
  </si>
  <si>
    <t>GLYCO-BRIGHT GEL CREMA NOCHE ANTI-M 50ML</t>
  </si>
  <si>
    <t>GLYCO-BRIGHT GEL LIMPIADOR ANTI-M 150ML</t>
  </si>
  <si>
    <t>VINO BREAD &amp; BUTTER CHARDONNAY 750ML</t>
  </si>
  <si>
    <t>VINO BREAD &amp; BUTTER PINOT GRIGIO 750ML</t>
  </si>
  <si>
    <t>VINO LAN CULMEN RESERVA 750ML</t>
  </si>
  <si>
    <t>HUEVO TRAP MONSTERS 30 GR</t>
  </si>
  <si>
    <t>INFUSION CARMENCITA 10UN, JENG MIEL</t>
  </si>
  <si>
    <t>AMMENS MANZ.SH400ML+SH.DOY400ML+COL100ML</t>
  </si>
  <si>
    <t>VINO GERARD BERTRAND AN 940 CAB S 750ML</t>
  </si>
  <si>
    <t>ESPUMANTE FRENCH CAN CAN BRUT OR  750ML</t>
  </si>
  <si>
    <t>ESPUMANTE FRENCH CAN CAN BRUT ROSE 750ML</t>
  </si>
  <si>
    <t>BOLSA BOB CHOCOLATE HW 90G</t>
  </si>
  <si>
    <t>NIKOLO MINIS HW 382,5G</t>
  </si>
  <si>
    <t>MISTER POPS EXTREME DUO HW 432G</t>
  </si>
  <si>
    <t>ARCOR SORPRESA ZOMBIES 100G</t>
  </si>
  <si>
    <t>CEREAL CHOCOLATE FLIPS 220 GR</t>
  </si>
  <si>
    <t>CEREAL DULCE DE LECHE FLIPS 220 GR</t>
  </si>
  <si>
    <t>CEPILLO UPDO CANTU</t>
  </si>
  <si>
    <t>CEPILLO PARA PELO BEBE CANTU</t>
  </si>
  <si>
    <t>JABON INTIMO BACTERION 220ML PH NEUTRO</t>
  </si>
  <si>
    <t>BLOQUEADOR FACIAL NIVEA SUN FLUIDO 40ML</t>
  </si>
  <si>
    <t>PISCO CUATRO GALLOS PURO ACHOLADO 500ML</t>
  </si>
  <si>
    <t>PISCO CUATRO GALLOS PURO ITALIA X 500ML</t>
  </si>
  <si>
    <t>TIO NACHO SH SISTEMA ENGROSADOR 1 LITRO</t>
  </si>
  <si>
    <t>TIO NACHO SH HERBOLARIA MILENARIA 1L</t>
  </si>
  <si>
    <t>NIVEA MICELAR REPARADORA 400 ML</t>
  </si>
  <si>
    <t>NIVEA MICELAR ILUMINADORA 400 ML</t>
  </si>
  <si>
    <t>SUN BUM ORIGINAL SPF 70 LOCIÓN</t>
  </si>
  <si>
    <t>VINO BREAD &amp; BUTTER MERLOT 750ML</t>
  </si>
  <si>
    <t>SHAMPOO 2EN1 UNICORNIO X300ML</t>
  </si>
  <si>
    <t>SUNBUM SPF50 CLEARFACE SUNSCREEN LOTION</t>
  </si>
  <si>
    <t>CALABAZAS HALLOWEEN ARCOR 250G</t>
  </si>
  <si>
    <t>CALABAZA FRANKIE GRANDE ARCOR 300G</t>
  </si>
  <si>
    <t>MOGUL COLMILLOS 30G</t>
  </si>
  <si>
    <t>HOZ DE LA MUERTE HW 66G</t>
  </si>
  <si>
    <t>BOLSAS RESELLABLES P/SANDWICH X 50</t>
  </si>
  <si>
    <t>PAPEL ALUMINIO REYNOLDS X 50</t>
  </si>
  <si>
    <t> REYNOLDS SURE SALE PLASTICO 100 SF</t>
  </si>
  <si>
    <t>T-FAL SARTEN 30 EASYCOOK</t>
  </si>
  <si>
    <t>PAPEL ALUMINO REYNOLDS REFILL ROLE 16 SF</t>
  </si>
  <si>
    <t>PAPEL ENCERADO REYNOLDS  33SF</t>
  </si>
  <si>
    <t>MARSHMALLOW BOO FINI 250GR</t>
  </si>
  <si>
    <t>LOLLIPOP KOOCHIKOO WTMEL 60G</t>
  </si>
  <si>
    <t>PACK DETLIQ ETERNA ROP OSCURA+BICAR 3.6L</t>
  </si>
  <si>
    <t>SALSA DE CIRUELA X 397 GR PLUM SAUCE LKK</t>
  </si>
  <si>
    <t>BOLSA BASURA HC ECONOMICA 75L 10UN</t>
  </si>
  <si>
    <t>DELINEADOR MAYBELLINE TATTOO LINER 48HLP</t>
  </si>
  <si>
    <t>VINO EXPOVINO 2024 ERNESTO CATENA 3L</t>
  </si>
  <si>
    <t>WAFFER LOACKER QUADRATINI 125, VAINILLA</t>
  </si>
  <si>
    <t>CEREAL ORGÁNICO 300GR HOJUELAS, CON MIEL</t>
  </si>
  <si>
    <t>DELINEADOR GEL MAYBELLINE LASTING, DRAMA</t>
  </si>
  <si>
    <t>MERMELADA X 340GR M, STRAWBERRY PRESERVE</t>
  </si>
  <si>
    <t>MERMELADA X 340GR MACK, ARANDANO&amp;GRANADA</t>
  </si>
  <si>
    <t>CORRECTOR MYB EYE A. REWIND, BRIGHTENER</t>
  </si>
  <si>
    <t>INFUSION CARMENCITA 10UN, JENG CUR</t>
  </si>
  <si>
    <t>CHOCOLATE ORQUIDEA X 85 GR., C/ LECHE</t>
  </si>
  <si>
    <t>CHOCOLATE ORQUIDEA X 85 GR, LECHE C/MOKA</t>
  </si>
  <si>
    <t>HOJUELAS  X 200 GR MOLICUSCO, DE KIWICHA</t>
  </si>
  <si>
    <t>BEBIDA C/ALCOHOL BOONES 750ML , SANG</t>
  </si>
  <si>
    <t>BEBIDA C/ALCOHOL BOONES 750ML , STRAWB</t>
  </si>
  <si>
    <t>BEBIDA C/ALCOHOL BOONES 750ML , PEACH</t>
  </si>
  <si>
    <t>BEBIDA C/ALCOHOL BOONES 750ML , APPLE</t>
  </si>
  <si>
    <t>JABON X 90G NINET, GLICERINA</t>
  </si>
  <si>
    <t>BEBIDA C/ALCOHOL BOONES 750ML , BERRY</t>
  </si>
  <si>
    <t>CHOCOBRITT ALMENDRA PIRAMIDE 26 GR</t>
  </si>
  <si>
    <t>VINO LAPOSTOLLE CUV ALEX CARMENERE 750ML</t>
  </si>
  <si>
    <t>SAL DE MARAS ESPECIADA 130 GR., FRANCESA</t>
  </si>
  <si>
    <t>DEO BARRA X47MLSECR, CLINIC MARATONFRESH</t>
  </si>
  <si>
    <t>JABON GLICERINA 1LT SIMOND´S, AFRECHO</t>
  </si>
  <si>
    <t>VINO RESERO 1LT TETRA, BLANCO</t>
  </si>
  <si>
    <t>CONDIMENTO, BLACK PEPPER CORN GRIND.45GR</t>
  </si>
  <si>
    <t>CORRECTOR MAY. FITME, SUN  20</t>
  </si>
  <si>
    <t>ACOND.X370ML ELVIV, ACO OLEO RIZOS 370ML</t>
  </si>
  <si>
    <t>GEL MOCO DE GORILA X270 GRS, SPORT POTE</t>
  </si>
  <si>
    <t>GEL MOCO DE GORILA X 340GR, SPORT SQUIZZ</t>
  </si>
  <si>
    <t>AIR WICK  MATIC RPTOX2, MANZANA FRESH</t>
  </si>
  <si>
    <t>MAQ. AIRBRUSH LEGS S.HANSEN, LIGHT GLOW</t>
  </si>
  <si>
    <t>PISCO PORTÓN MV X 750 ML, MOLLAR</t>
  </si>
  <si>
    <t>TE NEGRO BIGELOW X 20, ENGLISH BREAKFAST</t>
  </si>
  <si>
    <t>CARAMELOS WERTHER´S  80 GR, BUTTER</t>
  </si>
  <si>
    <t>DESO HI-DRI ROLL-ON X1.7OZ, UNSCENTED</t>
  </si>
  <si>
    <t>HARINA MACA 340 GR NATURANDES, REGULAR</t>
  </si>
  <si>
    <t>SCOTCH BRITE MOPA ATRAPATODOX1, MOPA</t>
  </si>
  <si>
    <t>RON BARCELO X 1.75 ML, GRAN AÑEJO</t>
  </si>
  <si>
    <t>DETERGENTE LIQUIDO LA OCA X 2 LT, WHITE</t>
  </si>
  <si>
    <t>CHOCOLATE ORGANICO ORQUIDEA 80 G, QUINUA</t>
  </si>
  <si>
    <t>VINO KENDALL JACKSON RESERVA, PINOT NOIR</t>
  </si>
  <si>
    <t>VASO ENTRENAM DOBLE PARED D, BABY MINNIE</t>
  </si>
  <si>
    <t>SAL MARAS AHUMADA X150GR NCS, FINA</t>
  </si>
  <si>
    <t>PISCO GRAN DEMONIO 500ML ALBILLA</t>
  </si>
  <si>
    <t>INFUSION CARMENCITA 10UN, MANZ MEN</t>
  </si>
  <si>
    <t>BARRA MINI CHEWY MAMALAMA 10 UN , MANI</t>
  </si>
  <si>
    <t>BARRA MINI CHEWY MAMALAMA 10 UN , CHOC</t>
  </si>
  <si>
    <t xml:space="preserve"> BEBIDA C/ALOE SAPPE  X300ML, MANZANA</t>
  </si>
  <si>
    <t>CAFÉ MOLIDO LEYENDA X 250GR, VAINILLA</t>
  </si>
  <si>
    <t>VINO BIANCHI 750ML, CABERNET SAUVIGNON</t>
  </si>
  <si>
    <t>VINO BIANCHI FAMIGLIA RESERVA TI, MALBEC</t>
  </si>
  <si>
    <t>ESPUMANTE  NAVARRO COR, SPARKLING DULCET</t>
  </si>
  <si>
    <t>CHOCOLATE ORGANICO SHATTELL 70 GR, NIBS</t>
  </si>
  <si>
    <t>CHOCOLATE ORGANICO SHATTELL, SACHA INCHI</t>
  </si>
  <si>
    <t>BEBIDA COCO NATURES HEART 946ML</t>
  </si>
  <si>
    <t>ESM. SH HARD AS NAILS 13.3ML, NAIL'D IT</t>
  </si>
  <si>
    <t>FRIZZ EASE SERUM J.FRIEDA50ML, OR</t>
  </si>
  <si>
    <t>QUITAMANCHAS LA OCAX500G, ROPA COLOR</t>
  </si>
  <si>
    <t>VINO GRAN LOS ARBOLES X 750ML, MALBEC</t>
  </si>
  <si>
    <t>BLOQ NEUTROGENA ULTRA SHEER FPS100, REG</t>
  </si>
  <si>
    <t>ADEREZO DOY PACK X 350 GR PI, PACHAMANCA</t>
  </si>
  <si>
    <t>RON BOTRAN ROAJÚ 700ML</t>
  </si>
  <si>
    <t>DIPPERS MAMALAMA X150G, SAL MARAS</t>
  </si>
  <si>
    <t>PISCO INTIPALKA MV X750ML, TORONTEL</t>
  </si>
  <si>
    <t>TINTE PALETTE PERF, DULCE CHOCOLATE  365</t>
  </si>
  <si>
    <t>TINTE PALETTE PERFECT, RUBIO GLOSSY 600</t>
  </si>
  <si>
    <t>GASEOSA ANTARCTICA GUARANAX350ML, REG</t>
  </si>
  <si>
    <t>PISCO LA BOTIJA TABERNERO X700ML, ITALIA</t>
  </si>
  <si>
    <t>ESM. S.HASEN CSM 14.7ML, PLUMS WORD</t>
  </si>
  <si>
    <t>ESM. S.HASEN CSM 14.7ML, KOOK A MANGO</t>
  </si>
  <si>
    <t>TRIPACK JB SPA PREMIUM 130G, EXFOLIANTE</t>
  </si>
  <si>
    <t>GALLETA DE ARROZ KUPIEC 75, MULTIGRANOS</t>
  </si>
  <si>
    <t>PISCO LA BOTIJA 700ML+TUBO, ACHOLADO</t>
  </si>
  <si>
    <t>ALFAJOR RELLENO CJ X 6UND BRITT, LUCUMA</t>
  </si>
  <si>
    <t>AGUA SAN PELLEGRINO 330ML, MELOGRANO</t>
  </si>
  <si>
    <t>GOMAS JELLY BEAN, GUMMI BEARS 85G</t>
  </si>
  <si>
    <t>BEBIDA C/ALOE SAPPE  X1LT, UVA</t>
  </si>
  <si>
    <t>ETERNA GUANTE FLEX, TALLA 8</t>
  </si>
  <si>
    <t>PISCO LA CARAVEDO BOT X 750 ML, TORONTEL</t>
  </si>
  <si>
    <t>CAFÉ GOURMET TOSTADO,  MONTCAFÉ, MOLIDO</t>
  </si>
  <si>
    <t>SALSA AJI STDO 165GR S, ROCOTO,COCO,PIÑA</t>
  </si>
  <si>
    <t>PISCO 4GALLOS MV COLECC ART X, TORONTEL</t>
  </si>
  <si>
    <t>COLONIA BODY FANTASIES X, SWEET SUNRISE</t>
  </si>
  <si>
    <t>MACARONI &amp; CHEESE CUPS 58G, THREE CHEESE</t>
  </si>
  <si>
    <t>WAWASANA MADRE COCA X20B X1.3G, ANDINA</t>
  </si>
  <si>
    <t>MASCARA PESTAÑAS MAYB, A PRUEBA DE AGUA</t>
  </si>
  <si>
    <t>SH M GEL ESMALTE RED, 110 BIRTHDAY SUIT</t>
  </si>
  <si>
    <t>SH M GEL ESMALTE RED EYE 43, 200 PINK UP</t>
  </si>
  <si>
    <t>SH M GEL ESMALTE RED EYE 439, 330 REDGY</t>
  </si>
  <si>
    <t>SH M GEL ESMALTE RED EYE 43, 470 RED EYE</t>
  </si>
  <si>
    <t>SH M GEL ESMALTE RED EYE, 570 PURPLEXED</t>
  </si>
  <si>
    <t>CERVEZA CANDELARIA PACK 4 BOT,WITBIER</t>
  </si>
  <si>
    <t>PISCO PURO N PANCHO FIERRO X, QUEBRANTA</t>
  </si>
  <si>
    <t>BRITT ESPRESSO X 10 CAP, INTENSO</t>
  </si>
  <si>
    <t>KATIVA CONDITIONER 1LT , COCONUT</t>
  </si>
  <si>
    <t>TE VERDE X 50G, TE VERDE</t>
  </si>
  <si>
    <t>CERV SIERRA ANDINA 330, INTI GOLDEN</t>
  </si>
  <si>
    <t>DIPPERS MAMALAMA X150G, FINAS HIERBAS</t>
  </si>
  <si>
    <t>JAB GLIC 1LT SIMOND´S, AVENA</t>
  </si>
  <si>
    <t>CHOCOLATE SLENDER 100G, CHOCOLATE MILK</t>
  </si>
  <si>
    <t>CHOCOLATE SLENDER 100G, NARANJA S/AZUCAR</t>
  </si>
  <si>
    <t>GRANOLA HUELLA VERDE 400GR , SKINNY</t>
  </si>
  <si>
    <t>DEO PIES X260ML+DEO PIES OLIMPX26, XTREM</t>
  </si>
  <si>
    <t>NECTAR SELVA DURAZNO X 900ML</t>
  </si>
  <si>
    <t>PISCO VARGAS X 750ML, MOSCATEL</t>
  </si>
  <si>
    <t>NECTAR SELVA NARANJA X 300ML</t>
  </si>
  <si>
    <t>TINTE EXCEL, EXT.PROF CHOCOLATE PURO 677</t>
  </si>
  <si>
    <t>BOTANICOS GO BARMAN, MIX GIN B</t>
  </si>
  <si>
    <t>BOTANICOS GO BARMAN , WHISKYRUM</t>
  </si>
  <si>
    <t>CHILCANO TABERNERO 275ML, PIÑA MENTA</t>
  </si>
  <si>
    <t>DEO NIVEA SACHET X18 UN, INVISIBLE WOMEN</t>
  </si>
  <si>
    <t>PACK SECRET LOVE COLX50ML+BODYX100, PINK</t>
  </si>
  <si>
    <t>ESMALTE SH INSTA DRI, 126 IN NUDE-TRAL</t>
  </si>
  <si>
    <t>ESMALTE SH INSTA DRI, 276 ABLAZING</t>
  </si>
  <si>
    <t>AGUA SOCOSANI SABORIZADA B, FRUTOS ROJOS</t>
  </si>
  <si>
    <t>SHAMPOO AMMENS FRASCO X 100 ml, ORIGINAL</t>
  </si>
  <si>
    <t>CREMA VEET PIEL 2X100ML C/U, NORMAL</t>
  </si>
  <si>
    <t>BEBIDA ORG.SCOTTI  1L, ARROZ QUINUA</t>
  </si>
  <si>
    <t>BEBIDA ORG.SCOTTI 1L , ARROZ CON ALMENDR</t>
  </si>
  <si>
    <t>TRATAMIENTO CAP NUTRIBELA POT, NUTRICION</t>
  </si>
  <si>
    <t>TAB CHOC LA IBER C/NIBS BITTER 90G</t>
  </si>
  <si>
    <t>AGUA MR PERKINS 200ML, PINK ROSADO</t>
  </si>
  <si>
    <t>RTD HIT CARTAVIO 355 ML, MOJITO</t>
  </si>
  <si>
    <t>SHAMPOO PERT DETOX GRAN, FUERZA KERATINA</t>
  </si>
  <si>
    <t>DOYPACK SHAMPOO DR.ZAIDMAN BAB, ORIGINAL</t>
  </si>
  <si>
    <t>FEBREZE AIR X 250G , APPLE NAVIDAD</t>
  </si>
  <si>
    <t>TINTE LOREAL MAGIC RETOUCH , NEGRO</t>
  </si>
  <si>
    <t>RON CARTAVIO BOT X 250ML , BLANCO</t>
  </si>
  <si>
    <t>GRANOLA HUELLA VERDE 400GR , CHOCOL</t>
  </si>
  <si>
    <t>CERVEZA ARTESANAL 7 VIDAS BOT 330 , QUAD</t>
  </si>
  <si>
    <t>CERVEZA ARTESANAL 7 VIDAS BO, OXAPA HONE</t>
  </si>
  <si>
    <t>SHAMPOO KONZILX375ML , SEDA LIQ+PRO VIT</t>
  </si>
  <si>
    <t>CR PARA PEINAR KONZILX230ML , ALM+PANT</t>
  </si>
  <si>
    <t>ACOND KONZILX375ML , COL+VIT B7</t>
  </si>
  <si>
    <t>PISCO 4 GALLOS MV 700ML , QUE</t>
  </si>
  <si>
    <t>PISCO 4 GALLOS MV 700ML , ITA</t>
  </si>
  <si>
    <t>CITRICO COCTELERIA GO BARMAN, LIMON 25GR</t>
  </si>
  <si>
    <t>PISCO BARSOL 750 ML , TORONTEL</t>
  </si>
  <si>
    <t>PISCO BARSOL MOSTO VERDE 750 ML, TORONTE</t>
  </si>
  <si>
    <t>DESINFECTANTE VIRUTEX X 900ML , LAVAND</t>
  </si>
  <si>
    <t>GRANOLA HUELLA VERDE 400GR , LUCUMA</t>
  </si>
  <si>
    <t>DESINFECTANTE VIRUTEX X 1800ML , LAVAN</t>
  </si>
  <si>
    <t>PISCO KUMYA BOT 700 ML, QUEBRANTA</t>
  </si>
  <si>
    <t>CERVEZA ARTESANAL CURAKA 330ML,WHEAT ALE</t>
  </si>
  <si>
    <t>AGUA TÓNIC MR PERKINS BLOSS 4 UN X 200ML</t>
  </si>
  <si>
    <t>SUPERSTAY MATTE INK : LOYALIST , LOVER</t>
  </si>
  <si>
    <t>FRIZZ EASE JOHN FRIEDA 250ML , AC DREAM</t>
  </si>
  <si>
    <t>BEBIDA MOGU MOGU NARANJA 320ML , NARANJA</t>
  </si>
  <si>
    <t>JABON INTIMO BACTERION 300ML , MANZANILL</t>
  </si>
  <si>
    <t>DUO COLOR , NUTRITION 6 RUBIO OSCURO</t>
  </si>
  <si>
    <t>CREMA PARA PEINAR MUSS KIDS 300ML , MANZ</t>
  </si>
  <si>
    <t>RON CABO BLANCO 1L, BLACK</t>
  </si>
  <si>
    <t>MANI TOSTADO CON MIEL ESSENTIAL EV. 16OZ</t>
  </si>
  <si>
    <t>Superstay Full Coverage, BUFF BEIGE</t>
  </si>
  <si>
    <t>ROO RETOUCH SCHWARZKOPFx120, CASTAÑO OS</t>
  </si>
  <si>
    <t>LABIAL SUPERSTAY MATTE INK , SEDUCTRESS</t>
  </si>
  <si>
    <t>SHAMPOO HASK X 355ML, COCONU OIL</t>
  </si>
  <si>
    <t>SHAMPOO HOMBRE VITANE 400ML , ANTICASPA</t>
  </si>
  <si>
    <t>SHAMPOO MUJER VITANE 400ML , ANTICAIDA</t>
  </si>
  <si>
    <t>ESPUMA DE AFEITAR VITANE, PIEL SENSIBLE</t>
  </si>
  <si>
    <t>FITOSHAMPOO WELEDA X250ML , MELISA</t>
  </si>
  <si>
    <t>FITOACONDICIONAD WELEDAX250M , MANZANILL</t>
  </si>
  <si>
    <t>GEL DE BAÑO LIQ BABARIA X600ML , ALOE</t>
  </si>
  <si>
    <t>ILUMINADOR MNY MASTER CHROME, GOLD MEDIU</t>
  </si>
  <si>
    <t>TABLETA CHOCOLATE STEVIA X 75GR TR , LEC</t>
  </si>
  <si>
    <t>MASC GARNIER TELA SACHET 32G , MANZANILL</t>
  </si>
  <si>
    <t>VINO KIDIA GRAN RESERVA 750M, CAB. SAUV.</t>
  </si>
  <si>
    <t>VINO TARAPACA GRAN RESER 750ML, CAB SAU</t>
  </si>
  <si>
    <t>VINO H.CANALE G.RESERVA 750ML , MALBEC</t>
  </si>
  <si>
    <t>VINO H.CANALE ESTATE 750ML , MALBEC</t>
  </si>
  <si>
    <t>VINO H.CANALE INTIMO 750ML MERL</t>
  </si>
  <si>
    <t>VINO SOMBRERO 750ML, CABER FRAN</t>
  </si>
  <si>
    <t>REFILL MIXOLOGY KIT GO BARMAN , GIN</t>
  </si>
  <si>
    <t>VINO HERMANDAD 750 ML , MALBEC</t>
  </si>
  <si>
    <t>VINO HAROLDOS 750 ML, SAUV BLANC</t>
  </si>
  <si>
    <t>CERA BARBERIA X70GR , VOLU&amp;SHINE</t>
  </si>
  <si>
    <t>TINTE PALETTE PERF ARTIST 50ML ACLARANTE</t>
  </si>
  <si>
    <t>CHICLE ORBIT BOTTLE WHITE 15 , PEPPERMIN</t>
  </si>
  <si>
    <t>GOMAS HARIBO X 35G , HAPPY COLA</t>
  </si>
  <si>
    <t>SAL MARAS ECO X500GR NAT CRYSTAL , FINA</t>
  </si>
  <si>
    <t>MASCARILLA FREEMAN X17, SWEET TEA&amp; LEMON</t>
  </si>
  <si>
    <t>GIN MALFY BOT 700ML , ROSA</t>
  </si>
  <si>
    <t>CHOCOLATE QUMA 70% CACAO ORGA, SAL MARAS</t>
  </si>
  <si>
    <t>CHOCOLATE QUMA 70% CACAO ORGA. , PLATANO</t>
  </si>
  <si>
    <t>BASE PISCO SOUR 3,2,1 SOUR!, AMAZÓNICO</t>
  </si>
  <si>
    <t>FOUR LOKO 473ML , SANDIA</t>
  </si>
  <si>
    <t>FOUR LOKO 473ML , MANGO</t>
  </si>
  <si>
    <t>SHAMPOO BALLERINA DP 750ML, COCO JAZMIN</t>
  </si>
  <si>
    <t>ACONDIC BALLERINA DP 900ML, COCO JAZMIN</t>
  </si>
  <si>
    <t>SHAMPOO JOHNSON'S BABY, GOTAS DE BRILLO</t>
  </si>
  <si>
    <t>SHAMPOO JOHNSON'S BABY X750M , MANZANILL</t>
  </si>
  <si>
    <t>SHAMP JOHNSON'S NIÑO X750M, HIDR INTENSA</t>
  </si>
  <si>
    <t>ACONDIC JOHNSON'S BABY X400M , MANZANILL</t>
  </si>
  <si>
    <t>SHAMP JOHNSON'S NIÑO X400M, FUERZA Y VIT</t>
  </si>
  <si>
    <t>ACON JOHNSON'S NIÑO X400ML, FUERZA Y VIT</t>
  </si>
  <si>
    <t>SHAMP JOHNSON'S NIÑO X200M, FRAG PROLONG</t>
  </si>
  <si>
    <t>TURRON ALMOND STICKS 50GR</t>
  </si>
  <si>
    <t>TURRON SALTED CARAMEL ALMOND 50GR</t>
  </si>
  <si>
    <t>TURRON CHOC CARAMELO ALMOND 50GR</t>
  </si>
  <si>
    <t>ACOND JOHNSON'S NIÑO X200M, HIDR INTENSA</t>
  </si>
  <si>
    <t>CREMA JOHNSON'S BABY X800ML , AVENA</t>
  </si>
  <si>
    <t>JB LIQ JOHNSON'S BABY X400ML , AVENA</t>
  </si>
  <si>
    <t>JB LIQ  JOHNSON'S BABY X200M, ANTES DORM</t>
  </si>
  <si>
    <t>ADEREZO KRAFT X473ML, BALSAMIC V</t>
  </si>
  <si>
    <t>BEBIDA FRU+ 400ML, MANGO SAND</t>
  </si>
  <si>
    <t>Copa menstrual The DivaCup, MODELO #1</t>
  </si>
  <si>
    <t>SANGRÍA LOLEA BOT 750ML , BLANCA</t>
  </si>
  <si>
    <t>RON CARTAVIO SABOR 750ML , LIMON</t>
  </si>
  <si>
    <t>JABÓN GLICERI TRIPACK FAM CAR, ALOE VERA</t>
  </si>
  <si>
    <t>VINO LOPEZ BOT 750ML , MALBEC</t>
  </si>
  <si>
    <t>VINO BARCELONA RESERVA BOT 750ML , MB</t>
  </si>
  <si>
    <t>VINAGRE BLANCO MAXIMA X 250ML</t>
  </si>
  <si>
    <t>VINO RUTINI ENCUENTRO BOT 750ML , ME</t>
  </si>
  <si>
    <t>SANGRIA LOLEA 200ML , BLANCA</t>
  </si>
  <si>
    <t>VINO SANTA EMA G.RESERVA 750ML , MB</t>
  </si>
  <si>
    <t>SILLAO MAXIMA X 250ML</t>
  </si>
  <si>
    <t>SALSA BBQ ORGINAL KRAFT X 510 GR</t>
  </si>
  <si>
    <t>HOJUELA AVENA HUELLA VERDE 400GR</t>
  </si>
  <si>
    <t>GRANOLA HUELLA VERDE 200G , SKINNY</t>
  </si>
  <si>
    <t>GRANOLA HUELLA VERDE 200G , CHOCO</t>
  </si>
  <si>
    <t>GRANOLA HUELLA VERDE 200G , LUCUM</t>
  </si>
  <si>
    <t>VINO RUPESTRE ROB 750ML, GARNACH TIN</t>
  </si>
  <si>
    <t>ESPUMANTE FREIXENET 750ML , ROSE</t>
  </si>
  <si>
    <t>AMBIENTADOR DARYZA X GALON , BOUQUET</t>
  </si>
  <si>
    <t>JUGO HOOP BOT X 355ML , YERBERITO</t>
  </si>
  <si>
    <t>SNACK NATURE´S HEART 70, F.DESHI/F.SECOS</t>
  </si>
  <si>
    <t>TRIPACK JABON JOHNSON 110GR, REMUEV BACT</t>
  </si>
  <si>
    <t>TRIPACK JABON JOHNSON 11, REMBACULTRAFRE</t>
  </si>
  <si>
    <t>JB JABON BARRA UN x110g, CREMO HUME</t>
  </si>
  <si>
    <t>JOHNBABY JABON 3PACKX110GR , ANTDOR</t>
  </si>
  <si>
    <t>FELIZ CUMPLE X160G , BURBUJITAS</t>
  </si>
  <si>
    <t>TAB CHOC MILKY CASTAÑAS 100G</t>
  </si>
  <si>
    <t>4PACK RICCADONNA 200ML , RUBY</t>
  </si>
  <si>
    <t>JABÓN MONCLER X145GR, BLANCO</t>
  </si>
  <si>
    <t>JABÓN MONCLER TRIPACKX145GR , AZUL</t>
  </si>
  <si>
    <t>JB AMMENS BB TRIPACK 120GR, ORIGINAL</t>
  </si>
  <si>
    <t>FRUTA DESHIDR MONDO X 40G , MANGO</t>
  </si>
  <si>
    <t>JABON LIQ BALLERINA X 350ML, AVEN ALM</t>
  </si>
  <si>
    <t>PISCO HUALCARA 2L , QUEBRANTA</t>
  </si>
  <si>
    <t>DESINFECT PISOS LYSOL X3785ML , CITRUS</t>
  </si>
  <si>
    <t>BRITT ESPRESSO X25CAPS , INTENSO</t>
  </si>
  <si>
    <t>PALITOS X100 GR LA MOLE, MINI PIZZA</t>
  </si>
  <si>
    <t>CAFÉ TUNKI MOLIDOX250G , AMERICANO</t>
  </si>
  <si>
    <t>CAFÉ MOLIDO ORG. X250GR ASHI , MEDIO</t>
  </si>
  <si>
    <t>PISCO MV FINCA ROTONDO 750 ML , QUEBRA</t>
  </si>
  <si>
    <t>EPIC PROTEIN X35GR , ORIGINAL</t>
  </si>
  <si>
    <t>EPIC PROTEIN X1LB, CHOCO MACA</t>
  </si>
  <si>
    <t>VINO LUTZVILLE BOT 750ML , CAB.SAUVIG</t>
  </si>
  <si>
    <t>BITES ALMENX6UNIDS DYFFERENT , CARAMEL</t>
  </si>
  <si>
    <t>PISCO 1615 MOSTO VERDE 700ML , ITALIA</t>
  </si>
  <si>
    <t>PISCO 1615 PURO 700ML , TORONTEL</t>
  </si>
  <si>
    <t>INFUS.CJX10UN LA FIDELIA , AMAZONA</t>
  </si>
  <si>
    <t>MASCARILLDESECHBIOTECX3UN , UNICORN</t>
  </si>
  <si>
    <t>CERVEZA MADDOK 330ML , CAPSICUM</t>
  </si>
  <si>
    <t>PISCO SARCAY SELECTO 750ML , ACHOLADO</t>
  </si>
  <si>
    <t>BARRAS TRUBALLS SIXPACK , FRUT&amp;NUEC</t>
  </si>
  <si>
    <t>BARRAS TRUBALLS X90GR , FRUT&amp;NUEC</t>
  </si>
  <si>
    <t>CAFE HONEY ORGAN X250G ASHI , MOLIDO</t>
  </si>
  <si>
    <t>COLONIA X 175 ML , MICKEY</t>
  </si>
  <si>
    <t>DESODORANTE PIES X 260ML , ANTITRANSP</t>
  </si>
  <si>
    <t>VINO SINGLE VALLEY LOT 750ML , ME</t>
  </si>
  <si>
    <t>VINO PIATELLI RESERVA 750ML , CAB.SAUV</t>
  </si>
  <si>
    <t>SALSA TRAPPEY X177ML, CAYENE PEP</t>
  </si>
  <si>
    <t>ESPUMANTE BOTTEGA 0 BOT 750ML , ROSE</t>
  </si>
  <si>
    <t>INFUS DIETTE X21UNIDS WAWASANA , FIT</t>
  </si>
  <si>
    <t>VINO TERRANOBLE RSVA 750ML , CARMENERE</t>
  </si>
  <si>
    <t>VINO TERRANOBLE RSV 750ML , SAUV.BLANC</t>
  </si>
  <si>
    <t>VINO TERRANOBLE 750ML. , SAUV.BLANC</t>
  </si>
  <si>
    <t>VINO DARK HORSE 750ML. , RBL</t>
  </si>
  <si>
    <t>CHILCANO TABERNERO LATA 310ML , LIMON</t>
  </si>
  <si>
    <t>RTD LEGEND OLD TIMES BT 355ML , ENERGY</t>
  </si>
  <si>
    <t>AGUA MICELARX600ML TEATRICAL , TÉVERD</t>
  </si>
  <si>
    <t>AGUA MICELARX600ML TEATRICAL , PALTA</t>
  </si>
  <si>
    <t>GIN MAGICO CERVECERO BAR 700ML, RED A</t>
  </si>
  <si>
    <t>GIN MAGICO CERVECERO BAR 700ML , IPA</t>
  </si>
  <si>
    <t>TOALLAS DESINF LYSOL FLPX36, CITRICO</t>
  </si>
  <si>
    <t>HUNGRY JACK SYRUP X816 ML , ORIGINAL</t>
  </si>
  <si>
    <t>PISCO SARCAY PURO 700ML , ITALIA</t>
  </si>
  <si>
    <t>PISCO SARCAY PURO 700ML , TORONT</t>
  </si>
  <si>
    <t>PISCO SARCAY PURO 700ML , MOLLAR</t>
  </si>
  <si>
    <t>PISCO SARCAY ACHOLADO 700ML , QUE-ALB</t>
  </si>
  <si>
    <t>PISCO SARCAY ACHOLADO BOT 700 , PATRVI</t>
  </si>
  <si>
    <t>PISCO SARCAY MV 700ML , ITALIA</t>
  </si>
  <si>
    <t>HARINA SIETE SEMI NATUR X200GR , VAINI</t>
  </si>
  <si>
    <t>HARINA SIETE SEMI NATUR X200GR , CHOCO</t>
  </si>
  <si>
    <t>VINO SECRET RESERVE 750ML , CAB.SAUVIG</t>
  </si>
  <si>
    <t>VINO MEDALLA REAL 750ML , CAB.SAUVIG</t>
  </si>
  <si>
    <t>VINO HONORO VERA 750ML , TEMP</t>
  </si>
  <si>
    <t>VINO HONORO VERA 750ML , MONASTRELL</t>
  </si>
  <si>
    <t>CEREAL CATALINA CRUNCH 255GR , CHOCO</t>
  </si>
  <si>
    <t>CEREAL CATALINA CRUNCH 255GR , CINNA</t>
  </si>
  <si>
    <t>CREMADOR NATURES HEART 500ML , ALMOND</t>
  </si>
  <si>
    <t>CREMADOR NATURES HEART 500ML , VAINILL</t>
  </si>
  <si>
    <t>VINO CALVET VARIETALS 750ML , CAB.SAUV</t>
  </si>
  <si>
    <t>VINO CALVET VARIETALS 750ML , MERLOT</t>
  </si>
  <si>
    <t>BARRA DE MANI DYFFERENT 175G , TOFFEE</t>
  </si>
  <si>
    <t>BARRA DE MANI DYFFERENT 175G , CHOCO</t>
  </si>
  <si>
    <t>RTD MG SPIRIT BOT 275 ML, GIN LEMON</t>
  </si>
  <si>
    <t>RTD MG SPIRIT BOT 275 ML, VODKA BLUE</t>
  </si>
  <si>
    <t>FREJOLESROJOS PEQUEÑOS ENSALSA GOYA 425G</t>
  </si>
  <si>
    <t>GOYA SAZONADOR TOTALCON PIMIENTA 312GR</t>
  </si>
  <si>
    <t>RTD MG SPIRIT BOT 275 ML , MANZANA</t>
  </si>
  <si>
    <t>BARRA PROTEICA NAMPI X5UND , BANANA</t>
  </si>
  <si>
    <t>BARRA PROTEICA NAMPI X5UND , CURCUMA</t>
  </si>
  <si>
    <t>RTD DR. LEMON LATA 473 ML , VODKA</t>
  </si>
  <si>
    <t>RTD WASSKA PUNCH 269 ML , MARACUYA</t>
  </si>
  <si>
    <t>RTD WASSKA PUNCH 269 ML, PIÑA C.</t>
  </si>
  <si>
    <t>MINI MIXOLOGY GO BARMAN 60GR , WHISKY</t>
  </si>
  <si>
    <t>CEREAL DE GARB. DYFFERENT X210 , MIEL</t>
  </si>
  <si>
    <t>PISCO CARNAVAL BOT 750 ML , QUEBRANTA</t>
  </si>
  <si>
    <t>GOYA SAZONADOR TOTAL 312 GR</t>
  </si>
  <si>
    <t>GOYA SAZON CULANTRO / ACHIOTE 40GR</t>
  </si>
  <si>
    <t>PISCO CARNAVAL BOT 750 ML , ITALIA</t>
  </si>
  <si>
    <t>RTD BACARDI LATA 310 ML , MOJITO</t>
  </si>
  <si>
    <t>VINO PIERNAS LARGAS 750ML , CAB.SAUV</t>
  </si>
  <si>
    <t>VINO PIERNAS LARGAS RSVA 750ML. , CSA</t>
  </si>
  <si>
    <t>VINO PIERNAS LARGAS RSVA 750ML. , CAR</t>
  </si>
  <si>
    <t>VINO OBIKWA BOT 750ML , SHIRAZ</t>
  </si>
  <si>
    <t>VINO OBIKWA BOT 750ML , PINOTAGE</t>
  </si>
  <si>
    <t>AGUA TONICA BRITVIC 200ML , REG</t>
  </si>
  <si>
    <t>VINO TERRAZAS RESERVA 750ML, CAB SAUV</t>
  </si>
  <si>
    <t>BATIDO NUTRISHAKE X200GR, KIDS CA</t>
  </si>
  <si>
    <t>VINO GARZON ESTATE 750ML , TANNAT</t>
  </si>
  <si>
    <t>VINO GARZON RESERVA 750ML , CABERNET</t>
  </si>
  <si>
    <t>AGUA MR PERKINS 4PACK 180ML, PINK SO</t>
  </si>
  <si>
    <t>CAFÉ TUNKI EN GRANO 250G , AMERICANO</t>
  </si>
  <si>
    <t>VINO CONTRASTE VARIETAL 750ML , MALBEC</t>
  </si>
  <si>
    <t>VINO CONTRASTE RESERVA 750ML , CSA</t>
  </si>
  <si>
    <t>CEREAL POST HONEY BUNCH 340GR , ROAST</t>
  </si>
  <si>
    <t>VINO TIERRA SELECTA 750ML. , CARMENERE</t>
  </si>
  <si>
    <t>VINO TIERRA SELECTA 750ML. , CAB.SAUV</t>
  </si>
  <si>
    <t>TRIPACK ALFAJOR GUSTOZZI X 60G , LUCUM</t>
  </si>
  <si>
    <t>TRIPACK ALFAJOR GUSTOZZI X 60G , PIE</t>
  </si>
  <si>
    <t>SALSA EL CHARRÚA X 200GR , CHIMICHURI</t>
  </si>
  <si>
    <t>OLIPACK CALÉ ACEITUNA S/HUESO , NEGRA</t>
  </si>
  <si>
    <t>MOGU MOGU 1L , UVA</t>
  </si>
  <si>
    <t>AGUA TÓNICA LONDON ESSENCE 200ML</t>
  </si>
  <si>
    <t>GINGER BEER Q MIXERS 4 UN X 222ML</t>
  </si>
  <si>
    <t>GINGER BEER LIGHT Q MIXER 4 UN X 222ML</t>
  </si>
  <si>
    <t>BARRA QUINUA CHOC. QFOODS 6 UN , ARAND</t>
  </si>
  <si>
    <t>VAPEADOR VUSE , BLUEBERRY</t>
  </si>
  <si>
    <t>VAPEADOR VUSE, MANGO ICE</t>
  </si>
  <si>
    <t>VAPEADOR VUSE , PEPPERMINT</t>
  </si>
  <si>
    <t>HUEVO SORPRESA X115G, PAW PATROL</t>
  </si>
  <si>
    <t>HUEVO SORPRESA X115G, PEPPA PIG</t>
  </si>
  <si>
    <t>TATTOO BROW 3D GEL, WARM BROWN</t>
  </si>
  <si>
    <t>TATTOO BROW 3D GEL, DEEP BROWN</t>
  </si>
  <si>
    <t>FIT ME ULTMT TWC, SPF 123 AS</t>
  </si>
  <si>
    <t>FIT ME ULTMT TWC, SPF 128 AS</t>
  </si>
  <si>
    <t>FIT ME ULTMT TWC, SPF 230 AS</t>
  </si>
  <si>
    <t>FIT ME ULTMT TWC, SPF 235 AS</t>
  </si>
  <si>
    <t>REHIDRATANTE SUEROX 630ML , KIWI</t>
  </si>
  <si>
    <t>REHIDRATANTE SUEROX 630ML , MANZANA</t>
  </si>
  <si>
    <t>EXCELLENCE NUDES , 1U</t>
  </si>
  <si>
    <t>EXCELLENCE NUDES , 2U</t>
  </si>
  <si>
    <t>EXCELLENCE NUDES , 5U</t>
  </si>
  <si>
    <t>EXCELLENCE NUDES , 6U</t>
  </si>
  <si>
    <t>VINO CASA SILVA RESERVA 750ML , CAB</t>
  </si>
  <si>
    <t>VINO CASA SILVA RESERVA 750ML , CAR</t>
  </si>
  <si>
    <t>VINO CASA SILVA G.TERROIR 750ML , CAR</t>
  </si>
  <si>
    <t>VINO PACHECO PEREDA FAMILIA 750ML , CS</t>
  </si>
  <si>
    <t>VINO PACHECO PEREDA ESTIRPE 750ML , MB</t>
  </si>
  <si>
    <t>BARRAS SIETE DRAGONES 7 UN , CHIA&amp;COCO</t>
  </si>
  <si>
    <t>BARRAS SIETE DRAGONES 5 UN , PIÑA&amp;COCO</t>
  </si>
  <si>
    <t>BARRAS SIETE DRAGONES 5 UN , CASTA&amp;MOCA</t>
  </si>
  <si>
    <t>FRIZZ LAMBRUSCO DOLCE 750ML , BIANCO</t>
  </si>
  <si>
    <t>GOYA ADOBO CON AZAFRAN 226 GR</t>
  </si>
  <si>
    <t>GOYA MAIZ ENTERO GOLDEN CORN X 248G</t>
  </si>
  <si>
    <t>GOYA MAIZ ENTERO GOLDEN CORN X 432G</t>
  </si>
  <si>
    <t>VINO MUGA ROSADO 750ML</t>
  </si>
  <si>
    <t>VINO MUGA BLANCO 750ML</t>
  </si>
  <si>
    <t>FRIZZ LAMBRUSCO DOLCE 750ML , ROSA</t>
  </si>
  <si>
    <t>CAPSULAS CAFÉ VIAGGIO 10 UN , COLOM</t>
  </si>
  <si>
    <t>CAPSULAS CAFÉ VIAGGIO 10 UN , VAINILLA</t>
  </si>
  <si>
    <t>TINTE NATURAL HENNA, TIERRA MED</t>
  </si>
  <si>
    <t>TINTE NATURAL HENNA, TIERRA OSC</t>
  </si>
  <si>
    <t>GRANOLA DYFFERENT 250GR , MANZANA</t>
  </si>
  <si>
    <t>GRANOLA DYFFERENT 250GR , PLATANO</t>
  </si>
  <si>
    <t>CEREAL 7 SEMILLAS NATURANDES , VAINIL</t>
  </si>
  <si>
    <t>CEREAL 7 SEMILLAS NATURANDES , CLASIC</t>
  </si>
  <si>
    <t>PAPAS PARTNERS CHIPS 140G, TOCINO BBQ</t>
  </si>
  <si>
    <t>FIT ME FRESH TINT, SPF50 02</t>
  </si>
  <si>
    <t>VINO VENTISQUERO RSV CAB.SAUV 750ML</t>
  </si>
  <si>
    <t>FIT ME FRESH TINT, SPF50 06</t>
  </si>
  <si>
    <t>FIT ME FRESH TINT, SPF50 07</t>
  </si>
  <si>
    <t>BROW FAST SCULPT, Deep Brown</t>
  </si>
  <si>
    <t>SALSA PARILLERO PREMIUM X 190GR , MARC</t>
  </si>
  <si>
    <t>REHIDRATANTE SUEROX PACK X 4UN , FRESA</t>
  </si>
  <si>
    <t>REHIDRATANTE SUEROX PACK X 4UN , MORA</t>
  </si>
  <si>
    <t>CREMA X70GR CUISINE&amp;CO , ALCACHOFA</t>
  </si>
  <si>
    <t>CREMA X70GR CUISINE&amp;CO , ESPARRAGO</t>
  </si>
  <si>
    <t>TABLTA TANA CHO CACAO X85GR, LECH 49%</t>
  </si>
  <si>
    <t>TABLTA TANA CHO CACAO X85GR, BITT 55%</t>
  </si>
  <si>
    <t>BEBIDA MALTA POLAR LATA 355ML , MALTA</t>
  </si>
  <si>
    <t>SODA MR PERKINS PINK LT 180ML X 12 UN</t>
  </si>
  <si>
    <t>P011184</t>
  </si>
  <si>
    <t>ACEITE AJONJOLI GALON - SB</t>
  </si>
  <si>
    <t>BUSCAMINT CAJA X12 CAPSULAS BLANDAS</t>
  </si>
  <si>
    <t>VINO LOCO DE PIEDRA RSVA CAR 750ML</t>
  </si>
  <si>
    <t>VINO LOCO DE PIEDRA RSVA SAUV BCO 750ML</t>
  </si>
  <si>
    <t>VANISH LIQUIDO BLANCO 450ML DYP</t>
  </si>
  <si>
    <t>VINO B&amp;G D´ANJOU ROSE 750ML</t>
  </si>
  <si>
    <t>4PACK RICCADONNA 200ML, ROSE</t>
  </si>
  <si>
    <t>ACEITE OLIVA EXTRAVIRGEN SANTOLIVO 250ML</t>
  </si>
  <si>
    <t>ACEITE DE OLIVA EXTRA VIRGEN OLI21 200ML</t>
  </si>
  <si>
    <t>ACEITE DE OLIVA EXTRA VIRGEN OLI21 500ML</t>
  </si>
  <si>
    <t>HASK ACONDICIONADOR BLONDE CARE 355 ML</t>
  </si>
  <si>
    <t>CHUPETE GLOBO POP MARACUYÁ X 25UN</t>
  </si>
  <si>
    <t>VINO ESTAMPA GRAN RSVA CAR BLEND</t>
  </si>
  <si>
    <t>VINO ESTAMPA GOLD CAB SAUV BLEND</t>
  </si>
  <si>
    <t>VINO ESTAMPA DELVIENTO ROSE</t>
  </si>
  <si>
    <t>VINO ESTAMPA DELVIENTO P NOIR</t>
  </si>
  <si>
    <t>KT COCONUT ALMOND RETINOL SHA X 355ML</t>
  </si>
  <si>
    <t>DR ZAIDMAN BABY COLONIA EX.SUAVE X 200ML</t>
  </si>
  <si>
    <t>CHOCOMONEDAS "U" CHOCOGARRA X 125GR</t>
  </si>
  <si>
    <t>BEBIDA DE COCO ORG X400ML CUISINE &amp; CO</t>
  </si>
  <si>
    <t>VINO ANDELUNA CRIANZA MALBEC 750ML</t>
  </si>
  <si>
    <t>VINO ANDELUNA CRIANZA CHARDONNAY 750ML</t>
  </si>
  <si>
    <t>LAVAVAJILLA LIQ LIMON 1.2L HOME CARE</t>
  </si>
  <si>
    <t>LAVAVAJILLA LIQ NEU 1.2L HOME CARE</t>
  </si>
  <si>
    <t>ESPONJA MULTIUSOS X6 HOME CARE</t>
  </si>
  <si>
    <t>ESPONJA SALVAUÑAS X3 HOME CARE</t>
  </si>
  <si>
    <t>ESPONJA LIMPIEZA EXTREMA X2 HOME CARE</t>
  </si>
  <si>
    <t>ESPONJA PARA PARRILLAS X2 HOME CARE</t>
  </si>
  <si>
    <t>DUOPACK BABARIA JAB DE MANOS ALOE VERA</t>
  </si>
  <si>
    <t>DUOPACK BABARIA JAB MANOS ROSA MOSQUETA</t>
  </si>
  <si>
    <t>SS VINYL INK PINK STRIKING</t>
  </si>
  <si>
    <t>SS VINYL INK PINK UPBEAT</t>
  </si>
  <si>
    <t>SS VINYL INK PINK EDGY</t>
  </si>
  <si>
    <t>VINO CASA BOHER MALBEC 750ML</t>
  </si>
  <si>
    <t>DUOPACK NIVEA FEM DEO TONO NAT ROLL 50ML</t>
  </si>
  <si>
    <t>DUOPACK NIVEA FEM DEO B&amp;W SPRAY 150ML</t>
  </si>
  <si>
    <t>JENGIBRE ENCURTIDO GARI ROJO 212 G</t>
  </si>
  <si>
    <t>PACK DE CATA LABLANCO</t>
  </si>
  <si>
    <t>WIPES BARBIE X 25UN</t>
  </si>
  <si>
    <t>WIPES BARBIE X 100UN</t>
  </si>
  <si>
    <t>JF ULTRA FILLER THICKENING SPRAY 150ML</t>
  </si>
  <si>
    <t>SEBIUM GEL MOUSSANT ACTIF 200ML</t>
  </si>
  <si>
    <t>VINO TWO HANDS SAMANTHA'S SHIRAZ 750ML</t>
  </si>
  <si>
    <t>VINO TWO HANDS MAX'S GARDEN SHIRAZ 750ML</t>
  </si>
  <si>
    <t>MEZCLA PARA CARNE DE RES GOCHEF 120G</t>
  </si>
  <si>
    <t>MEZCLA PARA CARNE DE CHANCHO GOCHEF 120G</t>
  </si>
  <si>
    <t>MI JARDÍN LA FIDELIA &amp; FITO ESPINOSA</t>
  </si>
  <si>
    <t>FIT ME FRESH TINT SPF50 2.5</t>
  </si>
  <si>
    <t>EVO SERUM VIT C + A.HIALURÓNICO 30ML</t>
  </si>
  <si>
    <t>DETERGENTE QUITA+MANCHAS ETERNA 3L</t>
  </si>
  <si>
    <t>VINO VENTISQUERO RSV CARMENERE 750ML</t>
  </si>
  <si>
    <t>PISCO MULITA TACAMA QUEBRANTA 700 ML</t>
  </si>
  <si>
    <t>SH MAQ ESM MAXIM GROWTH 13.3M, GROWTH</t>
  </si>
  <si>
    <t>LAVAV AYUDIN PASTA 950GR, LIMON SABILA</t>
  </si>
  <si>
    <t>TURRON DOÑA PEPA GUSTOZZI 3 UN</t>
  </si>
  <si>
    <t>BROWNIES TOPING PRINCESA 3 UN</t>
  </si>
  <si>
    <t>BROWNIES CLASICOS GUSTOZZI 3 UN</t>
  </si>
  <si>
    <t>GELATINA FRESA STEVIAX19G CUISINE&amp;CO</t>
  </si>
  <si>
    <t>GELATINA PIÑA STEVIAX19G CUISINE&amp;CO</t>
  </si>
  <si>
    <t>COLONIA BARBIE 175ML</t>
  </si>
  <si>
    <t>DESENREDANTE BARBIE  200ML</t>
  </si>
  <si>
    <t>ELVIVE GLYCOLIC GLOSS CTT 300G</t>
  </si>
  <si>
    <t>ELVIVE ULTRA GLOSS PH ACIDO 200ML</t>
  </si>
  <si>
    <t>ELVIVE GLYCO GLOSS CPP 300ML</t>
  </si>
  <si>
    <t>VINO VENTISQUERO RSV PINOT NOIR 750ML</t>
  </si>
  <si>
    <t>VINO VENTISQUERO QUEULAT G.RSV CSA 750ML</t>
  </si>
  <si>
    <t>VINO VENTISQUERO QUEULAT G.RSV CAR 750ML</t>
  </si>
  <si>
    <t>VINAGRE GLASSA CLASICA CREMONINI 250GR</t>
  </si>
  <si>
    <t>CAMARONCITOS SECOS X 5 GRS.A. CHIANG</t>
  </si>
  <si>
    <t>AJONJOLI BLANCO TOSTADO ''A.CHIANG''</t>
  </si>
  <si>
    <t>BOLDO X 25 SOB. HORNIMAN'S</t>
  </si>
  <si>
    <t>TE LIMON X 25 SOBRES HORNIMANS</t>
  </si>
  <si>
    <t>TE RELAJANTE X 25 SOB. HORNIMAN'S</t>
  </si>
  <si>
    <t>SALSA DE OSTION PREMIUM X 510 GR LKK</t>
  </si>
  <si>
    <t>SURTIPACK INF. NATURE'S HEART 80 UN</t>
  </si>
  <si>
    <t>SALSA DE AJI C/AJOS X368 CHILIGARLIC LKK</t>
  </si>
  <si>
    <t>ACEITE AJONJOLI C/SOYA  X 207 ML  LKK</t>
  </si>
  <si>
    <t>VINO ANDELUNA GRAN CRIANZA MB 750ML</t>
  </si>
  <si>
    <t>SALSA CHICKEN MARINADE X 410 ML LKK</t>
  </si>
  <si>
    <t>COMMAND GANCHO ORANIZACIÓN GRANDE X1</t>
  </si>
  <si>
    <t>GARNIER EXPRESS ACLARA VITAMINA C 15ML</t>
  </si>
  <si>
    <t>WHISKY BUCHANAN'S 18 AÑOS 750ML</t>
  </si>
  <si>
    <t>SALSA TAUSI C/AJO X368 BLACK BEAN GARLIC</t>
  </si>
  <si>
    <t>ACEIT.VERDESC/ANCHOAX50GPACKX3LAESPAÑOLA</t>
  </si>
  <si>
    <t>SALSA DE OSTION CHOY SUN X 255ML L.K.K.</t>
  </si>
  <si>
    <t>SALSA DE OSTION PREMIUM X 255 GR LKK</t>
  </si>
  <si>
    <t>MACA TRIGO X 120 GRS BIO MACA</t>
  </si>
  <si>
    <t>MACARITO X 130 GRS BIO MACA</t>
  </si>
  <si>
    <t>CREMA NIVEA LATA 60ML</t>
  </si>
  <si>
    <t>SALSA OLIVE 400GR BARILLA</t>
  </si>
  <si>
    <t>PURE DE MANZANA X450GR COSECHA DE ORO</t>
  </si>
  <si>
    <t>BUCATINI #6 X500 GR. AGNESI</t>
  </si>
  <si>
    <t>AJI AMARILLO E/RODAJASX225GR VALLEFERTIL</t>
  </si>
  <si>
    <t>CAPELLINI O X 500 GR AGNESI</t>
  </si>
  <si>
    <t>VINO PRADO REY ROBLE BOT 750 ML</t>
  </si>
  <si>
    <t>BEBIDA LACTEA SAB.CHOCOLATE 800ML VIGOR</t>
  </si>
  <si>
    <t>SOUR DE LIMON SANTIAGO QUEIROLO BT 700ML</t>
  </si>
  <si>
    <t>EDT VINCITORE FOR HIM 95 ML</t>
  </si>
  <si>
    <t>JALEA REAL X 120 ML NECTAR DE REYNA</t>
  </si>
  <si>
    <t>FUSILLI LUNGHI X 500GR  AGNESI</t>
  </si>
  <si>
    <t>IODIZED SALT X 26 OZ. SHURFINE</t>
  </si>
  <si>
    <t>CONCHIGLIETTE X 500 GRS AGNESI</t>
  </si>
  <si>
    <t>EDT MYTH FOR HIM 95 ML</t>
  </si>
  <si>
    <t>SALSA X 100CC JORVIC</t>
  </si>
  <si>
    <t>SALSA PARA HORNEADOS X 100 CC LAM</t>
  </si>
  <si>
    <t>SALSA CHUTNEY MAN X260 GRS. VALLE FERTIL</t>
  </si>
  <si>
    <t>EDT HALFTONE FOR MEN 100 ML</t>
  </si>
  <si>
    <t>DUO PACK BIO MACA</t>
  </si>
  <si>
    <t>MAYONESA FINA KUNELLA FEINKOST X500ML</t>
  </si>
  <si>
    <t>CREMA TARTARA KUNELLA FEINKOST X250ML</t>
  </si>
  <si>
    <t>CEBOLLITA SILBERZWIEBX320GR STOLLENWERK</t>
  </si>
  <si>
    <t>ESENCIA VAINILLA X 90CC FLEISCHMANN</t>
  </si>
  <si>
    <t>FLEISCREAM CREMA A BATIRX 1L FLEISCHMANN</t>
  </si>
  <si>
    <t>LASAGNA VERDE BARILLA 500 GR</t>
  </si>
  <si>
    <t>FIDEOS PAGLIA &amp; FIENO BARILLA 500 GR</t>
  </si>
  <si>
    <t>ACEITUN CACEREÑA S/HUESOX350GR EL SERPIS</t>
  </si>
  <si>
    <t>ALCAPARRAS EN VINAGRE X100GR EL SERPIS</t>
  </si>
  <si>
    <t>JALEA DE AJI  X 300 GR VALLE FERTIL</t>
  </si>
  <si>
    <t>EDT ARTIGIANO FOR MEN 100 ML</t>
  </si>
  <si>
    <t>COUSCOUS X 500GR AGNESI</t>
  </si>
  <si>
    <t>CHUCRUT AL VINO /WEINSAUERKRAUT X 850 ML</t>
  </si>
  <si>
    <t>AGUA MINERAL NATURAL PERRIER X 750 ML</t>
  </si>
  <si>
    <t>FILETE D/ARENQUE SALSA D/MOSTAZA RK 200G</t>
  </si>
  <si>
    <t>JABÓN EN BARRA POPEYE BLANCURA 190 GR</t>
  </si>
  <si>
    <t>ESPONJA MULTIUSOS X3 HOME CARE</t>
  </si>
  <si>
    <t>ARENQUE FRITO / RÜGEN FISCH X 500 GR</t>
  </si>
  <si>
    <t>VINO LA LINDA VIOGNIER 750 ML</t>
  </si>
  <si>
    <t>TURRON PANFORTE MARGHERITA X 200GR</t>
  </si>
  <si>
    <t>COLAPIZ FLEISCHMANN X 20 GR</t>
  </si>
  <si>
    <t>ESPONJA FIBRA VERDE ABRASIVA X4 HOME CAR</t>
  </si>
  <si>
    <t>SALSA PESTO A LA SICILIANA X 185GR AGNES</t>
  </si>
  <si>
    <t>SALSA PESTO A LA CALABRECE X 185GR AGNES</t>
  </si>
  <si>
    <t>MOSTAZA C/FINAS HIERBAS X250ML BURKHARDT</t>
  </si>
  <si>
    <t>PASTA TAGLIOLINI FESTAIOLA X250GR AGNESI</t>
  </si>
  <si>
    <t>FUDGE BROWNIE MIX X290GR BETTY CROCKER</t>
  </si>
  <si>
    <t>FUDGE BROWNIE MIX X519GR BETTY CROCKER</t>
  </si>
  <si>
    <t>FILETE D/ARENQUE EN SALSA D/TOMATEX200GR</t>
  </si>
  <si>
    <t>BASE MAYBELLINE SUPERSTAY LUMI MATTE 120</t>
  </si>
  <si>
    <t>ARROZ THAI X 500GR SCOTTI</t>
  </si>
  <si>
    <t>SPAGUETTI DE ARROZ X250GR SCOTTI</t>
  </si>
  <si>
    <t>BASE MAYBELLINE SUPERSTAY LUMI MATTE 125</t>
  </si>
  <si>
    <t>BASE MAYBELLINE SUPERSTAY LUMI MATTE 220</t>
  </si>
  <si>
    <t>BUTTERMILK PANCAKESX191GR BETTY CROCKER</t>
  </si>
  <si>
    <t>BROGANS IRISH CREAM X 750 ML</t>
  </si>
  <si>
    <t>BASE MAYBELLINE SUPERSTAY LUMI MATTE 310</t>
  </si>
  <si>
    <t>PACK DTGTE QUITA+MANCHAS ETERNA 3L+1.8L</t>
  </si>
  <si>
    <t>CHOCLO DULCE DESGRANADO425GR OLIVOSDSUR</t>
  </si>
  <si>
    <t>RON BARCELO DORADO X 750ML</t>
  </si>
  <si>
    <t>PALMITO ENTERO X 410GR COSECHA D ORO</t>
  </si>
  <si>
    <t>MOSTAZA GOURMET SEMIFUERTEX250ML BURKHAR</t>
  </si>
  <si>
    <t>VINO CASARENA 505 CHARDONNAY 750ML</t>
  </si>
  <si>
    <t>VINO BLANCO INDOMABLE BLANC DE MALBEC</t>
  </si>
  <si>
    <t>ACEITE DE MAIZ ORIGINAL X 473 ML MAZOLA</t>
  </si>
  <si>
    <t>DUO SUPERTRIGX100G+TRIGO DULX100G MARIMI</t>
  </si>
  <si>
    <t>SUPER TRIGO BOL X 100GR MARIMIEL</t>
  </si>
  <si>
    <t>TRIGO DULCE X 100 GRS. MARIMIEL</t>
  </si>
  <si>
    <t>ARROZ ORGANICO AGRICULTURA BIOLOGICAX500</t>
  </si>
  <si>
    <t>DE FRIJOLES CON TOCINO OLIVOS D.S425GR</t>
  </si>
  <si>
    <t>FRIJO.NEGROS ENSALMUERA 425 GR OLIVOSD.S</t>
  </si>
  <si>
    <t>BEBIDA LIFE SOS 355ML , RECOVERY</t>
  </si>
  <si>
    <t>BLOQ HT SENSITIVE SKIN FACIAL SPF50 60ML</t>
  </si>
  <si>
    <t>FIT ME FRESH TINT SPF50 9.5</t>
  </si>
  <si>
    <t>KETCHUP DIETETICO DE TOMATE X 300ML KUNE</t>
  </si>
  <si>
    <t>TE VERDEX 25SOB HORNIMANS</t>
  </si>
  <si>
    <t>TE MIEL LIMON X 25SOB HORNIMANS</t>
  </si>
  <si>
    <t>RAISINS  MINI SNACK X6 ONZ SUN MAID</t>
  </si>
  <si>
    <t>INFUSION LINEA HORNIMANS X25 FIL</t>
  </si>
  <si>
    <t>PALMITO ENTERO X 190GR COSECHA D ORO</t>
  </si>
  <si>
    <t>PALMITO RODAJAS X 410GR COSECHA D ORO</t>
  </si>
  <si>
    <t>FIT ME FRESH TINT SPF50 10.8</t>
  </si>
  <si>
    <t>PACK 2 VINOS DOÑA PAULA BLUE &amp; BLACK</t>
  </si>
  <si>
    <t>SILLAO OSCURO X 5 LB (1.79 L) -  PC</t>
  </si>
  <si>
    <t>LICOR DE CAFE BURGOS X 750ML</t>
  </si>
  <si>
    <t>VINO NORTON COLECCION MALBEC BOT 750ML</t>
  </si>
  <si>
    <t>VINO NORTON COLEC CAB.SAUVIG BOT 750ML</t>
  </si>
  <si>
    <t>CAVA JUVE&amp;CAMPS CINTA PURPURA SWEET 750</t>
  </si>
  <si>
    <t>MEZCLA P/PANQ B.CROCKER BUTTERMILK1.04KG</t>
  </si>
  <si>
    <t>FOUR PACK SANTA JULIA MALBEC BOT 187 ML</t>
  </si>
  <si>
    <t>FOUR PACK VINO SANTA JULIA CHARDON.X187</t>
  </si>
  <si>
    <t>SIM. AUTOFRE. GEL ECONOM. CHICLE 80G</t>
  </si>
  <si>
    <t>CHOCO S/AZUC MINI FONDY LA IBERICA 200G</t>
  </si>
  <si>
    <t>VINO ORG. SANTA JULIA CAB SAUV 750ML</t>
  </si>
  <si>
    <t>FILET SALMON CREM CHALOTAX200 RUGENFISH</t>
  </si>
  <si>
    <t>FILETE SALMON CREMA F/H RUGENFISH 200G</t>
  </si>
  <si>
    <t>MOSTAZA SEMIFUENT CHISGTEX200 BURKHARDT</t>
  </si>
  <si>
    <t>ATTITUDE SHAMPOO NAT BEBES MANZANA 473ML</t>
  </si>
  <si>
    <t>PURE(COMPOTA) MANZANA 135GR COSEC.D ORO</t>
  </si>
  <si>
    <t>ATTITUDE CREMA NAT ANTIESCALDADURA 75 GR</t>
  </si>
  <si>
    <t>SENSODYNE PACK BLANQ R&amp;P WTG 2TX100G</t>
  </si>
  <si>
    <t>CHOC. ALPACA 40% CACAO LA IBERICA 90GR</t>
  </si>
  <si>
    <t>PURE(COMPOTA)DE PERA 135G COSECHA DE ORO</t>
  </si>
  <si>
    <t>PURE(COMPOTA) MANGO 135G COSECHA DE ORO</t>
  </si>
  <si>
    <t>PURE(COMPOTA)DURAZNO135G COSECHA DE ORO</t>
  </si>
  <si>
    <t>PREMEZCLA TORTA CHOCOLATE KATZEL 510GR</t>
  </si>
  <si>
    <t>CERVEZA MAHOU 5 ESTRELLAS PACK6 BT330ML</t>
  </si>
  <si>
    <t>PACK MASON JARS PISCO PURO CUATRO GALLO</t>
  </si>
  <si>
    <t>LIFTER GLOSS PLUMP BLUSH BLAZE</t>
  </si>
  <si>
    <t>PURE DE MANZANA D´MARCO PREMIUM  500G</t>
  </si>
  <si>
    <t>INSUFLADO MAIZ DU.C/MIEL X140GR MARIMIEL</t>
  </si>
  <si>
    <t>VINO STA ANA CARACTER C.SAUV/MALBEC X750</t>
  </si>
  <si>
    <t>VINO STA. ANA CARACTER CHENIN-CHARD X750</t>
  </si>
  <si>
    <t>HAWAIIAN TROPIC MINER BRUSH FPS30 4.25GR</t>
  </si>
  <si>
    <t>ESCOBA HOME CARE ESCOBON C/MANGO</t>
  </si>
  <si>
    <t>ALCAPARRAS X 210 GR VALLEFERTIL</t>
  </si>
  <si>
    <t>SOPA INST. JAPANASE UDON BOWL X 276 GR</t>
  </si>
  <si>
    <t>SOP INST. JAPANASE UDON NOODLE BOWL 276G</t>
  </si>
  <si>
    <t>VINO NORTON BARREL SELECT MALBEC X 750ML</t>
  </si>
  <si>
    <t>PASTAROTTI SPAGHETTI AL PESTO 175 GR</t>
  </si>
  <si>
    <t>ENSALADA D/ALCACHOFA X370GR VALLE FERTIL</t>
  </si>
  <si>
    <t>SPAGHETTI S/GLUTEN MISURA X 250GR.</t>
  </si>
  <si>
    <t>TORTELLINI AL PROSCIUTTO AGNESI X 250 GR</t>
  </si>
  <si>
    <t>ALFAJ.ALMEND.PACK 20UND LA CASA ALFAJOR.</t>
  </si>
  <si>
    <t>CONSERVA DE MANGO X 450GR VALLE FERTIL</t>
  </si>
  <si>
    <t>CONSERVA DE PAPAYA 485GR VALLE FERTIL</t>
  </si>
  <si>
    <t>PURE DE MANZANA D´MARCO ANDINO 500G</t>
  </si>
  <si>
    <t>PURE DE MEMBRILLO D´MARCO LIGHT 470G</t>
  </si>
  <si>
    <t>KETCHUP C/BALSAMICO GLUTEN FREE X230 GR</t>
  </si>
  <si>
    <t>KETCHUP CLASICO GLUTEN FREE X230 GR NEP</t>
  </si>
  <si>
    <t>KETCHUP SUCCO DI MELA X220 GR NEP</t>
  </si>
  <si>
    <t>PALO PARA ESCOBA HOME CARE</t>
  </si>
  <si>
    <t>JALADOR DE AGUA HOME CARE C/MANGO</t>
  </si>
  <si>
    <t>MAYONESA CLASICA GLUTEN FREE X130 GR NEP</t>
  </si>
  <si>
    <t>GELAT.FRESATROZO DURAZNO  X 4 UNIVERSAL</t>
  </si>
  <si>
    <t>CEREZAS MARRASQUINO X245G COSECHA DE ORO</t>
  </si>
  <si>
    <t>CREMA DE ARROZ X 200 ML ISOLABIO</t>
  </si>
  <si>
    <t>COLACAO POTE X 400 GR</t>
  </si>
  <si>
    <t>VODKA LITHUANIAN BLACK</t>
  </si>
  <si>
    <t>BOLITAS DE CHOCOLATE X 120 GRS BIO MACA</t>
  </si>
  <si>
    <t>PATE HIG CERDO IBERICO 200G LT COREN</t>
  </si>
  <si>
    <t>MOPA DE ALGODÓN HOME CARE C/MANGO</t>
  </si>
  <si>
    <t>SET HOME CARE: ESCOBA + RECOGEDOR</t>
  </si>
  <si>
    <t>RECOGEDOR HOME CARE 1UN</t>
  </si>
  <si>
    <t>CHOCOLATE CAFE EMOCIONES LINAJE 102G</t>
  </si>
  <si>
    <t>CHOCOLATE AVELLANA PARA TI LINAJE 102G</t>
  </si>
  <si>
    <t>VITANE CPP RESTARURACION 6 EN 1 300 ML</t>
  </si>
  <si>
    <t>LIMPIADOR Y REPELENTE PARA PLANTAS 600ML</t>
  </si>
  <si>
    <t>HERDEZ SALSA TAQUERA 240G</t>
  </si>
  <si>
    <t>EDULCORANTE X100 TABLETAS METRO</t>
  </si>
  <si>
    <t>EDULCORANTE X400 TABLETAS WONG</t>
  </si>
  <si>
    <t>EDULCORANTE X100 TABLETAS WONG</t>
  </si>
  <si>
    <t>CUP NOODLES BOLOGNESA X69GR NISSIN</t>
  </si>
  <si>
    <t>LINGUINE FLAT INTEGRAL AGNESI 500G</t>
  </si>
  <si>
    <t>SALVADO DE TRIGO X 150 GR MARIMIEL</t>
  </si>
  <si>
    <t>HARINA DE QUINUA X 200 GR MARIMIEL</t>
  </si>
  <si>
    <t>HARINA DE KIWICHA X 200 GR MARIMIEL</t>
  </si>
  <si>
    <t>PURE DE MANZANA 820 GR WONG</t>
  </si>
  <si>
    <t>PURE DE MANZANA 820 GR METRO</t>
  </si>
  <si>
    <t>EDULCORANTE SUCRALOSA X100 SOBRES METRO</t>
  </si>
  <si>
    <t>EDULCORANTE SUCRALOSA X50 SOBRES METRO</t>
  </si>
  <si>
    <t>EDULCORANTE SUCRALOSA X50 SOBRES WONG</t>
  </si>
  <si>
    <t>GALLETA MANTEQUILLA MANI OTIS SPUNK 57GR</t>
  </si>
  <si>
    <t>GALLETA MACADAMIA OTIS SPUNKM 57GR</t>
  </si>
  <si>
    <t>MANZANA DESHIDRATDA CROCANTE ACAI 20G</t>
  </si>
  <si>
    <t>MANZANA DESHIDRATADA CROCANTE MCUYA 20G</t>
  </si>
  <si>
    <t>MANZANA DESHIDRATADA CROCANTE ACAI 125G</t>
  </si>
  <si>
    <t>SNACK QUESO GRILL SIETE DRAGONES 100G</t>
  </si>
  <si>
    <t>COMPOTA ARANDANO QUINUA CASAVERDE 120GR</t>
  </si>
  <si>
    <t>MANZANA DESHIDRATADA CROCANTE MCUYA 125G</t>
  </si>
  <si>
    <t>MANZANA DESHID. FROOTIVA SIX PACK 120 GR</t>
  </si>
  <si>
    <t>HARINA DE CHIA X 200 GR MARIMIEL</t>
  </si>
  <si>
    <t>SALVADO GOLD X 200 GR MARIMIEL</t>
  </si>
  <si>
    <t>CHUPIGEL  BEBIBLE  FRESA X 95G UNIVERSA</t>
  </si>
  <si>
    <t>VINO EMMA ZUCCARDI BONARDA 750 ML</t>
  </si>
  <si>
    <t>VINO TITO ZUCCARDI BLEND 750 ML</t>
  </si>
  <si>
    <t>PASTINAS ELICHE TRICOLORE X500GR PONTE</t>
  </si>
  <si>
    <t>SPAGHETTI X500 GR, PONTE</t>
  </si>
  <si>
    <t>CREMA DE LIMON HELIOS 330 gr.</t>
  </si>
  <si>
    <t>ANIS FILTRANTE METRO CJ X 25 UND</t>
  </si>
  <si>
    <t>MANZANILLA FILTRANTE METRO CJ X 25 UND</t>
  </si>
  <si>
    <t>TE PURO FILTRANTE METRO CJ X 25 UND</t>
  </si>
  <si>
    <t>ANIS FILTRANTE WONG CJ X 25 UND</t>
  </si>
  <si>
    <t>BOLDO FILTRANTE WONG CJ X 25 UND</t>
  </si>
  <si>
    <t>HIERBA LUISA FILTRANTE WONG CJ X 25 UN</t>
  </si>
  <si>
    <t>MANZANILLA FILTRANTE WONG CJ X 25 UND</t>
  </si>
  <si>
    <t>TE CANELA Y CLAVO FIL WONG CJ X 25 UND</t>
  </si>
  <si>
    <t>TE PURO FILTRANTE WONG CJ X 25 UND</t>
  </si>
  <si>
    <t>ANIS FILTRANTE METRO CJ X 100 UND</t>
  </si>
  <si>
    <t>MANZANILLA FILTRANTE METRO CJ X 100 UND</t>
  </si>
  <si>
    <t>TE CANELA Y CLAVO FIL METRO CJ X 100UND</t>
  </si>
  <si>
    <t>BEB SABOR CHOCOLATE VIGOR UHT BOL 250 ML</t>
  </si>
  <si>
    <t>BANANA BOAT ADVANCED PROTECT 60ML FPS50+</t>
  </si>
  <si>
    <t>CUISINE COCCO X 200 ML ISOLABIO</t>
  </si>
  <si>
    <t>CUISINE AVENA  200 ML ISOLABIO</t>
  </si>
  <si>
    <t>LECHE ENTERA TTP X1Lt  YOLEIT</t>
  </si>
  <si>
    <t>CARAM. GRAPE &amp; STRAWBERRY NERDS X46.7GR</t>
  </si>
  <si>
    <t>FILETE CABALLA AC VEG 120G TAMBOMAR</t>
  </si>
  <si>
    <t>LECHE SEMIDESCREMADA TTP X1Lt  YOLEIT</t>
  </si>
  <si>
    <t>ANIS FILTRANTE WONGCJ X 100 UND</t>
  </si>
  <si>
    <t>MANZANILLA FILTRANTE WONG CJ X 100 UND</t>
  </si>
  <si>
    <t>TE CANELA Y CLAVO FIL WONG CJ X 100UND</t>
  </si>
  <si>
    <t>BABY COOKIE STARS X 30 GR NICKSNACK</t>
  </si>
  <si>
    <t>BABY BANANA STARS X 30 GR NICKSNACK</t>
  </si>
  <si>
    <t>BABY APPLE STARS X 30 GR NICKSNACK</t>
  </si>
  <si>
    <t>COCODRILO ARROZ Y GUISANTES C/Q X 50 GR</t>
  </si>
  <si>
    <t>COCODRILO ARROZ Y LENTEJAS C/K X 50 GR</t>
  </si>
  <si>
    <t>TRIANGULO DE CACAHUATE X 80 GR</t>
  </si>
  <si>
    <t>CAFÉ MOLIDO DECAFEINADO JUNIN 250G C&amp;CO</t>
  </si>
  <si>
    <t>TORTELLINI ALLA CARNE  MONTEGRAPPA</t>
  </si>
  <si>
    <t>TORTELLINI AL FORMAGGI MONTEGRAPPA</t>
  </si>
  <si>
    <t>TORTELLINI ALLA PROSICUTTO MONTEGRAPPA</t>
  </si>
  <si>
    <t>CAVATAPPI AL HUEVO 500G LA MONTARA</t>
  </si>
  <si>
    <t>PASTA ANDINA ANELLI AMÉRICAORGX227G</t>
  </si>
  <si>
    <t>SALSA SOYA SIN GLUTEN 10 OZ KIKKOMAN</t>
  </si>
  <si>
    <t>SALSA KATSU 11.75 OZ KIKKOMAN</t>
  </si>
  <si>
    <t>PACK 2 VINOS TACAMA ROSE 750ML C/U</t>
  </si>
  <si>
    <t>SALSA STEAK 11.75 OZ KIKKOMAN</t>
  </si>
  <si>
    <t>PACK 2 VINOS TACAMA TINTO+ROSE 750ML C/U</t>
  </si>
  <si>
    <t>VINAGRE ARROZ SAZONADO 10 OZ KIKKOMAN</t>
  </si>
  <si>
    <t>ENRIQ.FOSTER IQUE MALBEC X 750 ML.</t>
  </si>
  <si>
    <t>VINAG.ACETO MODENA 250G.BARRIQUE CREMONI</t>
  </si>
  <si>
    <t>GELATINA DIET C/ STEVIA LIMON 12/19G</t>
  </si>
  <si>
    <t>TORTITAS ARROZ INTEGRAL BIO 125GR</t>
  </si>
  <si>
    <t>TORTITAS ARROZ INTEGRAL Y QUINUA BIO</t>
  </si>
  <si>
    <t>TORTITAS MAIZ BIO 125GR</t>
  </si>
  <si>
    <t>DELIZIE TOSCANE FICHI E NOCI 126 GR</t>
  </si>
  <si>
    <t>DELIZIE TOSC. M. E CANDITI 126 GR</t>
  </si>
  <si>
    <t>DELIZIE TOSCANE MELA E CANNELLA 126 GR</t>
  </si>
  <si>
    <t>PANFORTE FICHI E NOCI 300GR</t>
  </si>
  <si>
    <t>FUSILLI DE MAIZ LIB GLUT 250G EL DORADO</t>
  </si>
  <si>
    <t>GNOCCHI DE MAIZ  LIBRE GLUTEN 250G</t>
  </si>
  <si>
    <t>FUSILL DE ARROZ I LIBRE GLUTEN 250G</t>
  </si>
  <si>
    <t>FUSILLI QUINOA REAL LIB GLUT 250 EL DOR</t>
  </si>
  <si>
    <t>SEDANI DE QUINOA REAL L GLUT 250 EL DOR</t>
  </si>
  <si>
    <t>NIVEA LUMINOUS FLUID FPS30 MEDIUM 40ML</t>
  </si>
  <si>
    <t>FUSILLI DE CHÍA LIB GLUT 250G EL DORADO</t>
  </si>
  <si>
    <t>PACK BARCELO GRAN ANEJO 750 ML X 02 BOT</t>
  </si>
  <si>
    <t>PACK BARCELO ANEJO 750 ML X 02 BOT</t>
  </si>
  <si>
    <t>ARROZ INTEGRALE RISO SCOTTI 250 GR</t>
  </si>
  <si>
    <t>ACEI DE OLIVA EXTRA VIRGEN PONS X 500ML</t>
  </si>
  <si>
    <t>ACEI  OLIVA EXTRA V PONS TABASCOX 250ML</t>
  </si>
  <si>
    <t>WHISKEY OLE SMOKY MOONSHINE HARLEY 750ML</t>
  </si>
  <si>
    <t>PACK GIN CITADELLE 750ML+2 FEVER+CITRICO</t>
  </si>
  <si>
    <t>ACEI OLIVA EXTRA V RESERVA  PONS  500 ML</t>
  </si>
  <si>
    <t>VINO ORG. SANTA JULIA MALBEC 750ML</t>
  </si>
  <si>
    <t>VINO ORG. SANTA JULIA CHARDONNAY 750ML</t>
  </si>
  <si>
    <t>VODKA ZUBROWKA HIERBA DE BISONTE 750ML</t>
  </si>
  <si>
    <t>BACTERION JABON LIQUIDO 2 EN 1 BAMBU 1L</t>
  </si>
  <si>
    <t>TURRON SELECCIÓN EL ALMENDRO</t>
  </si>
  <si>
    <t>TURRON CHOCOLATE ALMENDRAS 200ALMENDRO</t>
  </si>
  <si>
    <t>CEREAL CHOCOQUINUA ORGAN AMOR x 260g</t>
  </si>
  <si>
    <t>CEREAL KRUESLI ORGANICO AM ORGANx 260g</t>
  </si>
  <si>
    <t>PRALINE RON CON PASAS LA VIUDA 300 GR</t>
  </si>
  <si>
    <t>PRALINE BOMBON LA VIUDA 300 GR</t>
  </si>
  <si>
    <t>TURRON CHOCOLATE C/ALMEN LA VIUDA 200GR</t>
  </si>
  <si>
    <t>TORTA IMPERIAL MINI BOTE LA VIUDA 200GR</t>
  </si>
  <si>
    <t>TORTA CHOCOLATE CRUJIENTE LAVIUDA 150GR</t>
  </si>
  <si>
    <t>ACEI DE OLIVA EXTRA VIRGEN PONS X 1L</t>
  </si>
  <si>
    <t>P. SAL ACETO BALSÁMICO 75G FOSSIL RIVER</t>
  </si>
  <si>
    <t>P. SAL 5 PIMIENTAS 75G FOSSIL RIVER</t>
  </si>
  <si>
    <t>P.SAL SALINA FORTUNA 75G FOSSIL RIVER</t>
  </si>
  <si>
    <t>COLACAO POTE X 750 GR</t>
  </si>
  <si>
    <t>VODKA GREY GOOSE  VX 750 ML</t>
  </si>
  <si>
    <t>VODKA GREY GOOSE 1.75 L</t>
  </si>
  <si>
    <t>VINO VEGA SICILIA UNICO RESERVA 750ML</t>
  </si>
  <si>
    <t>PAPA NATIVA SABOR JALAPEÑO TIYAPUY 142G</t>
  </si>
  <si>
    <t>WAFFER LOACKER QUAD 125G , COCOA</t>
  </si>
  <si>
    <t>WAFFER LOACKER QUAD 125G , CHOCO</t>
  </si>
  <si>
    <t>WAFFER LOACKER QUAD 125G , PEANUT</t>
  </si>
  <si>
    <t>WAFFER LOACKER QUAD 125G , VAINILL</t>
  </si>
  <si>
    <t>WAFFER LOACKER 175G , DOUBLE</t>
  </si>
  <si>
    <t>WAFFER LOACKER 175G , NAPOLIT</t>
  </si>
  <si>
    <t>GIN BOMBAY STAR 750 ML</t>
  </si>
  <si>
    <t>CREMA DE AVELLANAS NOCILLA X 320 GR</t>
  </si>
  <si>
    <t>CREMA AVELLANAS NOCILLA 0/AZUCAR X 190GR</t>
  </si>
  <si>
    <t>AVENA CAO 0% AZUCARES AÑADIDOS 350GR</t>
  </si>
  <si>
    <t>YERBA MATE TARAGUI  ENERGIA 500G.</t>
  </si>
  <si>
    <t>TE DE HIERBAS TARAGUI MEZCLA DIGESTIVA</t>
  </si>
  <si>
    <t>TE TARAGUI FRUTOS ROJOS</t>
  </si>
  <si>
    <t>TE TARAGUI LIMON/MIEL</t>
  </si>
  <si>
    <t>TE TARAGUI 4 VARIEDADES</t>
  </si>
  <si>
    <t>CamuCamu Polvo. Org. 170g AmericaOrganic</t>
  </si>
  <si>
    <t>Ch? Negra  Org. 227g AmericaOrganica</t>
  </si>
  <si>
    <t>Crema Cacao y Avellanas con Stevia 200g</t>
  </si>
  <si>
    <t>MIEL DE ABEJA FLUIDA 470GR PANALZA</t>
  </si>
  <si>
    <t>MIEL DE ABEJA CREMOSA 440GR PANALZA</t>
  </si>
  <si>
    <t>MIEL DE ABEJA CON POLEN 350GR PANALZA</t>
  </si>
  <si>
    <t>HARINA QUIN. BLANCA INSTA. AMER.ORGX227G</t>
  </si>
  <si>
    <t>GIN OPIHR LONDON DRY BOT 750ML</t>
  </si>
  <si>
    <t>GIN BLOOM LONDON DRY BOT 750ML</t>
  </si>
  <si>
    <t>LIFTER GLOSS PLUMP HOT HONEY</t>
  </si>
  <si>
    <t>HARINA DE COCO MARIMIEL X 150 GR</t>
  </si>
  <si>
    <t>HARINA DE CENTENO X400GR MARIMIEL</t>
  </si>
  <si>
    <t>PACK GIN BOMBAY SAPPHIRE + COPA</t>
  </si>
  <si>
    <t>YERBA MATE SUAVE C/PALO ROSAMONTE X500GR</t>
  </si>
  <si>
    <t>HARINA DE ARROZ MI TIERRA X 500 GR</t>
  </si>
  <si>
    <t>MOSTAZA DIJON ORIGINALE X215GR MAILLE</t>
  </si>
  <si>
    <t>MOSTAZA A L ANCIENNE X210GR MAILLE</t>
  </si>
  <si>
    <t>MOSTAZA AU MIEL X230GR MAILLE</t>
  </si>
  <si>
    <t>SALSA DIJONNAISE X200GR MAILLE</t>
  </si>
  <si>
    <t>GALLETA MARÍA CHOC NEG NOGLUT 80G</t>
  </si>
  <si>
    <t>VEET PURE BANDA FACIAL X16</t>
  </si>
  <si>
    <t>CAPSULA MASTIC PAW PATROL 99G</t>
  </si>
  <si>
    <t>GALLETAS JUNGLA CAC NOGLUT 100G</t>
  </si>
  <si>
    <t>SPAGHETT N°3X500GR+POMODOROX400ML AGNESI</t>
  </si>
  <si>
    <t>MANTEQ MANI 454GR CREAM SHOPPERS VALUE</t>
  </si>
  <si>
    <t>MANTEQ MANI 454GR CRUNCH SHOPPERS VALUE</t>
  </si>
  <si>
    <t>JARABE DE AGAVE ORGÁNICO X186GR</t>
  </si>
  <si>
    <t>CONSERVA DE PAPAYA X580GR VALLE FERTIL</t>
  </si>
  <si>
    <t>LASAGNA S/GLU MOLINOS DEL MUNDO 260 G</t>
  </si>
  <si>
    <t>PREP PANIFICABLE MOLINOS DEL MUNDO 700 G</t>
  </si>
  <si>
    <t>SAZONADOR PERFUME P/CARNES X200GR OSSO</t>
  </si>
  <si>
    <t>SAZONADOR P/CARNE RES X200GR OSSO</t>
  </si>
  <si>
    <t>MOSTAZA GREYPOUPON DIJON X215GR MAILLE</t>
  </si>
  <si>
    <t>MOSTAZA GREYPOUPON ALANCIENNE 210 MAILLE</t>
  </si>
  <si>
    <t>DUO PACK PENNE RIGATE AGNESI 1.5K</t>
  </si>
  <si>
    <t>SPAGHETTI TRAFILATURA BRONZO AGNESI 500G</t>
  </si>
  <si>
    <t>PENNE RIGAT TRAFILAT BRONZE AGNESI 500G</t>
  </si>
  <si>
    <t>PIMIENTA JAMAICA MOLINIL X35G CARMENCITA</t>
  </si>
  <si>
    <t>SAZONADOR BARBAC MOLINIL X62G CARMENCITA</t>
  </si>
  <si>
    <t>SAZONADOR PESCAD MOLINIL X62G CARMENCITA</t>
  </si>
  <si>
    <t>ACEITE DE OLIVA XV PONS X 250ML</t>
  </si>
  <si>
    <t>TABASCO HABANERO60ML                 </t>
  </si>
  <si>
    <t>QUINOA BARS MANI&amp;CHOCO X30GR QFOODS</t>
  </si>
  <si>
    <t>QUINOA BARS PASAS&amp;CHOCO X30GR QFOODS</t>
  </si>
  <si>
    <t>WHISKY PAUL JOHN INDIAN SINGLE M 750ML</t>
  </si>
  <si>
    <t>MAIZ GIGANTE X 80G AMERICA ORGANICA</t>
  </si>
  <si>
    <t>RON ROYAL CENTENARIO 20 AÑOS 750 ML</t>
  </si>
  <si>
    <t>RON ROYAL CENTENARIO 25 AÑOS 750 ML</t>
  </si>
  <si>
    <t>PISCO GRAN SELEC FAMILIA QUEBRANTA 500ML</t>
  </si>
  <si>
    <t>SUPER STAY 24HR POWDER 110</t>
  </si>
  <si>
    <t>PUDIN DE CHOCOLATE ORGANICO 99G</t>
  </si>
  <si>
    <t>PUDIN DE VAINILLA ORGANICO 99G</t>
  </si>
  <si>
    <t>SUPER STAY 24HR POWDER 120</t>
  </si>
  <si>
    <t>SUPER STAY 24HR POWDER 312</t>
  </si>
  <si>
    <t>RUBOR MAYBELLINE FIT ME PLUM</t>
  </si>
  <si>
    <t>LIFTER GLOSS PLUMP PINK STING</t>
  </si>
  <si>
    <t>GRAGEAS DE COLORES ORGANICAS</t>
  </si>
  <si>
    <t>QUINOA PASAS CHOCOLATE 30GR PACK 6</t>
  </si>
  <si>
    <t>HARINA DE MAIZ BLANCO CANDOR 1KG</t>
  </si>
  <si>
    <t>HARINA DE MAIZ AMARILLO CANDOR 1KG</t>
  </si>
  <si>
    <t>PASTA DE ARROZ INT FUSILLI EL DORADO250G</t>
  </si>
  <si>
    <t>APERITIVO MARTINI BITTER 1L</t>
  </si>
  <si>
    <t>APERITIVO APRILI SPRITZ 750ML</t>
  </si>
  <si>
    <t>VINO JUNTOS BOT 750ML</t>
  </si>
  <si>
    <t>VINO TARIMA MONASTREL BOT 750ML</t>
  </si>
  <si>
    <t>VINO VOLVER SINGLE VINEYARD BOT 750ML</t>
  </si>
  <si>
    <t>VINO TARIMA HILL BOT 750ML</t>
  </si>
  <si>
    <t>TOALLITAS HÚMEDAS COPPON BEBE X24</t>
  </si>
  <si>
    <t>SCHICK HYDRO 5 HOJAS X2</t>
  </si>
  <si>
    <t>VINO TRIGA BOT 750ML</t>
  </si>
  <si>
    <t>VINO E.GASCON PRESIDENTS BLEND 750 ML</t>
  </si>
  <si>
    <t>VINO MIORANZA BOT 750ML</t>
  </si>
  <si>
    <t>CUP NOODLES SABOR CHEDDAR X69GR NISSIN</t>
  </si>
  <si>
    <t>VINO VIÑA VILANO VERDEJO 750ML</t>
  </si>
  <si>
    <t>MEZCLA EN POLVO DE COCO X150G</t>
  </si>
  <si>
    <t>HOJUELAS DE QUINUA X190GR MARIMIEL</t>
  </si>
  <si>
    <t>HOJUELAS DE KIWICHA X190GR MARIMIEL</t>
  </si>
  <si>
    <t>BANDERILLAS X350GR VALLE FERTIL</t>
  </si>
  <si>
    <t>INSALATONDE AGNESI x 400 GR</t>
  </si>
  <si>
    <t>HARINA DE AVENA ORGANICA ARROWHEAD 453G</t>
  </si>
  <si>
    <t>VINO VIÑAS ARGENTINAS CAB.SAUV 750ML</t>
  </si>
  <si>
    <t>HARINA TRIGO SARRACENO ORG ARROWHEA 623G</t>
  </si>
  <si>
    <t>VINO VIÑAS ARGENTINAS BLEND 750ML</t>
  </si>
  <si>
    <t>VINO MUCHO MÁS ROSADO 750ML</t>
  </si>
  <si>
    <t>VINO CRUX CABERNET FRANC 750ML</t>
  </si>
  <si>
    <t>SCHICK XTREME3 ULTIMATE X3</t>
  </si>
  <si>
    <t>GITBOX CHOCOLATES SURTIDOS CACOSUYO</t>
  </si>
  <si>
    <t>QUESO FUNDIDO PARA UNTAR DALVITO 200GR</t>
  </si>
  <si>
    <t>QUESO CRIO FUND PARA UNTAR DALVITO 200G</t>
  </si>
  <si>
    <t>GANCHO COMMAND BAÑO SATIN  NIQUEL X1</t>
  </si>
  <si>
    <t>HARINA DE ESPELTA ORGANIC ARROWHEAD 623G</t>
  </si>
  <si>
    <t>HARINA DE CENTENO ORGANIC ARROWHEAD 567G</t>
  </si>
  <si>
    <t>BEBIDA ALMENDRA 190 ML SILK CHOCOLATE</t>
  </si>
  <si>
    <t>CAFÉ FILTRANTE X5 UNIDS IYARI</t>
  </si>
  <si>
    <t>ACAI BERRY HERBAL TEA STASH</t>
  </si>
  <si>
    <t>COBERTURA SEMI AMARGA FLEISCHMANN X1K</t>
  </si>
  <si>
    <t>COBERTURA BLANCA FLEISCHANN10 X 1K</t>
  </si>
  <si>
    <t>COBERTURA DE LECHE FLEISCHAMANN 10 X 1K</t>
  </si>
  <si>
    <t>POLVO DE HORNEAR FLEISCHMANN X 1K</t>
  </si>
  <si>
    <t>PURÉ FRUTAS CON CEREALES 2X200 G BE PLUS</t>
  </si>
  <si>
    <t>VINO TACAMA SEMI SECO 2LT</t>
  </si>
  <si>
    <t>KATIVA CURLY PLEX CURL REFRESHER 225 ML</t>
  </si>
  <si>
    <t>KATIVA CURLY PLEX ACTIVATOR CREAM 240 ML</t>
  </si>
  <si>
    <t>PURÉ CUATRO FRUTAS ECOLÓGICO 200G BEPLUS</t>
  </si>
  <si>
    <t>LUBINA CON ARROZ 200G BE PLUS</t>
  </si>
  <si>
    <t>FUDGE ESPECIAL X500G LEITE</t>
  </si>
  <si>
    <t>MANJAR ESPECIAL X500G LEITE</t>
  </si>
  <si>
    <t>PURÉ TERNERA VERDURAS BIO PLUS</t>
  </si>
  <si>
    <t>PURÉ MERLUZA CON VERDURAS BIO PLUS</t>
  </si>
  <si>
    <t>PURÉ POLLO CON ARROZ BIO BIO PLUS</t>
  </si>
  <si>
    <t>POUCH BIO PLUS PURÉ MANZANA BIO</t>
  </si>
  <si>
    <t>TEQUILA AVION CRISTALINO 700ML</t>
  </si>
  <si>
    <t>POUCH BIO PLUS PURÉ MANZANA PLATANO BIO</t>
  </si>
  <si>
    <t>GALLETAS S/GLUTEN SANTIVERI TRIPACK</t>
  </si>
  <si>
    <t>GALLETAS 0%AZUC SANTIVERI TRIPACK</t>
  </si>
  <si>
    <t>CHOCLO DESGRANADO LIBBYS LATA X241G</t>
  </si>
  <si>
    <t>DURAZNO MITAD CALIFORNIA BLUE LIGHT 820G</t>
  </si>
  <si>
    <t>DURAZNO MITAD CALIFORNIA BLUE HEAVY 820G</t>
  </si>
  <si>
    <t>VINO PULPO ALBARIÑO 750ML</t>
  </si>
  <si>
    <t>VINO ALTOCEDRO AÑO CERO CAB.SAUV 750ML</t>
  </si>
  <si>
    <t>VINO PIATTELLI MALBEC-TANNAT 750ML</t>
  </si>
  <si>
    <t>GOMA SAPOS BOLSA 80G</t>
  </si>
  <si>
    <t>GOMA PULPOS BOLSA 80G</t>
  </si>
  <si>
    <t>MULTIPACK NIKOLO 382.5G</t>
  </si>
  <si>
    <t>FRIJOLES BAYOS ENTEROS LA COSTEÑA X400G</t>
  </si>
  <si>
    <t>FRIJOLES NEGROS ENTEROS LA COSTEÑA X400G</t>
  </si>
  <si>
    <t>FRIJOLES NEGROS REFRITOS LA COSTEÑA 400G</t>
  </si>
  <si>
    <t>CHILES JALAPEÑOS PICADOS LA COSTEÑA 105G</t>
  </si>
  <si>
    <t>TORTITA MAIZ MINI CORN BITES NOGLUT 100G</t>
  </si>
  <si>
    <t>TORTIT ARROZ MINI RICE BITES NOGLUT 100G</t>
  </si>
  <si>
    <t>WAFERS RELLENAS CACAO 0% AZUCAR, 120G</t>
  </si>
  <si>
    <t>WAFERS RELLENAS NATA 0% AZUCAR, 120G</t>
  </si>
  <si>
    <t>SALSA SAHONESA SANTIVERI X270GR</t>
  </si>
  <si>
    <t>PACK GIN GREENALLS LONDON DRY 750 + COPA</t>
  </si>
  <si>
    <t>ESPUMANTE MARTINI ICE BOT 750ML</t>
  </si>
  <si>
    <t>PASTA DE GARBANZO RISONI 250G EL DORADO</t>
  </si>
  <si>
    <t>ESPUMANTE TOSTI DOLCE FESTA BOT 750ML</t>
  </si>
  <si>
    <t>LEVADURA SECA MAURIPAN X20 GR</t>
  </si>
  <si>
    <t>PIMIENTRA VERDE MOLINI X30G CARMENCITA</t>
  </si>
  <si>
    <t>PIMIENTA BLANCA MOLIN X55G CARMENCITA</t>
  </si>
  <si>
    <t>PIMIENTA MIX 4 X145G CARMENCITA</t>
  </si>
  <si>
    <t>SIXPACK JABÓN MACAD 100GR FAMILY CARE</t>
  </si>
  <si>
    <t>TRIPACK JABÓN ANT AVENA 100G FAMILY CARE</t>
  </si>
  <si>
    <t>SIXPACK JABÓN ANT AVENA 100G FAMILY CARE</t>
  </si>
  <si>
    <t>VINO BLANCO DALTON 750ML</t>
  </si>
  <si>
    <t>VINO TINTO DALTON 750ML</t>
  </si>
  <si>
    <t>POP CORN P/MICROONDAS NATURAL 91G HOLY</t>
  </si>
  <si>
    <t>POP CORN MICROONDAS FINAS HIERB 91G HOLY</t>
  </si>
  <si>
    <t>POP CORN P/MICROONDAS PIZZA 91G HOLY</t>
  </si>
  <si>
    <t>ARROZ BLANCO ORGANICO X 1KG AMERICA ORG</t>
  </si>
  <si>
    <t>RON BACARDI CART PLATA 750+CREMA COCO GO</t>
  </si>
  <si>
    <t>PACK 6 VINOS HAPPY FAMILY 187ML C/U</t>
  </si>
  <si>
    <t>MARRASQUINOS BEST FOODS X 225 GR</t>
  </si>
  <si>
    <t>MARRASQUINOS  BEST FOODS X 390 GR</t>
  </si>
  <si>
    <t>SAZ BARBACOA 44G+SAZ POLLO 47G CARMEN</t>
  </si>
  <si>
    <t>PACK COMINO 30G+PIMIENTA 32G CARMENCITA</t>
  </si>
  <si>
    <t>BOMBONES CAFE BACI 125G</t>
  </si>
  <si>
    <t>DUOPACK CANELA MOLIDA 25G CARMENCITA</t>
  </si>
  <si>
    <t>MIX 4 PIMIENTAS 40G MOL CARMENCITA</t>
  </si>
  <si>
    <t>LIMPIADOR ANTIBAC MÁXIMA LAVANDA 250ML</t>
  </si>
  <si>
    <t>MIX PANQUEQUE CHOCO NAR THE LIVE GREEN</t>
  </si>
  <si>
    <t>MIX PANQUEQUE MANZ CANELA THE LIVE GREEN</t>
  </si>
  <si>
    <t>LICOR APERITIVO ART SPRITZ BOT 700ML</t>
  </si>
  <si>
    <t>PACK ART SPRITZ 700+ TOSTI PROSSE 750ML</t>
  </si>
  <si>
    <t>MIX HAMBUR LENTEJAS MUNG Y MORINGA 200G</t>
  </si>
  <si>
    <t>MIX HAMBUR POROTOS NG Y CHAMPIÑONES 200G</t>
  </si>
  <si>
    <t>SALCHICHAS VIENNA LIBBY'S 130GR</t>
  </si>
  <si>
    <t>LIMPIADOR ANTIBAC MÁXIMA FLORAL 250ML</t>
  </si>
  <si>
    <t>CRACKERS WHOLEWHEAT MISURA 385GR</t>
  </si>
  <si>
    <t>SALSA PICANTE HOT SAUCE ESSENTIAL 177ML</t>
  </si>
  <si>
    <t>CARAMELO RAINBOW NERDS 141.7 GR</t>
  </si>
  <si>
    <t>JARABE DE COCO AMERICA ORG. X 330 GR.</t>
  </si>
  <si>
    <t>AGUAYMANTO DESHIDRATADO AM ORG X227G</t>
  </si>
  <si>
    <t>HARINA DE ARROZ AMERICA ORGANICA X 454 G</t>
  </si>
  <si>
    <t>SAZONADOR PESCADO MEDIT CARMENCI 66G</t>
  </si>
  <si>
    <t>BEBIDA COCO S/AZUC SILK MONK FRUIT 946ML</t>
  </si>
  <si>
    <t>BEB. ALMEND S/AZUC SILK MONK FRUIT 946ML</t>
  </si>
  <si>
    <t>ALGARROBINA DULCE PANALZA 350GR</t>
  </si>
  <si>
    <t>ALGARROBINA EXTRACTO PANALZA 470GR</t>
  </si>
  <si>
    <t>MIEL CON MACA PANALZA 350GR</t>
  </si>
  <si>
    <t>CEREAL MUESLI AMERICA ORGANICA X 200G</t>
  </si>
  <si>
    <t>MARRASQUINO SIN TALLO ESSENTIAL X6OZ</t>
  </si>
  <si>
    <t>AMARANTO AMÉRICA ORGANICA X 340G</t>
  </si>
  <si>
    <t>AGAVE SABOR MAPLE AMERICA ORGANICA X330G</t>
  </si>
  <si>
    <t>RON ROYAL CENTENARIO BLANCO X 750 ML</t>
  </si>
  <si>
    <t>COLONIA MINIONS 2D 175ML</t>
  </si>
  <si>
    <t>JABON LIQUIDO KITTY 300ML</t>
  </si>
  <si>
    <t>BEBIDA CHICHA MORADA DON FIDEL X 1.9L</t>
  </si>
  <si>
    <t>BITE SIZE MILKY LA IBERICA 10 GR</t>
  </si>
  <si>
    <t>PACK ESPUMANTES TOSTI ASTI + PINK 750ML</t>
  </si>
  <si>
    <t>SALSA PANKA BBQ HUELLA VERDE 350ML</t>
  </si>
  <si>
    <t>KIKKOMAN SALSA DE SOYA X 250ML</t>
  </si>
  <si>
    <t>KIKKOMAN SALSA DE SOYA REDUC SOD X 250ML</t>
  </si>
  <si>
    <t>PASTA ANDINA SHELLS AMÉRICAORGX227G</t>
  </si>
  <si>
    <t>SPAGHETTI D ARROZ INTGRAL 250G EL DORADO</t>
  </si>
  <si>
    <t>SEDANINI DE ARVERJAS 250G EL DORADO</t>
  </si>
  <si>
    <t>COUSCOUS DE MAIZ-ARROZ 250G EL DORADO</t>
  </si>
  <si>
    <t>MOSTAZA DIJON BIO CLOVIS FRANCE X 200G</t>
  </si>
  <si>
    <t>MOSTAZA A LA ANTIGUA BIO CLOVIS F X 200G</t>
  </si>
  <si>
    <t>CREMA DE CACAO C/AVELL.NOCILLA NOIR 180G</t>
  </si>
  <si>
    <t>VINO WINE LOVERS VERDEJO 750ML</t>
  </si>
  <si>
    <t>VINO CORDERO C/PIEL DE LOBO MALBEC 750ML</t>
  </si>
  <si>
    <t>VINO CORDERO C/PIEL DE LOBO CSA 750ML</t>
  </si>
  <si>
    <t>VINO CORDERO C/PIEL LOBO MB ROSE 750ML</t>
  </si>
  <si>
    <t>VINO CORDERO C/PIEL DE LOBO CHARD 750ML</t>
  </si>
  <si>
    <t>VINO PERRO CALLEJERO MALBEC 750ML</t>
  </si>
  <si>
    <t>VINO PERRO CALLEJERO CAB.FRANC 750ML</t>
  </si>
  <si>
    <t>VINO PISPI RED BLEND 750ML</t>
  </si>
  <si>
    <t>VINO SAPO DE OTRO POZO RED BLEND 750ML</t>
  </si>
  <si>
    <t>VINO MOSQUITA MUERTA MALBEC 750ML</t>
  </si>
  <si>
    <t>VINO MOSQUITA MUERTA RED BLEND 750ML</t>
  </si>
  <si>
    <t>SALSA ITALIAN HOT SAUCE FIRELLI X 148 ML</t>
  </si>
  <si>
    <t>BEBIDA DE ALMENDRA S/AZUCAR SILK 500ML</t>
  </si>
  <si>
    <t>BEBIDA DE COCO S/AZUCAR SILK 500ML</t>
  </si>
  <si>
    <t>PROTEINA SOYA TROZOS OSCURO GOVINDA 150G</t>
  </si>
  <si>
    <t>MARASCHINO LUXARDO CHERRIES 400ML</t>
  </si>
  <si>
    <t>LICOR DE MARASCHINO LUXARDO BOT 750ML</t>
  </si>
  <si>
    <t>AMARO MONTENEGRO BOT 750ML</t>
  </si>
  <si>
    <t>INFUSIÓN STASH CHRISTMAS EVE X 18UN</t>
  </si>
  <si>
    <t>INFUSIÓN STASH HOLIDAY CHAI X 18UN</t>
  </si>
  <si>
    <t>NIBS DE CACAO MARIMIEL DP200G</t>
  </si>
  <si>
    <t>ALOHA MIX VALLEALTO BOLSA 150G</t>
  </si>
  <si>
    <t>FRUIT MIX VALLEALTO POTE 200G</t>
  </si>
  <si>
    <t>MEZCLA MASA PARA PIZZA MARIMIEL DP400G</t>
  </si>
  <si>
    <t>HARINA DE TOCOSH MARIMIEL DP200G</t>
  </si>
  <si>
    <t>PROTEINA SOYA TROZOS BLANCO GOVINDA 150G</t>
  </si>
  <si>
    <t>VODKA MONT BLANC VOYAGE BOT 700ML</t>
  </si>
  <si>
    <t>ESPUMANTE DIAMOND BLUE 750ML</t>
  </si>
  <si>
    <t>SIM REFRIG.VERD 1G + SIL. UV3 FRES 300ML</t>
  </si>
  <si>
    <t>SHAMP.BRILLO 1L + SIL. UV3 CHICLE 300ML</t>
  </si>
  <si>
    <t>HUERTO ALAMEIN ACEITE GIRASOL 900 ML</t>
  </si>
  <si>
    <t>ESPUMANTE DIAMOND PINK 750ML</t>
  </si>
  <si>
    <t>ESPUMANTE DIAMOND GOLD 750ML</t>
  </si>
  <si>
    <t>ESPUMANTE MIONETTO VIVO DOLCE 750ML</t>
  </si>
  <si>
    <t>VINO CORDERO C/PIEL LOBO MB LATA 473ML</t>
  </si>
  <si>
    <t>VINO CORDERO C/PIEL LOBO ROSE LATA 473ML</t>
  </si>
  <si>
    <t>CAMPINGPACK  2MARU+MARS+SKIT+MOR 331.5GR</t>
  </si>
  <si>
    <t>PISCO VIÑAS DE ORO GOLD MV QUEBR 700 ML</t>
  </si>
  <si>
    <t>GALLETAS DE ARROZ C/ CHOCO MIZOS X 120G</t>
  </si>
  <si>
    <t>POPPED CHIPS C/ SAL DE MAR MIZOS X 105G</t>
  </si>
  <si>
    <t>PACK 2 CAVAS JUVE&amp;CAMPS RSV FAM 750ML</t>
  </si>
  <si>
    <t>VINO LAGARDE TEIA MALB &amp; PET VERD 750ML</t>
  </si>
  <si>
    <t>ACEITE ORIGINAL MAZOLA BOT X 16OZ 473ML</t>
  </si>
  <si>
    <t>FUSILLI BIO ORGANICO GAROFALO</t>
  </si>
  <si>
    <t>PENNE RIGATE BIO ORGANICO GAROFALO</t>
  </si>
  <si>
    <t>SPAGHETTONI 500G AGNESI</t>
  </si>
  <si>
    <t>AJISHIMA FURIKAKE KATSUO FUMI 50G</t>
  </si>
  <si>
    <t>AJISHIMA FURIKAKE SETO FUMI 50G</t>
  </si>
  <si>
    <t>AJISHIMA FURIKAKE NORITAMAGO 50G</t>
  </si>
  <si>
    <t>AJISHIMA FURIKAKE NORI KOMI (ALGA) 50G</t>
  </si>
  <si>
    <t>AJISHIMA FURIKAKE SALMON 50G</t>
  </si>
  <si>
    <t>S&amp;B NANAMI TOGARASHI 15G</t>
  </si>
  <si>
    <t>VINO LAGARDE TEIA CAB SAUVIG FRANC 750ML</t>
  </si>
  <si>
    <t>COMPOTA MANZANA MANGO CASA VERDE 120GR</t>
  </si>
  <si>
    <t>CHIPS QUINUA C/AJÍ PANCA MAMALAMA X120G</t>
  </si>
  <si>
    <t>PISCO PURO SANTA MARIA M. ACHOLADO 750ML</t>
  </si>
  <si>
    <t>VSP GATO SELECCIÓN DULCE TINTO X 750 ML</t>
  </si>
  <si>
    <t>BODY MIST PRINCESA - CHERRY X 175ML</t>
  </si>
  <si>
    <t>MGF SUGAR FREE MAPLE SYRUP X355 ML</t>
  </si>
  <si>
    <t>ATTITUDE CREM NATURAL BEBES PERA 473ML</t>
  </si>
  <si>
    <t>CRACKERS OLIVA Y ROMERO COLUSSI 250 GR</t>
  </si>
  <si>
    <t>CHIPS QUINUA C/QUESO CHED MAMALAMA X120G</t>
  </si>
  <si>
    <t>AVENA CACAO MACA MAMALAMA 500GR</t>
  </si>
  <si>
    <t>SAMYANG TALL. INST. POLLO PICANTE 105G</t>
  </si>
  <si>
    <t>CARMENCITA COMINO MOLIDO 47G TARRO CRIS.</t>
  </si>
  <si>
    <t>GALLETA ALMOND SAPORI 175 GR</t>
  </si>
  <si>
    <t>BOLSAS ETERNA AROMAS GRANDE X 20UN</t>
  </si>
  <si>
    <t>BOLSAS ETERNA AROMAS MEDIANA X 40UN</t>
  </si>
  <si>
    <t>BIC ENCENDEDOR J6 MAXI X 1 UND</t>
  </si>
  <si>
    <t>CARMENCITA NUEZ MOS MOLIDA 50GTARRO CRIS</t>
  </si>
  <si>
    <t>MARRAQUINO S/TALLO ESSENTIAL EVERYDAY283</t>
  </si>
  <si>
    <t>DURAZNOS EN MITADES BEST FOOD X 820 GR</t>
  </si>
  <si>
    <t>SOPA RAMEN ORIENTAL  X 3 OZ MARUCHAN</t>
  </si>
  <si>
    <t>SOPA RAMEN X 3 OZ MARUCHAN , GALLINA</t>
  </si>
  <si>
    <t>BIC ENCENDEDOR J3 SLIM X 1 UND</t>
  </si>
  <si>
    <t>VINO ALTA VISTA VIVE CHARDONNAY 750ML</t>
  </si>
  <si>
    <t>VINO BARONE RICASOLI CHIANTI 750ML</t>
  </si>
  <si>
    <t>VINO LOS INTOCABLES RED BLEND 750ML</t>
  </si>
  <si>
    <t>VINO LOS INTOCABLES RUM BARREL 750ML</t>
  </si>
  <si>
    <t>VINO INTIPALKA PATR NEGRA CRIOLLA 750ML</t>
  </si>
  <si>
    <t>RTD PISCANO MARACUYA LATA 355ML</t>
  </si>
  <si>
    <t>LICOR BOTTEGA NEGRONI 700ML</t>
  </si>
  <si>
    <t>LICOR BOTTEGA CAPUCCINO 500 ML</t>
  </si>
  <si>
    <t>SOPA RAMEN CHAMPIGNON  X 3 OZ MARUCHAN</t>
  </si>
  <si>
    <t>SOPA RAMEN X 3 OZ MARUCHAN , ROAST CHICK</t>
  </si>
  <si>
    <t>SOPA RAMEN X 3 OZ MARUCHAN , ROAST BEEF</t>
  </si>
  <si>
    <t>ARVEJITAS  X 425 GR DEL MONTE</t>
  </si>
  <si>
    <t>SOPA CAMARON EN VASO MARUCHAN X 2.25 OZ</t>
  </si>
  <si>
    <t>SOPA POLLO PICANTE VASO MARUCHAN  X2.25</t>
  </si>
  <si>
    <t>SOPAS X 2.25 OZ MARUCHAN , POLLO CON CHA</t>
  </si>
  <si>
    <t>SOPAS X 2.25 OZ MARUCHAN , WONTON</t>
  </si>
  <si>
    <t>SOPAS X 2.25 OZ MARUCHAN , WONTON POLLO</t>
  </si>
  <si>
    <t>SOPAS X 2.25 OZ MARUCHAN , ROAST CHICKEN</t>
  </si>
  <si>
    <t>SOPAS X 2.25 OZ MARUCHAN , JAIBA C/CHILE</t>
  </si>
  <si>
    <t>SOPAS X 2.25 OZ MARUCHAN , POLLO ASADO</t>
  </si>
  <si>
    <t>SOPAS X 2.25 OZ MARUCHAN , CARNE ASADA</t>
  </si>
  <si>
    <t>CENTRUM SILVER REGULAR 1X30 TAB</t>
  </si>
  <si>
    <t>CENTRUM ADULTO REGULAR 1X30 TAB</t>
  </si>
  <si>
    <t>VINO DOÑA PAULA ALTITUDE 969 750ML</t>
  </si>
  <si>
    <t>PLT DE SOMBRAS MB COLOR RIVAL URBWILD</t>
  </si>
  <si>
    <t>MANI GLASEADO PICANTE MJNUTS X 100G</t>
  </si>
  <si>
    <t>VINO MUCHO MÁS GOLD 750ML</t>
  </si>
  <si>
    <t>VINO ALTOCEDRO RESERVA CAB.SAUV 750ML</t>
  </si>
  <si>
    <t>VINO ALTOCEDRO G.RESERVA MALBEC 750ML</t>
  </si>
  <si>
    <t>VINO SMILEY CHARDONNAY 750ML</t>
  </si>
  <si>
    <t>VINO SMILEY CABERNET SAUVIGNON 750ML</t>
  </si>
  <si>
    <t>VINO SMILEY MERLOT 750ML</t>
  </si>
  <si>
    <t>MARUCHAN ILUNCH QUESO V X12</t>
  </si>
  <si>
    <t>MARUCHAN ILUNCH POLLO TOMATE V X12</t>
  </si>
  <si>
    <t>SOPA CAMAYCHILEPIQUI MARUCHAN X 2.25 OZ</t>
  </si>
  <si>
    <t>PAGLIA E FIENO X250GR AGNESI</t>
  </si>
  <si>
    <t>LASAGNE PRECOCIDA GIALLE X500GR AGNESI</t>
  </si>
  <si>
    <t>MERMELADA DIETETICA D´MARCO  X47, LUCUMA</t>
  </si>
  <si>
    <t>NO USAR EX GOVINDA, 1</t>
  </si>
  <si>
    <t>NO USAR EX GOVINDA, 2</t>
  </si>
  <si>
    <t>MERMELADA DIETETICA LUCUMAX21GR D'MARC0</t>
  </si>
  <si>
    <t>MERMEL.DIET CAMUCAMU+PAPAYA X210 D'MARC0</t>
  </si>
  <si>
    <t>MERMELADA DIET.MANGO X 210GR D'MARCO</t>
  </si>
  <si>
    <t>GELATINA X 250 GR. UNIVERSAL , FRESA</t>
  </si>
  <si>
    <t>GELATINA X 250 GR. UNIVERSAL , DURAZNO</t>
  </si>
  <si>
    <t>FIDEOS LARGOS  X 500 G, SPAGHETTI RIGATI</t>
  </si>
  <si>
    <t>MERMELADA X 284 GR ST DALFOUR , HIGO</t>
  </si>
  <si>
    <t>MERMELADA X 284 GR ST DALFOUR , MAGO&amp;PIÑ</t>
  </si>
  <si>
    <t>CREMA DE CAFE ORIGINAL X 16OZ CREMORA</t>
  </si>
  <si>
    <t>CREMA DE CAFE LITE  X 16OZ CREMORA</t>
  </si>
  <si>
    <t>PEPINILLOS X 720 ML STOLL, CONDIMENTADOS</t>
  </si>
  <si>
    <t>PEPINILLOS X 720 ML STOLLENWER, PEQUEÑOS</t>
  </si>
  <si>
    <t>PISCO 100 AÑOS MOSTO VERDE QUEBRANTAX500</t>
  </si>
  <si>
    <t>EMULSION SCOTT  X 200 ML, CEREZA</t>
  </si>
  <si>
    <t>EMULSION SCOTT  X 200 ML, NARANJA</t>
  </si>
  <si>
    <t>EMULSION SCOTT  X 400 ML, CEREZA</t>
  </si>
  <si>
    <t>EMULSION SCOTT  X 400 ML, NARANJA</t>
  </si>
  <si>
    <t>#VINO TINTO GALA 2 LUIGI BOSCA X 750 ML.</t>
  </si>
  <si>
    <t>MUFFIN MIX X184GR BETTY, CHOCOLATE CHIP</t>
  </si>
  <si>
    <t>SUPER MOIST CAKE MIX X432G, DEVIL'S FOOD</t>
  </si>
  <si>
    <t>VINO KNOCK KNOCK ROSADO 750ML</t>
  </si>
  <si>
    <t>SUPER MOIST CAKE MIX X432G BETTY, YELLOW</t>
  </si>
  <si>
    <t>COOKIE MIX X496GR BETTY, CHOCOLATE CHIP</t>
  </si>
  <si>
    <t>COOKIE MIX X496G, DATMEAL CHOCOLATE CHIP</t>
  </si>
  <si>
    <t>GELATINA UNIVERSAL X 200 GR , NARANJA</t>
  </si>
  <si>
    <t>GELATINA UNIVERSAL X 200 GR , PIÑA</t>
  </si>
  <si>
    <t>GELATINA UNIVERSAL X 200 GR, FRESA</t>
  </si>
  <si>
    <t>SILLAO X 500 ML PEARL RI, C/CHAMPIGNONES</t>
  </si>
  <si>
    <t>HELADOS INSTANTANEOS X 100GR UNIVE , CHO</t>
  </si>
  <si>
    <t>HELADOS INSTANTANEOS X 100GR UNIVE , VAI</t>
  </si>
  <si>
    <t>HELADOS INSTANTANEOS X 100GR UNIVE , FRE</t>
  </si>
  <si>
    <t>HELADOS INSTANTANEOS X 100GR UNIVE , MAR</t>
  </si>
  <si>
    <t>ALIÑOS P/ENSALADA X 370 GR VA, VINAGRETA</t>
  </si>
  <si>
    <t>ALIÑOS P/ENSALADA X 370 G, FINAS HIERBAS</t>
  </si>
  <si>
    <t>SALSA BBQ X 420GR VALLE FERTIL, AHUMADA</t>
  </si>
  <si>
    <t>SALSA BBQ X 420GR VALLE FERTIL, PICANTE</t>
  </si>
  <si>
    <t>ARENQUES F, CREMA ENELDO Y FINAS HIERBAS</t>
  </si>
  <si>
    <t>ARENQUE FILETE BOCA, CREMA DE ESPARRAGOS</t>
  </si>
  <si>
    <t>VINO CILLAR TEMPRANILLO 750ML</t>
  </si>
  <si>
    <t>VINO CILLAR DE SILOS CRIANZA 750ML</t>
  </si>
  <si>
    <t>VINO 689 NAPA VALLEY 750ML</t>
  </si>
  <si>
    <t>LYSOL DESINF AEROCRISP LINEN 370ML</t>
  </si>
  <si>
    <t>ARENQUE FILETE BOCADOS, SALSA BARBECUE</t>
  </si>
  <si>
    <t>ARENQUE FILETE  DIETET 100G RUG, MOSTAZA</t>
  </si>
  <si>
    <t>MILKSHAKE UNIVERSAL 150GRS , COCO</t>
  </si>
  <si>
    <t>FIDEOS SIN GLUTEN MISURA X 250, FUSILLI</t>
  </si>
  <si>
    <t>FIDEOS SIN GLUTEN MISURA X, PENNE RIGATE</t>
  </si>
  <si>
    <t>PASTINAS ORGANICAS  BIO, PENNONI RIGATI</t>
  </si>
  <si>
    <t>CEREAL 125 GR MARIMIEL, BOLITAS DE CHOC.</t>
  </si>
  <si>
    <t>PISCO VIÑAS DE ORO SILVER TORONTEL 700ML</t>
  </si>
  <si>
    <t>PISCO VIÑAS DE ORO SLVR ACHOL QI 700ML</t>
  </si>
  <si>
    <t>ACEITUNA SERPIS 300 GR, CHORIZO PICANTE</t>
  </si>
  <si>
    <t>PISCO VIÑAS DE ORO GOLD MV MOSC 700 ML</t>
  </si>
  <si>
    <t>PISCO VIÑAS DE ORO GOLD MV ITALIA 700 ML</t>
  </si>
  <si>
    <t>AC OLIV XTRAVRGN PREMX250 OLIVOS DEL SUR</t>
  </si>
  <si>
    <t>NUTRIBELA-SH-BIOKERATINA-FR400ML</t>
  </si>
  <si>
    <t>NUTRIBELA-AC-PRO-HIALURONIC-FR370ML</t>
  </si>
  <si>
    <t>NUTRIBELA-SH-CELULAS-MADRE-FR400ML</t>
  </si>
  <si>
    <t>ACEITUNA SERPIS 300 GR, BOQUERON VINAGRE</t>
  </si>
  <si>
    <t>ACEITUNA SERPIS 300 GR, ATUN ESCABECHE</t>
  </si>
  <si>
    <t>PASTINAS DE NIRO X 500 GRS., FARFALLE</t>
  </si>
  <si>
    <t>TAPENADE X 210G, VERDURAS GRILLADAS</t>
  </si>
  <si>
    <t>TAPENADE X 210, ACEITUNAS PASAS CASTAÑAS</t>
  </si>
  <si>
    <t>TAPENADE X, ACEITUNAS VERDES C/DAMASCOS</t>
  </si>
  <si>
    <t>A LAS FINAS HIERBAS X 210G, CHAMPIÑONES</t>
  </si>
  <si>
    <t>A LAS FINAS HIERBAS X 210G, PIMIENTOS</t>
  </si>
  <si>
    <t>A LAS FINAS HIERBAS X 21, CEBOLLA BLANCA</t>
  </si>
  <si>
    <t>VINAGRE A LA PULPA  X 250ML, AGUAYMANTO</t>
  </si>
  <si>
    <t>VINAGRE A LA PULPA  X, MAND. &amp; GENGIBRE</t>
  </si>
  <si>
    <t>CONFITURA X 130G DE, AJI AMARILLO</t>
  </si>
  <si>
    <t>CONFITURA X 130G DE, ROCOTO</t>
  </si>
  <si>
    <t>MERMELADA BONNE MAMAN X 370GR, CEREZA</t>
  </si>
  <si>
    <t>MERMELADA BONNE MAMAN X 370GR, FRAMBUESA</t>
  </si>
  <si>
    <t>MERMELADA BONNE MAMAN X 370GR, FRESA</t>
  </si>
  <si>
    <t>CAVA CODORNIU ARS COLLECTA ROSE 750ML</t>
  </si>
  <si>
    <t>VINO ALMADO BLEND ORGANICO 750ML</t>
  </si>
  <si>
    <t>VINO T.PAZO DAS BRUXAS ALBARIÑO 750ML</t>
  </si>
  <si>
    <t>MERMELADA BONNE MAMAN X 3, CUATRO FRUTAS</t>
  </si>
  <si>
    <t>MERMELADA BONNE MAMAN X 370GR, MORAS</t>
  </si>
  <si>
    <t>ESPUMANTE ALYDA BRUT 750ML</t>
  </si>
  <si>
    <t>VINO FLICHMAN G.RSV MALBEC 750ML</t>
  </si>
  <si>
    <t>VINO LAGARDE GUARDA CABERNET FRANC 750ML</t>
  </si>
  <si>
    <t>RON CLÉMENT VSOP 700ML</t>
  </si>
  <si>
    <t>MERMELADA BONNE MAMAN X 370GR, CASTAÑA</t>
  </si>
  <si>
    <t>COLADO FLEX X 113 GR HEINZ, FRUT MIXTAS</t>
  </si>
  <si>
    <t>CREMA DE AVELLANAS 200G NOCILLA, DUO</t>
  </si>
  <si>
    <t>COLACAO X 300 GR, AZUCAR</t>
  </si>
  <si>
    <t>COLACAO X 300 GR, COMPLET</t>
  </si>
  <si>
    <t>MANJARBLANCO 130GR CASA DEL, TRADICIONAL</t>
  </si>
  <si>
    <t>MERMELADA DIET 210G DMARCO, MORA</t>
  </si>
  <si>
    <t>RON CLÉMENT XO 700ML</t>
  </si>
  <si>
    <t>VINO RUCA MALEN CAP DOS CHARDO 750ML</t>
  </si>
  <si>
    <t>VINO RUCA MALEN CAP DOS PETIT VERD 750ML</t>
  </si>
  <si>
    <t>MERMELADA HELIOS S/GLUTEN X340, ARANDANO</t>
  </si>
  <si>
    <t>MERMELADA HELIOS S/GLUTEN, CIRUELA/KIWI</t>
  </si>
  <si>
    <t>MERMELADA HELIOS S/GLUTEN X340GR , FRESA</t>
  </si>
  <si>
    <t>VINAGRE BALSAMICO X250 CC  CREMONIN, 5GP</t>
  </si>
  <si>
    <t>VINAGRETA X 250 CC  NAT, SAUCO BALSAMICO</t>
  </si>
  <si>
    <t>SIROPE S/GLUTEN 295G HELIOS, FRESA</t>
  </si>
  <si>
    <t>SIROPE S/GLUTEN 295G HELIOS, CHOCOLATE</t>
  </si>
  <si>
    <t>SIROPE S/GLUTEN 295G, FRUTOS DEL BOSQUE</t>
  </si>
  <si>
    <t>SIROPE S/GLUTEN 295G HELIOS, CARAMELO</t>
  </si>
  <si>
    <t>HERBAL TEA STASH X 2, MANGO PASSIONFRUIT</t>
  </si>
  <si>
    <t>HERBAL TEA STASH, STREWBERRY POMEGRANATE</t>
  </si>
  <si>
    <t>CHAI TEA STASH X 20 SOB, SPICE</t>
  </si>
  <si>
    <t>GREEN TEA STASH X 2, FUSION  GREEN&amp;WHITE</t>
  </si>
  <si>
    <t>SALSA SIN GLUTEN X  300 GR.HE, BOLOGNESA</t>
  </si>
  <si>
    <t>SALSA SIN GLUTEN X  300, TOMAT CON ATUN</t>
  </si>
  <si>
    <t>SALSA SIN GLUTEN X  300 GR.H, NAPOLITANA</t>
  </si>
  <si>
    <t>FIDEO CORTOS MISURA 500, SEDANI</t>
  </si>
  <si>
    <t>FIDEO CORTOS AGNESI 500, SEDANI</t>
  </si>
  <si>
    <t>CREMA DE ALMENDRAS 190G NOCILL, ORIGINAL</t>
  </si>
  <si>
    <t>PASTINAS X 500 GRS, PONTE, PONTE, ELICHE</t>
  </si>
  <si>
    <t>PASTINAS X 500 GRS, PON, PONTE, FARFALLE</t>
  </si>
  <si>
    <t>PASTINAS X 500 GRS, PON, PENNETTE RIGATE</t>
  </si>
  <si>
    <t>DIP HUMMUS 240GR VALLE FERTIL, PIMIENTO</t>
  </si>
  <si>
    <t>COMIDA LISTA S/GLUTEN 4, FREJOLES NEGROS</t>
  </si>
  <si>
    <t>COMIDA LISTA S/GLUTEN 425GR B, GARBANZOS</t>
  </si>
  <si>
    <t>LECHE YOLEIT VIT+MINERALES 200, CEREALES</t>
  </si>
  <si>
    <t>LECHE YOLEIT VIT+MINERALES 200ML, NORMAL</t>
  </si>
  <si>
    <t>SALSAS LISTA BARIL, PESTO RICOTTA E NOCI</t>
  </si>
  <si>
    <t>SALSAS LISTA BARI, PESTO POMODORI SECCHI</t>
  </si>
  <si>
    <t>ENCURTIDO TAPEO STDOS 350G, MEDITERRANEO</t>
  </si>
  <si>
    <t>ENCURTIDO TAPEO STDOS 350GR SERP, LATINO</t>
  </si>
  <si>
    <t>CAFÉ MOLIDO TOSTADO CAJAMARCA 250G C&amp;CO</t>
  </si>
  <si>
    <t>VINO RAMON BILBAO CRIANZA 750ML</t>
  </si>
  <si>
    <t>VINO RAMON BILBAO RESERVA 750ML</t>
  </si>
  <si>
    <t>SALSA DE SOYA LIBRE DE GLUTEN 500ML LKK</t>
  </si>
  <si>
    <t>CAFÉ GRANO TOSTADO CAJAMARCA 250G C&amp;CO</t>
  </si>
  <si>
    <t>PATE IBERICO A LA TRUFA COREN x2x78 gr</t>
  </si>
  <si>
    <t>PATE PIMIENTA VERDE  COREN x 2 x 78 gr</t>
  </si>
  <si>
    <t>INFUSION TWIN, MIEL, MANZANILLA&amp;VAINILLA</t>
  </si>
  <si>
    <t>INFUSION TWININGS X10 UND, LIMON TWIST</t>
  </si>
  <si>
    <t>SAL GRILLE X150GR FOSSIL RIVER , CARNE</t>
  </si>
  <si>
    <t>SAL GRILLE X150GR FOSSIL RIVER , PESCADO</t>
  </si>
  <si>
    <t>HANSAPLAST PARCHE PARA EL DOLOR CAPSICO</t>
  </si>
  <si>
    <t>ACEITE PRIMOR PREMIUM X 900ML</t>
  </si>
  <si>
    <t>ACEITE PRIMOR CLASICO X 900ML</t>
  </si>
  <si>
    <t>SAL HIMALAYA X150GR FOSSIL RIVER , NEGRA</t>
  </si>
  <si>
    <t>Vino 20 Barrels Limited Edition 750 , CS</t>
  </si>
  <si>
    <t>SALSA TERIYAKI  X 250 GR  LKK</t>
  </si>
  <si>
    <t>TOBLERONE X 50 GR TOBLER</t>
  </si>
  <si>
    <t>CHOCOLATE INST P/TAZA 220G SOL DEL CUSCO</t>
  </si>
  <si>
    <t>SHAMPOO BOBBY CACHORRO X 250 ML</t>
  </si>
  <si>
    <t>Vino Single Vineyard 750ML , CSA</t>
  </si>
  <si>
    <t>PAELLERO X12GR CARMENCITA , MARINERA</t>
  </si>
  <si>
    <t>SYRUP ESSENTIAL EVERYDAY , LIGHT</t>
  </si>
  <si>
    <t>BEBIDA SAYAN 300ML, ARANDANO A</t>
  </si>
  <si>
    <t>BEBIDA SAYAN 300ML , MARACUYA</t>
  </si>
  <si>
    <t>BEBIDA SAYAN 300ML , FRESA</t>
  </si>
  <si>
    <t>VINO M.WOODBRIDGE BOT 750ML , CSA</t>
  </si>
  <si>
    <t>VINO MONDAVI WOODBRIDGE 750ML , SBL</t>
  </si>
  <si>
    <t>VINO MONDAVI P.SELECT BOT 750ML , CSA</t>
  </si>
  <si>
    <t>VINO MONDAVI P.SELECT BOT 750ML , PN</t>
  </si>
  <si>
    <t>VINO MONDAVI P.SELEC BOT 750ML , CH</t>
  </si>
  <si>
    <t>VINO MONDAVI MEIOMI BOT 750ML , PN</t>
  </si>
  <si>
    <t>VINO MONDAVI MEIOMI 750ML , CH</t>
  </si>
  <si>
    <t>VINO PASO A PASO BOT 750ML , COSECHA</t>
  </si>
  <si>
    <t>CHOC INST P/TAZA TRAD 90GR SOL DEL CUSCO</t>
  </si>
  <si>
    <t>MERMELADA DE FRESA - CT X  KG</t>
  </si>
  <si>
    <t>CHOC INST P/TAZA C&amp;C 90GR SOL DEL CUSCO</t>
  </si>
  <si>
    <t>CEREAL  X 180GR KIWIGEN (BLS)</t>
  </si>
  <si>
    <t>VINO M.DEL SUR RSVA FAM 750 , MALBEC</t>
  </si>
  <si>
    <t>VINO M.DEL SUR RSVA FAM 750 , CABERNET</t>
  </si>
  <si>
    <t>VINO M.SUR GRAN RSVA 750ML , CABERNET</t>
  </si>
  <si>
    <t>ORGANIC TEA STASH, LEMON GIN</t>
  </si>
  <si>
    <t>ORGANIC TEA STASH , MATCHA</t>
  </si>
  <si>
    <t>SALSA ESSENTIAL 680GR , Traditiona</t>
  </si>
  <si>
    <t>PLASTICO WONDERWAP X 200 SQ</t>
  </si>
  <si>
    <t>SALSA ESSENTIAL 680GR , Champiñon</t>
  </si>
  <si>
    <t>SALSA BBQ ESSENTIAL 510GR , Original</t>
  </si>
  <si>
    <t>SALSA BBQ ESSENTIAL 510GR, Hickory S.</t>
  </si>
  <si>
    <t>MERMELADA LIGHT X350GR DMARCO , AGUAYM</t>
  </si>
  <si>
    <t>MERMELADA LIGHT X350GR DMARCO , DURAZ</t>
  </si>
  <si>
    <t>MERMELADA LIGHT X350GR DMARCO , NARAN</t>
  </si>
  <si>
    <t>TRIPACK JABÓN 100G FC , HUMECT</t>
  </si>
  <si>
    <t>TRIPACK JABÓN 100G FC , MACADAM</t>
  </si>
  <si>
    <t>TRIPACK JABÓN 100G FC , COCO</t>
  </si>
  <si>
    <t>RTD GIN GREENALLS 250ML , PINKWILDBE</t>
  </si>
  <si>
    <t>RTD GIN GREENALLS 250ML, LEMON SICI</t>
  </si>
  <si>
    <t>AVENAMIX X500GR MAMALAMA , CRANB/CHIA</t>
  </si>
  <si>
    <t>AVENAMIX X500GR MAMALAMA , AGUAYM/LIN</t>
  </si>
  <si>
    <t>VINO HAPPY FAMILY 750ML, CAB SAUV</t>
  </si>
  <si>
    <t>VINO HAPPY FAMILY 750ML , MERLOT</t>
  </si>
  <si>
    <t>VINO HAPPY FAMILY 750ML , TEMP</t>
  </si>
  <si>
    <t>VINO HAPPY FAMILY 750ML , P.VERDOT</t>
  </si>
  <si>
    <t>VINO HAPPY FAMILY 750ML, CAB FRANC</t>
  </si>
  <si>
    <t>VINO HAPPY FAMILY 750ML , SYRAH</t>
  </si>
  <si>
    <t>VINO SOLEADO TRIBUTO 750ML , SYRAH</t>
  </si>
  <si>
    <t>VINO SOLEADO TRIBUTO 750ML , CENCIBEL</t>
  </si>
  <si>
    <t>HERBAL TEA STASH , BREAKFAST</t>
  </si>
  <si>
    <t>SOPA RAPIDITO VASO 65GR , POLLPICANT</t>
  </si>
  <si>
    <t>SOPA RAPIDITO VASO 65GR , POLLO</t>
  </si>
  <si>
    <t>SOPA RAPIDITO VASO 65GR , RES</t>
  </si>
  <si>
    <t>SOPA RAPIDITO SOBRE 100GR , POLLO</t>
  </si>
  <si>
    <t>SOPA RAPIDITO SOBRE 100GR , RES</t>
  </si>
  <si>
    <t>SOPA RAPIDITO SOBRE 50GR , POLLO</t>
  </si>
  <si>
    <t>SOPA RAPIDITO SOBRE 50GR , RES</t>
  </si>
  <si>
    <t>MERMELADA LIGHT D'MARCO X210G , PITAH</t>
  </si>
  <si>
    <t>KIWIGEN GOLDEN X 180GR</t>
  </si>
  <si>
    <t>CHOCOLATE TOBLERONE HALOWEEN X 140 GR</t>
  </si>
  <si>
    <t>ESPUMA/BAÑO SECO BOBBY CACHORROS X 175ML</t>
  </si>
  <si>
    <t>TOBLERONE DE LECHE X 200GR</t>
  </si>
  <si>
    <t>CHOCOLATE TOBLERONE LECHE X 35GR</t>
  </si>
  <si>
    <t>CHOC 100%CACAO P/TAZA 80G SOL DEL CUSCO</t>
  </si>
  <si>
    <t>CHOC 100%CACAO P/TAZA 300G SOL DEL CUSCO</t>
  </si>
  <si>
    <t>ESPUMA/BAÑO SECO BOBBY ANTIPULGAS 175 ML</t>
  </si>
  <si>
    <t>QUINUA PERLADA SUPERIOR INCASUR X 250 GR</t>
  </si>
  <si>
    <t>CEREAL DUOMIX  x 180 g KIWIGEN</t>
  </si>
  <si>
    <t>PUNCHAO DE HABAS INSTANTANEAS X 265GR</t>
  </si>
  <si>
    <t>BOMBONES MERCI FINEST SELECTION 400G</t>
  </si>
  <si>
    <t>GANCHO SCOTCH MÉDIO</t>
  </si>
  <si>
    <t>KETCHUP PET X 20 OZ HEINZ</t>
  </si>
  <si>
    <t>CHOCOLATE TOBLERONE CRUNCHY ALMONDS 100G</t>
  </si>
  <si>
    <t>TAB CHOC VILLARS NEGRO 72% COCOA 100G</t>
  </si>
  <si>
    <t>TAB CHOC C/LECHE 32% COCOA VILLARS 100G</t>
  </si>
  <si>
    <t>MOSTAZA 368GR DOY PACK HEINZ</t>
  </si>
  <si>
    <t>CHOCOLATE TOBLERONE NAVIDAD 200G</t>
  </si>
  <si>
    <t>FERREIRINHA ESTEVA DOURO TINTO</t>
  </si>
  <si>
    <t>CHOCO TAB LECH AVELL 100G RITTER SPORT</t>
  </si>
  <si>
    <t>CHOCOLATE TOBLERONE TINY DARK 200GR</t>
  </si>
  <si>
    <t>CHOCOLATES C/LECHE SURTIDOS 250G MERCI</t>
  </si>
  <si>
    <t>TAB CHOC VILLARS NEGRO S/AZÙCAR 100G</t>
  </si>
  <si>
    <t>TAB CHOC VILLARS S/AZU LACTOS REDUC 100G</t>
  </si>
  <si>
    <t>COLADO FLEX HEINZ SIXPACK X113G</t>
  </si>
  <si>
    <t>CHOCOLATE TOBLERONE BOX PACK 7 X35G</t>
  </si>
  <si>
    <t>CAJA TOBLERONE HALLOWEEN X200G</t>
  </si>
  <si>
    <t>MAZAMORRA DE MANGO Y QUINUA</t>
  </si>
  <si>
    <t>FELTPAD SURTIDO X 162</t>
  </si>
  <si>
    <t>APPLETON ESTA SIGNA 750+APPLE EST8AÑ 200</t>
  </si>
  <si>
    <t>POOL BOX APEROL APRITZ</t>
  </si>
  <si>
    <t>DET MAGIA BLANCA LAVANDA X140GR</t>
  </si>
  <si>
    <t>LIMPIATODO LAVANDA 4L DKASA</t>
  </si>
  <si>
    <t>LIMPIATODO FLORAL 4L DKASA</t>
  </si>
  <si>
    <t>MORE+ FOCUS(MACA,COCA Y COMPLEJO B)100UN</t>
  </si>
  <si>
    <t>MORE+ MULTIVITAMIN X100UN</t>
  </si>
  <si>
    <t>SHAMPOO  CACHORRO PIEL DELICADA.X300ML</t>
  </si>
  <si>
    <t>SHAMPOO  ACONDICIONADOR ALOE VERA X300ML</t>
  </si>
  <si>
    <t>EDULCORANTE WONG (BOL X1500UN) -CONF</t>
  </si>
  <si>
    <t>CHOCOLATE NEGRO C/AVELLANAS VILLARS 100G</t>
  </si>
  <si>
    <t>SHAMPOO HIPOALERGÉNICO AVENA Y GLICERINA</t>
  </si>
  <si>
    <t>GIN ELEPHANT BOT 750 ML , SLOE</t>
  </si>
  <si>
    <t>GIN ELEPHANT BOT 750 ML , STRENGHT</t>
  </si>
  <si>
    <t>INFUSION CARMENCITA 10UN, MANZ MIEL</t>
  </si>
  <si>
    <t>VINO CARLOS SERRES TEMPRAN 750ML</t>
  </si>
  <si>
    <t>VINO CARLOS SERRES VIURA TEMP 750ML</t>
  </si>
  <si>
    <t>VINO SPIER SEAWARD CHARDO 750 ML</t>
  </si>
  <si>
    <t>VINO SPIER SIGN CHARDO PINOT 750ML</t>
  </si>
  <si>
    <t>VINO AZEVE ALVARINHO VERDE 750 ML</t>
  </si>
  <si>
    <t>VINO BELO VERDEJO 750ML</t>
  </si>
  <si>
    <t>ESPUMA BAÑO EN SECO PARA PERROS AVENA</t>
  </si>
  <si>
    <t>NATA PARA MONTAR 35% MG ASTURIANA 200 ML</t>
  </si>
  <si>
    <t>NATA PARA MONTAR 35% MG ASTURIANA X 1LT</t>
  </si>
  <si>
    <t>KIWIGEN X 400 GR VAINILLA</t>
  </si>
  <si>
    <t>KIWIGEN X 400 GR FRESA</t>
  </si>
  <si>
    <t>COMPOTA FRUTAS MIXTAS 113 GR HEINZ</t>
  </si>
  <si>
    <t>COMPOTA FRUTAS TROPICALES 113 GR HEINZ</t>
  </si>
  <si>
    <t>COMPOTA  DE PERA 113 GR HEINZ</t>
  </si>
  <si>
    <t>COMP POSTRES COCTEL DE FRUTA 113GR HEINZ</t>
  </si>
  <si>
    <t>TABLETA P/TAZA SOL DEL CUSCO 90G, CYC</t>
  </si>
  <si>
    <t>CHOC TAB DE LECHE  X100 GR  RITTER SPORT</t>
  </si>
  <si>
    <t>CHOC.TAB.TRAUBEN NUSS  X100 RITTER SPORT</t>
  </si>
  <si>
    <t>CHOC.EN TAB.HALBITTER  X100 RITTER SPORT</t>
  </si>
  <si>
    <t>TOBLERONE X 100 GR TOBLER</t>
  </si>
  <si>
    <t>TOBLERONE DARK X 100 GR TOBLER</t>
  </si>
  <si>
    <t>CHOCOLATE MILKA TABLETA 10, CON AVELLANA</t>
  </si>
  <si>
    <t>CHOCOLATE MILKA TAB, LECHE C/CHOC BLANCO</t>
  </si>
  <si>
    <t>SALSA FREE KRAFT X 473 ML., ITALIAN</t>
  </si>
  <si>
    <t>LIMPIATODO DKASA   BEBE X 900ML</t>
  </si>
  <si>
    <t>LIMPIATODO DKASA BEBE X1800ML</t>
  </si>
  <si>
    <t>LIMPIATODO DKASA LAVANDA X1800ML</t>
  </si>
  <si>
    <t>COLADO FLEX X 113 GR HEINZ, MELOCOTON</t>
  </si>
  <si>
    <t>COLADO FLEX X 113 GR HEINZ, MANZANA</t>
  </si>
  <si>
    <t>QUINUA INSTANTANEA X 250G INC, 3 SABORES</t>
  </si>
  <si>
    <t>KIWIGEN X 90 GR., CHOCOLATE</t>
  </si>
  <si>
    <t>KIWIGEN X 180 GR., VAINILLA</t>
  </si>
  <si>
    <t>GALLETAS QUINUA INCASUR 180GR, AJONJOLI</t>
  </si>
  <si>
    <t>TAB CHOC FRANKONIA S/AZUC NEGRO 80G</t>
  </si>
  <si>
    <t>TAB CHOC FRANKONIA S/AZUC LECHE 80G</t>
  </si>
  <si>
    <t>DESINFECTANTE DKASA PINO 4L, PINO</t>
  </si>
  <si>
    <t>P011105</t>
  </si>
  <si>
    <t>SILLAO OSCURO X 5LB( 1.79 LITROS)</t>
  </si>
  <si>
    <t>PECANA PELADA  PARTIDA  X KG</t>
  </si>
  <si>
    <t>NUTRIBELA-SH-REP-INTENSIVA-FR400ML</t>
  </si>
  <si>
    <t>GALLETA DYFFERENT VAINILLA BOLSA 210G</t>
  </si>
  <si>
    <t>BEBIDA UHT CON AVENA VIGOR BOLSA X 250ML</t>
  </si>
  <si>
    <t>VINO FLICHMAN S PARCEL MALB C D PL 750ML</t>
  </si>
  <si>
    <t>VINO FLICHMAN S PARCEL GUALTALLARY 750ML</t>
  </si>
  <si>
    <t>VINO DEDICADO CHARDONNAY 750ML</t>
  </si>
  <si>
    <t>VINO NOSTRUM RESERVE MALBEC 750ML</t>
  </si>
  <si>
    <t>PLT DE SOMBRAS MB COLOR RIVAL SPISUAVE</t>
  </si>
  <si>
    <t>MACARONI &amp; SALSA ALFREDO 220G CUISINE&amp;CO</t>
  </si>
  <si>
    <t>VINO RAMANEGRA RESERVA MALBEC 750ML</t>
  </si>
  <si>
    <t>VINO RAMANEGRA ESTATE MALBEC 750ML</t>
  </si>
  <si>
    <t>SALSA BBQ HARMLESS X 390G</t>
  </si>
  <si>
    <t>MOSTAZA HARMLESS X 390G</t>
  </si>
  <si>
    <t>JF BLONDE REPAIR SYSTEM SHAMPOO 245ML</t>
  </si>
  <si>
    <t>JF BLONDE REPAIR S. ACONDICIONADOR 245ML</t>
  </si>
  <si>
    <t>GINGER ALE MR PERKINS LT 180ML X 12 UN</t>
  </si>
  <si>
    <t>LOC BRONCE HAWAIIAN ZHRIA FPS30 240ML</t>
  </si>
  <si>
    <t>BANANA BOAT KIDS SPORT SPRAY FPS50 170g</t>
  </si>
  <si>
    <t>BLOQ BANANA BOAT KIDS SPORT FPS50 180ML</t>
  </si>
  <si>
    <t>GLYCO-BRIGHT SERUM ANTI-MANCHAS 30ML</t>
  </si>
  <si>
    <t>GLYCO-BRIGHT CREMA DIA ANTI-M FPS30 50ML</t>
  </si>
  <si>
    <t>VINO BROLIO CHIANTI CLASSICO 750ML</t>
  </si>
  <si>
    <t>VINO BROLIO CHIANTI CLASSICO RSVA 750ML</t>
  </si>
  <si>
    <t>VINO BREAD &amp; BUTTER PINOT NOIR 750ML</t>
  </si>
  <si>
    <t>VINO BREAD &amp; BUTTER CABRNT SVGNN 750ML</t>
  </si>
  <si>
    <t>CARTUCHERA HALLOWEEN GOLOSINAS 94 G</t>
  </si>
  <si>
    <t>AMMENS ORIG.SH400ML+SH.DOY400ML+COL100ML</t>
  </si>
  <si>
    <t>VINO GERARD BERTRAND AN 940 CHARDO 750ML</t>
  </si>
  <si>
    <t>ESPUMANTE FRENCH CAN CAN BRUT 750ML</t>
  </si>
  <si>
    <t>SALSA THAI SWEET CHILIX510GR LEE KUM KEE</t>
  </si>
  <si>
    <t>BOLSON TERRORIFICO ARCOR HW 1KG</t>
  </si>
  <si>
    <t>PARTY MIX MINIS HW 100 U</t>
  </si>
  <si>
    <t>OSO BOB HALLOWEEN 75G</t>
  </si>
  <si>
    <t>MOCHILA GATITO HW 75G</t>
  </si>
  <si>
    <t>BABARIA CREMA FACIAL BOTOX 50ML</t>
  </si>
  <si>
    <t>VINO RUCA MALEN CAP TRES MALB DE A 750ML</t>
  </si>
  <si>
    <t>CEPILLO DESENREDANTE GRUESO CANTU</t>
  </si>
  <si>
    <t>ENERGIZANTE REDBULL AMBAR EDITION 250ML</t>
  </si>
  <si>
    <t>JABON INTIMO BACTERION 220ML MANZANILLA</t>
  </si>
  <si>
    <t>PACK SILKA DEFENSA TALCO X 250G + 75G</t>
  </si>
  <si>
    <t>PISCO CUATRO GALLOS PURO QUEBRANTA 500ML</t>
  </si>
  <si>
    <t>NIVEA SUN CONTROL BRILLO TONO MEDIO 50ML</t>
  </si>
  <si>
    <t>TIO NACHO SH ANTI CAIDA ACLARANTE 1L</t>
  </si>
  <si>
    <t>TIO NACHO SH ANTI-CANAS HENNA EGIPCIA 1L</t>
  </si>
  <si>
    <t>TIO NACHO SH PURIFICA CELULA MADRE 950ML</t>
  </si>
  <si>
    <t>NIVEA BODY CON PROTECCIÓN UV 400ML</t>
  </si>
  <si>
    <t>SUN BUM ORIGINAL SPF 50 LOCIÓN</t>
  </si>
  <si>
    <t>VINO RAMANEGRA CLASSIC MALBEC 750ML</t>
  </si>
  <si>
    <t>TIO NACHITO SHAMPOO 2 EN 1 400 ML</t>
  </si>
  <si>
    <t>BEBIDA MOGU MOGU FRESA 320ML , MELON</t>
  </si>
  <si>
    <t>REHIDRATANTE SUEROX 630ML , FRUTOS ROJOS</t>
  </si>
  <si>
    <t>MINI SAPITO CONFITE HW 224G</t>
  </si>
  <si>
    <t>MOGUL OJITOS 30G</t>
  </si>
  <si>
    <t>FIDEOS INSTANTANEOS INDOMIE 85GR</t>
  </si>
  <si>
    <t>PAPEL ALUMINIO REYNOLDS X 25</t>
  </si>
  <si>
    <t>BOLSAS RESELLABLES P/ALMAC X 25</t>
  </si>
  <si>
    <t>BOLSAS RESELLABLES P/CONGEL X20 REYNOLDS</t>
  </si>
  <si>
    <t>SARTEN CORAL 18CM AC VITRIFICADO</t>
  </si>
  <si>
    <t>SARTEN CORAL 20CM AC VITRIFICADO</t>
  </si>
  <si>
    <t>BISCUITS WHOLEWHEAT MISURA 120GR</t>
  </si>
  <si>
    <t>BISCUITS MULTIGRAIN MISURA 120GR</t>
  </si>
  <si>
    <t>SANGRIENTOS ACIDOS ARCOR 312G</t>
  </si>
  <si>
    <t>TEQUILA ESPOLÓN REPOSADO BOT 750ML</t>
  </si>
  <si>
    <t>NUT RETOCADO RAIZ 50</t>
  </si>
  <si>
    <t>BOLSA BASURA HC ECONOMICA 35L 20UN</t>
  </si>
  <si>
    <t>SIMILAC TOTAL COMFORT ETAPA 1 820 GR</t>
  </si>
  <si>
    <t>SIMILAC TOTAL COMFORT KID 2.1KG</t>
  </si>
  <si>
    <t>VINO EXPOVINO 2024 ERNESTO CATENA 750ML</t>
  </si>
  <si>
    <t>VINO EXPOVINO 2024 ERNESTO CATENA 5L</t>
  </si>
  <si>
    <t>BARRA QUINUA CHOC. QFOODS 8 UN , ARAND</t>
  </si>
  <si>
    <t>PANETÓN CHOCOLATE ZANA CAJA 500GR</t>
  </si>
  <si>
    <t>LAPIZ CEJA MYBLL BUILD-A-BROW SOFT BROWN</t>
  </si>
  <si>
    <t>LAPIZ CEJA MYB BUILD-A-BROW MEDIUM BROWN</t>
  </si>
  <si>
    <t>LAPIZ CEJA MYBLL BUILD-A-BROW DEEP BROWN</t>
  </si>
  <si>
    <t>MOSTAZA B&amp;D BALDE 4KG</t>
  </si>
  <si>
    <t>KETCHUP B&amp;D BALDE X 4KG</t>
  </si>
  <si>
    <t>PACK INFUSIONES TRAVELMUG NATURES HEART</t>
  </si>
  <si>
    <t>VAPEADOR VUSE 5000 PUFS APPLE</t>
  </si>
  <si>
    <t>FIDEO FANSI X 250 GR VERMICELLI</t>
  </si>
  <si>
    <t>FIDEO FANSI X500GR VERMICELLI</t>
  </si>
  <si>
    <t>VINO SALENTEIN S VYARD MB ALTAMIRA 750ML</t>
  </si>
  <si>
    <t>VINO LAN A MANO ED.LIMITADA 750ML</t>
  </si>
  <si>
    <t>PISCO OCUCAJE MV ITALIA BT 700 ML</t>
  </si>
  <si>
    <t>PISCO OCUCAJE MV ACHOLADO BT 700 ML</t>
  </si>
  <si>
    <t>PISCO GRAN CRUZ MOSTO VERDE QUEBR 700 ML</t>
  </si>
  <si>
    <t>PISCO GRAN CRUZ MOSTO VERDE ACHO 700 ML</t>
  </si>
  <si>
    <t>PISCO KOREKENKE ACHOLADO X 2 LITROS</t>
  </si>
  <si>
    <t>CERVEZA ERDINGER OKTOBERFEST 500ML</t>
  </si>
  <si>
    <t>PACK ERDINGER OKTOBERFEST 500ML + 1 VASO</t>
  </si>
  <si>
    <t>CALDO DE PAELLA MARISCO GALLIN BLANC 1L</t>
  </si>
  <si>
    <t>AVECREM PASTLL CALD VEGTL GALLN BLNC 80G</t>
  </si>
  <si>
    <t>AVECREM PASTILL CALD PESC GALLN BLNC 80G</t>
  </si>
  <si>
    <t>SOPA DE VERDURAS GALLINA BLANCA</t>
  </si>
  <si>
    <t>CREMA DE ESPARRAGOS GALLINA BLANCA</t>
  </si>
  <si>
    <t>CREMA DE CHAMPIÑONES GALLINA BLANC</t>
  </si>
  <si>
    <t>SALSA ROQUEFORT GALLINA BLANC</t>
  </si>
  <si>
    <t>SALSA BECHAMEL GALLINA BLANC</t>
  </si>
  <si>
    <t>SALSA CHAMPIÑONES GALLINA BLAC</t>
  </si>
  <si>
    <t>PIMENTON DULCE LA CHINATA 70G</t>
  </si>
  <si>
    <t>PIMENTON PICANTE LA CHINATA 70G</t>
  </si>
  <si>
    <t>SAZONADOR DE PAELLA LA CHINATA 48G</t>
  </si>
  <si>
    <t>BOLSA MULTIUSOS HOME CARE 90L 15UN</t>
  </si>
  <si>
    <t>VINO RAMANEGRA ALTISIMO MALBEC 750ML</t>
  </si>
  <si>
    <t>PEPINILLOS ENCURTIDOS KOSHER BABY 473 ML</t>
  </si>
  <si>
    <t>TINTE NUTRISSE OLEO TONO 1.0 NEGRO</t>
  </si>
  <si>
    <t>NUTRISSE OLEO TONO 3.0 CASTAÑO OSCURO</t>
  </si>
  <si>
    <t>NUTRISSE OLEO TONO 5.0 CASTAÑO CLARO</t>
  </si>
  <si>
    <t>NUTRISSE OLEO TONO 6.0 RUBIO OSCURO</t>
  </si>
  <si>
    <t>NUTRISSE OLEO RUBIO OSCURO CENIZO 6.21</t>
  </si>
  <si>
    <t>NUTRISSE OLEO RUBIO ROJIZO PROFUNDO 6.66</t>
  </si>
  <si>
    <t>NUTRISSE OLEO RUBIO CENIZO NACARADO 7.12</t>
  </si>
  <si>
    <t>NUTRISSE OLEOS RUBIO DORADO CAOBA 7.35</t>
  </si>
  <si>
    <t>NUTRISSE OLEO RUBIO CLARO PLATINADO 8.12</t>
  </si>
  <si>
    <t>SODA LONDON ESSENCE PINK X 150ML X 6</t>
  </si>
  <si>
    <t>LYSOL AEROSOL LEMON BREEZE 370ML</t>
  </si>
  <si>
    <t>CARMENCITA OREGANO X 8G</t>
  </si>
  <si>
    <t>CARMENCITA CAYENA MOLIDA 43G</t>
  </si>
  <si>
    <t>PACK VINOS EL ENEMIGO MB + CAB FR 750ML</t>
  </si>
  <si>
    <t>CHIVAS 12 700ML + HAVANA 7 700ML</t>
  </si>
  <si>
    <t>CHIVAS 12 700ML+ RICCADONA ASTI 750ML</t>
  </si>
  <si>
    <t>VAPEADOR VUSE 700PUFS , BLUEBERRY</t>
  </si>
  <si>
    <t>PISCO BIONDI MOSTO VERDE ITALIA 500ML</t>
  </si>
  <si>
    <t>PISCO BIONDI MOSTO VERDE QUEBRANTA 500ML</t>
  </si>
  <si>
    <t>BEEFEATER 700ML + BEEF BOTANICS 700ML</t>
  </si>
  <si>
    <t>RON LA HECHICERA 700 + VASO TERMICO</t>
  </si>
  <si>
    <t>PISCO PURO ACHOLADO PANCHO FIERRO 2L</t>
  </si>
  <si>
    <t>PISCO PURO QUEBRANTA PANCHO FIERRO 4L</t>
  </si>
  <si>
    <t>CARTAVIO HIT LIMONADA COCO LIGHT 355 ML</t>
  </si>
  <si>
    <t>WHISKY OLD TIMES RED 1.75L</t>
  </si>
  <si>
    <t>VODKA RUSSKAYA NEUTRO 1.75L</t>
  </si>
  <si>
    <t>THE GLENLIVET FOUNDERS 700 + TABLA QUESO</t>
  </si>
  <si>
    <t>PACK JOHNNIE WALKER BLACK 750ML + 1 VASO</t>
  </si>
  <si>
    <t>PACK DON JULIO BCO 750ML + VASO CATRINA</t>
  </si>
  <si>
    <t>CALDO DE PESCADO GALLINA BLANCA X 1L</t>
  </si>
  <si>
    <t>PURE DE CAMOTE CAMOFIT POWER 40GR</t>
  </si>
  <si>
    <t>T-FAL SARTEN 26 EASYCOOK</t>
  </si>
  <si>
    <t>CALDO DE VERDURA GALLINA BLANCA 1L</t>
  </si>
  <si>
    <t>TOALLITAS HUMEDAS PAW PATROL 100UN</t>
  </si>
  <si>
    <t>AVECREM PASTILL POLLO GALLIN BLANC 240G</t>
  </si>
  <si>
    <t>SALSA TARTUFATA ARTIGIANI DELTARTUFO180G</t>
  </si>
  <si>
    <t>TIPPYS DSCO EXFOLIANTE MAXI OVAL ECO 40U</t>
  </si>
  <si>
    <t>CALDO DE PAELLA CARNE GALLINA BLANCA 1L</t>
  </si>
  <si>
    <t>CACAO CON COLÁGENO X150GR INKAFOREST</t>
  </si>
  <si>
    <t>PACK GIN TANQUERAY LONDON + COPA VIDRIO</t>
  </si>
  <si>
    <t>PACK GIN TANQUERAY SEVILLA + COPA ACR</t>
  </si>
  <si>
    <t>VITAPAN SOFT  X  5 KG.</t>
  </si>
  <si>
    <t>VINO POSTALES FIN DEL MUNDO CAB/MALB 750</t>
  </si>
  <si>
    <t>VODKA CIROC 750 ML</t>
  </si>
  <si>
    <t>BROWNIES LIMON BOL X 8UND,MR. BROWNIE</t>
  </si>
  <si>
    <t>BLONDIES CHIPS BOL X 8UND, MR. BROWNIE</t>
  </si>
  <si>
    <t>BROWNIES GALACTIC BOL X8UND,MR. BROWNIE</t>
  </si>
  <si>
    <t>BOX SURTIDO SWEET MOMENTSX12UND,MR. BROW</t>
  </si>
  <si>
    <t>PEPINILLO ENCURTIDO HUERTO MEJIA</t>
  </si>
  <si>
    <t>PEPINILLO EN RODAJAS HUERTO MEJIA</t>
  </si>
  <si>
    <t>ESPONJA SCOTCH BRITE 2 EN 1 X8</t>
  </si>
  <si>
    <t>CONAIR CEPILLO MASAJE CERDA TRI ACCION</t>
  </si>
  <si>
    <t>CEPILLO CONAIR MASAJE CERDAS EXTRA LARGO</t>
  </si>
  <si>
    <t>VAPEADOR VUSE 700PUFS , WATERMELON</t>
  </si>
  <si>
    <t>VAPEADOR VUSE 5000 PUFS BLUEBERRY</t>
  </si>
  <si>
    <t>VAPEADOR VUSE 5000 PUFS GRAPE</t>
  </si>
  <si>
    <t>VAPEADOR VUSE 5000 PUFS STRAWBERRY</t>
  </si>
  <si>
    <t>JABON LIQUIDO DE AFRECHO  SIMONDS X340ml</t>
  </si>
  <si>
    <t>BISCUITS DOLCESENZA MISURA 120G</t>
  </si>
  <si>
    <t>CEPILLO DESENREDANTE NEGRO CANTU</t>
  </si>
  <si>
    <t>MASC PESTAÑA MAYBELLINE LS FIREWORK WSH</t>
  </si>
  <si>
    <t>MASC PESTAÑA MAYBELLINE LS FIREWORK WTP</t>
  </si>
  <si>
    <t>TOALLITAS HUMEDAS PEPPA PIG 100UN</t>
  </si>
  <si>
    <t>DOLOTRONIK CAJA X 4 PARCHES</t>
  </si>
  <si>
    <t>SISTEMA DE MONITOREO GLUCOSA EN SANGRE</t>
  </si>
  <si>
    <t>KIT CERA AEROSOL 360 ML</t>
  </si>
  <si>
    <t>CREMA PIEL NORMAL X 250 ML NIVEA BODY MI</t>
  </si>
  <si>
    <t>REHIDRATANTE PEDIALYTE 500ML , MANZANA</t>
  </si>
  <si>
    <t>PACK HT FACIAL 60ML + SHEER TOUCH 240ML</t>
  </si>
  <si>
    <t>ARROZ ATOMIC INTEGRAL C/MIELX125G FORTE</t>
  </si>
  <si>
    <t>PISCO OCUCAJE ACHOLADO X 4 L</t>
  </si>
  <si>
    <t>PACK BUCHANANS 12 750ML + 2 VASOS VIDRIO</t>
  </si>
  <si>
    <t>FREJOLES ADEREZADOS CASA VERDE 360G</t>
  </si>
  <si>
    <t>LENTEJAS ADEREZADAS CASA VERDE 360G</t>
  </si>
  <si>
    <t>QUINUA BICOLOR CASA VERDE 240G</t>
  </si>
  <si>
    <t>GARBANZOS CASA VERDE 340G</t>
  </si>
  <si>
    <t>BEPANTHEN BEBE 100G</t>
  </si>
  <si>
    <t>TOALLITAS HUMEDAS MINIONS 100UN</t>
  </si>
  <si>
    <t>PICADILLO DE ACEITUNAS HUERTO MEJIA</t>
  </si>
  <si>
    <t>VODKA SMIRNOFF TAMARINDO 700 ML</t>
  </si>
  <si>
    <t>PACK JOHNNIE WALKER GOLD 750 ML+COPA CN</t>
  </si>
  <si>
    <t>PACK JOHNNIE WALKER RD 750ML+2 VASOS RJ</t>
  </si>
  <si>
    <t>PISCO OCUCAJE QUEBRANTA 4LT</t>
  </si>
  <si>
    <t>PACK VINO OCUCAJE BORGOÑA 750 ML</t>
  </si>
  <si>
    <t>BEBIDA DE ALMENDRA NH S AZUCAR 6PK 946ML</t>
  </si>
  <si>
    <t>PANETTONE SCHAR 420G</t>
  </si>
  <si>
    <t>ASTILLAS DE ALGARROBO 400GR</t>
  </si>
  <si>
    <t>ASTILLAS DE HUARANGO 400GR</t>
  </si>
  <si>
    <t>CHUNKS DE ALGARROBO 1KG</t>
  </si>
  <si>
    <t>CHUNKS DE HUARANGO 1KG</t>
  </si>
  <si>
    <t>CARBON DE ALGARROBO 5KG</t>
  </si>
  <si>
    <t>PACK DE 6 MECHEROS</t>
  </si>
  <si>
    <t>SALSA BLANCA CASA VERDE 150G</t>
  </si>
  <si>
    <t>BARQUILLOS MARMOL HELADO 12UN CUISINE&amp;CO</t>
  </si>
  <si>
    <t>AVECREM PASTILL POLLO GALLIN BLANC 120G</t>
  </si>
  <si>
    <t>PACK VINO OCUCAJE ROSÉ 750 ML</t>
  </si>
  <si>
    <t>DET. ETERNA BIO ECOLÓGICO 900 ML</t>
  </si>
  <si>
    <t>ESPUMANTE CLÁSICO OCUCAJE 750 ML</t>
  </si>
  <si>
    <t>PACK JOHNNIE WALKER BLUE + 2 VASOS CN</t>
  </si>
  <si>
    <t>NEUTROGENA SUNFRESH HB 50 COLOR 40ML</t>
  </si>
  <si>
    <t>NEUTROGENA SUNFRESH HB50 SIN COLOR 40ML</t>
  </si>
  <si>
    <t>PACK GIN TANQUERAY LONDON + COPA ACR</t>
  </si>
  <si>
    <t>LIMP.AIR FRYER BINNER DESENGRASANT 500ML</t>
  </si>
  <si>
    <t>LIMP.PROT MUEBLES FORMICA MELAMINA 350ML</t>
  </si>
  <si>
    <t>LIMP. TAPICERIA ESPUMA AEROSOL 400ML</t>
  </si>
  <si>
    <t>PACK WAFFER LOACKER SAB SURTIDOS 180G</t>
  </si>
  <si>
    <t>JAMAICA PIÑA WAWASANA X 20 UND</t>
  </si>
  <si>
    <t>WHISKY PASSPORT SELECTION 700ML</t>
  </si>
  <si>
    <t>VINO MALAMIGO EL REBELDE RED BLEND 750ML</t>
  </si>
  <si>
    <t>VINO MALAMIGO LADY DRAMA WHIT BLND 750ML</t>
  </si>
  <si>
    <t>VINO MALAMIGO EL CÓMPLICE RED BLND 750ML</t>
  </si>
  <si>
    <t>CEREZA DESHIDRATADA APECANATE 100G</t>
  </si>
  <si>
    <t>DATIL S/PEPA DESHIDRATAD APECANATE 100GR</t>
  </si>
  <si>
    <t>ARÁNDANO DESHIDRATADO APECANATE 100G</t>
  </si>
  <si>
    <t>NARANJA DESHIDRATADA APECANATE 100G</t>
  </si>
  <si>
    <t>FOURPACK RTD PATY BOX UVA + LEMON DANGER</t>
  </si>
  <si>
    <t>PACK RON FLOR DE CAÑA 12 AÑOS + VASO</t>
  </si>
  <si>
    <t>PACK JAGERMEISTER BT 700ML + MEDIAS</t>
  </si>
  <si>
    <t>COVERGIRL CLEAN FRESH EYEBROW GEL CLEAR</t>
  </si>
  <si>
    <t>COVERGIRL CLEAN FRESH BROW PENCIL ALBURN</t>
  </si>
  <si>
    <t>COVERG C FRESH BROW PENCIL MEDIUM BROWN</t>
  </si>
  <si>
    <t>COVERG CLEAN FRESH BROWPENCIL DARK BROWN</t>
  </si>
  <si>
    <t>T-FAL SARTEN 26CM SUPERCOOK</t>
  </si>
  <si>
    <t>T-FAL SARTEN 30CM SUPERCOOK</t>
  </si>
  <si>
    <t>VINO CRUX MALBEC 750ML</t>
  </si>
  <si>
    <t>LIMPIA ANTICAL ELECTRO 250ML DR.BECKMANN</t>
  </si>
  <si>
    <t>LIMPIADOR TAPICERÍA 400ML DR.BECKMANN</t>
  </si>
  <si>
    <t>DR. BECKMANN NEGROS INTENSOS X 8UN</t>
  </si>
  <si>
    <t>MIX CHOCOLATES MARS NAVIDAD BLS 242G</t>
  </si>
  <si>
    <t>GALLETAS TREN SURTIDITAS DISPLAY 400G</t>
  </si>
  <si>
    <t>GOMAS DE MASCAR FRESA ORBIT 14 UN</t>
  </si>
  <si>
    <t>SAL PARA MAQUINAS LAVAVAJILLAS FROSCH</t>
  </si>
  <si>
    <t>SUAVIZANTE HIPOALERGENICO FROSCH</t>
  </si>
  <si>
    <t>PACK 2 ESPUMANTES MONTESIERPE 750ML+COPA</t>
  </si>
  <si>
    <t>KETCHUP CASA VERDE 380G CASA VERDE</t>
  </si>
  <si>
    <t>CREMA DE ROCOTO POUCH 350G CASA VERDE</t>
  </si>
  <si>
    <t>CHOCOL. D/LECHE NOEL 1N X 60GR. LA IBERI</t>
  </si>
  <si>
    <t>AMB.SHICK SPLASH X 2 KIWI  MANGO</t>
  </si>
  <si>
    <t>SMUTI AVENA CHOCOLATE NUTRICO X 200 GR</t>
  </si>
  <si>
    <t>CEREAL CACAO NUTRICO X 200 GR</t>
  </si>
  <si>
    <t>CEREAL FRUTOS ROJOS NUTRICO X 200 GR</t>
  </si>
  <si>
    <t>TE NEGRO EARL GREY BIGELOW X 8 SOB</t>
  </si>
  <si>
    <t>TE NEGRO ENGLISH BREAKFAST BIGELOW X 8SO</t>
  </si>
  <si>
    <t>EMULSIÓN PROTEC P/ESCALDADURA SALVY 100G</t>
  </si>
  <si>
    <t>CREMA  HIDRATANTE ULTRASOFT SALVY 250GR</t>
  </si>
  <si>
    <t>JABON LIQUIDO SALVY 520ML</t>
  </si>
  <si>
    <t>CHOCOLATE P/TAZA SHATTELL X100GR</t>
  </si>
  <si>
    <t>CHOCOLATE P/TAZA SHATTELL X 4UND</t>
  </si>
  <si>
    <t>SCOTCH BRITE PACK UPGRADE X3</t>
  </si>
  <si>
    <t>PACK JACK DANIELS N7 2 BOT 750ML </t>
  </si>
  <si>
    <t>TAZA NAVIDAD CHOCALE 66G</t>
  </si>
  <si>
    <t>VAPEADOR VUSE 700PUFS , STRAWBERRY</t>
  </si>
  <si>
    <t>CALDO DE POLLO GALLINA BLANCA X 1L</t>
  </si>
  <si>
    <t>CALDO DE CARNE X 1LT GALLINA BLANCA</t>
  </si>
  <si>
    <t>SUN BUM LIP BALMS SPF 30 BANANA</t>
  </si>
  <si>
    <t>SUN BUM LIP BALMS SPF 30 WATERMELON</t>
  </si>
  <si>
    <t>SUN BUM LIP BALMS SPF 30 COCONUT</t>
  </si>
  <si>
    <t>SUN BUM LIP BALMS SPF 30 POMEGRANATE</t>
  </si>
  <si>
    <t>MAQ AFEIT SHINE MUJ FC 3HOJASX2U</t>
  </si>
  <si>
    <t>MAQ AFEIT SHINE MUJ FC 3HOJASX4U</t>
  </si>
  <si>
    <t>MAQ AFEITAR TRAVEL FAM CARE 3HOJAS 1UN</t>
  </si>
  <si>
    <t>SISTEM AFEIT INTIMATE FC 3HOJX1U</t>
  </si>
  <si>
    <t>SET PRINCEAS (SH100ML/COL100ML/JB100ML)</t>
  </si>
  <si>
    <t>PACK 2ESPUMANTES JUVEESSENCIAL PURP750ML</t>
  </si>
  <si>
    <t>KATIVA PACK KERATINA SH +AC 355 ML</t>
  </si>
  <si>
    <t>T-FAL SARTEN 24CM SUPERCOOK</t>
  </si>
  <si>
    <t>PACK 2 RON CARTAVIO GRAN SOLERA 750ML</t>
  </si>
  <si>
    <t>PACK 2 OLD TIMES RED + APPLE RUSH 750ML</t>
  </si>
  <si>
    <t>TOY STORY SHA 100ML+COL120ML+JAB85G+ESPJ</t>
  </si>
  <si>
    <t>GALLINA P SHAMPOO 300ML+JAB 300ML+ESPJ</t>
  </si>
  <si>
    <t>SET AVENGERS SH100ML,COL120ML,JB80GR,ESP</t>
  </si>
  <si>
    <t>SET MICKEY SH100ML,COL120ML,JB80GR,ESP</t>
  </si>
  <si>
    <t>SET MINNIE SH100ML,COL120ML,JB80GR,ESP</t>
  </si>
  <si>
    <t>PACK GIN ANTAGONIC 750ML + COPA</t>
  </si>
  <si>
    <t>SUJETADOR DE SPRAY X1</t>
  </si>
  <si>
    <t>VEGGIE SOON RAMYUN X 112 GR.</t>
  </si>
  <si>
    <t>CHAPAGURI ANGRY X 140GR</t>
  </si>
  <si>
    <t>SHIN RAMYUN NON-FRIED X 97 GR.</t>
  </si>
  <si>
    <t>CHAPAGETTI SPICY X 137GR</t>
  </si>
  <si>
    <t>GANCHO SCOTCH PEQUE X4</t>
  </si>
  <si>
    <t>PACK BAILEYS ORIGINAL 750 ML + PORTAVELA</t>
  </si>
  <si>
    <t>CALENDARIO ADVNTO LA FIDELIA X 24 SOB</t>
  </si>
  <si>
    <t>COFRE MOMENTOS LA FIDELIA X 30 SOB</t>
  </si>
  <si>
    <t>FILTRANTE COCA Y MUÑA WAWASANA X20SOB</t>
  </si>
  <si>
    <t>PACK PRTGL EXF 110ML+LMP 210G+AMIC 280ML</t>
  </si>
  <si>
    <t>PACK HY-ADV COM SRM 30ML+CRM DIA+CRM NCH</t>
  </si>
  <si>
    <t>ORGANIC ENDULZANTE CAJA 50SB STEVITA</t>
  </si>
  <si>
    <t>EXTRA SWEET ENDULZANTE CAJA 50SB STEVITA</t>
  </si>
  <si>
    <t>PACK PORTUGAL ESPU 175+EXFO 110+JB DETOX</t>
  </si>
  <si>
    <t>PACK PORTUGAL CORPORAL ALOE+ALMEND+LECHU</t>
  </si>
  <si>
    <t>PACK REVITALIFT SERUM+CREMA DIA HIALURO</t>
  </si>
  <si>
    <t>PACK LOREAL PARIS RETINOL + UV DEFENDER</t>
  </si>
  <si>
    <t>PACK GARNIER EX ACLA CRMA GEL+SERUM 30ML</t>
  </si>
  <si>
    <t>MANCHICHIS 2 CERRITOS BL X 125GR</t>
  </si>
  <si>
    <t>VINO PINTIA 3LT</t>
  </si>
  <si>
    <t>WHISKY JOHNNIE WALK BLACK LABEL 750ML EP</t>
  </si>
  <si>
    <t>WHISKY JOHNNIE WALK GOLD LABEL 750ML EP</t>
  </si>
  <si>
    <t>TAGLIOLINI CARBONARA PASTAROTTI X175GR</t>
  </si>
  <si>
    <t>PENNE SALSA ARRABIATA PASTAROTTI X175GR</t>
  </si>
  <si>
    <t>FETTUCINE AL ALFREDO PASTAROTTI X175GR</t>
  </si>
  <si>
    <t>SPAGHETTI AL PESTO PASTAROTTI X175GR</t>
  </si>
  <si>
    <t>TRIPACK JABON NEKO 110G EXTRAPROTECCION</t>
  </si>
  <si>
    <t>TRIPACK JABON NEKO 110GR EXTRASUAVE</t>
  </si>
  <si>
    <t>TRIPACK JABON NEKO 110GR AVENA</t>
  </si>
  <si>
    <t>TRIPACK JABON NEKO 110 GR ALOE</t>
  </si>
  <si>
    <t>TRIPACK JABON NEKO 110 GR FRESH</t>
  </si>
  <si>
    <t>SCOTCH BRITE PACK SUPERAHORRO</t>
  </si>
  <si>
    <t>SCOTCH BTITE QUITAPELUSA 30H</t>
  </si>
  <si>
    <t>BASTÓN BUTTER TOFFEE 96G</t>
  </si>
  <si>
    <t>HOMBRE NIEVE BUTTER TOFFEE CAFÉ 100.8G</t>
  </si>
  <si>
    <t>ESFERA PETIT BUTTER TOFFEE CAFE 33.6G</t>
  </si>
  <si>
    <t>BASTÓN BON O BON MULTIPACK 40G</t>
  </si>
  <si>
    <t>BOMBONES PAPA NOEL BON O BON 80G</t>
  </si>
  <si>
    <t>BOMBONES PAPA NOEL BON O BON 90G</t>
  </si>
  <si>
    <t>BOMBONES BOTA NAVIDAD BON BON 60G</t>
  </si>
  <si>
    <t>CASA DE JENGIBRE BON O BON MULTIPACK 24G</t>
  </si>
  <si>
    <t>GALLETA NAVIDAD BON O BON BOLSA 190G</t>
  </si>
  <si>
    <t>GEL LIMPIEZA REVITALIFT ANTIBRILLO 150ML</t>
  </si>
  <si>
    <t>ARP BESO (EDT 50ML + 10ML)</t>
  </si>
  <si>
    <t>ARP BESO (EDT 100ML + 10ML)</t>
  </si>
  <si>
    <t>AB THE ICON 2024 H1 (50ML+AS75ML)</t>
  </si>
  <si>
    <t>AB DIA 2024 ANUAL (VP 100ML + DEO 150ML)</t>
  </si>
  <si>
    <t>SKR DANCE EDT 80ML + DEO 150ML</t>
  </si>
  <si>
    <t>VODKA ABSOLUT WARHOL EOY24 700ML</t>
  </si>
  <si>
    <t>UNICORNIO - SET DE BAÑO CON TOALLA</t>
  </si>
  <si>
    <t>BARBIE - SET PERFUME LLAVERO POMPOM</t>
  </si>
  <si>
    <t>STITCH - SET PERFUME LLAVERO POMPOM</t>
  </si>
  <si>
    <t>ESTUCHE SHAMPOO 2EN1  STITCH + TOALLA</t>
  </si>
  <si>
    <t>SET DE BAÑO SHAMPOO + PERFUME UNICORNIO</t>
  </si>
  <si>
    <t>PACK 2 VINOS ENTREMONTES S SECO 750 ML</t>
  </si>
  <si>
    <t>CAFÉ TUNKI MOLIDO ESPRESSO X 215 GR</t>
  </si>
  <si>
    <t>ADIDAS PURE GAME EDT 100ML IV</t>
  </si>
  <si>
    <t>ADIDAS VICTORY LEAGUE EDT 100ML RL</t>
  </si>
  <si>
    <t>PACK 2 RON CARTAVIO SELECTO 750ML</t>
  </si>
  <si>
    <t>VINO DON MATIAS C. MACUL CAR 750ML</t>
  </si>
  <si>
    <t>SARTEN CORAL 26CM AC VITRIFICADO</t>
  </si>
  <si>
    <t>SUN BUM AFTER SUN COOL DOWN SPRAY</t>
  </si>
  <si>
    <t>DELINEADOR MYBL TATTOO LINER PLAY DEFEND</t>
  </si>
  <si>
    <t>DELINEADOR MYBL TATTOO LINER PLAY DROP</t>
  </si>
  <si>
    <t>DELINEADOR MYBL TATTOO LINER PLAY PUNCH</t>
  </si>
  <si>
    <t>DELINEADOR MYB TATTOO LINER PLAY SWITCH</t>
  </si>
  <si>
    <t>DELINEADOR MYBL TATTOO LINER PLAY RIDE</t>
  </si>
  <si>
    <t>JFM SHAMPOO CONTROL GX</t>
  </si>
  <si>
    <t>BABY BUM MINERAL SPF 50 SUNSCREEN LOTION</t>
  </si>
  <si>
    <t>BABY BUM SPF 50 SUNSCREEN FACE STICK</t>
  </si>
  <si>
    <t>BABY BUM MINERAL SPF50 ROLL-ON SUNSCREEN</t>
  </si>
  <si>
    <t>COVERGIRL COMPACT SIMPLY AGELESS CLASSIC</t>
  </si>
  <si>
    <t>COVERGIRL COMPACTO SIMPLY AGELESS TRAN</t>
  </si>
  <si>
    <t>COVERGIRL COMPACTO SIMPLY AGELESS BUFF</t>
  </si>
  <si>
    <t>COVERGIRL COMPACTO SIMPLY AGELESS NAT</t>
  </si>
  <si>
    <t>COVERGIRL COMPACTO SIMPLY AGELESS SOFT</t>
  </si>
  <si>
    <t>COVERGIRL BASE SKIN PERFECTOR LIGHT MED</t>
  </si>
  <si>
    <t>COVERGIRL BASE SKIN PERFECTOR LIGHT</t>
  </si>
  <si>
    <t>COVERGIRL BASE SKIN PERFECTOR FAIR</t>
  </si>
  <si>
    <t>COVERGIRL BASE SKIN PERFECTOR MEDIUM</t>
  </si>
  <si>
    <t>COVERGIRL BASE SKN PERFECTOR MEDIUM TAN</t>
  </si>
  <si>
    <t>COVERGIRL BASE SKIN PERFECTOR TAN</t>
  </si>
  <si>
    <t>SALLY HANSEN ESMALTE INSTADRI PINK BLINK</t>
  </si>
  <si>
    <t>SALLY HANSEN ESMALTE MIRACLE GEL PRIMER</t>
  </si>
  <si>
    <t>SALLY HANSEN ESMALTE MIRACLE GEL GLAZED</t>
  </si>
  <si>
    <t>SALLY HANSEN ESMALTE MIRACLE GEL MOONLIT</t>
  </si>
  <si>
    <t>CERVEZA DUFF LATA 4P 330ML</t>
  </si>
  <si>
    <t>PACK 2 VINOS MARQUES DERISCAL ROSE750ML</t>
  </si>
  <si>
    <t>PACK 2 VINOS MARQUES DERISCAL RSVA 750ML</t>
  </si>
  <si>
    <t>MOPA MICROFIPLANA 45 CM RPTO - CREATIVA</t>
  </si>
  <si>
    <t>VAPEADOR VUSE 1000 PUFS GRAPE ICE</t>
  </si>
  <si>
    <t>VAPEADOR VUSE 1000 PUFS APPLE SOUR</t>
  </si>
  <si>
    <t>VAPEADOR VUSE 1000 PUFS BERRY BLEND</t>
  </si>
  <si>
    <t>VAPEADOR VUSE 1000 PUFS MINT ICE</t>
  </si>
  <si>
    <t>VAPEADOR VUSE 1000 PUFS WATERMELON ICE</t>
  </si>
  <si>
    <t>VAPEADOR VUSE 1000 PUFS BERRY WATERMELON</t>
  </si>
  <si>
    <t>VAPEADOR VUSE 1000 PUFS STRAWBERRY KIWI</t>
  </si>
  <si>
    <t>VAPEADOR VUSE 1000 PUFS BLUE RASPBERRY</t>
  </si>
  <si>
    <t>VAPEADOR VUSE 1000 PUFS CLASSIC PEACH</t>
  </si>
  <si>
    <t>VAPEADOR ELECTRÓNICO C NIC BERRY BL 5K</t>
  </si>
  <si>
    <t>VAPEADOR ELECTRÓNICO C NIC APPLE SOUR 5K</t>
  </si>
  <si>
    <t>VAPEADOR ELECTRÓNICO C NIC GRAPE ICE 5K</t>
  </si>
  <si>
    <t>VAPEADOR ELECTRÓNICO C NIC BERRY WM 5K</t>
  </si>
  <si>
    <t>VAPEADOR ELECTRÓNICO C NIC BLUE RB 5K</t>
  </si>
  <si>
    <t>BOB ESPONJA - SET DE BAÑO CON  PERFUME</t>
  </si>
  <si>
    <t>PACK NAVIDEÑO GELATINA+HELADO UNIVERSAL</t>
  </si>
  <si>
    <t>THERABREATH ENJUA INVIGORATING ICY MINT</t>
  </si>
  <si>
    <t>THERABREATH ORAL RINSE MILD MINT</t>
  </si>
  <si>
    <t>HERO MIGHTY PATCH ORIGINAL X 24CT</t>
  </si>
  <si>
    <t>HERO MIGHTY PATCH INVISIBLE X 24CT</t>
  </si>
  <si>
    <t>PACK 2 VINOS NAVCORREASCP MB+BLEND 750ML</t>
  </si>
  <si>
    <t>PACK 2 VINOS NAVCORREASCP MB+ALE MB750ML</t>
  </si>
  <si>
    <t>SARTEN CORAL 24CM AC VITRIFICADO</t>
  </si>
  <si>
    <t>WOK 28CM EASY COOK &amp;CLEAN</t>
  </si>
  <si>
    <t>WOK 28CM DAY BY  DAY</t>
  </si>
  <si>
    <t>CORKCICLE VASO AC.INOX TUMB 16OZ P.BLUE</t>
  </si>
  <si>
    <t>CORKCICLE VASO AC.INOX STEML 12OZ CERAM</t>
  </si>
  <si>
    <t>JACK DANIEL'S ORIGINAL BBQ SAUCE</t>
  </si>
  <si>
    <t>JACK DANIEL´S HONEY BBQ SAUCE</t>
  </si>
  <si>
    <t>ESTUCHE BAHIA SUNBLOCK 120G +FTER 60 ML</t>
  </si>
  <si>
    <t>ESTUCHE BAHIA FACES 120 GR+COOL GEL 90 G</t>
  </si>
  <si>
    <t>T-FAL SARTEN 20CM SUPERCOOK</t>
  </si>
  <si>
    <t>VINO PALO ALTO GRAN TINTO DULCE 750ML</t>
  </si>
  <si>
    <t>CERA COLOR WAX SIMONIZ ROJO 500ML</t>
  </si>
  <si>
    <t>CERA COLOR WAX SIMONIZ PLATA 500ML</t>
  </si>
  <si>
    <t>CERA COLOR WAX SIMONIZ NEGRO 500ML</t>
  </si>
  <si>
    <t>CERVEZA SAPPORO PREMIUM BLACK LATA 650ML</t>
  </si>
  <si>
    <t>GIN BEEFEATER BLACKBERRY 700ML</t>
  </si>
  <si>
    <t>ELECTROLIFE MARACUYA 625 ML</t>
  </si>
  <si>
    <t>COLD BREW WATERMELON WHITTARD 30G</t>
  </si>
  <si>
    <t>COLD BREW BLACKCURRANT WHITTARD 30G</t>
  </si>
  <si>
    <t>COLD BREW PASSIONFRUIT WHITTARD 30G</t>
  </si>
  <si>
    <t>GOMAS HUBBA BUBBA MAX FRESA SANDIA 40G</t>
  </si>
  <si>
    <t>PACK 2 VINOS MARQUES DERISCAL RUEDA750ML</t>
  </si>
  <si>
    <t>CHIFLES CRICKETS LECHE DE TIGRE 500G</t>
  </si>
  <si>
    <t>PACK 2 ESPUMANTES ANNA CODORNIU BOT750ML</t>
  </si>
  <si>
    <t>KIT INT SILIC+LIMP TAPIC+LAVAMOT+AMB+PAÑ</t>
  </si>
  <si>
    <t>BE NAT. LISSO KERATINA CONDITI 100ML</t>
  </si>
  <si>
    <t>BE NAT. NUTRI QUINUA CONDITION  100ML</t>
  </si>
  <si>
    <t>BE NAT. REPAIR ARGÁN CONDITION 100ML</t>
  </si>
  <si>
    <t>BE NAT. NUTRI QUINUA SH. FRASCO 100ML</t>
  </si>
  <si>
    <t>BE NAT. NUTRI QUINUA DESEN X 50ML</t>
  </si>
  <si>
    <t>BE NAT. LISSO KERATINA TERMOPROT X 50ML</t>
  </si>
  <si>
    <t>KETCHUP PICANTE BOTELLA VIDRIO 330G</t>
  </si>
  <si>
    <t>KETCHUP TRADICIONAL BOTELLA VIDRIO 330G</t>
  </si>
  <si>
    <t>KETCHUP TRUFADO BOTELLA VIDRIO 330G</t>
  </si>
  <si>
    <t>T-FAL WOK 28 EASYCOOK</t>
  </si>
  <si>
    <t>CORKCICLE VASO AC.INOX STEM 12OZ SPARKLE</t>
  </si>
  <si>
    <t>CARMENCITA CANELA MOLIDA 43G</t>
  </si>
  <si>
    <t>CARMENCITA CEBOLLA POLVO 38G T CRIST</t>
  </si>
  <si>
    <t>CARMENCT PIMIENTA NGR MOLD 52G  T CRIST</t>
  </si>
  <si>
    <t>CARMENCITA COMINO MOLIDO X 30G</t>
  </si>
  <si>
    <t>CARMENCITA JENGIBRE MOLIDO X 25 G TB</t>
  </si>
  <si>
    <t>CARMENCITA PIMIENTA NEGRA MOLIDA X 32 G</t>
  </si>
  <si>
    <t>CARMENCITA AJO EN POLVO X 40 G TB</t>
  </si>
  <si>
    <t>CARMENCITA CANELA MOLIDA X 25 G</t>
  </si>
  <si>
    <t>CARMENCITA CURCUMA MOLIDA X 31 G TB</t>
  </si>
  <si>
    <t>CARMENCITA NUEZ MOSCADA MOLIDA X 30 G TB</t>
  </si>
  <si>
    <t>LAVALOZA ETERNA BIO 500 ML + ESPONJA</t>
  </si>
  <si>
    <t>DET.LIQ ETERNA BIO CAPS DYP 20 UN</t>
  </si>
  <si>
    <t>SHAMPOO RAPUNZEL TUINIES 300ML</t>
  </si>
  <si>
    <t>AGUA MINERAL ACQUA PANNA SIN GAS PET 1L</t>
  </si>
  <si>
    <t>T.BARB MEN LOG HARD GEL #PREV CAIX100ML</t>
  </si>
  <si>
    <t>JARABE GO BARMAN BERRIES 500 ML</t>
  </si>
  <si>
    <t>JARABE GO BARMAN JENGIBRE 500ML</t>
  </si>
  <si>
    <t>TOALLITAS HUMEDAS TUINIES PREMIUM X 184</t>
  </si>
  <si>
    <t>17201-ES SUJETCUADR MEDIAN BLANC X 4 3M</t>
  </si>
  <si>
    <t>DELINEADOR MYBL TATTOO LINER PLAY SHAKE</t>
  </si>
  <si>
    <t>TIRAS MONTAJE TRANSPARENTES</t>
  </si>
  <si>
    <t>TIRAS MONTAJE EXTREMA</t>
  </si>
  <si>
    <t>TIRAS MONTAJE INTERIORES</t>
  </si>
  <si>
    <t>INFUSIÓN MENTA Y MUÑA CUISINE &amp; CO 50G</t>
  </si>
  <si>
    <t>PISCO VIÑAS DE ORO GOLD QUEBR EP 500ML</t>
  </si>
  <si>
    <t>TEQUILA OLMECA BLANCO 1L</t>
  </si>
  <si>
    <t>PACK CERVEZA CANDELARIA 2 BOT + COPA</t>
  </si>
  <si>
    <t>SHIN RAMYUN SPICY CHICKEN X120 GR.</t>
  </si>
  <si>
    <t>SHIN RAMYUN STIR FRY WTH CHEES X136 GR.</t>
  </si>
  <si>
    <t>JABON LIQ BALLERINA DP AVENA&amp;ALM 1.3L</t>
  </si>
  <si>
    <t>BE NAT. LISSO KERATINA SH. X 100ML</t>
  </si>
  <si>
    <t>BE NAT. REPAIR ARGÁN SH. FRASCO 100ML</t>
  </si>
  <si>
    <t>PL BN LISSO KERATIN TREAT MASK POTE 35G</t>
  </si>
  <si>
    <t>BE NAT NUTRI QUINUA TREAT MASK POTE 35GR</t>
  </si>
  <si>
    <t>ENFAMIL CONFORT PREMIUM X 1650GR</t>
  </si>
  <si>
    <t>TEQUILA OLMECA REPOSADO 1L</t>
  </si>
  <si>
    <t>CERVEZA HEINEKEN SIN ALC 6 BT 330ML</t>
  </si>
  <si>
    <t>RON ABUELO AÑEJO X 1.75LTS</t>
  </si>
  <si>
    <t>RON ABUELO AÑEJO  X 1LT</t>
  </si>
  <si>
    <t>COCKTAIL SAUCE SEAFOOD -12 OZ -340 GR</t>
  </si>
  <si>
    <t>HARD GEL MAXIMA FIJACION BARBERIA 100ML</t>
  </si>
  <si>
    <t>SCOTCH BTITE ESPONJA BORRAMANCHAS P2LL3</t>
  </si>
  <si>
    <t>PISCO FINCA ROTONDO QUEBRANTA 2L</t>
  </si>
  <si>
    <t>CAFÉ ARTIDORO X250GR COLD BREW, MOLIDO</t>
  </si>
  <si>
    <t>WHISKY BUCHANAN'S DELUXE 1L</t>
  </si>
  <si>
    <t>VINO 19 CRIMES CALI CAB  750ML</t>
  </si>
  <si>
    <t>WHISKY BUCHANAN'S RED SEAL 750ML</t>
  </si>
  <si>
    <t>EDULCORANTE EN SACHET (CJX1000UN)- CONF</t>
  </si>
  <si>
    <t>SURT GOURMET 2, ESTUCHE 12 MONODOSIS 23G</t>
  </si>
  <si>
    <t>VINO ROYAL ROAD MALBEC 750ML</t>
  </si>
  <si>
    <t>RUBOR MYBL SUNKISSER 03 SOL SEARCH</t>
  </si>
  <si>
    <t>RUBOR MYBL SUNKISSER 08 SHADES ON</t>
  </si>
  <si>
    <t>SERUM VITAMINA C EXPRESS ACLARA 15ML</t>
  </si>
  <si>
    <t>PACK TIO NACHO SH+ ACD ANTICANAS 415 ML</t>
  </si>
  <si>
    <t>NEOGURI UDON - MILD X 120 GR.</t>
  </si>
  <si>
    <t>EPIC PROTEIN COFFEE COMPLETE 1LB</t>
  </si>
  <si>
    <t>EPIC PROTEIN PRO COLLAGEN 0.7LB</t>
  </si>
  <si>
    <t>LECHE UHT DESLACTOSADA VIGOR X 800ML</t>
  </si>
  <si>
    <t>GIN BEEFEATER DRY 700ML + COPA</t>
  </si>
  <si>
    <t>GIN BEEFEATER BLACKBERRY 700ML + COPA</t>
  </si>
  <si>
    <t>SALLY HANSEN ESMALTE GOOD KIND, Red R</t>
  </si>
  <si>
    <t>SALLY HANSEN ESMALTE GOOD KIND, Pk C</t>
  </si>
  <si>
    <t>SALLY HANSEN ESMALTE GOOD KIND, Pk S</t>
  </si>
  <si>
    <t>SALLY HANSEN ESMALTE GOOD KIND, Pk Ca</t>
  </si>
  <si>
    <t>SOPA DE VERDURAS X 51GR CALNORT</t>
  </si>
  <si>
    <t>SOPA DE POLLO CON FIDEOS X 66GR CALNORT</t>
  </si>
  <si>
    <t>CREMA DE ESPARRAGOS X 66GR CALNORT</t>
  </si>
  <si>
    <t>CREMA DE CHAMPIÑONES X 66GR CALNORT</t>
  </si>
  <si>
    <t>SALSA BECHAMEL X 50GR CALNORT</t>
  </si>
  <si>
    <t>CALDO DE POLLO 12 CUBOS X 10GR CALNORT</t>
  </si>
  <si>
    <t>CALDO DE CARNE 12 CUBOS X 10GR CALNORT</t>
  </si>
  <si>
    <t>CALDO DE PESCADO 12 CUBOS X 10GR CALNORT</t>
  </si>
  <si>
    <t>SAL DE MARAS MOLIDA OLI21 650G DOYPACK</t>
  </si>
  <si>
    <t>SAL MARAS SEMIGRUESA OLI21 650G DOYPACK</t>
  </si>
  <si>
    <t>GOMAS LIFE SAVERS SABORES FRUTALES 119G</t>
  </si>
  <si>
    <t>GOMAS LIFE SAVERS SABORES FRUTALES 93.1G</t>
  </si>
  <si>
    <t>GOMAS LIFE SAVERS FRUTOS ROJOS  91.3G</t>
  </si>
  <si>
    <t>SPAGHETTI QUIN Y CONSOME CUY X 250G QORI</t>
  </si>
  <si>
    <t>CANUTO QUINUA Y CONSOME CUY X 250G QORI</t>
  </si>
  <si>
    <t>CEPILLO WET BBRUH PERSONAJES SURTIDO</t>
  </si>
  <si>
    <t>CEPILLO WET BRUSH + ACCSESORIO SURTIDOS</t>
  </si>
  <si>
    <t>SIROPE SABOR MAPLE S/AZU X350GR SPITZE</t>
  </si>
  <si>
    <t>LA OCA DETERGENTE HIPOALERGENICO 2 LT</t>
  </si>
  <si>
    <t>ENDULZANTE STEVIA SACHET CJX1000UN- CONF</t>
  </si>
  <si>
    <t>PACK GIN ANDEAN BOTANICOS 700ML+2 BRIT</t>
  </si>
  <si>
    <t>PACK ANDEAN VODKA 700ML+2 BRIT</t>
  </si>
  <si>
    <t>PACK BLACK WHISKEY 700ML+TUMBLER </t>
  </si>
  <si>
    <t>ESPONJA SCRUB DADDY  SD</t>
  </si>
  <si>
    <t>ESPONJA SCRUB MOMMY SD</t>
  </si>
  <si>
    <t>ESPONJA ERASER DADDY SD</t>
  </si>
  <si>
    <t>ESPONJA DADDY ESSENTIAL SD</t>
  </si>
  <si>
    <t>ESPONJA MOMMY ESSENTIAL SD</t>
  </si>
  <si>
    <t>ORGANIZADOR DADDY CADDY SD</t>
  </si>
  <si>
    <t>PACK ESPONJAS 4 MOMMY SD</t>
  </si>
  <si>
    <t>PACK ESPONJAS 4 DADDY SD</t>
  </si>
  <si>
    <t>PISCO OCUCAJE PURO QUEB 700ML</t>
  </si>
  <si>
    <t>PISCO OCUCAJE PURO ITA 700ML</t>
  </si>
  <si>
    <t>PISCO OCUCAJE PURO ACHO 700ML</t>
  </si>
  <si>
    <t>WHISKEY WILD TURKEY 750ML</t>
  </si>
  <si>
    <t>REPUESTO SIST AFEITAD FC 3HOJAX2U</t>
  </si>
  <si>
    <t>ENV TR PET- SAND TRIPLE C/TAPA X200 CP02</t>
  </si>
  <si>
    <t>DESTRUC OLOR Y MANCHAS DE ORINA BN 300ML</t>
  </si>
  <si>
    <t>STICK DYFFERENT 4 FUEGOS BOLSA 80G</t>
  </si>
  <si>
    <t>GEL DE AFEITAR SCH,P/SENSIBLEX200 ML</t>
  </si>
  <si>
    <t>HOGAR SIN DAÑOS X 400 ML BINNER MASCOTAS</t>
  </si>
  <si>
    <t>CEREAL BIO BABY PLATANO COCO 225GR</t>
  </si>
  <si>
    <t>MIX CHOCOLATES MINI REG MARS BLS 235G</t>
  </si>
  <si>
    <t>LAVAVAJILLA VINAGRE FRAMBUESA GEL FROSCH</t>
  </si>
  <si>
    <t>CONSR ATUN AC.GIRASL S.G RIBEIRA 111GR</t>
  </si>
  <si>
    <t>CONSR ATUN CLARO AC.GIRASOL RIBEIRA 111G</t>
  </si>
  <si>
    <t>CNS SARDINS SALS TOMAT S.G RIBEIRA 120GR</t>
  </si>
  <si>
    <t>CONSERV CALAMARES TINTA S.G RIBEIRA 111G</t>
  </si>
  <si>
    <t>CNSR ATUN AC.OLIVA S.GLUTEN RIBEIRA 111G</t>
  </si>
  <si>
    <t>CNS MEJILLONS ESCABCH S.G RIBEIRA 111G</t>
  </si>
  <si>
    <t>CONSERV ATUN C.TOMATE  RIBEIRA 3X52GR</t>
  </si>
  <si>
    <t>CARTERITA DE BOMBÓN DE CHOCOLATE x 100 G</t>
  </si>
  <si>
    <t>BOMBONES Y OSO BON O BON CAJA 75G</t>
  </si>
  <si>
    <t>BOMBONES MINI BON O BON DOYPACK 136G</t>
  </si>
  <si>
    <t>CHOCOLATE YARA 75% DARK NIBS 70GR</t>
  </si>
  <si>
    <t>CHOCOLATE YARA 60% DARK NARANJA 70GR</t>
  </si>
  <si>
    <t>CHOCOLATE YARA 45% MILK 70GR</t>
  </si>
  <si>
    <t>CHOCOLATE YARA 75% DARK SAL MARAS 70GR</t>
  </si>
  <si>
    <t>VINAGRE BALSÁMICO BOT X 200 ML V. OS</t>
  </si>
  <si>
    <t>VINAGRE BALSÁMICO BOT X 500 ML V. OS</t>
  </si>
  <si>
    <t>CORAZÓN ALCACHOFA SALMR 415 GR OS</t>
  </si>
  <si>
    <t>ALCAPARRAS EN SALMUERA 110 GR OS</t>
  </si>
  <si>
    <t>PIMIENTO PIQUILLO CN AJO X 290 GR OS</t>
  </si>
  <si>
    <t>TOFFEES SURTIDOS SAYON 60 UN 350 GR</t>
  </si>
  <si>
    <t>MINI POTE ACRILICO BON O BON 48G</t>
  </si>
  <si>
    <t>PASTA NAPOLITANA X 55GR MAKEGUSTO</t>
  </si>
  <si>
    <t>PASTA ALFREDO X 55GR MAKEGUSTO</t>
  </si>
  <si>
    <t>PEDIASURE VAINILLA X 400 GR</t>
  </si>
  <si>
    <t>PEDIASURE CHOCOLATE X 400 GR</t>
  </si>
  <si>
    <t>PEDIASURE VAINILLA X 850 GR</t>
  </si>
  <si>
    <t>PEDIASURE CHOCOLATE X 850 GR</t>
  </si>
  <si>
    <t>PEDIASURE VAINILLA X 1.6 KG</t>
  </si>
  <si>
    <t>PEDIASURE CHOCOLATE X 1.6 KG</t>
  </si>
  <si>
    <t>PEDIASURE VAINILLA X 220 ML</t>
  </si>
  <si>
    <t>CARAMELO SAYON 374 GR CHICHA</t>
  </si>
  <si>
    <t>CARAMELO SAYON 380 GR PERITAS</t>
  </si>
  <si>
    <t>FUSILLI BASE DE LENTEJA ARROZ Y QUINUA</t>
  </si>
  <si>
    <t>RIGATONI BASE DE LENTEJA ARROZ Y QUINUA</t>
  </si>
  <si>
    <t>PACK SAN VALENTIN FINI 170G</t>
  </si>
  <si>
    <t>PAPAS LIMÓN MONTEROJO BOLSA 100G</t>
  </si>
  <si>
    <t>PAPAS BBQ MONTEROJO BOLSA 100G</t>
  </si>
  <si>
    <t>PAPAS SALADAS MONTEROJO BOLSA 100G</t>
  </si>
  <si>
    <t>TBARB MEN LOG HARD GEL #PREV CAIDA 500ML</t>
  </si>
  <si>
    <t>RON BARCELO IMPERIAL PORTO BOTELLA 750ML</t>
  </si>
  <si>
    <t>RON BARCELO IMPERIAL MAPLE BOTELLA 750ML</t>
  </si>
  <si>
    <t>RON BARCELO IMPERIAL MIZZUNARA BOT 750ML</t>
  </si>
  <si>
    <t>VODKA ABSOLUT WATERMELON 700ML</t>
  </si>
  <si>
    <t>RON LA HECHICERA BANANO 700ML</t>
  </si>
  <si>
    <t>WHISKY THE GLENLIVET CARIBBEAN RSV 700ML</t>
  </si>
  <si>
    <t>BRAMOSA</t>
  </si>
  <si>
    <t>WRUIZA</t>
  </si>
  <si>
    <t>RROMEROM</t>
  </si>
  <si>
    <t>JMENDEZR</t>
  </si>
  <si>
    <t>BBONILLAR</t>
  </si>
  <si>
    <t>MVELARDER</t>
  </si>
  <si>
    <t>DPINANS</t>
  </si>
  <si>
    <t>JCCOSCCOJ</t>
  </si>
  <si>
    <t>JCEDANOC</t>
  </si>
  <si>
    <t>RVALVERDES</t>
  </si>
  <si>
    <t>KLUQUILLASR</t>
  </si>
  <si>
    <t>RLOPEZG</t>
  </si>
  <si>
    <t>YTERRES</t>
  </si>
  <si>
    <t>ACUEVAJ</t>
  </si>
  <si>
    <t>DREYESP</t>
  </si>
  <si>
    <t>MCORIMAYOL</t>
  </si>
  <si>
    <t>BAVENDANOP</t>
  </si>
  <si>
    <t>CRISTOBAL</t>
  </si>
  <si>
    <t>JMEDINAM</t>
  </si>
  <si>
    <t>GCHAVEZC</t>
  </si>
  <si>
    <t>MVALLENASP</t>
  </si>
  <si>
    <t>JBARZOLAG</t>
  </si>
  <si>
    <t>DYLAN</t>
  </si>
  <si>
    <t>LCHUNOCCAQ</t>
  </si>
  <si>
    <t>CROJAZZ</t>
  </si>
  <si>
    <t>CGALVEZN</t>
  </si>
  <si>
    <t>BPERONEQ</t>
  </si>
  <si>
    <t>JDIAZT</t>
  </si>
  <si>
    <t>JAMANCAY</t>
  </si>
  <si>
    <t>YVITERVOL</t>
  </si>
  <si>
    <t>YFALCONA</t>
  </si>
  <si>
    <t>JCHAVEZT</t>
  </si>
  <si>
    <t>WQUISPEC</t>
  </si>
  <si>
    <t>OPEREZ</t>
  </si>
  <si>
    <t>JCHIHUAC</t>
  </si>
  <si>
    <t>JCARHUANCHOR</t>
  </si>
  <si>
    <t>ILEONJ</t>
  </si>
  <si>
    <t>ASATURNOS</t>
  </si>
  <si>
    <t>AARMASV</t>
  </si>
  <si>
    <t>JCARHUANCHO</t>
  </si>
  <si>
    <t>AHUAMANPI</t>
  </si>
  <si>
    <t>DQUICHCAP</t>
  </si>
  <si>
    <t>OPILCO</t>
  </si>
  <si>
    <t>CYUCRA</t>
  </si>
  <si>
    <t>GENERICO</t>
  </si>
  <si>
    <t>HRAMOS</t>
  </si>
  <si>
    <t>JFLORESP</t>
  </si>
  <si>
    <t>SALDAÑA</t>
  </si>
  <si>
    <t>FCHAVEZ</t>
  </si>
  <si>
    <t>JPAUCAR</t>
  </si>
  <si>
    <t>AORDONEZP</t>
  </si>
  <si>
    <t>AHUAMANIL</t>
  </si>
  <si>
    <t>ANGELO</t>
  </si>
  <si>
    <t>FILTRO</t>
  </si>
  <si>
    <t>BENJAMIN LIZARBE</t>
  </si>
  <si>
    <t>DAVID PIÑAN</t>
  </si>
  <si>
    <t>VALIDACION</t>
  </si>
  <si>
    <t>TURNO ERROR</t>
  </si>
  <si>
    <t>PROCESO ERROR</t>
  </si>
  <si>
    <t>LIDER ERROR</t>
  </si>
  <si>
    <t>VALORIZADO</t>
  </si>
  <si>
    <t>MES</t>
  </si>
  <si>
    <t>Suma de CANTIDAD</t>
  </si>
  <si>
    <t>Suma de VALORIZADO</t>
  </si>
  <si>
    <t>STATUS</t>
  </si>
  <si>
    <t>(Varios elementos)</t>
  </si>
  <si>
    <t>valor</t>
  </si>
  <si>
    <t>Etiquetas de fila</t>
  </si>
  <si>
    <t>Total general</t>
  </si>
  <si>
    <t>FLUJO CONTINUO</t>
  </si>
  <si>
    <t xml:space="preserve">ERROR DE FILTRO </t>
  </si>
  <si>
    <t>ALMACENADO</t>
  </si>
  <si>
    <t xml:space="preserve">ALMACEN </t>
  </si>
  <si>
    <t>RANCKING DE ERRORES</t>
  </si>
  <si>
    <t>STATUS DE DIFERENCIAS CD09</t>
  </si>
  <si>
    <t>7640114504</t>
  </si>
  <si>
    <t>T115</t>
  </si>
  <si>
    <t>MOTIVO DE DIFERENCIAS:</t>
  </si>
  <si>
    <t>EVOLUCION POR DIA:</t>
  </si>
  <si>
    <t>PICKING FLUJO CONTINUO:</t>
  </si>
  <si>
    <t>PICKING ALMACENADO:</t>
  </si>
  <si>
    <t>FILTRO:</t>
  </si>
  <si>
    <t>7620855897</t>
  </si>
  <si>
    <t>T106</t>
  </si>
  <si>
    <t>S021</t>
  </si>
  <si>
    <t>S095</t>
  </si>
  <si>
    <t>T118</t>
  </si>
  <si>
    <t>S008</t>
  </si>
  <si>
    <t>S009</t>
  </si>
  <si>
    <t>S049</t>
  </si>
  <si>
    <t>S066</t>
  </si>
  <si>
    <t>T107</t>
  </si>
  <si>
    <t>S062</t>
  </si>
  <si>
    <t>T109</t>
  </si>
  <si>
    <t>H001</t>
  </si>
  <si>
    <t>S085</t>
  </si>
  <si>
    <t>S044</t>
  </si>
  <si>
    <t>S014</t>
  </si>
  <si>
    <t>S047</t>
  </si>
  <si>
    <t>S001</t>
  </si>
  <si>
    <t>S005</t>
  </si>
  <si>
    <t>S067</t>
  </si>
  <si>
    <t>T111</t>
  </si>
  <si>
    <t>S/N</t>
  </si>
  <si>
    <t>JORGE AVILA</t>
  </si>
  <si>
    <t>ROMERO</t>
  </si>
  <si>
    <t>GUZMAN</t>
  </si>
  <si>
    <t>VEGA</t>
  </si>
  <si>
    <t>CESAR ROJAS</t>
  </si>
  <si>
    <t>RONALDO ROMERO</t>
  </si>
  <si>
    <t xml:space="preserve">AVILA </t>
  </si>
  <si>
    <t>SATURNO</t>
  </si>
  <si>
    <t>ROJAS</t>
  </si>
  <si>
    <t>T121</t>
  </si>
  <si>
    <t>S093</t>
  </si>
  <si>
    <t>S076</t>
  </si>
  <si>
    <t>T126</t>
  </si>
  <si>
    <t>S002</t>
  </si>
  <si>
    <t>S089</t>
  </si>
  <si>
    <t>S029</t>
  </si>
  <si>
    <t>S054</t>
  </si>
  <si>
    <t>7620863071</t>
  </si>
  <si>
    <t>7620854937</t>
  </si>
  <si>
    <t>7620857407</t>
  </si>
  <si>
    <t>RESPONSABLES</t>
  </si>
  <si>
    <t>LIDERES</t>
  </si>
  <si>
    <t>PROCESO</t>
  </si>
  <si>
    <t>ANGEL HUAMANCAYO</t>
  </si>
  <si>
    <t>DANIEL PEREZ</t>
  </si>
  <si>
    <t>JOE LIMACHE</t>
  </si>
  <si>
    <t>ALEX ORDOÑEZ</t>
  </si>
  <si>
    <t>YURKIEVICH VITERVO</t>
  </si>
  <si>
    <t>DYLAN ZEVALLOS</t>
  </si>
  <si>
    <t>FALTANTE ERROR DE DISTRIBUCION</t>
  </si>
  <si>
    <t>FALTANTE ERROR DE PICKING</t>
  </si>
  <si>
    <t>Cuenta de CODIGO</t>
  </si>
  <si>
    <t>S081</t>
  </si>
  <si>
    <t>T132</t>
  </si>
  <si>
    <t>VINO TACAMA ALIANZA LIMA MALBEC BOT750ML</t>
  </si>
  <si>
    <t>H008</t>
  </si>
  <si>
    <t>CRUCE DE ORIGEN</t>
  </si>
  <si>
    <t>Desc.Código Dpto</t>
  </si>
  <si>
    <t>ABARROTES NO COMESTIBLES</t>
  </si>
  <si>
    <t>ABARROTES BEBIBLES</t>
  </si>
  <si>
    <t>ABARROTES COMESTIBLES</t>
  </si>
  <si>
    <t>FRUTAS Y VERDURAS</t>
  </si>
  <si>
    <t>BAZAR</t>
  </si>
  <si>
    <t>HOGAR</t>
  </si>
  <si>
    <t>BEBÉS</t>
  </si>
  <si>
    <t>PRODUCCION Y ELABORADOS</t>
  </si>
  <si>
    <t>PATIO DE COMIDAS/CONFITERÍA</t>
  </si>
  <si>
    <t>CARNICOS</t>
  </si>
  <si>
    <t>VINOS Y ESPUMANTES</t>
  </si>
  <si>
    <t>LIMPIEZA DEL HOGAR</t>
  </si>
  <si>
    <t>LIMPIEZA DE MUEBLES Y METALES</t>
  </si>
  <si>
    <t>CUIDADO DE LA ROPA</t>
  </si>
  <si>
    <t>CHOCOLATES</t>
  </si>
  <si>
    <t>GALLETAS</t>
  </si>
  <si>
    <t>GOLOSINAS</t>
  </si>
  <si>
    <t>LIMPIEZA DE LA COCINA</t>
  </si>
  <si>
    <t>CUIDADO DEL CABELLO</t>
  </si>
  <si>
    <t>PASTA PARA PIZZA AROMITAZADA MUTTI 400GR</t>
  </si>
  <si>
    <t>CORAZON LOVE SORINI X100GR</t>
  </si>
  <si>
    <t>CARICIA PLANCHA FÁCIL GATILLO 650ML</t>
  </si>
  <si>
    <t>CARICIA PLANCHA FÁCIL DP 500ML</t>
  </si>
  <si>
    <t>BOMBONES MINI BON O BON DISPLAY 48G</t>
  </si>
  <si>
    <t>ANILLO BARBIE CORAZON 13 GR</t>
  </si>
  <si>
    <t>CHUPETE HOT WHEELS X 24 UN</t>
  </si>
  <si>
    <t>POLPA DE TOMATE DUOPACK 400GR</t>
  </si>
  <si>
    <t>WHISKY JW BLUE LABEL J. JEAN CNY 750ML</t>
  </si>
  <si>
    <t>GIN BEEFEATER BLOOD ORANGE 750ML</t>
  </si>
  <si>
    <t>SODA MR PERKINS PASSION FRU 4 UN X 200ML</t>
  </si>
  <si>
    <t>PACK AMOR NATURES HEART POSAVASOS 40UN</t>
  </si>
  <si>
    <t>PEDIASURE CHOCOLATE X 220 ML</t>
  </si>
  <si>
    <t>AC. OL EXTRA VIRGEN 500 ML TRES OLIVOS</t>
  </si>
  <si>
    <t>AC. OL EXTRA VIRGEN 1 L TRES OLIVOS</t>
  </si>
  <si>
    <t>AC. OL EXTRA VIRGEN  4L TRES OLIVOS</t>
  </si>
  <si>
    <t>FUSILLI CON QUESO PASTAROTTI X 175GR</t>
  </si>
  <si>
    <t>RTD SOUR LIMON MONTESIERPE LT 355 ML</t>
  </si>
  <si>
    <t>RTD SOUR MARACUYA MONTESIERPE LT 355 ML</t>
  </si>
  <si>
    <t>CERVEZA AMSTEL PREMIUM 6P LT 310ML</t>
  </si>
  <si>
    <t>CERVEZA AMSTEL PREMIUM 6P BOT 275ML</t>
  </si>
  <si>
    <t>ESPONJA LA MÁQUINA DISPLAY X 12</t>
  </si>
  <si>
    <t>DETERGENTE LIQUIDO UNIVERSAL PERSIL 3L</t>
  </si>
  <si>
    <t>DETERGENTE LIQUIDO COLOR PERSIL 3L</t>
  </si>
  <si>
    <t>DETERGENTE LIQUIDO COLOR PERSIL 830ML</t>
  </si>
  <si>
    <t>U-THIL VASO PET 10OZ X 12UND</t>
  </si>
  <si>
    <t>U-THIL VASO PET 12OZ X 12UND</t>
  </si>
  <si>
    <t>U-THIL VASO PET 16OZ X 12UND</t>
  </si>
  <si>
    <t>UTHIL PLATO 10" BIO X 10UND</t>
  </si>
  <si>
    <t>UTHIL PLATO 9" BIO X 10UND</t>
  </si>
  <si>
    <t>UTHIL PLATO 6" BIO X 10UND</t>
  </si>
  <si>
    <t>UTHIL VASO HELADERO 8OZ X12UND</t>
  </si>
  <si>
    <t>PISTACHOS WONDERFUL SAL &amp; PIMIENT 127GR</t>
  </si>
  <si>
    <t>PISTACHOS WONDERFUL S/CASC MIEL 155GR</t>
  </si>
  <si>
    <t>PISTACHOS WONDERFUL S/CASC SALADO 170GR</t>
  </si>
  <si>
    <t>NIVEA LIP CARE HIDRA COLOR ROJO FPS30</t>
  </si>
  <si>
    <t>NIVEA LIP CARE HIDRA COLOR ROSA FPS30</t>
  </si>
  <si>
    <t>CATEGORIA</t>
  </si>
  <si>
    <t>NO AJUSTADO</t>
  </si>
  <si>
    <t>USUARIO PICKING</t>
  </si>
  <si>
    <t>PICKING / FILTRO</t>
  </si>
  <si>
    <t>SOBRANTE DETECTADO EN AUDITORIA DE LPN</t>
  </si>
  <si>
    <t>ERROR DE PICKING / FILTRO</t>
  </si>
  <si>
    <t>CRUCE DE ORIGEN DETECTADO EN LA DISTRIBUCION</t>
  </si>
  <si>
    <t>PICKING Y FILTRO NO DETECTARON FALTANTE EN LPN</t>
  </si>
  <si>
    <t>DEJO MERCADERIA DE MAS EN LPN</t>
  </si>
  <si>
    <t>DECLARO FALSO SOBRANTE</t>
  </si>
  <si>
    <t>PICKING NO EXTRAJO MERCADERIA DE UBICACIÓN</t>
  </si>
  <si>
    <t>GHUANANEG</t>
  </si>
  <si>
    <t>PICKING EXTRAJO DE MAS</t>
  </si>
  <si>
    <t>PICKING EXTRAJO DE MENOS</t>
  </si>
  <si>
    <t>PICKING NO EXTRAJO MERCADERIA/ FILTRO DETECTO Y NO REPORTO</t>
  </si>
  <si>
    <t>DECLARO FALSO FALTANTE</t>
  </si>
  <si>
    <t xml:space="preserve">VALORIZADO </t>
  </si>
  <si>
    <t xml:space="preserve">UND </t>
  </si>
  <si>
    <t>ERROR DE EXTRACCIÓN/DISTRIBUCIÓN</t>
  </si>
  <si>
    <t>NO REPORTO DIFERENCIA</t>
  </si>
  <si>
    <t>CARHUANCHO</t>
  </si>
  <si>
    <t>S083</t>
  </si>
  <si>
    <t>PERIODO</t>
  </si>
  <si>
    <t>DESDE</t>
  </si>
  <si>
    <t>HASTA</t>
  </si>
  <si>
    <t>QUINCENA</t>
  </si>
  <si>
    <t>2da QUINCENA</t>
  </si>
  <si>
    <t>TOTAL</t>
  </si>
  <si>
    <t>1ra QUINCENA</t>
  </si>
  <si>
    <t>&amp;&amp;</t>
  </si>
  <si>
    <t>desde</t>
  </si>
  <si>
    <t>total</t>
  </si>
  <si>
    <t>hasta</t>
  </si>
  <si>
    <t>LIMACHE</t>
  </si>
  <si>
    <t>CHUÑOCA</t>
  </si>
  <si>
    <t>S024</t>
  </si>
  <si>
    <t>JHONO</t>
  </si>
  <si>
    <t>CD16</t>
  </si>
  <si>
    <t>ERROR DE INVENTARIO</t>
  </si>
  <si>
    <t>INVENTARIO</t>
  </si>
  <si>
    <t>EXTRAVIADO EN EL CD16</t>
  </si>
  <si>
    <t>FRANCIS MANDUJANO</t>
  </si>
  <si>
    <t>CD09</t>
  </si>
  <si>
    <t>ERROR DE DE RECEPCION</t>
  </si>
  <si>
    <t>RECEPCION</t>
  </si>
  <si>
    <t>SE RECHAZO AL PROVEEDOR Y NO SE MODIFICO EN SAP</t>
  </si>
  <si>
    <t>ARNOLD CASTILLO</t>
  </si>
  <si>
    <t>LOPEZC</t>
  </si>
  <si>
    <t>CD16 ENVIO MENOS 1 UNIDAD</t>
  </si>
  <si>
    <t>ERROR EN CONTEO CICLICO ALTURA</t>
  </si>
  <si>
    <t>ERROR DE PICKING / DETECTADO EN INVENTARIO CICLICO</t>
  </si>
  <si>
    <t>ERROR DE CONSOLIDACION</t>
  </si>
  <si>
    <t>DESPACHO</t>
  </si>
  <si>
    <t>PROCESO DETECTADO</t>
  </si>
  <si>
    <t>S038</t>
  </si>
  <si>
    <t>AUDITORIA</t>
  </si>
  <si>
    <t>CONSOLIDACION</t>
  </si>
  <si>
    <t>CICLICO</t>
  </si>
  <si>
    <t>ERROR DE PICKING / PICKING NO SOLICITABA</t>
  </si>
  <si>
    <t>sobrante DETCTADO EN AUDITORIA DE LPN</t>
  </si>
  <si>
    <t>SOBRANTE DETECTADO EN INVENTARIO CICLICO</t>
  </si>
  <si>
    <t>ENFILMADO</t>
  </si>
  <si>
    <t>JVILCHEZ</t>
  </si>
  <si>
    <t>S032</t>
  </si>
  <si>
    <t>S058</t>
  </si>
  <si>
    <t>PIERO ESPILCO</t>
  </si>
  <si>
    <t>SOBRANTE DETECTADO EN CONSOLIDACION</t>
  </si>
  <si>
    <t>JROSALESD</t>
  </si>
  <si>
    <t>JVARA</t>
  </si>
  <si>
    <t>S012</t>
  </si>
  <si>
    <t>H011</t>
  </si>
  <si>
    <t>ESENCIA SABOR A VAINILLA 100ML UNIVERSAL</t>
  </si>
  <si>
    <t xml:space="preserve">SE ENCONTRO EN EL PISO </t>
  </si>
  <si>
    <t>7620859931</t>
  </si>
  <si>
    <t>RVILCA</t>
  </si>
  <si>
    <t>S022</t>
  </si>
  <si>
    <t>ROSALES</t>
  </si>
  <si>
    <t>S033</t>
  </si>
  <si>
    <t>FALTANTE DETECTADO EN PICKING</t>
  </si>
  <si>
    <t>FALTANTE DETECTADO EN AUDITORIA DE LPN</t>
  </si>
  <si>
    <t>FALTANTE DE ORIGEN</t>
  </si>
  <si>
    <t>934536</t>
  </si>
  <si>
    <t>GLAZARO</t>
  </si>
  <si>
    <t>ERROR DE CONTEO DE FILTRO</t>
  </si>
  <si>
    <t>7640114981</t>
  </si>
  <si>
    <t>S034</t>
  </si>
  <si>
    <t>7620873481</t>
  </si>
  <si>
    <t>S092</t>
  </si>
  <si>
    <t>S010</t>
  </si>
  <si>
    <t>ANYELO</t>
  </si>
  <si>
    <t>H016</t>
  </si>
  <si>
    <t>7620869551</t>
  </si>
  <si>
    <t>S031</t>
  </si>
  <si>
    <t>SE MANDO A TIENDA FALTANTE</t>
  </si>
  <si>
    <t>LLEGARON 3 PAQUETES DE MAS ENTRE LAS CAMAS DE APILAMIENTO</t>
  </si>
  <si>
    <t>NO SE REGULARIZO RETIRO DE STAGING</t>
  </si>
  <si>
    <t>POSIBLE FALTANTE DE ORIGEN</t>
  </si>
  <si>
    <t>AGUA SAN PELLEGRINO 330ML FICODINDIA</t>
  </si>
  <si>
    <t>DELANTAL JOHNNIE WALKER COLOR NEGRO</t>
  </si>
  <si>
    <t>SCHICK QUATTRO YOU RAINBOW X3</t>
  </si>
  <si>
    <t>TULIP JAMONILLA PORK LUNCHEON MEAT 340G</t>
  </si>
  <si>
    <t>CONSERVAS Y COMIDAS</t>
  </si>
  <si>
    <t>PORKY JAMON DE CERDO X 198GR</t>
  </si>
  <si>
    <t>PORKY JAMON DE CERDO X 340GR</t>
  </si>
  <si>
    <t>SOJU JINRO STRAWBERRY  BOT 360ML</t>
  </si>
  <si>
    <t>LICORES Y DESTILADOS</t>
  </si>
  <si>
    <t>SOJU JINRO GREEN GRAPE BOT 360ML</t>
  </si>
  <si>
    <t>SOJU JINRO CHAMISUL FRESH BOT 360ML</t>
  </si>
  <si>
    <t>PASTA TEDDY TRICOLOR DALLA COSTA X250G</t>
  </si>
  <si>
    <t>FIDEOS Y PASTAS</t>
  </si>
  <si>
    <t>PASTA ABC TRICOLOR DALLA COSTA X250G</t>
  </si>
  <si>
    <t>PASTA ZOO TRICOLOR DALLA COSTA X250G</t>
  </si>
  <si>
    <t>BALMY ESPONJA POUF MEDIUM</t>
  </si>
  <si>
    <t>ARTÍCULOS DE TOCADOR</t>
  </si>
  <si>
    <t>BALMY ESPONJA POUF WITH STRAWBERRY SOAP</t>
  </si>
  <si>
    <t>ET ESPONJA DELICATE ECOPOUF</t>
  </si>
  <si>
    <t>ET ESPONJA EXFOLIATING ECOPOUF</t>
  </si>
  <si>
    <t>ET GUANTES EXFOLIANTE GREEN</t>
  </si>
  <si>
    <t>ACEITE DE AJONJOLI PURO 207ML LKK CJ X12</t>
  </si>
  <si>
    <t>ACEITES COMESTIBLES</t>
  </si>
  <si>
    <t>AC OLIVA CON AC GIRASOL 900ML OLIVOS DEL</t>
  </si>
  <si>
    <t>SALSA PARA COSTILLAS 397 G LKK</t>
  </si>
  <si>
    <t>SALSAS Y ADEREZOS</t>
  </si>
  <si>
    <t>SALSA SRIRACHA 510G LKK</t>
  </si>
  <si>
    <t>MAYONESA SRIRACHA 445ML LKK</t>
  </si>
  <si>
    <t>CALDO DE POLLO EN POLVO 227GR LKK</t>
  </si>
  <si>
    <t>TUBITOS MOGUL EXTREME FRUTILLA 70GR</t>
  </si>
  <si>
    <t>RUBOR MYBL SUNKISSER 05 BLAZING BLUSH</t>
  </si>
  <si>
    <t>COSMÉTICA</t>
  </si>
  <si>
    <t>RUBOR MYBL SUNKISSER 11 ELECTRIC BRONZE</t>
  </si>
  <si>
    <t>REPELENTE LOCIÓN F&amp;C DEET 15% 120ML</t>
  </si>
  <si>
    <t>INSECTICIDAS Y REPELENTES</t>
  </si>
  <si>
    <t>REPELENTE LOCIÓN F&amp;C DEET 7.5% 120ML</t>
  </si>
  <si>
    <t>PASTA FORMAGGI X 55GR MAKEGUSTO</t>
  </si>
  <si>
    <t>DETERGENTE LIQUID UNIVERSAL PERSIL 830ML</t>
  </si>
  <si>
    <t>LANCETA CAJA X 25 UNIDADES</t>
  </si>
  <si>
    <t>TIRA REACTIVA DE GLUCOSA EN SANGRE X50UN</t>
  </si>
  <si>
    <t>DR. BECKMANN LIMPIA LAVADORAS 100GR</t>
  </si>
  <si>
    <t>DR. BECKMANN LIMPIA GRASA COCINA 500ML</t>
  </si>
  <si>
    <t>DR.BECKMANN JAB MÁGICO QUITAMAN 100GR</t>
  </si>
  <si>
    <t>DR. BECKMANN QUITAMANCHAS INTENSO 80GR</t>
  </si>
  <si>
    <t>MIXER Q PACK X 4UN, SPARKLING GRAPEFRUIT</t>
  </si>
  <si>
    <t>AGUA</t>
  </si>
  <si>
    <t>PIROTIN MD MINIKEKE 16X5X5</t>
  </si>
  <si>
    <t>SHIN RAMYUN STIR FRY X 131 GR.</t>
  </si>
  <si>
    <t>PASTA LIMP MULTIUSO THE PINK STUFF 850G</t>
  </si>
  <si>
    <t>LIMPIADOR MULTIUSO THE PINK STUFF 750ML</t>
  </si>
  <si>
    <t>LIMP BAÑO ESPUMA THE PINK STUFF 750ML</t>
  </si>
  <si>
    <t>LIMP INODORO ANTSAR THE PINK STUFF 750ML</t>
  </si>
  <si>
    <t>LAVALOZ WASH UP SPRTHE PINK STUFF 500ML</t>
  </si>
  <si>
    <t>LIMPIAVIDRIO VIN ROS THE PINK STUFF 750M</t>
  </si>
  <si>
    <t>GOMAS SURTIDAS X150GR HARIBO, OSITOS</t>
  </si>
  <si>
    <t>TIO NACHO SH CNTROL CASPA PROPOLEO 415ML</t>
  </si>
  <si>
    <t>VINO LA POSTA PIZZELLA MALBEC 750ML</t>
  </si>
  <si>
    <t>CANCHA BBQ TAPER 160G C&amp;CO</t>
  </si>
  <si>
    <t>CANCHA JALAPEÑO TAPER 160G C&amp;CO</t>
  </si>
  <si>
    <t>BABY WATER WIPES DR. ZAIDMAN X80 UNID</t>
  </si>
  <si>
    <t>GOMAS TIBURONCITOS MOGUL 80G</t>
  </si>
  <si>
    <t>GOMAS GUSANITOS MOGUL 90G</t>
  </si>
  <si>
    <t>CERVEZA SA FREE DAMM TOST 6BT250ML</t>
  </si>
  <si>
    <t>CARAMELO CHICHA MORADA SAYON 400GR</t>
  </si>
  <si>
    <t>TOSTADA CROSTI AGLIO&amp;BASIL LA MOLE X100G</t>
  </si>
  <si>
    <t>TOSTADAS CROSTI ROSMARINO LA MOLE X100G</t>
  </si>
  <si>
    <t>GIN BROCKMANS PREMIUM 700 ML</t>
  </si>
  <si>
    <t>CAVA JUVE&amp;CAMPS RESERVA FAMILIA 1.5LT</t>
  </si>
  <si>
    <t>VINO LUIGI BOSCA DE SANGRE MALBEC 1.5LT</t>
  </si>
  <si>
    <t>TOMATE PELADO DUOPACK 400GR</t>
  </si>
  <si>
    <t>TOSTADA CROSTI POMOD&amp;BASIL LA MOLE X100G</t>
  </si>
  <si>
    <t>STICKS CREMA DE CASTAÑA LA IBERICA 220G</t>
  </si>
  <si>
    <t>AGUA MICELAR HIDRA TOTAL 5 LOREAL 200ML</t>
  </si>
  <si>
    <t>PACK HUEVO+MARSHMALLOW PASCUAS FINI 110G</t>
  </si>
  <si>
    <t>CHIFLES ACEVICHADOS ARTICHAY 210GR</t>
  </si>
  <si>
    <t>FRANELA AMARILLA 45X70CM HOME CARE</t>
  </si>
  <si>
    <t>TRAPEAD FELP OJAL VERDE 70X50 HOME CARE</t>
  </si>
  <si>
    <t>DR. BECKMANN QUITAMAN C CEPILLO 250ML</t>
  </si>
  <si>
    <t>GUANTE BAÑO Y LAVANDERIA CREATIVA V, T-L</t>
  </si>
  <si>
    <t>VAPEADOR VUSE 8000 PUFS GRAPE ICE</t>
  </si>
  <si>
    <t>TABAQUERÍA Y ACCESORIOS</t>
  </si>
  <si>
    <t>VAPEADOR VUSE 8000 PUFS APPLE SOUR</t>
  </si>
  <si>
    <t>VAPEADOR VUSE 8000 PUFS BLUE RASPBERRY</t>
  </si>
  <si>
    <t>GOODY LIGAS BLACK SILICON ANTI SLIP 10U</t>
  </si>
  <si>
    <t>CARAMELOS PEZ SURTIDOS 17G</t>
  </si>
  <si>
    <t>CAREMOS PEZ RECARGA BLISTER 51G</t>
  </si>
  <si>
    <t>AGUA MICELAR AGUA ROSAS GARNIER 400 ML</t>
  </si>
  <si>
    <t>BELLEZA</t>
  </si>
  <si>
    <t>ACEITE DEL CIELO 900ML</t>
  </si>
  <si>
    <t>ACEITE DEL CIELO 2LT</t>
  </si>
  <si>
    <t>SPAGHETTI DEL CIELO 500GR</t>
  </si>
  <si>
    <t>TALLARIN DEL CIELO 500GR</t>
  </si>
  <si>
    <t>FIDEO TORNILLO DEL CIELO 250GR</t>
  </si>
  <si>
    <t>FIDEO CANUTO CHICO DEL CIELO 250GR</t>
  </si>
  <si>
    <t>DIENTE DE LEON NUESTRA SALUD X30G</t>
  </si>
  <si>
    <t>TÉ E INFUSIONES</t>
  </si>
  <si>
    <t>EVO SHOWER GEL HUILE PRECIEUSE 500ML</t>
  </si>
  <si>
    <t>EVO SHOWER GEL ARGAN DIVIN 500ML </t>
  </si>
  <si>
    <t>EVO SHOWER GEL DELICE KARITE 500ML   </t>
  </si>
  <si>
    <t>BOLS BASURA VTX NEG CITRONELA 50L X10</t>
  </si>
  <si>
    <t>BOLSA BASURA VTX NEG CITRONELA 75L X10U</t>
  </si>
  <si>
    <t>BOLSA BASURA VTX NEG CITRONELA 140L X10U</t>
  </si>
  <si>
    <t>BOLSA BASURA CIERRE FÁCIL 45X55 20U</t>
  </si>
  <si>
    <t>SALSA DE POLLO A LA NARANJA 465GR LKK</t>
  </si>
  <si>
    <t>CARAMELO BAMBI LECHE SAYON 374GR</t>
  </si>
  <si>
    <t>POLVO COMPAC CLEAN INVISIBLE M LIGHT</t>
  </si>
  <si>
    <t>VINO EL ANDEN DE LA ESTACION 750ML</t>
  </si>
  <si>
    <t>TIO NACHO SH CNTROL CASPA PROPOLEO 950ML</t>
  </si>
  <si>
    <t>RK MAKEUP BRUSH KIT TOTAL</t>
  </si>
  <si>
    <t>RK MAKEUP BRUSH KIT EYE M</t>
  </si>
  <si>
    <t>RK MAKEUP BRUSH KIT COMPL</t>
  </si>
  <si>
    <t>KISS BROCHA BROW AND SPOOLIE</t>
  </si>
  <si>
    <t>KISS BROCHA SMALL ANGLED KABUKI</t>
  </si>
  <si>
    <t>SHAMPOO KONZIL SEDA LIQUIDA 650ML</t>
  </si>
  <si>
    <t>ACONDICIONADOR KONZIL SEDA LIQUIDA 650ML</t>
  </si>
  <si>
    <t>PACK VINO INTIPALKA MB Y SB750ML+BOLSO</t>
  </si>
  <si>
    <t>BEBIDA LIMONADA L'ONDA PINK 500ML</t>
  </si>
  <si>
    <t>JUGOS Y CONCENTRADOS</t>
  </si>
  <si>
    <t>REHIDRATANTE SUEROX 630ML, LIMA LIMON</t>
  </si>
  <si>
    <t>REHIDRATANTES</t>
  </si>
  <si>
    <t>COVERGIRL BASE TRUBLEND, Cream Nat</t>
  </si>
  <si>
    <t>COVERGIRL BASE TRUBLEND, Soft Hon</t>
  </si>
  <si>
    <t>REHIDRATANTE SUEROX PACK X 4, FRUTOS ROJ</t>
  </si>
  <si>
    <t>MINI TUBO M&amp;M'S MILK 30.6 GR</t>
  </si>
  <si>
    <t>FOUR LOKO WHITE 473ML</t>
  </si>
  <si>
    <t>SHAMPOO SHOOBIES STITCH 300ML</t>
  </si>
  <si>
    <t>CUIDADO DEL BEBE</t>
  </si>
  <si>
    <t>ESTUCHE COLONIA STITCH 140 ML</t>
  </si>
  <si>
    <t>ELECTROLIFE PONCHE DE FRUTAS</t>
  </si>
  <si>
    <t>CHOC. MILKY ALMD S/AZUC LA IBERICA 50G</t>
  </si>
  <si>
    <t>BOLSA BAÑO-COCINA HOME CARE ROLLO X75UND</t>
  </si>
  <si>
    <t>PACK 2 VINOS PASAP.ROSSO TABER. ROSE</t>
  </si>
  <si>
    <t>PACK 2 VINOS PASAP.ROSSOTABER.BORGOÑA</t>
  </si>
  <si>
    <t>ALAMCEN</t>
  </si>
  <si>
    <t>MRAMOSE</t>
  </si>
  <si>
    <t>JTORRESE</t>
  </si>
  <si>
    <t>EZACARIAS</t>
  </si>
  <si>
    <t>PISCO FINCA RETONDO MACHU PICCCHU, ACHOL</t>
  </si>
  <si>
    <t>7620870968</t>
  </si>
  <si>
    <t>H013</t>
  </si>
  <si>
    <t>1. ENERO</t>
  </si>
  <si>
    <t>2. FEBRERO</t>
  </si>
  <si>
    <t>3. MARZO</t>
  </si>
  <si>
    <t>4. ABRIL</t>
  </si>
  <si>
    <t>SOBRANTE EN INVENTARIO GENERAL</t>
  </si>
  <si>
    <t>COLAPIZ SIN GLUTEN X 20G UNIVERSAL</t>
  </si>
  <si>
    <t>NO EXTRAJO CANTIDAD TOTAL</t>
  </si>
  <si>
    <t>NMASGO</t>
  </si>
  <si>
    <t>CRUCE DE CODIGOS SOBRANTE FALTANTE</t>
  </si>
  <si>
    <t>RBALVIS</t>
  </si>
  <si>
    <t>RASTRERO</t>
  </si>
  <si>
    <t>SOBRANTE DETECTADO EN PICKING</t>
  </si>
  <si>
    <t>H002</t>
  </si>
  <si>
    <t>ANYELO QUISPE</t>
  </si>
  <si>
    <t>S064</t>
  </si>
  <si>
    <t>AHUARANGA</t>
  </si>
  <si>
    <t>ACEITE DE OLIVA PAGO DE LA JARABA X500ML</t>
  </si>
  <si>
    <t>FILETE DE CABALLA AC.VEGX170G CUISINE&amp;CO</t>
  </si>
  <si>
    <t>TOPPING SABOR FUDGE LEITE X 450GR</t>
  </si>
  <si>
    <t>CREMA DE CASHEWS CUISINE &amp; CO 410GR</t>
  </si>
  <si>
    <t>TRAPEAD FELP OJ CREM 70X50 DOB HOME CARE</t>
  </si>
  <si>
    <t>FILETE DE CABALLA X170GR METRO</t>
  </si>
  <si>
    <t>FILETE DE BONITO X170GR METRO</t>
  </si>
  <si>
    <t>FILETE DE JUREL X170GR METRO</t>
  </si>
  <si>
    <t>POMADA SIMONDS GLOSS 60G</t>
  </si>
  <si>
    <t>VITAMINA B12 SUNDANCE 1000MG 60 TABS</t>
  </si>
  <si>
    <t>CREMA DE AVELLANA THE BUTTER FACT X200G</t>
  </si>
  <si>
    <t>SALSA PICANTE COCONA SABOR SELVA 210G</t>
  </si>
  <si>
    <t>SALSA PICANT AJI PIPI MONO S SELV 3.17OZ</t>
  </si>
  <si>
    <t>GALLETA CHIP CACAO S/AZUCA EN LINEA 120G</t>
  </si>
  <si>
    <t>GALLETA CON CACAO S/AZUCAR EN LINEA 100G</t>
  </si>
  <si>
    <t>GEL LIMPIADOR FACIAL HIALURÓNICO 150ML</t>
  </si>
  <si>
    <t>GEL LIMPIADOR FACIAL VITAMINA C 150ML</t>
  </si>
  <si>
    <t>CREMA HYDRAGEL HIALURONICO 50ML</t>
  </si>
  <si>
    <t>TE MANZANILLA C MIEL NATURE'S HEART 20UN</t>
  </si>
  <si>
    <t>MERMELADA FRUTOS ROJOS &amp; QUINUA X 200GR</t>
  </si>
  <si>
    <t>MERMELADA MARACUMANGO &amp; QUINUA X200G</t>
  </si>
  <si>
    <t>MERMELADA PIÑAYMANTO &amp; QUINUA X200GR</t>
  </si>
  <si>
    <t>SALSA BBQ MIS COSTILLITAS X 390 GR</t>
  </si>
  <si>
    <t>CARAMELO YOGURT SUAK SAYON 400GR</t>
  </si>
  <si>
    <t>GEL PARA CEJAS Y BORDES GOT2B GLUED 16ML</t>
  </si>
  <si>
    <t>GEL PARA EL CABELLO GLUED GOT2B 150 ML</t>
  </si>
  <si>
    <t>LACA PARA EL CABELLO GLUED GOT2B 300 ML</t>
  </si>
  <si>
    <t>ESPUMA MOLDEADORA TWISTED GOT2B 250ML</t>
  </si>
  <si>
    <t>WHISKY BALLANTINES JOHN LENON 700ML</t>
  </si>
  <si>
    <t>JPUENTE</t>
  </si>
  <si>
    <t>RANCKING DE ERRORES / VALORIZADO</t>
  </si>
  <si>
    <t>DISTRIBUYÓ A OTRA TIENDA</t>
  </si>
  <si>
    <t xml:space="preserve">DISTRIBUYÓ DE MAS </t>
  </si>
  <si>
    <t xml:space="preserve"> VALORIZADO</t>
  </si>
  <si>
    <t xml:space="preserve">CANT. </t>
  </si>
  <si>
    <t>7620869583</t>
  </si>
  <si>
    <t>MOISES CARHUANCHO</t>
  </si>
  <si>
    <t>BTORIBIO</t>
  </si>
  <si>
    <t>DECLARO FALSO EXCEDENTE</t>
  </si>
  <si>
    <t>CHOCOLATE BARRA  X 1.86 OZ  SNICKERS</t>
  </si>
  <si>
    <t>NO DETECTO FALTANTE</t>
  </si>
  <si>
    <t>FLAN  LUCUMA 150 GRS. UNIVERSAL</t>
  </si>
  <si>
    <t>MAICENA  X 180GR UNIVERSAL</t>
  </si>
  <si>
    <t>MANDO FALTANTE A TIENDA</t>
  </si>
  <si>
    <t>DEJARON ENCIMA DE OTRO PALLET</t>
  </si>
  <si>
    <t>ERROR DE VALIDACION UM</t>
  </si>
  <si>
    <t>YUPANQUI</t>
  </si>
  <si>
    <t>RMAZP</t>
  </si>
  <si>
    <t>CORIMAYO</t>
  </si>
  <si>
    <t>PESPILCO</t>
  </si>
  <si>
    <t>ERROR DE PICKING Y FILTRO</t>
  </si>
  <si>
    <t>5. MAYO</t>
  </si>
  <si>
    <t>FALCON</t>
  </si>
  <si>
    <t>H010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</si>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</sst>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S/&quot;\ * #,##0.00_-;\-&quot;S/&quot;\ * #,##0.00_-;_-&quot;S/&quot;\ * &quot;-&quot;??_-;_-@_-"/>
    <numFmt numFmtId="165" formatCode="_ &quot;S/.&quot;\ * #,##0.00_ ;_ &quot;S/.&quot;\ * \-#,##0.00_ ;_ &quot;S/.&quot;\ * &quot;-&quot;??_ ;_ @_ "/>
    <numFmt numFmtId="166" formatCode="[$-F800]dddd\,\ mmmm\ dd\,\ yyyy"/>
  </numFmts>
  <fonts count="1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i/>
      <sz val="8"/>
      <color theme="4" tint="-0.249977111117893"/>
      <name val="Calibri"/>
      <family val="2"/>
      <scheme val="minor"/>
    </font>
    <font>
      <b/>
      <sz val="12"/>
      <color rgb="FF002060"/>
      <name val="Cambria"/>
      <family val="1"/>
    </font>
    <font>
      <b/>
      <sz val="14"/>
      <color rgb="FF002060"/>
      <name val="Cambria"/>
      <family val="1"/>
    </font>
    <font>
      <b/>
      <sz val="22"/>
      <color rgb="FF002060"/>
      <name val="Cambria"/>
      <family val="1"/>
    </font>
    <font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ECF4FA"/>
        <bgColor indexed="64"/>
      </patternFill>
    </fill>
    <fill>
      <patternFill patternType="solid">
        <fgColor rgb="FFF3F5FB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rgb="FF0070C0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rgb="FF0070C0"/>
      </top>
      <bottom style="thin">
        <color theme="9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 style="thin">
        <color rgb="FF0070C0"/>
      </right>
      <top/>
      <bottom/>
      <diagonal/>
    </border>
    <border>
      <left/>
      <right/>
      <top/>
      <bottom style="thin">
        <color rgb="FF0070C0"/>
      </bottom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 style="thin">
        <color theme="8"/>
      </left>
      <right/>
      <top/>
      <bottom/>
      <diagonal/>
    </border>
    <border>
      <left style="thin">
        <color rgb="FF0070C0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4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 wrapText="1"/>
    </xf>
    <xf numFmtId="165" fontId="5" fillId="4" borderId="11" xfId="0" applyNumberFormat="1" applyFont="1" applyFill="1" applyBorder="1" applyAlignment="1">
      <alignment horizontal="center" vertical="center" wrapText="1"/>
    </xf>
    <xf numFmtId="0" fontId="6" fillId="5" borderId="11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/>
    </xf>
    <xf numFmtId="165" fontId="7" fillId="0" borderId="11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0" fillId="7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8" borderId="1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64" fontId="1" fillId="8" borderId="5" xfId="1" applyFont="1" applyFill="1" applyBorder="1" applyAlignment="1">
      <alignment horizontal="center" vertical="center"/>
    </xf>
    <xf numFmtId="164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9" borderId="17" xfId="0" applyFill="1" applyBorder="1"/>
    <xf numFmtId="0" fontId="0" fillId="9" borderId="0" xfId="0" applyFill="1"/>
    <xf numFmtId="0" fontId="9" fillId="9" borderId="0" xfId="0" applyFont="1" applyFill="1"/>
    <xf numFmtId="0" fontId="0" fillId="9" borderId="4" xfId="0" applyFill="1" applyBorder="1"/>
    <xf numFmtId="0" fontId="0" fillId="9" borderId="20" xfId="0" applyFill="1" applyBorder="1"/>
    <xf numFmtId="0" fontId="1" fillId="8" borderId="6" xfId="0" applyFont="1" applyFill="1" applyBorder="1" applyAlignment="1">
      <alignment horizontal="center" vertical="center"/>
    </xf>
    <xf numFmtId="0" fontId="3" fillId="10" borderId="11" xfId="0" applyFont="1" applyFill="1" applyBorder="1" applyAlignment="1">
      <alignment horizontal="center" vertical="center"/>
    </xf>
    <xf numFmtId="0" fontId="0" fillId="11" borderId="11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12" fillId="5" borderId="11" xfId="0" applyFont="1" applyFill="1" applyBorder="1" applyAlignment="1">
      <alignment horizontal="center"/>
    </xf>
    <xf numFmtId="16" fontId="1" fillId="0" borderId="0" xfId="0" applyNumberFormat="1" applyFont="1" applyAlignment="1">
      <alignment horizontal="center" vertical="center"/>
    </xf>
    <xf numFmtId="0" fontId="0" fillId="5" borderId="0" xfId="0" applyFill="1"/>
    <xf numFmtId="0" fontId="0" fillId="0" borderId="11" xfId="0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9" fontId="0" fillId="0" borderId="11" xfId="2" applyFont="1" applyBorder="1" applyAlignment="1">
      <alignment horizontal="center" vertical="center"/>
    </xf>
    <xf numFmtId="9" fontId="0" fillId="0" borderId="11" xfId="0" applyNumberFormat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11" fillId="9" borderId="17" xfId="0" applyFont="1" applyFill="1" applyBorder="1" applyAlignment="1">
      <alignment horizontal="center"/>
    </xf>
    <xf numFmtId="166" fontId="13" fillId="9" borderId="0" xfId="0" applyNumberFormat="1" applyFont="1" applyFill="1"/>
    <xf numFmtId="166" fontId="13" fillId="9" borderId="0" xfId="0" applyNumberFormat="1" applyFont="1" applyFill="1" applyAlignment="1">
      <alignment horizontal="center"/>
    </xf>
    <xf numFmtId="0" fontId="14" fillId="5" borderId="11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9" borderId="19" xfId="0" applyFill="1" applyBorder="1"/>
    <xf numFmtId="0" fontId="0" fillId="0" borderId="0" xfId="0" applyAlignment="1">
      <alignment horizontal="center" vertical="center"/>
    </xf>
    <xf numFmtId="0" fontId="0" fillId="0" borderId="0" xfId="0" pivotButton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/>
    <xf numFmtId="0" fontId="3" fillId="14" borderId="21" xfId="0" applyFont="1" applyFill="1" applyBorder="1" applyAlignment="1">
      <alignment horizontal="center" vertical="center"/>
    </xf>
    <xf numFmtId="0" fontId="3" fillId="14" borderId="22" xfId="0" applyFont="1" applyFill="1" applyBorder="1" applyAlignment="1">
      <alignment horizontal="center" vertical="center"/>
    </xf>
    <xf numFmtId="0" fontId="0" fillId="0" borderId="21" xfId="0" applyBorder="1"/>
    <xf numFmtId="0" fontId="0" fillId="0" borderId="22" xfId="0" applyBorder="1"/>
    <xf numFmtId="16" fontId="0" fillId="0" borderId="22" xfId="0" applyNumberFormat="1" applyBorder="1"/>
    <xf numFmtId="0" fontId="0" fillId="0" borderId="23" xfId="0" applyBorder="1"/>
    <xf numFmtId="0" fontId="0" fillId="0" borderId="24" xfId="0" applyBorder="1"/>
    <xf numFmtId="0" fontId="3" fillId="13" borderId="21" xfId="0" applyFont="1" applyFill="1" applyBorder="1"/>
    <xf numFmtId="0" fontId="0" fillId="0" borderId="0" xfId="0" applyAlignment="1">
      <alignment wrapText="1"/>
    </xf>
    <xf numFmtId="0" fontId="3" fillId="14" borderId="11" xfId="0" applyFont="1" applyFill="1" applyBorder="1"/>
    <xf numFmtId="14" fontId="0" fillId="0" borderId="11" xfId="0" applyNumberFormat="1" applyBorder="1" applyAlignment="1">
      <alignment horizontal="center" vertical="center"/>
    </xf>
    <xf numFmtId="0" fontId="1" fillId="0" borderId="17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/>
    </xf>
    <xf numFmtId="0" fontId="0" fillId="0" borderId="25" xfId="0" applyBorder="1"/>
    <xf numFmtId="0" fontId="16" fillId="0" borderId="21" xfId="0" applyFont="1" applyBorder="1"/>
    <xf numFmtId="16" fontId="16" fillId="0" borderId="22" xfId="0" applyNumberFormat="1" applyFont="1" applyBorder="1"/>
    <xf numFmtId="0" fontId="16" fillId="0" borderId="22" xfId="0" applyFont="1" applyBorder="1"/>
    <xf numFmtId="166" fontId="15" fillId="9" borderId="17" xfId="0" applyNumberFormat="1" applyFont="1" applyFill="1" applyBorder="1" applyAlignment="1">
      <alignment horizontal="center"/>
    </xf>
    <xf numFmtId="166" fontId="15" fillId="9" borderId="0" xfId="0" applyNumberFormat="1" applyFont="1" applyFill="1" applyAlignment="1">
      <alignment horizontal="center"/>
    </xf>
    <xf numFmtId="166" fontId="15" fillId="9" borderId="19" xfId="0" applyNumberFormat="1" applyFont="1" applyFill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0" fillId="9" borderId="2" xfId="0" applyFill="1" applyBorder="1"/>
    <xf numFmtId="164" fontId="1" fillId="8" borderId="7" xfId="1" applyFont="1" applyFill="1" applyBorder="1" applyAlignment="1">
      <alignment horizontal="center" vertical="center"/>
    </xf>
    <xf numFmtId="0" fontId="1" fillId="8" borderId="28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7" fillId="8" borderId="6" xfId="0" applyFont="1" applyFill="1" applyBorder="1" applyAlignment="1">
      <alignment horizontal="center" vertical="center"/>
    </xf>
    <xf numFmtId="16" fontId="17" fillId="0" borderId="0" xfId="0" applyNumberFormat="1" applyFont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164" fontId="17" fillId="8" borderId="7" xfId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8" borderId="1" xfId="0" applyFont="1" applyFill="1" applyBorder="1" applyAlignment="1">
      <alignment horizontal="center" vertical="center"/>
    </xf>
    <xf numFmtId="164" fontId="17" fillId="8" borderId="5" xfId="1" applyFont="1" applyFill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/>
    </xf>
    <xf numFmtId="0" fontId="1" fillId="15" borderId="6" xfId="0" applyFont="1" applyFill="1" applyBorder="1" applyAlignment="1">
      <alignment horizontal="center" vertical="center"/>
    </xf>
    <xf numFmtId="0" fontId="17" fillId="15" borderId="6" xfId="0" applyFont="1" applyFill="1" applyBorder="1" applyAlignment="1">
      <alignment horizontal="center" vertical="center"/>
    </xf>
    <xf numFmtId="0" fontId="17" fillId="15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17" fillId="5" borderId="1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17" fillId="16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164" fontId="18" fillId="8" borderId="7" xfId="1" applyFont="1" applyFill="1" applyBorder="1" applyAlignment="1">
      <alignment horizontal="center" vertical="center"/>
    </xf>
    <xf numFmtId="16" fontId="18" fillId="0" borderId="0" xfId="0" applyNumberFormat="1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8" borderId="28" xfId="0" applyFont="1" applyFill="1" applyBorder="1" applyAlignment="1">
      <alignment horizontal="center" vertical="center"/>
    </xf>
    <xf numFmtId="164" fontId="18" fillId="8" borderId="5" xfId="1" applyFont="1" applyFill="1" applyBorder="1" applyAlignment="1">
      <alignment horizontal="center" vertical="center"/>
    </xf>
    <xf numFmtId="0" fontId="18" fillId="16" borderId="1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11" fillId="9" borderId="7" xfId="0" applyFont="1" applyFill="1" applyBorder="1" applyAlignment="1">
      <alignment horizontal="center"/>
    </xf>
    <xf numFmtId="0" fontId="11" fillId="9" borderId="16" xfId="0" applyFont="1" applyFill="1" applyBorder="1" applyAlignment="1">
      <alignment horizontal="center"/>
    </xf>
    <xf numFmtId="0" fontId="11" fillId="9" borderId="18" xfId="0" applyFont="1" applyFill="1" applyBorder="1" applyAlignment="1">
      <alignment horizontal="center"/>
    </xf>
    <xf numFmtId="166" fontId="15" fillId="9" borderId="17" xfId="0" applyNumberFormat="1" applyFont="1" applyFill="1" applyBorder="1" applyAlignment="1">
      <alignment horizontal="center"/>
    </xf>
    <xf numFmtId="166" fontId="15" fillId="9" borderId="0" xfId="0" applyNumberFormat="1" applyFont="1" applyFill="1" applyAlignment="1">
      <alignment horizontal="center"/>
    </xf>
    <xf numFmtId="166" fontId="15" fillId="9" borderId="19" xfId="0" applyNumberFormat="1" applyFont="1" applyFill="1" applyBorder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</cellXfs>
  <cellStyles count="3">
    <cellStyle name="Moneda" xfId="1" builtinId="4"/>
    <cellStyle name="Normal" xfId="0" builtinId="0"/>
    <cellStyle name="Porcentaje" xfId="2" builtinId="5"/>
  </cellStyles>
  <dxfs count="344">
    <dxf>
      <numFmt numFmtId="164" formatCode="_-&quot;S/&quot;\ * #,##0.00_-;\-&quot;S/&quot;\ * #,##0.00_-;_-&quot;S/&quot;\ * &quot;-&quot;??_-;_-@_-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2" formatCode="0.00"/>
    </dxf>
    <dxf>
      <numFmt numFmtId="2" formatCode="0.00"/>
    </dxf>
    <dxf>
      <numFmt numFmtId="167" formatCode="0.0"/>
    </dxf>
    <dxf>
      <numFmt numFmtId="167" formatCode="0.0"/>
    </dxf>
    <dxf>
      <numFmt numFmtId="1" formatCode="0"/>
    </dxf>
    <dxf>
      <numFmt numFmtId="1" formatCode="0"/>
    </dxf>
    <dxf>
      <numFmt numFmtId="164" formatCode="_-&quot;S/&quot;\ * #,##0.00_-;\-&quot;S/&quot;\ * #,##0.00_-;_-&quot;S/&quot;\ * &quot;-&quot;??_-;_-@_-"/>
    </dxf>
    <dxf>
      <numFmt numFmtId="2" formatCode="0.00"/>
    </dxf>
    <dxf>
      <numFmt numFmtId="2" formatCode="0.00"/>
    </dxf>
    <dxf>
      <numFmt numFmtId="167" formatCode="0.0"/>
    </dxf>
    <dxf>
      <numFmt numFmtId="167" formatCode="0.0"/>
    </dxf>
    <dxf>
      <numFmt numFmtId="1" formatCode="0"/>
    </dxf>
    <dxf>
      <numFmt numFmtId="1" formatCode="0"/>
    </dxf>
    <dxf>
      <numFmt numFmtId="164" formatCode="_-&quot;S/&quot;\ * #,##0.00_-;\-&quot;S/&quot;\ * #,##0.00_-;_-&quot;S/&quot;\ * &quot;-&quot;??_-;_-@_-"/>
    </dxf>
    <dxf>
      <numFmt numFmtId="2" formatCode="0.00"/>
    </dxf>
    <dxf>
      <numFmt numFmtId="2" formatCode="0.00"/>
    </dxf>
    <dxf>
      <numFmt numFmtId="167" formatCode="0.0"/>
    </dxf>
    <dxf>
      <numFmt numFmtId="167" formatCode="0.0"/>
    </dxf>
    <dxf>
      <numFmt numFmtId="2" formatCode="0.00"/>
    </dxf>
    <dxf>
      <numFmt numFmtId="2" formatCode="0.00"/>
    </dxf>
    <dxf>
      <numFmt numFmtId="167" formatCode="0.0"/>
    </dxf>
    <dxf>
      <numFmt numFmtId="167" formatCode="0.0"/>
    </dxf>
    <dxf>
      <numFmt numFmtId="1" formatCode="0"/>
    </dxf>
    <dxf>
      <numFmt numFmtId="1" formatCode="0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alignment wrapText="1" readingOrder="0"/>
    </dxf>
    <dxf>
      <numFmt numFmtId="164" formatCode="_-&quot;S/&quot;\ * #,##0.00_-;\-&quot;S/&quot;\ * #,##0.00_-;_-&quot;S/&quot;\ * &quot;-&quot;??_-;_-@_-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2" formatCode="0.00"/>
    </dxf>
    <dxf>
      <numFmt numFmtId="2" formatCode="0.00"/>
    </dxf>
    <dxf>
      <numFmt numFmtId="167" formatCode="0.0"/>
    </dxf>
    <dxf>
      <numFmt numFmtId="167" formatCode="0.0"/>
    </dxf>
    <dxf>
      <numFmt numFmtId="1" formatCode="0"/>
    </dxf>
    <dxf>
      <numFmt numFmtId="1" formatCode="0"/>
    </dxf>
    <dxf>
      <numFmt numFmtId="164" formatCode="_-&quot;S/&quot;\ * #,##0.00_-;\-&quot;S/&quot;\ * #,##0.00_-;_-&quot;S/&quot;\ * &quot;-&quot;??_-;_-@_-"/>
    </dxf>
    <dxf>
      <numFmt numFmtId="2" formatCode="0.00"/>
    </dxf>
    <dxf>
      <numFmt numFmtId="2" formatCode="0.00"/>
    </dxf>
    <dxf>
      <numFmt numFmtId="167" formatCode="0.0"/>
    </dxf>
    <dxf>
      <numFmt numFmtId="167" formatCode="0.0"/>
    </dxf>
    <dxf>
      <numFmt numFmtId="1" formatCode="0"/>
    </dxf>
    <dxf>
      <numFmt numFmtId="1" formatCode="0"/>
    </dxf>
    <dxf>
      <numFmt numFmtId="164" formatCode="_-&quot;S/&quot;\ * #,##0.00_-;\-&quot;S/&quot;\ * #,##0.00_-;_-&quot;S/&quot;\ * &quot;-&quot;??_-;_-@_-"/>
    </dxf>
    <dxf>
      <numFmt numFmtId="2" formatCode="0.00"/>
    </dxf>
    <dxf>
      <numFmt numFmtId="2" formatCode="0.00"/>
    </dxf>
    <dxf>
      <numFmt numFmtId="167" formatCode="0.0"/>
    </dxf>
    <dxf>
      <numFmt numFmtId="167" formatCode="0.0"/>
    </dxf>
    <dxf>
      <numFmt numFmtId="2" formatCode="0.00"/>
    </dxf>
    <dxf>
      <numFmt numFmtId="2" formatCode="0.00"/>
    </dxf>
    <dxf>
      <numFmt numFmtId="167" formatCode="0.0"/>
    </dxf>
    <dxf>
      <numFmt numFmtId="167" formatCode="0.0"/>
    </dxf>
    <dxf>
      <numFmt numFmtId="1" formatCode="0"/>
    </dxf>
    <dxf>
      <numFmt numFmtId="1" formatCode="0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alignment wrapText="1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rgb="FFECF4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/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rgb="FFECF4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/>
        <top style="thin">
          <color rgb="FF0070C0"/>
        </top>
        <bottom style="thin">
          <color rgb="FF007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rgb="FFECF4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/>
        <top style="thin">
          <color rgb="FF0070C0"/>
        </top>
        <bottom style="thin">
          <color rgb="FF007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-&quot;S/&quot;\ * #,##0.00_-;\-&quot;S/&quot;\ * #,##0.00_-;_-&quot;S/&quot;\ * &quot;-&quot;??_-;_-@_-"/>
      <fill>
        <patternFill patternType="solid">
          <fgColor indexed="64"/>
          <bgColor rgb="FFECF4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/>
        <top style="thin">
          <color rgb="FF0070C0"/>
        </top>
        <bottom style="thin">
          <color rgb="FF0070C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-&quot;S/&quot;\ * #,##0.00_-;\-&quot;S/&quot;\ * #,##0.00_-;_-&quot;S/&quot;\ * &quot;-&quot;??_-;_-@_-"/>
      <fill>
        <patternFill patternType="solid">
          <fgColor indexed="64"/>
          <bgColor rgb="FFECF4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/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rgb="FFECF4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rgb="FFECF4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solid">
          <fgColor indexed="64"/>
          <bgColor rgb="FFECF4FA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21" formatCode="d\-m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>
        <top style="thin">
          <color rgb="FF0070C0"/>
        </top>
      </border>
    </dxf>
    <dxf>
      <border diagonalUp="0" diagonalDown="0">
        <left style="thin">
          <color rgb="FF0070C0"/>
        </left>
        <right style="thin">
          <color rgb="FF0070C0"/>
        </right>
        <top style="thin">
          <color rgb="FF0070C0"/>
        </top>
        <bottom style="thin">
          <color rgb="FF0070C0"/>
        </bottom>
      </border>
    </dxf>
    <dxf>
      <border>
        <bottom style="thin">
          <color rgb="FF0070C0"/>
        </bottom>
      </border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70C0"/>
        </left>
        <right style="thin">
          <color rgb="FF0070C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gradientFill>
          <stop position="0">
            <color theme="0"/>
          </stop>
          <stop position="1">
            <color rgb="FFFCF96F"/>
          </stop>
        </gradientFill>
      </fill>
    </dxf>
    <dxf>
      <font>
        <b/>
        <i val="0"/>
        <color rgb="FF002060"/>
      </font>
      <fill>
        <gradientFill>
          <stop position="0">
            <color theme="0"/>
          </stop>
          <stop position="1">
            <color theme="8" tint="0.80001220740379042"/>
          </stop>
        </gradientFill>
      </fill>
    </dxf>
    <dxf>
      <font>
        <b/>
        <i val="0"/>
        <color rgb="FFFF0000"/>
      </font>
      <fill>
        <gradientFill>
          <stop position="0">
            <color theme="0"/>
          </stop>
          <stop position="1">
            <color theme="5" tint="0.80001220740379042"/>
          </stop>
        </gradientFill>
      </fill>
    </dxf>
    <dxf>
      <font>
        <b/>
        <i val="0"/>
        <color theme="9" tint="-0.24994659260841701"/>
      </font>
      <fill>
        <gradientFill>
          <stop position="0">
            <color theme="0"/>
          </stop>
          <stop position="1">
            <color theme="9" tint="0.59999389629810485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1" formatCode="d\-mmm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1" formatCode="d\-mmm"/>
      <border diagonalUp="0" diagonalDown="0">
        <left/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8"/>
        </left>
        <right/>
        <top style="thin">
          <color theme="8"/>
        </top>
        <bottom/>
        <vertical/>
        <horizontal/>
      </border>
    </dxf>
    <dxf>
      <border outline="0">
        <right style="thin">
          <color theme="8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</dxf>
    <dxf>
      <numFmt numFmtId="164" formatCode="_-&quot;S/&quot;\ * #,##0.00_-;\-&quot;S/&quot;\ * #,##0.00_-;_-&quot;S/&quot;\ * &quot;-&quot;??_-;_-@_-"/>
    </dxf>
    <dxf>
      <numFmt numFmtId="1" formatCode="0"/>
    </dxf>
    <dxf>
      <numFmt numFmtId="1" formatCode="0"/>
    </dxf>
    <dxf>
      <numFmt numFmtId="167" formatCode="0.0"/>
    </dxf>
    <dxf>
      <numFmt numFmtId="167" formatCode="0.0"/>
    </dxf>
    <dxf>
      <numFmt numFmtId="2" formatCode="0.00"/>
    </dxf>
    <dxf>
      <numFmt numFmtId="2" formatCode="0.00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alignment wrapText="1" readingOrder="0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" formatCode="0"/>
    </dxf>
    <dxf>
      <numFmt numFmtId="1" formatCode="0"/>
    </dxf>
    <dxf>
      <numFmt numFmtId="167" formatCode="0.0"/>
    </dxf>
    <dxf>
      <numFmt numFmtId="167" formatCode="0.0"/>
    </dxf>
    <dxf>
      <numFmt numFmtId="2" formatCode="0.00"/>
    </dxf>
    <dxf>
      <numFmt numFmtId="2" formatCode="0.00"/>
    </dxf>
    <dxf>
      <numFmt numFmtId="164" formatCode="_-&quot;S/&quot;\ * #,##0.00_-;\-&quot;S/&quot;\ * #,##0.00_-;_-&quot;S/&quot;\ * &quot;-&quot;??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_-&quot;S/&quot;\ * #,##0.00_-;\-&quot;S/&quot;\ * #,##0.00_-;_-&quot;S/&quot;\ * &quot;-&quot;??_-;_-@_-"/>
    </dxf>
    <dxf>
      <numFmt numFmtId="1" formatCode="0"/>
    </dxf>
    <dxf>
      <numFmt numFmtId="1" formatCode="0"/>
    </dxf>
    <dxf>
      <numFmt numFmtId="167" formatCode="0.0"/>
    </dxf>
    <dxf>
      <numFmt numFmtId="167" formatCode="0.0"/>
    </dxf>
    <dxf>
      <numFmt numFmtId="2" formatCode="0.00"/>
    </dxf>
    <dxf>
      <numFmt numFmtId="2" formatCode="0.00"/>
    </dxf>
    <dxf>
      <numFmt numFmtId="167" formatCode="0.0"/>
    </dxf>
    <dxf>
      <numFmt numFmtId="167" formatCode="0.0"/>
    </dxf>
    <dxf>
      <numFmt numFmtId="2" formatCode="0.00"/>
    </dxf>
    <dxf>
      <numFmt numFmtId="2" formatCode="0.00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  <dxf>
      <numFmt numFmtId="164" formatCode="_-&quot;S/&quot;\ * #,##0.00_-;\-&quot;S/&quot;\ * #,##0.00_-;_-&quot;S/&quot;\ * &quot;-&quot;??_-;_-@_-"/>
    </dxf>
  </dxfs>
  <tableStyles count="0" defaultTableStyle="TableStyleMedium2" defaultPivotStyle="PivotStyleLight16"/>
  <colors>
    <mruColors>
      <color rgb="FFF3F5FB"/>
      <color rgb="FFEDF1F9"/>
      <color rgb="FFEAF4E4"/>
      <color rgb="FFFEF6F0"/>
      <color rgb="FFFCF96F"/>
      <color rgb="FFF2F7FC"/>
      <color rgb="FFF9F9F9"/>
      <color rgb="FFFCEEE4"/>
      <color rgb="FFECF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TB!$E$4</c:f>
              <c:strCache>
                <c:ptCount val="1"/>
                <c:pt idx="0">
                  <c:v>CUADRADO</c:v>
                </c:pt>
              </c:strCache>
            </c:strRef>
          </c:tx>
          <c:spPr>
            <a:solidFill>
              <a:schemeClr val="accent6"/>
            </a:solidFill>
          </c:spPr>
          <c:explosion val="1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96-4CFA-85FE-1CB059256726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A96-4CFA-85FE-1CB059256726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A96-4CFA-85FE-1CB059256726}"/>
              </c:ext>
            </c:extLst>
          </c:dPt>
          <c:dPt>
            <c:idx val="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A96-4CFA-85FE-1CB059256726}"/>
              </c:ext>
            </c:extLst>
          </c:dPt>
          <c:dPt>
            <c:idx val="4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A96-4CFA-85FE-1CB05925672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A96-4CFA-85FE-1CB059256726}"/>
              </c:ext>
            </c:extLst>
          </c:dPt>
          <c:dPt>
            <c:idx val="6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A96-4CFA-85FE-1CB059256726}"/>
              </c:ext>
            </c:extLst>
          </c:dPt>
          <c:dPt>
            <c:idx val="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A96-4CFA-85FE-1CB059256726}"/>
              </c:ext>
            </c:extLst>
          </c:dPt>
          <c:dPt>
            <c:idx val="8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6A96-4CFA-85FE-1CB059256726}"/>
              </c:ext>
            </c:extLst>
          </c:dPt>
          <c:dPt>
            <c:idx val="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6A96-4CFA-85FE-1CB059256726}"/>
              </c:ext>
            </c:extLst>
          </c:dPt>
          <c:dPt>
            <c:idx val="1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6A96-4CFA-85FE-1CB059256726}"/>
              </c:ext>
            </c:extLst>
          </c:dPt>
          <c:dPt>
            <c:idx val="11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6A96-4CFA-85FE-1CB059256726}"/>
              </c:ext>
            </c:extLst>
          </c:dPt>
          <c:dPt>
            <c:idx val="1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6A96-4CFA-85FE-1CB059256726}"/>
              </c:ext>
            </c:extLst>
          </c:dPt>
          <c:dPt>
            <c:idx val="13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6A96-4CFA-85FE-1CB059256726}"/>
              </c:ext>
            </c:extLst>
          </c:dPt>
          <c:dPt>
            <c:idx val="14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6A96-4CFA-85FE-1CB059256726}"/>
              </c:ext>
            </c:extLst>
          </c:dPt>
          <c:dPt>
            <c:idx val="1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6A96-4CFA-85FE-1CB059256726}"/>
              </c:ext>
            </c:extLst>
          </c:dPt>
          <c:dPt>
            <c:idx val="16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6A96-4CFA-85FE-1CB059256726}"/>
              </c:ext>
            </c:extLst>
          </c:dPt>
          <c:dPt>
            <c:idx val="17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6A96-4CFA-85FE-1CB059256726}"/>
              </c:ext>
            </c:extLst>
          </c:dPt>
          <c:dPt>
            <c:idx val="18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6A96-4CFA-85FE-1CB059256726}"/>
              </c:ext>
            </c:extLst>
          </c:dPt>
          <c:dPt>
            <c:idx val="1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6A96-4CFA-85FE-1CB059256726}"/>
              </c:ext>
            </c:extLst>
          </c:dPt>
          <c: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8-6A96-4CFA-85FE-1CB059256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doughnutChart>
        <c:varyColors val="1"/>
        <c:ser>
          <c:idx val="1"/>
          <c:order val="1"/>
          <c:tx>
            <c:strRef>
              <c:f>TB!$E$4</c:f>
              <c:strCache>
                <c:ptCount val="1"/>
                <c:pt idx="0">
                  <c:v>CUADRADO</c:v>
                </c:pt>
              </c:strCache>
            </c:strRef>
          </c:tx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6A96-4CFA-85FE-1CB059256726}"/>
              </c:ext>
            </c:extLst>
          </c:dPt>
          <c:dPt>
            <c:idx val="1"/>
            <c:bubble3D val="0"/>
            <c:spPr>
              <a:solidFill>
                <a:schemeClr val="bg1">
                  <a:alpha val="7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6A96-4CFA-85FE-1CB059256726}"/>
              </c:ext>
            </c:extLst>
          </c:dPt>
          <c:val>
            <c:numRef>
              <c:f>TB!$G$4:$H$4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6A96-4CFA-85FE-1CB059256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TB!$E$5</c:f>
              <c:strCache>
                <c:ptCount val="1"/>
                <c:pt idx="0">
                  <c:v>AJUSTADO</c:v>
                </c:pt>
              </c:strCache>
            </c:strRef>
          </c:tx>
          <c:spPr>
            <a:solidFill>
              <a:schemeClr val="accent2"/>
            </a:solidFill>
          </c:spPr>
          <c:explosion val="1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F5-4A3E-9715-136A6DB07F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F5-4A3E-9715-136A6DB07F8C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F5-4A3E-9715-136A6DB07F8C}"/>
              </c:ext>
            </c:extLst>
          </c:dPt>
          <c:dPt>
            <c:idx val="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F5-4A3E-9715-136A6DB07F8C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6F5-4A3E-9715-136A6DB07F8C}"/>
              </c:ext>
            </c:extLst>
          </c:dPt>
          <c:dPt>
            <c:idx val="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6F5-4A3E-9715-136A6DB07F8C}"/>
              </c:ext>
            </c:extLst>
          </c:dPt>
          <c:dPt>
            <c:idx val="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6F5-4A3E-9715-136A6DB07F8C}"/>
              </c:ext>
            </c:extLst>
          </c:dPt>
          <c:dPt>
            <c:idx val="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6F5-4A3E-9715-136A6DB07F8C}"/>
              </c:ext>
            </c:extLst>
          </c:dPt>
          <c:dPt>
            <c:idx val="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6F5-4A3E-9715-136A6DB07F8C}"/>
              </c:ext>
            </c:extLst>
          </c:dPt>
          <c:dPt>
            <c:idx val="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6F5-4A3E-9715-136A6DB07F8C}"/>
              </c:ext>
            </c:extLst>
          </c:dPt>
          <c:dPt>
            <c:idx val="1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6F5-4A3E-9715-136A6DB07F8C}"/>
              </c:ext>
            </c:extLst>
          </c:dPt>
          <c:dPt>
            <c:idx val="1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6F5-4A3E-9715-136A6DB07F8C}"/>
              </c:ext>
            </c:extLst>
          </c:dPt>
          <c:dPt>
            <c:idx val="1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A6F5-4A3E-9715-136A6DB07F8C}"/>
              </c:ext>
            </c:extLst>
          </c:dPt>
          <c:dPt>
            <c:idx val="13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A6F5-4A3E-9715-136A6DB07F8C}"/>
              </c:ext>
            </c:extLst>
          </c:dPt>
          <c:dPt>
            <c:idx val="1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A6F5-4A3E-9715-136A6DB07F8C}"/>
              </c:ext>
            </c:extLst>
          </c:dPt>
          <c:dPt>
            <c:idx val="1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A6F5-4A3E-9715-136A6DB07F8C}"/>
              </c:ext>
            </c:extLst>
          </c:dPt>
          <c:dPt>
            <c:idx val="16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A6F5-4A3E-9715-136A6DB07F8C}"/>
              </c:ext>
            </c:extLst>
          </c:dPt>
          <c:dPt>
            <c:idx val="17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A6F5-4A3E-9715-136A6DB07F8C}"/>
              </c:ext>
            </c:extLst>
          </c:dPt>
          <c:dPt>
            <c:idx val="18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A6F5-4A3E-9715-136A6DB07F8C}"/>
              </c:ext>
            </c:extLst>
          </c:dPt>
          <c:dPt>
            <c:idx val="19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A6F5-4A3E-9715-136A6DB07F8C}"/>
              </c:ext>
            </c:extLst>
          </c:dPt>
          <c: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8-A6F5-4A3E-9715-136A6DB07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doughnutChart>
        <c:varyColors val="1"/>
        <c:ser>
          <c:idx val="1"/>
          <c:order val="1"/>
          <c:tx>
            <c:strRef>
              <c:f>TB!$E$5</c:f>
              <c:strCache>
                <c:ptCount val="1"/>
                <c:pt idx="0">
                  <c:v>AJUSTADO</c:v>
                </c:pt>
              </c:strCache>
            </c:strRef>
          </c:tx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A6F5-4A3E-9715-136A6DB07F8C}"/>
              </c:ext>
            </c:extLst>
          </c:dPt>
          <c:dPt>
            <c:idx val="1"/>
            <c:bubble3D val="0"/>
            <c:spPr>
              <a:solidFill>
                <a:schemeClr val="bg1">
                  <a:alpha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A6F5-4A3E-9715-136A6DB07F8C}"/>
              </c:ext>
            </c:extLst>
          </c:dPt>
          <c:val>
            <c:numRef>
              <c:f>TB!$G$5:$H$5</c:f>
              <c:numCache>
                <c:formatCode>0%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A6F5-4A3E-9715-136A6DB07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987558596705779"/>
          <c:y val="0.1356305275576212"/>
          <c:w val="0.5736236858438446"/>
          <c:h val="0.67389074555402084"/>
        </c:manualLayout>
      </c:layout>
      <c:doughnutChart>
        <c:varyColors val="1"/>
        <c:ser>
          <c:idx val="0"/>
          <c:order val="0"/>
          <c:tx>
            <c:strRef>
              <c:f>TB!$E$6</c:f>
              <c:strCache>
                <c:ptCount val="1"/>
                <c:pt idx="0">
                  <c:v>VALIDACION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explosion val="10"/>
          <c:dPt>
            <c:idx val="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03-4911-80BF-A21A8DB4C11C}"/>
              </c:ext>
            </c:extLst>
          </c:dPt>
          <c:dPt>
            <c:idx val="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03-4911-80BF-A21A8DB4C11C}"/>
              </c:ext>
            </c:extLst>
          </c:dPt>
          <c:dPt>
            <c:idx val="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03-4911-80BF-A21A8DB4C11C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403-4911-80BF-A21A8DB4C11C}"/>
              </c:ext>
            </c:extLst>
          </c:dPt>
          <c:dPt>
            <c:idx val="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403-4911-80BF-A21A8DB4C11C}"/>
              </c:ext>
            </c:extLst>
          </c:dPt>
          <c:dPt>
            <c:idx val="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403-4911-80BF-A21A8DB4C11C}"/>
              </c:ext>
            </c:extLst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403-4911-80BF-A21A8DB4C11C}"/>
              </c:ext>
            </c:extLst>
          </c:dPt>
          <c:dPt>
            <c:idx val="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403-4911-80BF-A21A8DB4C11C}"/>
              </c:ext>
            </c:extLst>
          </c:dPt>
          <c:dPt>
            <c:idx val="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403-4911-80BF-A21A8DB4C11C}"/>
              </c:ext>
            </c:extLst>
          </c:dPt>
          <c:dPt>
            <c:idx val="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403-4911-80BF-A21A8DB4C11C}"/>
              </c:ext>
            </c:extLst>
          </c:dPt>
          <c:dPt>
            <c:idx val="10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403-4911-80BF-A21A8DB4C11C}"/>
              </c:ext>
            </c:extLst>
          </c:dPt>
          <c:dPt>
            <c:idx val="11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403-4911-80BF-A21A8DB4C11C}"/>
              </c:ext>
            </c:extLst>
          </c:dPt>
          <c:dPt>
            <c:idx val="12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403-4911-80BF-A21A8DB4C11C}"/>
              </c:ext>
            </c:extLst>
          </c:dPt>
          <c:dPt>
            <c:idx val="13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403-4911-80BF-A21A8DB4C11C}"/>
              </c:ext>
            </c:extLst>
          </c:dPt>
          <c:dPt>
            <c:idx val="14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403-4911-80BF-A21A8DB4C11C}"/>
              </c:ext>
            </c:extLst>
          </c:dPt>
          <c:dPt>
            <c:idx val="15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7403-4911-80BF-A21A8DB4C11C}"/>
              </c:ext>
            </c:extLst>
          </c:dPt>
          <c:dPt>
            <c:idx val="16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7403-4911-80BF-A21A8DB4C11C}"/>
              </c:ext>
            </c:extLst>
          </c:dPt>
          <c:dPt>
            <c:idx val="17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7403-4911-80BF-A21A8DB4C11C}"/>
              </c:ext>
            </c:extLst>
          </c:dPt>
          <c:dPt>
            <c:idx val="18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7403-4911-80BF-A21A8DB4C11C}"/>
              </c:ext>
            </c:extLst>
          </c:dPt>
          <c:dPt>
            <c:idx val="19"/>
            <c:bubble3D val="0"/>
            <c:spPr>
              <a:solidFill>
                <a:schemeClr val="bg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7403-4911-80BF-A21A8DB4C11C}"/>
              </c:ext>
            </c:extLst>
          </c:dPt>
          <c: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8-7403-4911-80BF-A21A8D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doughnutChart>
        <c:varyColors val="1"/>
        <c:ser>
          <c:idx val="1"/>
          <c:order val="1"/>
          <c:tx>
            <c:strRef>
              <c:f>TB!$E$6</c:f>
              <c:strCache>
                <c:ptCount val="1"/>
                <c:pt idx="0">
                  <c:v>VALIDACION</c:v>
                </c:pt>
              </c:strCache>
            </c:strRef>
          </c:tx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7403-4911-80BF-A21A8DB4C11C}"/>
              </c:ext>
            </c:extLst>
          </c:dPt>
          <c:dPt>
            <c:idx val="1"/>
            <c:bubble3D val="0"/>
            <c:spPr>
              <a:solidFill>
                <a:schemeClr val="bg1">
                  <a:alpha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7403-4911-80BF-A21A8DB4C11C}"/>
              </c:ext>
            </c:extLst>
          </c:dPt>
          <c:val>
            <c:numRef>
              <c:f>TB!$G$6:$H$6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7403-4911-80BF-A21A8D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STATUS_DE_DIFERENCIAS_CD09(1).xlsm]TB!TablaDinámica1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952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>
                <a:alpha val="90000"/>
              </a:schemeClr>
            </a:solidFill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accent5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12700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12700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>
                <a:alpha val="9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5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TB!$AF$1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12700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>
                  <a:alpha val="9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TB!$AE$2:$AE$21</c:f>
              <c:strCache>
                <c:ptCount val="19"/>
                <c:pt idx="0">
                  <c:v>29-ene</c:v>
                </c:pt>
                <c:pt idx="1">
                  <c:v>30-ene</c:v>
                </c:pt>
                <c:pt idx="2">
                  <c:v>31-ene</c:v>
                </c:pt>
                <c:pt idx="3">
                  <c:v>1-feb</c:v>
                </c:pt>
                <c:pt idx="4">
                  <c:v>2-feb</c:v>
                </c:pt>
                <c:pt idx="5">
                  <c:v>3-feb</c:v>
                </c:pt>
                <c:pt idx="6">
                  <c:v>5-feb</c:v>
                </c:pt>
                <c:pt idx="7">
                  <c:v>6-feb</c:v>
                </c:pt>
                <c:pt idx="8">
                  <c:v>8-feb</c:v>
                </c:pt>
                <c:pt idx="9">
                  <c:v>11-feb</c:v>
                </c:pt>
                <c:pt idx="10">
                  <c:v>12-feb</c:v>
                </c:pt>
                <c:pt idx="11">
                  <c:v>15-feb</c:v>
                </c:pt>
                <c:pt idx="12">
                  <c:v>17-feb</c:v>
                </c:pt>
                <c:pt idx="13">
                  <c:v>20-feb</c:v>
                </c:pt>
                <c:pt idx="14">
                  <c:v>21-feb</c:v>
                </c:pt>
                <c:pt idx="15">
                  <c:v>22-feb</c:v>
                </c:pt>
                <c:pt idx="16">
                  <c:v>24-feb</c:v>
                </c:pt>
                <c:pt idx="17">
                  <c:v>25-feb</c:v>
                </c:pt>
                <c:pt idx="18">
                  <c:v>26-feb</c:v>
                </c:pt>
              </c:strCache>
            </c:strRef>
          </c:cat>
          <c:val>
            <c:numRef>
              <c:f>TB!$AF$2:$AF$21</c:f>
              <c:numCache>
                <c:formatCode>_-"S/"\ * #,##0.00_-;\-"S/"\ * #,##0.00_-;_-"S/"\ * "-"??_-;_-@_-</c:formatCode>
                <c:ptCount val="19"/>
                <c:pt idx="0">
                  <c:v>145.44</c:v>
                </c:pt>
                <c:pt idx="1">
                  <c:v>216.03</c:v>
                </c:pt>
                <c:pt idx="2">
                  <c:v>4.49</c:v>
                </c:pt>
                <c:pt idx="3">
                  <c:v>348.56</c:v>
                </c:pt>
                <c:pt idx="4">
                  <c:v>103.14000000000001</c:v>
                </c:pt>
                <c:pt idx="5">
                  <c:v>721.06999999999994</c:v>
                </c:pt>
                <c:pt idx="6">
                  <c:v>160.44</c:v>
                </c:pt>
                <c:pt idx="7">
                  <c:v>39.6</c:v>
                </c:pt>
                <c:pt idx="8">
                  <c:v>15.12</c:v>
                </c:pt>
                <c:pt idx="9">
                  <c:v>157.32</c:v>
                </c:pt>
                <c:pt idx="10">
                  <c:v>7.53</c:v>
                </c:pt>
                <c:pt idx="11">
                  <c:v>173.27999999999997</c:v>
                </c:pt>
                <c:pt idx="12">
                  <c:v>459.46000000000004</c:v>
                </c:pt>
                <c:pt idx="13">
                  <c:v>93.149999999999991</c:v>
                </c:pt>
                <c:pt idx="14">
                  <c:v>26.46</c:v>
                </c:pt>
                <c:pt idx="15">
                  <c:v>33.979999999999997</c:v>
                </c:pt>
                <c:pt idx="16">
                  <c:v>10.08</c:v>
                </c:pt>
                <c:pt idx="17">
                  <c:v>294.19</c:v>
                </c:pt>
                <c:pt idx="18">
                  <c:v>171.12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F-467A-8CEB-75B4FC9BE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179824"/>
        <c:axId val="1978186896"/>
      </c:lineChart>
      <c:catAx>
        <c:axId val="197817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s-PE"/>
          </a:p>
        </c:txPr>
        <c:crossAx val="1978186896"/>
        <c:crosses val="autoZero"/>
        <c:auto val="1"/>
        <c:lblAlgn val="ctr"/>
        <c:lblOffset val="100"/>
        <c:noMultiLvlLbl val="0"/>
      </c:catAx>
      <c:valAx>
        <c:axId val="1978186896"/>
        <c:scaling>
          <c:orientation val="minMax"/>
        </c:scaling>
        <c:delete val="1"/>
        <c:axPos val="l"/>
        <c:numFmt formatCode="_-&quot;S/&quot;\ * #,##0.00_-;\-&quot;S/&quot;\ * #,##0.00_-;_-&quot;S/&quot;\ * &quot;-&quot;??_-;_-@_-" sourceLinked="1"/>
        <c:majorTickMark val="none"/>
        <c:minorTickMark val="none"/>
        <c:tickLblPos val="nextTo"/>
        <c:crossAx val="197817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STATUS_DE_DIFERENCIAS_CD09(1).xlsm]TB!TablaDinámica9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>
              <a:lumMod val="75000"/>
            </a:schemeClr>
          </a:solidFill>
          <a:ln>
            <a:solidFill>
              <a:schemeClr val="accent5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alpha val="91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5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TB!$AI$1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solidFill>
                <a:schemeClr val="bg1">
                  <a:alpha val="91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TB!$AH$2:$AH$6</c:f>
              <c:strCache>
                <c:ptCount val="4"/>
                <c:pt idx="0">
                  <c:v>ERROR DE CONSOLIDACION</c:v>
                </c:pt>
                <c:pt idx="1">
                  <c:v>ERROR DE INVENTARIO</c:v>
                </c:pt>
                <c:pt idx="2">
                  <c:v>ERROR DE PICKING / FILTRO</c:v>
                </c:pt>
                <c:pt idx="3">
                  <c:v>ERROR DE PICKING</c:v>
                </c:pt>
              </c:strCache>
            </c:strRef>
          </c:cat>
          <c:val>
            <c:numRef>
              <c:f>TB!$AI$2:$AI$6</c:f>
              <c:numCache>
                <c:formatCode>_-"S/"\ * #,##0.00_-;\-"S/"\ * #,##0.00_-;_-"S/"\ * "-"??_-;_-@_-</c:formatCode>
                <c:ptCount val="4"/>
                <c:pt idx="0">
                  <c:v>29.4</c:v>
                </c:pt>
                <c:pt idx="1">
                  <c:v>172.71</c:v>
                </c:pt>
                <c:pt idx="2">
                  <c:v>272.61</c:v>
                </c:pt>
                <c:pt idx="3">
                  <c:v>2705.7400000000002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20-4A58-AAB2-081B1F8F1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978115760"/>
        <c:axId val="1978112432"/>
      </c:barChart>
      <c:catAx>
        <c:axId val="1978115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s-PE"/>
          </a:p>
        </c:txPr>
        <c:crossAx val="1978112432"/>
        <c:crosses val="autoZero"/>
        <c:auto val="1"/>
        <c:lblAlgn val="ctr"/>
        <c:lblOffset val="100"/>
        <c:noMultiLvlLbl val="0"/>
      </c:catAx>
      <c:valAx>
        <c:axId val="1978112432"/>
        <c:scaling>
          <c:orientation val="minMax"/>
        </c:scaling>
        <c:delete val="1"/>
        <c:axPos val="b"/>
        <c:numFmt formatCode="_-&quot;S/&quot;\ * #,##0.00_-;\-&quot;S/&quot;\ * #,##0.00_-;_-&quot;S/&quot;\ * &quot;-&quot;??_-;_-@_-" sourceLinked="1"/>
        <c:majorTickMark val="none"/>
        <c:minorTickMark val="none"/>
        <c:tickLblPos val="nextTo"/>
        <c:crossAx val="1978115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STATUS_DE_DIFERENCIAS_CD09(1).xlsm]TB!TablaDinámica2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2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TB!$AX$3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TB!$AW$4:$AW$7</c:f>
              <c:strCache>
                <c:ptCount val="3"/>
                <c:pt idx="0">
                  <c:v>ABARROTES BEBIBLES</c:v>
                </c:pt>
                <c:pt idx="1">
                  <c:v>ABARROTES COMESTIBLES</c:v>
                </c:pt>
                <c:pt idx="2">
                  <c:v>ABARROTES NO COMESTIBLES</c:v>
                </c:pt>
              </c:strCache>
            </c:strRef>
          </c:cat>
          <c:val>
            <c:numRef>
              <c:f>TB!$AX$4:$AX$7</c:f>
              <c:numCache>
                <c:formatCode>_-"S/"\ * #,##0.00_-;\-"S/"\ * #,##0.00_-;_-"S/"\ * "-"??_-;_-@_-</c:formatCode>
                <c:ptCount val="3"/>
                <c:pt idx="0">
                  <c:v>525.63</c:v>
                </c:pt>
                <c:pt idx="1">
                  <c:v>798.7600000000001</c:v>
                </c:pt>
                <c:pt idx="2">
                  <c:v>375.96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9B-4133-9BBA-1D34990FB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757280"/>
        <c:axId val="85757696"/>
      </c:barChart>
      <c:catAx>
        <c:axId val="8575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5757696"/>
        <c:crosses val="autoZero"/>
        <c:auto val="1"/>
        <c:lblAlgn val="ctr"/>
        <c:lblOffset val="100"/>
        <c:noMultiLvlLbl val="0"/>
      </c:catAx>
      <c:valAx>
        <c:axId val="85757696"/>
        <c:scaling>
          <c:orientation val="minMax"/>
        </c:scaling>
        <c:delete val="1"/>
        <c:axPos val="l"/>
        <c:numFmt formatCode="_-&quot;S/&quot;\ * #,##0.00_-;\-&quot;S/&quot;\ * #,##0.00_-;_-&quot;S/&quot;\ * &quot;-&quot;??_-;_-@_-" sourceLinked="1"/>
        <c:majorTickMark val="none"/>
        <c:minorTickMark val="none"/>
        <c:tickLblPos val="nextTo"/>
        <c:crossAx val="8575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FEF6F0"/>
    </a:solidFill>
    <a:ln w="9525" cap="flat" cmpd="sng" algn="ctr">
      <a:solidFill>
        <a:schemeClr val="accent2">
          <a:lumMod val="40000"/>
          <a:lumOff val="60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STATUS_DE_DIFERENCIAS_CD09(1).xlsm]TB!TablaDinámica6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068390950149848E-2"/>
          <c:y val="0.14792449509280223"/>
          <c:w val="0.90786321809970028"/>
          <c:h val="0.5711561470522192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TB!$BA$3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TB!$AZ$4:$AZ$8</c:f>
              <c:strCache>
                <c:ptCount val="4"/>
                <c:pt idx="0">
                  <c:v>ABARROTES BEBIBLES</c:v>
                </c:pt>
                <c:pt idx="1">
                  <c:v>ABARROTES COMESTIBLES</c:v>
                </c:pt>
                <c:pt idx="2">
                  <c:v>ABARROTES NO COMESTIBLES</c:v>
                </c:pt>
                <c:pt idx="3">
                  <c:v>BAZAR</c:v>
                </c:pt>
              </c:strCache>
            </c:strRef>
          </c:cat>
          <c:val>
            <c:numRef>
              <c:f>TB!$BA$4:$BA$8</c:f>
              <c:numCache>
                <c:formatCode>_-"S/"\ * #,##0.00_-;\-"S/"\ * #,##0.00_-;_-"S/"\ * "-"??_-;_-@_-</c:formatCode>
                <c:ptCount val="4"/>
                <c:pt idx="0">
                  <c:v>653.75999999999988</c:v>
                </c:pt>
                <c:pt idx="1">
                  <c:v>717.06</c:v>
                </c:pt>
                <c:pt idx="2">
                  <c:v>101.75999999999999</c:v>
                </c:pt>
                <c:pt idx="3">
                  <c:v>7.53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6F-4F62-BFF8-145FE8429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939776"/>
        <c:axId val="211943520"/>
      </c:barChart>
      <c:catAx>
        <c:axId val="21193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11943520"/>
        <c:crosses val="autoZero"/>
        <c:auto val="1"/>
        <c:lblAlgn val="ctr"/>
        <c:lblOffset val="100"/>
        <c:noMultiLvlLbl val="0"/>
      </c:catAx>
      <c:valAx>
        <c:axId val="211943520"/>
        <c:scaling>
          <c:orientation val="minMax"/>
        </c:scaling>
        <c:delete val="1"/>
        <c:axPos val="l"/>
        <c:numFmt formatCode="_-&quot;S/&quot;\ * #,##0.00_-;\-&quot;S/&quot;\ * #,##0.00_-;_-&quot;S/&quot;\ * &quot;-&quot;??_-;_-@_-" sourceLinked="1"/>
        <c:majorTickMark val="none"/>
        <c:minorTickMark val="none"/>
        <c:tickLblPos val="nextTo"/>
        <c:crossAx val="21193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rgbClr val="EDF1F9"/>
    </a:solidFill>
    <a:ln w="9525" cap="flat" cmpd="sng" algn="ctr">
      <a:solidFill>
        <a:schemeClr val="accent5">
          <a:lumMod val="20000"/>
          <a:lumOff val="80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STATUS_DE_DIFERENCIAS_CD09(1).xlsm]TB!TablaDinámica18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1">
                <a:alpha val="96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0" tIns="19050" rIns="360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5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1132986775144011"/>
          <c:y val="7.013896788260901E-2"/>
          <c:w val="0.76417013160551528"/>
          <c:h val="0.7785626735820432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TB!$BJ$1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96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0" tIns="19050" rIns="360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TB!$BI$2:$BI$5</c:f>
              <c:strCache>
                <c:ptCount val="3"/>
                <c:pt idx="0">
                  <c:v>TARDE</c:v>
                </c:pt>
                <c:pt idx="1">
                  <c:v>ALMACEN</c:v>
                </c:pt>
                <c:pt idx="2">
                  <c:v>MAÑANA</c:v>
                </c:pt>
              </c:strCache>
            </c:strRef>
          </c:cat>
          <c:val>
            <c:numRef>
              <c:f>TB!$BJ$2:$BJ$5</c:f>
              <c:numCache>
                <c:formatCode>_-"S/"\ * #,##0.00_-;\-"S/"\ * #,##0.00_-;_-"S/"\ * "-"??_-;_-@_-</c:formatCode>
                <c:ptCount val="3"/>
                <c:pt idx="0">
                  <c:v>451.88</c:v>
                </c:pt>
                <c:pt idx="1">
                  <c:v>688.75999999999988</c:v>
                </c:pt>
                <c:pt idx="2">
                  <c:v>2039.8200000000002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3A-4A19-AA5B-4653AAC57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5759776"/>
        <c:axId val="85769760"/>
      </c:barChart>
      <c:catAx>
        <c:axId val="8575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5769760"/>
        <c:crosses val="autoZero"/>
        <c:auto val="1"/>
        <c:lblAlgn val="ctr"/>
        <c:lblOffset val="100"/>
        <c:noMultiLvlLbl val="0"/>
      </c:catAx>
      <c:valAx>
        <c:axId val="85769760"/>
        <c:scaling>
          <c:orientation val="minMax"/>
        </c:scaling>
        <c:delete val="1"/>
        <c:axPos val="b"/>
        <c:numFmt formatCode="_-&quot;S/&quot;\ * #,##0.00_-;\-&quot;S/&quot;\ * #,##0.00_-;_-&quot;S/&quot;\ * &quot;-&quot;??_-;_-@_-" sourceLinked="1"/>
        <c:majorTickMark val="none"/>
        <c:minorTickMark val="none"/>
        <c:tickLblPos val="nextTo"/>
        <c:crossAx val="8575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STATUS_DE_DIFERENCIAS_CD09(1).xlsm]TB!TablaDinámica10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bg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s-P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5894248143605164"/>
          <c:y val="0.3474464280545016"/>
          <c:w val="0.80420659729091648"/>
          <c:h val="0.3594395823967405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TB!$AL$3</c:f>
              <c:strCache>
                <c:ptCount val="1"/>
                <c:pt idx="0">
                  <c:v>Cuenta de CODIGO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TB!$AK$4:$AK$23</c:f>
              <c:strCache>
                <c:ptCount val="19"/>
                <c:pt idx="0">
                  <c:v>HRIVERAR</c:v>
                </c:pt>
                <c:pt idx="1">
                  <c:v>AHUAMANCAYOD</c:v>
                </c:pt>
                <c:pt idx="2">
                  <c:v>ALMACEN</c:v>
                </c:pt>
                <c:pt idx="3">
                  <c:v>EVENTURAG</c:v>
                </c:pt>
                <c:pt idx="4">
                  <c:v>JCHOMBO</c:v>
                </c:pt>
                <c:pt idx="5">
                  <c:v>CPASTORS</c:v>
                </c:pt>
                <c:pt idx="6">
                  <c:v>JCCOSCCOJ</c:v>
                </c:pt>
                <c:pt idx="7">
                  <c:v>JCUTIS</c:v>
                </c:pt>
                <c:pt idx="8">
                  <c:v>DCAPCHA</c:v>
                </c:pt>
                <c:pt idx="9">
                  <c:v>JHUAMANGU</c:v>
                </c:pt>
                <c:pt idx="10">
                  <c:v>DVICTORIOB</c:v>
                </c:pt>
                <c:pt idx="11">
                  <c:v>JLOPEZ</c:v>
                </c:pt>
                <c:pt idx="12">
                  <c:v>JJESUSA</c:v>
                </c:pt>
                <c:pt idx="13">
                  <c:v>FCARHUANCHOZ</c:v>
                </c:pt>
                <c:pt idx="14">
                  <c:v>WALEGRIA</c:v>
                </c:pt>
                <c:pt idx="15">
                  <c:v>FCRUZR</c:v>
                </c:pt>
                <c:pt idx="16">
                  <c:v>JHONO</c:v>
                </c:pt>
                <c:pt idx="17">
                  <c:v>FGUZMAN</c:v>
                </c:pt>
                <c:pt idx="18">
                  <c:v>FRANZG</c:v>
                </c:pt>
              </c:strCache>
            </c:strRef>
          </c:cat>
          <c:val>
            <c:numRef>
              <c:f>TB!$AL$4:$AL$23</c:f>
              <c:numCache>
                <c:formatCode>0</c:formatCode>
                <c:ptCount val="1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55-4070-9C7E-E787FFA94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5116096"/>
        <c:axId val="1705104032"/>
      </c:barChart>
      <c:lineChart>
        <c:grouping val="percentStacked"/>
        <c:varyColors val="0"/>
        <c:ser>
          <c:idx val="1"/>
          <c:order val="1"/>
          <c:tx>
            <c:strRef>
              <c:f>TB!$AM$3</c:f>
              <c:strCache>
                <c:ptCount val="1"/>
                <c:pt idx="0">
                  <c:v>Suma de VALORIZADO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TB!$AK$4:$AK$23</c:f>
              <c:strCache>
                <c:ptCount val="19"/>
                <c:pt idx="0">
                  <c:v>HRIVERAR</c:v>
                </c:pt>
                <c:pt idx="1">
                  <c:v>AHUAMANCAYOD</c:v>
                </c:pt>
                <c:pt idx="2">
                  <c:v>ALMACEN</c:v>
                </c:pt>
                <c:pt idx="3">
                  <c:v>EVENTURAG</c:v>
                </c:pt>
                <c:pt idx="4">
                  <c:v>JCHOMBO</c:v>
                </c:pt>
                <c:pt idx="5">
                  <c:v>CPASTORS</c:v>
                </c:pt>
                <c:pt idx="6">
                  <c:v>JCCOSCCOJ</c:v>
                </c:pt>
                <c:pt idx="7">
                  <c:v>JCUTIS</c:v>
                </c:pt>
                <c:pt idx="8">
                  <c:v>DCAPCHA</c:v>
                </c:pt>
                <c:pt idx="9">
                  <c:v>JHUAMANGU</c:v>
                </c:pt>
                <c:pt idx="10">
                  <c:v>DVICTORIOB</c:v>
                </c:pt>
                <c:pt idx="11">
                  <c:v>JLOPEZ</c:v>
                </c:pt>
                <c:pt idx="12">
                  <c:v>JJESUSA</c:v>
                </c:pt>
                <c:pt idx="13">
                  <c:v>FCARHUANCHOZ</c:v>
                </c:pt>
                <c:pt idx="14">
                  <c:v>WALEGRIA</c:v>
                </c:pt>
                <c:pt idx="15">
                  <c:v>FCRUZR</c:v>
                </c:pt>
                <c:pt idx="16">
                  <c:v>JHONO</c:v>
                </c:pt>
                <c:pt idx="17">
                  <c:v>FGUZMAN</c:v>
                </c:pt>
                <c:pt idx="18">
                  <c:v>FRANZG</c:v>
                </c:pt>
              </c:strCache>
            </c:strRef>
          </c:cat>
          <c:val>
            <c:numRef>
              <c:f>TB!$AM$4:$AM$23</c:f>
              <c:numCache>
                <c:formatCode>_-"S/"\ * #,##0.00_-;\-"S/"\ * #,##0.00_-;_-"S/"\ * "-"??_-;_-@_-</c:formatCode>
                <c:ptCount val="19"/>
                <c:pt idx="0">
                  <c:v>91.44</c:v>
                </c:pt>
                <c:pt idx="1">
                  <c:v>54.72</c:v>
                </c:pt>
                <c:pt idx="2">
                  <c:v>168.81</c:v>
                </c:pt>
                <c:pt idx="3">
                  <c:v>128.54</c:v>
                </c:pt>
                <c:pt idx="4">
                  <c:v>12.9</c:v>
                </c:pt>
                <c:pt idx="5">
                  <c:v>160.44</c:v>
                </c:pt>
                <c:pt idx="6">
                  <c:v>157.32</c:v>
                </c:pt>
                <c:pt idx="7">
                  <c:v>51.54</c:v>
                </c:pt>
                <c:pt idx="8">
                  <c:v>57.989999999999995</c:v>
                </c:pt>
                <c:pt idx="9">
                  <c:v>72.36</c:v>
                </c:pt>
                <c:pt idx="10">
                  <c:v>45.150000000000006</c:v>
                </c:pt>
                <c:pt idx="11">
                  <c:v>145.44</c:v>
                </c:pt>
                <c:pt idx="12">
                  <c:v>38.880000000000003</c:v>
                </c:pt>
                <c:pt idx="13">
                  <c:v>170.88</c:v>
                </c:pt>
                <c:pt idx="14">
                  <c:v>163.98</c:v>
                </c:pt>
                <c:pt idx="15">
                  <c:v>103.14000000000001</c:v>
                </c:pt>
                <c:pt idx="16">
                  <c:v>171.12</c:v>
                </c:pt>
                <c:pt idx="17">
                  <c:v>12.56</c:v>
                </c:pt>
                <c:pt idx="18">
                  <c:v>4.49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55-4070-9C7E-E787FFA94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3639632"/>
        <c:axId val="1803639216"/>
      </c:lineChart>
      <c:catAx>
        <c:axId val="170511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s-PE"/>
          </a:p>
        </c:txPr>
        <c:crossAx val="1705104032"/>
        <c:crosses val="autoZero"/>
        <c:auto val="1"/>
        <c:lblAlgn val="ctr"/>
        <c:lblOffset val="100"/>
        <c:noMultiLvlLbl val="0"/>
      </c:catAx>
      <c:valAx>
        <c:axId val="1705104032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705116096"/>
        <c:crosses val="autoZero"/>
        <c:crossBetween val="between"/>
      </c:valAx>
      <c:valAx>
        <c:axId val="180363921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803639632"/>
        <c:crosses val="max"/>
        <c:crossBetween val="between"/>
      </c:valAx>
      <c:catAx>
        <c:axId val="1803639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3639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STATUS_DE_DIFERENCIAS_CD09(1).xlsm]TB!TablaDinámica11</c:name>
    <c:fmtId val="3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s-P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noFill/>
            <a:round/>
          </a:ln>
          <a:effectLst/>
        </c:spPr>
        <c:marker>
          <c:symbol val="triang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accent5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864846154248065E-2"/>
          <c:y val="0.34992082923528717"/>
          <c:w val="0.85573205394136675"/>
          <c:h val="0.414982805644491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TB!$AP$3</c:f>
              <c:strCache>
                <c:ptCount val="1"/>
                <c:pt idx="0">
                  <c:v>Cuenta de CODIGO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s-P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TB!$AO$4:$AO$11</c:f>
              <c:strCache>
                <c:ptCount val="7"/>
                <c:pt idx="0">
                  <c:v>ALMACEN</c:v>
                </c:pt>
                <c:pt idx="1">
                  <c:v>JLIMACHEC</c:v>
                </c:pt>
                <c:pt idx="2">
                  <c:v>MVERAL</c:v>
                </c:pt>
                <c:pt idx="3">
                  <c:v>DYUPANQUIL</c:v>
                </c:pt>
                <c:pt idx="4">
                  <c:v>BRODASY</c:v>
                </c:pt>
                <c:pt idx="5">
                  <c:v>KLUQUILLASR</c:v>
                </c:pt>
                <c:pt idx="6">
                  <c:v>EQUISPET</c:v>
                </c:pt>
              </c:strCache>
            </c:strRef>
          </c:cat>
          <c:val>
            <c:numRef>
              <c:f>TB!$AP$4:$AP$11</c:f>
              <c:numCache>
                <c:formatCode>0</c:formatCode>
                <c:ptCount val="7"/>
                <c:pt idx="0">
                  <c:v>7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8-4FAF-B6CA-BB2290AFC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4279487"/>
        <c:axId val="154280735"/>
      </c:barChart>
      <c:lineChart>
        <c:grouping val="percentStacked"/>
        <c:varyColors val="0"/>
        <c:ser>
          <c:idx val="1"/>
          <c:order val="1"/>
          <c:tx>
            <c:strRef>
              <c:f>TB!$AQ$3</c:f>
              <c:strCache>
                <c:ptCount val="1"/>
                <c:pt idx="0">
                  <c:v>Suma de VALORIZADO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accent5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TB!$AO$4:$AO$11</c:f>
              <c:strCache>
                <c:ptCount val="7"/>
                <c:pt idx="0">
                  <c:v>ALMACEN</c:v>
                </c:pt>
                <c:pt idx="1">
                  <c:v>JLIMACHEC</c:v>
                </c:pt>
                <c:pt idx="2">
                  <c:v>MVERAL</c:v>
                </c:pt>
                <c:pt idx="3">
                  <c:v>DYUPANQUIL</c:v>
                </c:pt>
                <c:pt idx="4">
                  <c:v>BRODASY</c:v>
                </c:pt>
                <c:pt idx="5">
                  <c:v>KLUQUILLASR</c:v>
                </c:pt>
                <c:pt idx="6">
                  <c:v>EQUISPET</c:v>
                </c:pt>
              </c:strCache>
            </c:strRef>
          </c:cat>
          <c:val>
            <c:numRef>
              <c:f>TB!$AQ$4:$AQ$11</c:f>
              <c:numCache>
                <c:formatCode>_-"S/"\ * #,##0.00_-;\-"S/"\ * #,##0.00_-;_-"S/"\ * "-"??_-;_-@_-</c:formatCode>
                <c:ptCount val="7"/>
                <c:pt idx="0">
                  <c:v>796.79</c:v>
                </c:pt>
                <c:pt idx="1">
                  <c:v>132.47999999999999</c:v>
                </c:pt>
                <c:pt idx="2">
                  <c:v>10</c:v>
                </c:pt>
                <c:pt idx="3">
                  <c:v>28.07</c:v>
                </c:pt>
                <c:pt idx="4">
                  <c:v>115.28999999999999</c:v>
                </c:pt>
                <c:pt idx="5">
                  <c:v>2.71</c:v>
                </c:pt>
                <c:pt idx="6">
                  <c:v>40.799999999999997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48-4FAF-B6CA-BB2290AFC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4083247"/>
        <c:axId val="232201215"/>
      </c:lineChart>
      <c:catAx>
        <c:axId val="15427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4280735"/>
        <c:crosses val="autoZero"/>
        <c:auto val="1"/>
        <c:lblAlgn val="ctr"/>
        <c:lblOffset val="100"/>
        <c:noMultiLvlLbl val="0"/>
      </c:catAx>
      <c:valAx>
        <c:axId val="154280735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154279487"/>
        <c:crosses val="autoZero"/>
        <c:crossBetween val="between"/>
      </c:valAx>
      <c:valAx>
        <c:axId val="232201215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94083247"/>
        <c:crosses val="max"/>
        <c:crossBetween val="between"/>
      </c:valAx>
      <c:catAx>
        <c:axId val="29408324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322012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STATUS_DE_DIFERENCIAS_CD09(1).xlsm]TB!TablaDinámica12</c:name>
    <c:fmtId val="29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s-PE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accent5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5">
              <a:lumMod val="75000"/>
            </a:schemeClr>
          </a:solidFill>
          <a:ln>
            <a:solidFill>
              <a:schemeClr val="accent5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bg1"/>
                  </a:solidFill>
                  <a:latin typeface="Cambria" panose="02040503050406030204" pitchFamily="18" charset="0"/>
                  <a:ea typeface="Cambria" panose="02040503050406030204" pitchFamily="18" charset="0"/>
                  <a:cs typeface="+mn-cs"/>
                </a:defRPr>
              </a:pPr>
              <a:endParaRPr lang="es-PE"/>
            </a:p>
          </c:txPr>
          <c:dLblPos val="inBase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noFill/>
            <a:round/>
          </a:ln>
          <a:effectLst/>
        </c:spPr>
        <c:marker>
          <c:symbol val="triangle"/>
          <c:size val="5"/>
          <c:spPr>
            <a:solidFill>
              <a:schemeClr val="accent5">
                <a:lumMod val="75000"/>
              </a:schemeClr>
            </a:solidFill>
            <a:ln w="9525"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274507715324615E-2"/>
          <c:y val="0.36888888888888888"/>
          <c:w val="0.91545098456935081"/>
          <c:h val="0.389465266841644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TB!$AT$3</c:f>
              <c:strCache>
                <c:ptCount val="1"/>
                <c:pt idx="0">
                  <c:v>Cuenta de CODIGO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solidFill>
                <a:schemeClr val="accent5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Cambria" panose="02040503050406030204" pitchFamily="18" charset="0"/>
                    <a:ea typeface="Cambria" panose="02040503050406030204" pitchFamily="18" charset="0"/>
                    <a:cs typeface="+mn-cs"/>
                  </a:defRPr>
                </a:pPr>
                <a:endParaRPr lang="es-P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TB!$AS$4:$AS$6</c:f>
              <c:strCache>
                <c:ptCount val="2"/>
                <c:pt idx="0">
                  <c:v>JOE LIMACHE</c:v>
                </c:pt>
                <c:pt idx="1">
                  <c:v>JUAN AYALA</c:v>
                </c:pt>
              </c:strCache>
            </c:strRef>
          </c:cat>
          <c:val>
            <c:numRef>
              <c:f>TB!$AT$4:$AT$6</c:f>
              <c:numCache>
                <c:formatCode>0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18-4A79-A7FF-EC6E182C8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1408079"/>
        <c:axId val="331398927"/>
      </c:barChart>
      <c:lineChart>
        <c:grouping val="percentStacked"/>
        <c:varyColors val="0"/>
        <c:ser>
          <c:idx val="1"/>
          <c:order val="1"/>
          <c:tx>
            <c:strRef>
              <c:f>TB!$AU$3</c:f>
              <c:strCache>
                <c:ptCount val="1"/>
                <c:pt idx="0">
                  <c:v>Suma de VALORIZADO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TB!$AS$4:$AS$6</c:f>
              <c:strCache>
                <c:ptCount val="2"/>
                <c:pt idx="0">
                  <c:v>JOE LIMACHE</c:v>
                </c:pt>
                <c:pt idx="1">
                  <c:v>JUAN AYALA</c:v>
                </c:pt>
              </c:strCache>
            </c:strRef>
          </c:cat>
          <c:val>
            <c:numRef>
              <c:f>TB!$AU$4:$AU$6</c:f>
              <c:numCache>
                <c:formatCode>_-"S/"\ * #,##0.00_-;\-"S/"\ * #,##0.00_-;_-"S/"\ * "-"??_-;_-@_-</c:formatCode>
                <c:ptCount val="2"/>
                <c:pt idx="0">
                  <c:v>115.28999999999999</c:v>
                </c:pt>
                <c:pt idx="1">
                  <c:v>157.32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18-4A79-A7FF-EC6E182C8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298943"/>
        <c:axId val="323301855"/>
      </c:lineChart>
      <c:catAx>
        <c:axId val="331408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31398927"/>
        <c:crosses val="autoZero"/>
        <c:auto val="1"/>
        <c:lblAlgn val="ctr"/>
        <c:lblOffset val="100"/>
        <c:noMultiLvlLbl val="0"/>
      </c:catAx>
      <c:valAx>
        <c:axId val="331398927"/>
        <c:scaling>
          <c:orientation val="minMax"/>
        </c:scaling>
        <c:delete val="0"/>
        <c:axPos val="l"/>
        <c:numFmt formatCode="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31408079"/>
        <c:crosses val="autoZero"/>
        <c:crossBetween val="between"/>
      </c:valAx>
      <c:valAx>
        <c:axId val="323301855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323298943"/>
        <c:crosses val="max"/>
        <c:crossBetween val="between"/>
      </c:valAx>
      <c:catAx>
        <c:axId val="3232989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233018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[Copia de STATUS_DE_DIFERENCIAS_CD09(1).xlsm]TB!TablaDinámica20</c:name>
    <c:fmtId val="49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2"/>
        <c:spPr>
          <a:ln w="3175" cap="rnd">
            <a:solidFill>
              <a:schemeClr val="accent2">
                <a:lumMod val="40000"/>
                <a:lumOff val="6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FF0000"/>
            </a:solidFill>
            <a:ln w="3175"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solidFill>
              <a:schemeClr val="bg1">
                <a:alpha val="9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rgbClr val="0070C0"/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6223256875499257E-2"/>
          <c:y val="0.18946681784229036"/>
          <c:w val="0.96102311993609491"/>
          <c:h val="0.37321516393020948"/>
        </c:manualLayout>
      </c:layout>
      <c:lineChart>
        <c:grouping val="stacked"/>
        <c:varyColors val="0"/>
        <c:ser>
          <c:idx val="0"/>
          <c:order val="0"/>
          <c:tx>
            <c:strRef>
              <c:f>TB!$BY$1</c:f>
              <c:strCache>
                <c:ptCount val="1"/>
                <c:pt idx="0">
                  <c:v>Total</c:v>
                </c:pt>
              </c:strCache>
            </c:strRef>
          </c:tx>
          <c:spPr>
            <a:ln w="3175" cap="rnd">
              <a:solidFill>
                <a:schemeClr val="accent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3175">
                <a:solidFill>
                  <a:schemeClr val="accent2">
                    <a:lumMod val="40000"/>
                    <a:lumOff val="60000"/>
                  </a:schemeClr>
                </a:solidFill>
              </a:ln>
              <a:effectLst/>
            </c:spPr>
          </c:marker>
          <c:dLbls>
            <c:spPr>
              <a:solidFill>
                <a:schemeClr val="bg1">
                  <a:alpha val="9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0070C0"/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TB!$BX$2:$BX$27</c:f>
              <c:strCache>
                <c:ptCount val="25"/>
                <c:pt idx="0">
                  <c:v>JHONO</c:v>
                </c:pt>
                <c:pt idx="1">
                  <c:v>FCARHUANCHOZ</c:v>
                </c:pt>
                <c:pt idx="2">
                  <c:v>WALEGRIA</c:v>
                </c:pt>
                <c:pt idx="3">
                  <c:v>CPASTORS</c:v>
                </c:pt>
                <c:pt idx="4">
                  <c:v>JCCOSCCOJ</c:v>
                </c:pt>
                <c:pt idx="5">
                  <c:v>JLOPEZ</c:v>
                </c:pt>
                <c:pt idx="6">
                  <c:v>JLIMACHEC</c:v>
                </c:pt>
                <c:pt idx="7">
                  <c:v>EVENTURAG</c:v>
                </c:pt>
                <c:pt idx="8">
                  <c:v>BRODASY</c:v>
                </c:pt>
                <c:pt idx="9">
                  <c:v>FCRUZR</c:v>
                </c:pt>
                <c:pt idx="10">
                  <c:v>HRIVERAR</c:v>
                </c:pt>
                <c:pt idx="11">
                  <c:v>JHUAMANGU</c:v>
                </c:pt>
                <c:pt idx="12">
                  <c:v>DCAPCHA</c:v>
                </c:pt>
                <c:pt idx="13">
                  <c:v>AHUAMANCAYOD</c:v>
                </c:pt>
                <c:pt idx="14">
                  <c:v>INVENTARIO</c:v>
                </c:pt>
                <c:pt idx="15">
                  <c:v>JCUTIS</c:v>
                </c:pt>
                <c:pt idx="16">
                  <c:v>DVICTORIOB</c:v>
                </c:pt>
                <c:pt idx="17">
                  <c:v>EQUISPET</c:v>
                </c:pt>
                <c:pt idx="18">
                  <c:v>JJESUSA</c:v>
                </c:pt>
                <c:pt idx="19">
                  <c:v>DYUPANQUIL</c:v>
                </c:pt>
                <c:pt idx="20">
                  <c:v>JCHOMBO</c:v>
                </c:pt>
                <c:pt idx="21">
                  <c:v>FGUZMAN</c:v>
                </c:pt>
                <c:pt idx="22">
                  <c:v>MVERAL</c:v>
                </c:pt>
                <c:pt idx="23">
                  <c:v>FRANZG</c:v>
                </c:pt>
                <c:pt idx="24">
                  <c:v>KLUQUILLASR</c:v>
                </c:pt>
              </c:strCache>
            </c:strRef>
          </c:cat>
          <c:val>
            <c:numRef>
              <c:f>TB!$BY$2:$BY$27</c:f>
              <c:numCache>
                <c:formatCode>_-"S/"\ * #,##0.00_-;\-"S/"\ * #,##0.00_-;_-"S/"\ * "-"??_-;_-@_-</c:formatCode>
                <c:ptCount val="25"/>
                <c:pt idx="0">
                  <c:v>171.12</c:v>
                </c:pt>
                <c:pt idx="1">
                  <c:v>170.88</c:v>
                </c:pt>
                <c:pt idx="2">
                  <c:v>163.98</c:v>
                </c:pt>
                <c:pt idx="3">
                  <c:v>160.44</c:v>
                </c:pt>
                <c:pt idx="4">
                  <c:v>157.32</c:v>
                </c:pt>
                <c:pt idx="5">
                  <c:v>145.44</c:v>
                </c:pt>
                <c:pt idx="6">
                  <c:v>132.47999999999999</c:v>
                </c:pt>
                <c:pt idx="7">
                  <c:v>128.54</c:v>
                </c:pt>
                <c:pt idx="8">
                  <c:v>115.28999999999999</c:v>
                </c:pt>
                <c:pt idx="9">
                  <c:v>103.14000000000001</c:v>
                </c:pt>
                <c:pt idx="10">
                  <c:v>91.44</c:v>
                </c:pt>
                <c:pt idx="11">
                  <c:v>72.36</c:v>
                </c:pt>
                <c:pt idx="12">
                  <c:v>57.989999999999995</c:v>
                </c:pt>
                <c:pt idx="13">
                  <c:v>54.72</c:v>
                </c:pt>
                <c:pt idx="14">
                  <c:v>51.75</c:v>
                </c:pt>
                <c:pt idx="15">
                  <c:v>51.54</c:v>
                </c:pt>
                <c:pt idx="16">
                  <c:v>45.150000000000006</c:v>
                </c:pt>
                <c:pt idx="17">
                  <c:v>40.799999999999997</c:v>
                </c:pt>
                <c:pt idx="18">
                  <c:v>38.880000000000003</c:v>
                </c:pt>
                <c:pt idx="19">
                  <c:v>28.07</c:v>
                </c:pt>
                <c:pt idx="20">
                  <c:v>12.9</c:v>
                </c:pt>
                <c:pt idx="21">
                  <c:v>12.56</c:v>
                </c:pt>
                <c:pt idx="22">
                  <c:v>10</c:v>
                </c:pt>
                <c:pt idx="23">
                  <c:v>4.49</c:v>
                </c:pt>
                <c:pt idx="24">
                  <c:v>2.71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A5-454C-84D0-E404325C8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3785839"/>
        <c:axId val="2113790415"/>
      </c:lineChart>
      <c:catAx>
        <c:axId val="2113785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accent5">
                    <a:lumMod val="75000"/>
                  </a:schemeClr>
                </a:solidFill>
                <a:latin typeface="Cambria" panose="02040503050406030204" pitchFamily="18" charset="0"/>
                <a:ea typeface="Cambria" panose="02040503050406030204" pitchFamily="18" charset="0"/>
                <a:cs typeface="+mn-cs"/>
              </a:defRPr>
            </a:pPr>
            <a:endParaRPr lang="es-PE"/>
          </a:p>
        </c:txPr>
        <c:crossAx val="2113790415"/>
        <c:crosses val="autoZero"/>
        <c:auto val="1"/>
        <c:lblAlgn val="ctr"/>
        <c:lblOffset val="100"/>
        <c:noMultiLvlLbl val="0"/>
      </c:catAx>
      <c:valAx>
        <c:axId val="2113790415"/>
        <c:scaling>
          <c:orientation val="minMax"/>
        </c:scaling>
        <c:delete val="1"/>
        <c:axPos val="l"/>
        <c:numFmt formatCode="_-&quot;S/&quot;\ * #,##0.00_-;\-&quot;S/&quot;\ * #,##0.00_-;_-&quot;S/&quot;\ * &quot;-&quot;??_-;_-@_-" sourceLinked="1"/>
        <c:majorTickMark val="none"/>
        <c:minorTickMark val="none"/>
        <c:tickLblPos val="nextTo"/>
        <c:crossAx val="2113785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chart" Target="../charts/chart2.xml"/><Relationship Id="rId7" Type="http://schemas.openxmlformats.org/officeDocument/2006/relationships/image" Target="../media/image2.png"/><Relationship Id="rId12" Type="http://schemas.openxmlformats.org/officeDocument/2006/relationships/chart" Target="../charts/chart10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11" Type="http://schemas.openxmlformats.org/officeDocument/2006/relationships/chart" Target="../charts/chart9.xml"/><Relationship Id="rId5" Type="http://schemas.openxmlformats.org/officeDocument/2006/relationships/chart" Target="../charts/chart4.xml"/><Relationship Id="rId10" Type="http://schemas.openxmlformats.org/officeDocument/2006/relationships/chart" Target="../charts/chart8.xml"/><Relationship Id="rId4" Type="http://schemas.openxmlformats.org/officeDocument/2006/relationships/chart" Target="../charts/chart3.xml"/><Relationship Id="rId9" Type="http://schemas.openxmlformats.org/officeDocument/2006/relationships/chart" Target="../charts/chart7.xml"/><Relationship Id="rId1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708048</xdr:colOff>
      <xdr:row>5</xdr:row>
      <xdr:rowOff>48598</xdr:rowOff>
    </xdr:from>
    <xdr:to>
      <xdr:col>7</xdr:col>
      <xdr:colOff>719235</xdr:colOff>
      <xdr:row>7</xdr:row>
      <xdr:rowOff>642214</xdr:rowOff>
    </xdr:to>
    <xdr:sp macro="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932691" y="1069134"/>
          <a:ext cx="3043636" cy="1546116"/>
        </a:xfrm>
        <a:prstGeom prst="rect">
          <a:avLst/>
        </a:prstGeom>
        <a:solidFill>
          <a:srgbClr val="F3F5FB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</xdr:col>
      <xdr:colOff>8398</xdr:colOff>
      <xdr:row>8</xdr:row>
      <xdr:rowOff>85725</xdr:rowOff>
    </xdr:from>
    <xdr:to>
      <xdr:col>5</xdr:col>
      <xdr:colOff>438149</xdr:colOff>
      <xdr:row>14</xdr:row>
      <xdr:rowOff>152400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236998" y="2714625"/>
          <a:ext cx="2944351" cy="1209675"/>
          <a:chOff x="355175" y="751575"/>
          <a:chExt cx="3504192" cy="1152525"/>
        </a:xfrm>
      </xdr:grpSpPr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01861" y="751575"/>
            <a:ext cx="3219449" cy="1152525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>
              <a:solidFill>
                <a:srgbClr val="0070C0"/>
              </a:solidFill>
            </a:endParaRPr>
          </a:p>
        </xdr:txBody>
      </xdr:sp>
      <xdr:pic>
        <xdr:nvPicPr>
          <xdr:cNvPr id="2" name="Imagen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7519" y="1022325"/>
            <a:ext cx="691200" cy="691199"/>
          </a:xfrm>
          <a:prstGeom prst="rect">
            <a:avLst/>
          </a:prstGeom>
        </xdr:spPr>
      </xdr:pic>
      <xdr:sp macro="" textlink="">
        <xdr:nvSpPr>
          <xdr:cNvPr id="6" name="Rectángul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140591" y="1060425"/>
            <a:ext cx="981074" cy="2571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PE" sz="1200" b="1">
                <a:solidFill>
                  <a:srgbClr val="0070C0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CODIGOS</a:t>
            </a:r>
          </a:p>
        </xdr:txBody>
      </xdr:sp>
      <xdr:sp macro="" textlink="">
        <xdr:nvSpPr>
          <xdr:cNvPr id="7" name="Rectángulo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082924" y="1333950"/>
            <a:ext cx="1268744" cy="2571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PE" sz="1200" b="1">
                <a:solidFill>
                  <a:srgbClr val="0070C0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UNDIDADES</a:t>
            </a:r>
          </a:p>
        </xdr:txBody>
      </xdr:sp>
      <xdr:sp macro="" textlink="">
        <xdr:nvSpPr>
          <xdr:cNvPr id="8" name="Rectángulo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02675" y="1580700"/>
            <a:ext cx="1355192" cy="2571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PE" sz="1200" b="1">
                <a:solidFill>
                  <a:srgbClr val="0070C0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VALORIZADO</a:t>
            </a:r>
          </a:p>
        </xdr:txBody>
      </xdr:sp>
      <xdr:sp macro="" textlink="TB!A4">
        <xdr:nvSpPr>
          <xdr:cNvPr id="9" name="Rectángulo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254669" y="1076325"/>
            <a:ext cx="1095376" cy="2571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171B36F-1860-461A-81E1-F8D45F8898AF}" type="TxLink">
              <a:rPr lang="en-US" sz="1200" b="1" i="0" u="none" strike="noStrike">
                <a:solidFill>
                  <a:srgbClr val="0070C0"/>
                </a:solidFill>
                <a:latin typeface="Calibri"/>
                <a:cs typeface="Calibri"/>
              </a:rPr>
              <a:pPr algn="ctr"/>
              <a:t>45</a:t>
            </a:fld>
            <a:endParaRPr lang="en-US" sz="1800" b="1">
              <a:solidFill>
                <a:srgbClr val="0070C0"/>
              </a:solidFill>
            </a:endParaRPr>
          </a:p>
        </xdr:txBody>
      </xdr:sp>
      <xdr:sp macro="" textlink="TB!B4">
        <xdr:nvSpPr>
          <xdr:cNvPr id="10" name="Rectángul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2244972" y="1343025"/>
            <a:ext cx="1104901" cy="2571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823AEA1-F839-4E5D-86CD-44CD1FF1B319}" type="TxLink">
              <a:rPr lang="en-US" sz="1200" b="1" i="0" u="none" strike="noStrike">
                <a:solidFill>
                  <a:srgbClr val="0070C0"/>
                </a:solidFill>
                <a:latin typeface="Calibri"/>
                <a:cs typeface="Calibri"/>
              </a:rPr>
              <a:pPr algn="ctr"/>
              <a:t>386</a:t>
            </a:fld>
            <a:endParaRPr lang="en-US" sz="1800" b="1">
              <a:solidFill>
                <a:srgbClr val="0070C0"/>
              </a:solidFill>
            </a:endParaRPr>
          </a:p>
        </xdr:txBody>
      </xdr:sp>
      <xdr:sp macro="" textlink="TB!C4">
        <xdr:nvSpPr>
          <xdr:cNvPr id="11" name="Rectángul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085286" y="1599750"/>
            <a:ext cx="1524688" cy="2571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857EECB-150E-4E2D-B226-091429424742}" type="TxLink">
              <a:rPr lang="en-US" sz="1200" b="1" i="0" u="none" strike="noStrike">
                <a:solidFill>
                  <a:srgbClr val="0070C0"/>
                </a:solidFill>
                <a:latin typeface="Calibri"/>
                <a:cs typeface="Calibri"/>
              </a:rPr>
              <a:pPr algn="ctr"/>
              <a:t> S/ 3,180.46 </a:t>
            </a:fld>
            <a:endParaRPr lang="es-PE" sz="1600" b="1">
              <a:solidFill>
                <a:srgbClr val="0070C0"/>
              </a:solidFill>
            </a:endParaRPr>
          </a:p>
        </xdr:txBody>
      </xdr:sp>
      <xdr:sp macro="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355175" y="762000"/>
            <a:ext cx="3504192" cy="2952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300" b="1">
                <a:solidFill>
                  <a:srgbClr val="0070C0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TOTAL DIFERENCIA DETECTADO</a:t>
            </a:r>
          </a:p>
        </xdr:txBody>
      </xdr:sp>
    </xdr:grpSp>
    <xdr:clientData/>
  </xdr:twoCellAnchor>
  <xdr:twoCellAnchor>
    <xdr:from>
      <xdr:col>5</xdr:col>
      <xdr:colOff>370939</xdr:colOff>
      <xdr:row>8</xdr:row>
      <xdr:rowOff>17971</xdr:rowOff>
    </xdr:from>
    <xdr:to>
      <xdr:col>9</xdr:col>
      <xdr:colOff>370938</xdr:colOff>
      <xdr:row>15</xdr:row>
      <xdr:rowOff>56071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3114139" y="2646871"/>
          <a:ext cx="3047999" cy="1371600"/>
          <a:chOff x="3248026" y="600074"/>
          <a:chExt cx="3047999" cy="1381126"/>
        </a:xfrm>
      </xdr:grpSpPr>
      <xdr:grpSp>
        <xdr:nvGrpSpPr>
          <xdr:cNvPr id="43" name="Grupo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GrpSpPr/>
        </xdr:nvGrpSpPr>
        <xdr:grpSpPr>
          <a:xfrm>
            <a:off x="3248026" y="676275"/>
            <a:ext cx="2609849" cy="1209675"/>
            <a:chOff x="390525" y="733425"/>
            <a:chExt cx="3219449" cy="1152525"/>
          </a:xfrm>
          <a:solidFill>
            <a:schemeClr val="accent6">
              <a:lumMod val="20000"/>
              <a:lumOff val="80000"/>
            </a:schemeClr>
          </a:solidFill>
        </xdr:grpSpPr>
        <xdr:sp macro="" textlink="">
          <xdr:nvSpPr>
            <xdr:cNvPr id="44" name="Rectángulo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390525" y="733425"/>
              <a:ext cx="3219449" cy="1152525"/>
            </a:xfrm>
            <a:prstGeom prst="rect">
              <a:avLst/>
            </a:prstGeom>
            <a:grpFill/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PE" sz="1100">
                <a:solidFill>
                  <a:srgbClr val="0070C0"/>
                </a:solidFill>
              </a:endParaRPr>
            </a:p>
          </xdr:txBody>
        </xdr:sp>
        <xdr:sp macro="" textlink="TB!S4">
          <xdr:nvSpPr>
            <xdr:cNvPr id="49" name="Rectángulo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1242274" y="1076325"/>
              <a:ext cx="1095375" cy="257175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089A267D-C105-4402-82FF-A33BA83EF0EE}" type="TxLink">
                <a:rPr lang="en-US" sz="1200" b="1" i="0" u="none" strike="noStrike">
                  <a:solidFill>
                    <a:schemeClr val="accent6">
                      <a:lumMod val="50000"/>
                    </a:schemeClr>
                  </a:solidFill>
                  <a:latin typeface="Calibri"/>
                  <a:cs typeface="Calibri"/>
                </a:rPr>
                <a:pPr algn="ctr"/>
                <a:t> </a:t>
              </a:fld>
              <a:endParaRPr lang="es-PE" sz="2000" b="1">
                <a:solidFill>
                  <a:schemeClr val="accent6">
                    <a:lumMod val="50000"/>
                  </a:schemeClr>
                </a:solidFill>
              </a:endParaRPr>
            </a:p>
          </xdr:txBody>
        </xdr:sp>
        <xdr:sp macro="" textlink="TB!T4">
          <xdr:nvSpPr>
            <xdr:cNvPr id="50" name="Rectángulo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/>
          </xdr:nvSpPr>
          <xdr:spPr>
            <a:xfrm>
              <a:off x="1261668" y="1352100"/>
              <a:ext cx="1104901" cy="257175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5C109D46-6E60-4026-B8FE-B131EF7378A5}" type="TxLink">
                <a:rPr lang="en-US" sz="1200" b="1" i="0" u="none" strike="noStrike">
                  <a:solidFill>
                    <a:schemeClr val="accent6">
                      <a:lumMod val="50000"/>
                    </a:schemeClr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2000" b="1" i="0" u="none" strike="noStrike">
                <a:solidFill>
                  <a:schemeClr val="accent6">
                    <a:lumMod val="50000"/>
                  </a:schemeClr>
                </a:solidFill>
                <a:latin typeface="Calibri"/>
                <a:cs typeface="Calibri"/>
              </a:endParaRPr>
            </a:p>
          </xdr:txBody>
        </xdr:sp>
        <xdr:sp macro="" textlink="TB!U4">
          <xdr:nvSpPr>
            <xdr:cNvPr id="51" name="Rectángulo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/>
          </xdr:nvSpPr>
          <xdr:spPr>
            <a:xfrm>
              <a:off x="1366990" y="1617900"/>
              <a:ext cx="1457327" cy="257175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2CFBA0A8-483F-4D78-BF48-98CA9D5DCAD5}" type="TxLink">
                <a:rPr lang="en-US" sz="1200" b="1" i="0" u="none" strike="noStrike">
                  <a:solidFill>
                    <a:schemeClr val="accent6">
                      <a:lumMod val="50000"/>
                    </a:schemeClr>
                  </a:solidFill>
                  <a:latin typeface="Calibri"/>
                  <a:cs typeface="Calibri"/>
                </a:rPr>
                <a:pPr algn="ctr"/>
                <a:t> </a:t>
              </a:fld>
              <a:endParaRPr lang="es-PE" sz="1800" b="1">
                <a:solidFill>
                  <a:schemeClr val="accent6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52" name="Rectángulo 51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/>
          </xdr:nvSpPr>
          <xdr:spPr>
            <a:xfrm>
              <a:off x="457201" y="762000"/>
              <a:ext cx="2259787" cy="295275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PE" sz="1400" b="1">
                  <a:solidFill>
                    <a:schemeClr val="accent6">
                      <a:lumMod val="50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</a:rPr>
                <a:t>TOTAL CUADRADO</a:t>
              </a:r>
            </a:p>
          </xdr:txBody>
        </xdr:sp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SpPr/>
          </xdr:nvSpPr>
          <xdr:spPr>
            <a:xfrm>
              <a:off x="493499" y="1069500"/>
              <a:ext cx="907509" cy="257175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s-PE" sz="1000" b="1">
                  <a:solidFill>
                    <a:schemeClr val="accent6">
                      <a:lumMod val="50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</a:rPr>
                <a:t>CODIGOS</a:t>
              </a:r>
            </a:p>
          </xdr:txBody>
        </xdr:sp>
        <xdr:sp macro="" textlink="">
          <xdr:nvSpPr>
            <xdr:cNvPr id="47" name="Rectángulo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SpPr/>
          </xdr:nvSpPr>
          <xdr:spPr>
            <a:xfrm>
              <a:off x="423519" y="1333950"/>
              <a:ext cx="1165486" cy="257175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s-PE" sz="1000" b="1">
                  <a:solidFill>
                    <a:schemeClr val="accent6">
                      <a:lumMod val="50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</a:rPr>
                <a:t>UNDIDADES</a:t>
              </a:r>
            </a:p>
          </xdr:txBody>
        </xdr:sp>
        <xdr:sp macro="" textlink="">
          <xdr:nvSpPr>
            <xdr:cNvPr id="48" name="Rectángulo 47">
              <a:extLst>
                <a:ext uri="{FF2B5EF4-FFF2-40B4-BE49-F238E27FC236}">
                  <a16:creationId xmlns:a16="http://schemas.microsoft.com/office/drawing/2014/main" id="{00000000-0008-0000-0000-000030000000}"/>
                </a:ext>
              </a:extLst>
            </xdr:cNvPr>
            <xdr:cNvSpPr/>
          </xdr:nvSpPr>
          <xdr:spPr>
            <a:xfrm>
              <a:off x="405156" y="1607925"/>
              <a:ext cx="1195599" cy="257175"/>
            </a:xfrm>
            <a:prstGeom prst="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s-PE" sz="1000" b="1">
                  <a:solidFill>
                    <a:schemeClr val="accent6">
                      <a:lumMod val="50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</a:rPr>
                <a:t>VALORIZADO</a:t>
              </a:r>
            </a:p>
          </xdr:txBody>
        </xdr:sp>
      </xdr:grpSp>
      <xdr:graphicFrame macro="">
        <xdr:nvGraphicFramePr>
          <xdr:cNvPr id="21" name="Gráfico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GraphicFramePr>
            <a:graphicFrameLocks/>
          </xdr:cNvGraphicFramePr>
        </xdr:nvGraphicFramePr>
        <xdr:xfrm>
          <a:off x="4343401" y="600074"/>
          <a:ext cx="1952624" cy="13811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TB!G4">
        <xdr:nvSpPr>
          <xdr:cNvPr id="4" name="Rectángul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5038725" y="1143000"/>
            <a:ext cx="600075" cy="3143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DC3232E3-A2E0-43BF-AE14-A79EA26044C9}" type="TxLink">
              <a:rPr lang="en-US" sz="1600" b="1" i="0" u="none" strike="noStrike">
                <a:solidFill>
                  <a:schemeClr val="accent6">
                    <a:lumMod val="50000"/>
                  </a:schemeClr>
                </a:solidFill>
                <a:latin typeface="Calibri"/>
                <a:cs typeface="Calibri"/>
              </a:rPr>
              <a:pPr algn="l"/>
              <a:t>0%</a:t>
            </a:fld>
            <a:endParaRPr lang="es-PE" sz="16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9</xdr:col>
      <xdr:colOff>56074</xdr:colOff>
      <xdr:row>8</xdr:row>
      <xdr:rowOff>0</xdr:rowOff>
    </xdr:from>
    <xdr:to>
      <xdr:col>12</xdr:col>
      <xdr:colOff>532323</xdr:colOff>
      <xdr:row>15</xdr:row>
      <xdr:rowOff>17972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5847274" y="2628900"/>
          <a:ext cx="2762249" cy="1351472"/>
          <a:chOff x="5410201" y="590551"/>
          <a:chExt cx="2762249" cy="1362074"/>
        </a:xfrm>
      </xdr:grpSpPr>
      <xdr:grpSp>
        <xdr:nvGrpSpPr>
          <xdr:cNvPr id="25" name="Grupo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5410201" y="685800"/>
            <a:ext cx="2609849" cy="1209675"/>
            <a:chOff x="390525" y="733425"/>
            <a:chExt cx="3219449" cy="1152525"/>
          </a:xfrm>
          <a:solidFill>
            <a:schemeClr val="accent6">
              <a:lumMod val="20000"/>
              <a:lumOff val="80000"/>
            </a:schemeClr>
          </a:solidFill>
        </xdr:grpSpPr>
        <xdr:sp macro="" textlink="">
          <xdr:nvSpPr>
            <xdr:cNvPr id="28" name="Rectángulo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SpPr/>
          </xdr:nvSpPr>
          <xdr:spPr>
            <a:xfrm>
              <a:off x="390525" y="733425"/>
              <a:ext cx="3219449" cy="1152525"/>
            </a:xfrm>
            <a:prstGeom prst="rect">
              <a:avLst/>
            </a:prstGeom>
            <a:solidFill>
              <a:srgbClr val="FCEEE4"/>
            </a:solidFill>
            <a:ln>
              <a:solidFill>
                <a:schemeClr val="accent2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PE" sz="1100">
                <a:solidFill>
                  <a:srgbClr val="0070C0"/>
                </a:solidFill>
              </a:endParaRPr>
            </a:p>
          </xdr:txBody>
        </xdr:sp>
        <xdr:sp macro="" textlink="TB!W4">
          <xdr:nvSpPr>
            <xdr:cNvPr id="29" name="Rectángulo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1242274" y="1076325"/>
              <a:ext cx="1095375" cy="2571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FA921F87-1C54-4DA5-9CB3-70D7C488D389}" type="TxLink">
                <a:rPr lang="en-US" sz="1200" b="1" i="0" u="none" strike="noStrike">
                  <a:solidFill>
                    <a:schemeClr val="accent2">
                      <a:lumMod val="50000"/>
                    </a:schemeClr>
                  </a:solidFill>
                  <a:latin typeface="Calibri"/>
                  <a:cs typeface="Calibri"/>
                </a:rPr>
                <a:pPr algn="ctr"/>
                <a:t>45</a:t>
              </a:fld>
              <a:endParaRPr lang="es-PE" sz="2400" b="1">
                <a:solidFill>
                  <a:schemeClr val="accent2">
                    <a:lumMod val="50000"/>
                  </a:schemeClr>
                </a:solidFill>
              </a:endParaRPr>
            </a:p>
          </xdr:txBody>
        </xdr:sp>
        <xdr:sp macro="" textlink="TB!X4">
          <xdr:nvSpPr>
            <xdr:cNvPr id="30" name="Rectángulo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SpPr/>
          </xdr:nvSpPr>
          <xdr:spPr>
            <a:xfrm>
              <a:off x="1261668" y="1352100"/>
              <a:ext cx="1104901" cy="2571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EB5B2E9D-527A-47AC-AE78-F7D037844C9B}" type="TxLink">
                <a:rPr lang="en-US" sz="1200" b="1" i="0" u="none" strike="noStrike">
                  <a:solidFill>
                    <a:schemeClr val="accent2">
                      <a:lumMod val="50000"/>
                    </a:schemeClr>
                  </a:solidFill>
                  <a:latin typeface="Calibri"/>
                  <a:cs typeface="Calibri"/>
                </a:rPr>
                <a:pPr algn="ctr"/>
                <a:t>386</a:t>
              </a:fld>
              <a:endParaRPr lang="en-US" sz="2400" b="1" i="0" u="none" strike="noStrike">
                <a:solidFill>
                  <a:schemeClr val="accent2">
                    <a:lumMod val="50000"/>
                  </a:schemeClr>
                </a:solidFill>
                <a:latin typeface="Calibri"/>
                <a:cs typeface="Calibri"/>
              </a:endParaRPr>
            </a:p>
          </xdr:txBody>
        </xdr:sp>
        <xdr:sp macro="" textlink="TB!Y4">
          <xdr:nvSpPr>
            <xdr:cNvPr id="31" name="Rectángulo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1308241" y="1617900"/>
              <a:ext cx="1457327" cy="2571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D729186E-87FC-40A5-874E-85B38DEFA3D6}" type="TxLink">
                <a:rPr lang="en-US" sz="1200" b="1" i="0" u="none" strike="noStrike">
                  <a:solidFill>
                    <a:schemeClr val="accent2">
                      <a:lumMod val="50000"/>
                    </a:schemeClr>
                  </a:solidFill>
                  <a:latin typeface="Calibri"/>
                  <a:cs typeface="Calibri"/>
                </a:rPr>
                <a:pPr algn="ctr"/>
                <a:t> S/ 3,180.46 </a:t>
              </a:fld>
              <a:endParaRPr lang="es-PE" sz="2000" b="1">
                <a:solidFill>
                  <a:schemeClr val="accent2">
                    <a:lumMod val="50000"/>
                  </a:schemeClr>
                </a:solidFill>
              </a:endParaRPr>
            </a:p>
          </xdr:txBody>
        </xdr:sp>
        <xdr:sp macro="" textlink="">
          <xdr:nvSpPr>
            <xdr:cNvPr id="32" name="Rectángulo 31">
              <a:extLst>
                <a:ext uri="{FF2B5EF4-FFF2-40B4-BE49-F238E27FC236}">
                  <a16:creationId xmlns:a16="http://schemas.microsoft.com/office/drawing/2014/main" id="{00000000-0008-0000-0000-000020000000}"/>
                </a:ext>
              </a:extLst>
            </xdr:cNvPr>
            <xdr:cNvSpPr/>
          </xdr:nvSpPr>
          <xdr:spPr>
            <a:xfrm>
              <a:off x="457201" y="762000"/>
              <a:ext cx="2259787" cy="2952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s-PE" sz="1400" b="1">
                  <a:solidFill>
                    <a:schemeClr val="accent2">
                      <a:lumMod val="50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</a:rPr>
                <a:t>TOTAL A AJUSTAR</a:t>
              </a:r>
            </a:p>
          </xdr:txBody>
        </xdr:sp>
        <xdr:sp macro="" textlink="">
          <xdr:nvSpPr>
            <xdr:cNvPr id="33" name="Rectángulo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493499" y="1087650"/>
              <a:ext cx="907509" cy="2571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s-PE" sz="1000" b="1">
                  <a:solidFill>
                    <a:schemeClr val="accent2">
                      <a:lumMod val="50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</a:rPr>
                <a:t>CODIGOS</a:t>
              </a:r>
            </a:p>
          </xdr:txBody>
        </xdr:sp>
        <xdr:sp macro="" textlink="">
          <xdr:nvSpPr>
            <xdr:cNvPr id="34" name="Rectángulo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/>
          </xdr:nvSpPr>
          <xdr:spPr>
            <a:xfrm>
              <a:off x="423519" y="1352100"/>
              <a:ext cx="1165486" cy="2571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s-PE" sz="1000" b="1">
                  <a:solidFill>
                    <a:schemeClr val="accent2">
                      <a:lumMod val="50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</a:rPr>
                <a:t>UNDIDADES</a:t>
              </a:r>
            </a:p>
          </xdr:txBody>
        </xdr:sp>
        <xdr:sp macro="" textlink="">
          <xdr:nvSpPr>
            <xdr:cNvPr id="35" name="Rectángulo 34">
              <a:extLst>
                <a:ext uri="{FF2B5EF4-FFF2-40B4-BE49-F238E27FC236}">
                  <a16:creationId xmlns:a16="http://schemas.microsoft.com/office/drawing/2014/main" id="{00000000-0008-0000-0000-000023000000}"/>
                </a:ext>
              </a:extLst>
            </xdr:cNvPr>
            <xdr:cNvSpPr/>
          </xdr:nvSpPr>
          <xdr:spPr>
            <a:xfrm>
              <a:off x="405156" y="1607925"/>
              <a:ext cx="1195599" cy="2571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s-PE" sz="1000" b="1">
                  <a:solidFill>
                    <a:schemeClr val="accent2">
                      <a:lumMod val="50000"/>
                    </a:schemeClr>
                  </a:solidFill>
                  <a:latin typeface="Cambria" panose="02040503050406030204" pitchFamily="18" charset="0"/>
                  <a:ea typeface="Cambria" panose="02040503050406030204" pitchFamily="18" charset="0"/>
                </a:rPr>
                <a:t>VALORIZADO</a:t>
              </a:r>
            </a:p>
          </xdr:txBody>
        </xdr:sp>
      </xdr:grpSp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aphicFramePr>
            <a:graphicFrameLocks/>
          </xdr:cNvGraphicFramePr>
        </xdr:nvGraphicFramePr>
        <xdr:xfrm>
          <a:off x="6791325" y="590551"/>
          <a:ext cx="1381125" cy="13620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TB!G5">
        <xdr:nvSpPr>
          <xdr:cNvPr id="37" name="Rectángulo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7229476" y="1104899"/>
            <a:ext cx="600075" cy="3143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2FC32C52-FF3A-462C-8637-5FFEA1A6C98C}" type="TxLink">
              <a:rPr lang="en-US" sz="1600" b="1" i="0" u="none" strike="noStrike">
                <a:solidFill>
                  <a:schemeClr val="accent2">
                    <a:lumMod val="50000"/>
                  </a:schemeClr>
                </a:solidFill>
                <a:latin typeface="Calibri"/>
                <a:cs typeface="Calibri"/>
              </a:rPr>
              <a:pPr algn="l"/>
              <a:t>100%</a:t>
            </a:fld>
            <a:endParaRPr lang="es-PE" sz="2400" b="1">
              <a:solidFill>
                <a:schemeClr val="accent2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12</xdr:col>
      <xdr:colOff>485044</xdr:colOff>
      <xdr:row>7</xdr:row>
      <xdr:rowOff>631027</xdr:rowOff>
    </xdr:from>
    <xdr:to>
      <xdr:col>17</xdr:col>
      <xdr:colOff>8988</xdr:colOff>
      <xdr:row>15</xdr:row>
      <xdr:rowOff>26958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8562244" y="2593177"/>
          <a:ext cx="2762444" cy="1396181"/>
          <a:chOff x="8686801" y="561974"/>
          <a:chExt cx="2787235" cy="1400176"/>
        </a:xfrm>
      </xdr:grpSpPr>
      <xdr:grpSp>
        <xdr:nvGrpSpPr>
          <xdr:cNvPr id="39" name="Grup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GrpSpPr/>
        </xdr:nvGrpSpPr>
        <xdr:grpSpPr>
          <a:xfrm>
            <a:off x="8686801" y="685800"/>
            <a:ext cx="2609849" cy="1209675"/>
            <a:chOff x="5410201" y="685800"/>
            <a:chExt cx="2609849" cy="1209675"/>
          </a:xfrm>
        </xdr:grpSpPr>
        <xdr:grpSp>
          <xdr:nvGrpSpPr>
            <xdr:cNvPr id="40" name="Grupo 39">
              <a:extLst>
                <a:ext uri="{FF2B5EF4-FFF2-40B4-BE49-F238E27FC236}">
                  <a16:creationId xmlns:a16="http://schemas.microsoft.com/office/drawing/2014/main" id="{00000000-0008-0000-0000-000028000000}"/>
                </a:ext>
              </a:extLst>
            </xdr:cNvPr>
            <xdr:cNvGrpSpPr/>
          </xdr:nvGrpSpPr>
          <xdr:grpSpPr>
            <a:xfrm>
              <a:off x="5410201" y="685800"/>
              <a:ext cx="2609849" cy="1209675"/>
              <a:chOff x="390525" y="733425"/>
              <a:chExt cx="3219449" cy="1152525"/>
            </a:xfrm>
            <a:solidFill>
              <a:schemeClr val="accent6">
                <a:lumMod val="20000"/>
                <a:lumOff val="80000"/>
              </a:schemeClr>
            </a:solidFill>
          </xdr:grpSpPr>
          <xdr:sp macro="" textlink="">
            <xdr:nvSpPr>
              <xdr:cNvPr id="45" name="Rectángulo 44">
                <a:extLst>
                  <a:ext uri="{FF2B5EF4-FFF2-40B4-BE49-F238E27FC236}">
                    <a16:creationId xmlns:a16="http://schemas.microsoft.com/office/drawing/2014/main" id="{00000000-0008-0000-0000-00002D000000}"/>
                  </a:ext>
                </a:extLst>
              </xdr:cNvPr>
              <xdr:cNvSpPr/>
            </xdr:nvSpPr>
            <xdr:spPr>
              <a:xfrm>
                <a:off x="390525" y="733425"/>
                <a:ext cx="3219449" cy="1152525"/>
              </a:xfrm>
              <a:prstGeom prst="rect">
                <a:avLst/>
              </a:prstGeom>
              <a:solidFill>
                <a:srgbClr val="F9F9F9"/>
              </a:solidFill>
              <a:ln>
                <a:solidFill>
                  <a:schemeClr val="bg1">
                    <a:lumMod val="6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s-PE" sz="1100">
                  <a:solidFill>
                    <a:srgbClr val="0070C0"/>
                  </a:solidFill>
                </a:endParaRPr>
              </a:p>
            </xdr:txBody>
          </xdr:sp>
          <xdr:sp macro="" textlink="TB!AA4">
            <xdr:nvSpPr>
              <xdr:cNvPr id="53" name="Rectángulo 52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SpPr/>
            </xdr:nvSpPr>
            <xdr:spPr>
              <a:xfrm>
                <a:off x="1242274" y="1076325"/>
                <a:ext cx="1095375" cy="25717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E1FCA85C-2223-4EAF-9724-25A50A31E175}" type="TxLink">
                  <a:rPr lang="en-US" sz="1200" b="1" i="0" u="none" strike="noStrike">
                    <a:solidFill>
                      <a:schemeClr val="bg2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 </a:t>
                </a:fld>
                <a:endParaRPr lang="es-PE" sz="2800" b="1">
                  <a:solidFill>
                    <a:schemeClr val="bg2">
                      <a:lumMod val="50000"/>
                    </a:schemeClr>
                  </a:solidFill>
                </a:endParaRPr>
              </a:p>
            </xdr:txBody>
          </xdr:sp>
          <xdr:sp macro="" textlink="TB!AB4">
            <xdr:nvSpPr>
              <xdr:cNvPr id="54" name="Rectángulo 53">
                <a:extLst>
                  <a:ext uri="{FF2B5EF4-FFF2-40B4-BE49-F238E27FC236}">
                    <a16:creationId xmlns:a16="http://schemas.microsoft.com/office/drawing/2014/main" id="{00000000-0008-0000-0000-000036000000}"/>
                  </a:ext>
                </a:extLst>
              </xdr:cNvPr>
              <xdr:cNvSpPr/>
            </xdr:nvSpPr>
            <xdr:spPr>
              <a:xfrm>
                <a:off x="1261668" y="1352100"/>
                <a:ext cx="1104901" cy="25717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3F27E352-437E-44D0-80B5-C87E9A8FF396}" type="TxLink">
                  <a:rPr lang="en-US" sz="1200" b="1" i="0" u="none" strike="noStrike">
                    <a:solidFill>
                      <a:schemeClr val="bg2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 </a:t>
                </a:fld>
                <a:endParaRPr lang="en-US" sz="2800" b="1" i="0" u="none" strike="noStrike">
                  <a:solidFill>
                    <a:schemeClr val="bg2">
                      <a:lumMod val="50000"/>
                    </a:schemeClr>
                  </a:solidFill>
                  <a:latin typeface="Calibri"/>
                  <a:cs typeface="Calibri"/>
                </a:endParaRPr>
              </a:p>
            </xdr:txBody>
          </xdr:sp>
          <xdr:sp macro="" textlink="TB!AC4">
            <xdr:nvSpPr>
              <xdr:cNvPr id="55" name="Rectángulo 54">
                <a:extLst>
                  <a:ext uri="{FF2B5EF4-FFF2-40B4-BE49-F238E27FC236}">
                    <a16:creationId xmlns:a16="http://schemas.microsoft.com/office/drawing/2014/main" id="{00000000-0008-0000-0000-000037000000}"/>
                  </a:ext>
                </a:extLst>
              </xdr:cNvPr>
              <xdr:cNvSpPr/>
            </xdr:nvSpPr>
            <xdr:spPr>
              <a:xfrm>
                <a:off x="1426841" y="1617900"/>
                <a:ext cx="1457327" cy="25717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E3660E14-0066-4C8B-8C4B-A0F06C74BAE3}" type="TxLink">
                  <a:rPr lang="en-US" sz="1200" b="1" i="0" u="none" strike="noStrike">
                    <a:solidFill>
                      <a:schemeClr val="bg2">
                        <a:lumMod val="50000"/>
                      </a:schemeClr>
                    </a:solidFill>
                    <a:latin typeface="Calibri"/>
                    <a:cs typeface="Calibri"/>
                  </a:rPr>
                  <a:pPr algn="ctr"/>
                  <a:t> </a:t>
                </a:fld>
                <a:endParaRPr lang="es-PE" sz="2400" b="1">
                  <a:solidFill>
                    <a:schemeClr val="bg2">
                      <a:lumMod val="50000"/>
                    </a:schemeClr>
                  </a:solidFill>
                </a:endParaRPr>
              </a:p>
            </xdr:txBody>
          </xdr:sp>
          <xdr:sp macro="" textlink="">
            <xdr:nvSpPr>
              <xdr:cNvPr id="56" name="Rectángulo 55">
                <a:extLst>
                  <a:ext uri="{FF2B5EF4-FFF2-40B4-BE49-F238E27FC236}">
                    <a16:creationId xmlns:a16="http://schemas.microsoft.com/office/drawing/2014/main" id="{00000000-0008-0000-0000-000038000000}"/>
                  </a:ext>
                </a:extLst>
              </xdr:cNvPr>
              <xdr:cNvSpPr/>
            </xdr:nvSpPr>
            <xdr:spPr>
              <a:xfrm>
                <a:off x="457201" y="762000"/>
                <a:ext cx="2259787" cy="29527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s-PE" sz="1400" b="1">
                    <a:solidFill>
                      <a:schemeClr val="bg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EN VALIDACION</a:t>
                </a:r>
              </a:p>
            </xdr:txBody>
          </xdr:sp>
          <xdr:sp macro="" textlink="">
            <xdr:nvSpPr>
              <xdr:cNvPr id="57" name="Rectángulo 56">
                <a:extLst>
                  <a:ext uri="{FF2B5EF4-FFF2-40B4-BE49-F238E27FC236}">
                    <a16:creationId xmlns:a16="http://schemas.microsoft.com/office/drawing/2014/main" id="{00000000-0008-0000-0000-000039000000}"/>
                  </a:ext>
                </a:extLst>
              </xdr:cNvPr>
              <xdr:cNvSpPr/>
            </xdr:nvSpPr>
            <xdr:spPr>
              <a:xfrm>
                <a:off x="493499" y="1087650"/>
                <a:ext cx="907509" cy="25717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es-PE" sz="1000" b="1">
                    <a:solidFill>
                      <a:schemeClr val="bg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CODIGOS</a:t>
                </a:r>
              </a:p>
            </xdr:txBody>
          </xdr:sp>
          <xdr:sp macro="" textlink="">
            <xdr:nvSpPr>
              <xdr:cNvPr id="58" name="Rectángulo 57">
                <a:extLst>
                  <a:ext uri="{FF2B5EF4-FFF2-40B4-BE49-F238E27FC236}">
                    <a16:creationId xmlns:a16="http://schemas.microsoft.com/office/drawing/2014/main" id="{00000000-0008-0000-0000-00003A000000}"/>
                  </a:ext>
                </a:extLst>
              </xdr:cNvPr>
              <xdr:cNvSpPr/>
            </xdr:nvSpPr>
            <xdr:spPr>
              <a:xfrm>
                <a:off x="423519" y="1352100"/>
                <a:ext cx="1165486" cy="25717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es-PE" sz="1000" b="1">
                    <a:solidFill>
                      <a:schemeClr val="bg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UNDIDADES</a:t>
                </a:r>
              </a:p>
            </xdr:txBody>
          </xdr:sp>
          <xdr:sp macro="" textlink="">
            <xdr:nvSpPr>
              <xdr:cNvPr id="59" name="Rectángulo 58">
                <a:extLst>
                  <a:ext uri="{FF2B5EF4-FFF2-40B4-BE49-F238E27FC236}">
                    <a16:creationId xmlns:a16="http://schemas.microsoft.com/office/drawing/2014/main" id="{00000000-0008-0000-0000-00003B000000}"/>
                  </a:ext>
                </a:extLst>
              </xdr:cNvPr>
              <xdr:cNvSpPr/>
            </xdr:nvSpPr>
            <xdr:spPr>
              <a:xfrm>
                <a:off x="405155" y="1607925"/>
                <a:ext cx="1206946" cy="25717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l"/>
                <a:r>
                  <a:rPr lang="es-PE" sz="1000" b="1">
                    <a:solidFill>
                      <a:schemeClr val="bg2">
                        <a:lumMod val="50000"/>
                      </a:schemeClr>
                    </a:solidFill>
                    <a:latin typeface="Cambria" panose="02040503050406030204" pitchFamily="18" charset="0"/>
                    <a:ea typeface="Cambria" panose="02040503050406030204" pitchFamily="18" charset="0"/>
                  </a:rPr>
                  <a:t>VALORIZADO</a:t>
                </a:r>
              </a:p>
            </xdr:txBody>
          </xdr:sp>
        </xdr:grpSp>
        <xdr:sp macro="" textlink="TB!G6">
          <xdr:nvSpPr>
            <xdr:cNvPr id="42" name="Rectángulo 41">
              <a:extLst>
                <a:ext uri="{FF2B5EF4-FFF2-40B4-BE49-F238E27FC236}">
                  <a16:creationId xmlns:a16="http://schemas.microsoft.com/office/drawing/2014/main" id="{00000000-0008-0000-0000-00002A000000}"/>
                </a:ext>
              </a:extLst>
            </xdr:cNvPr>
            <xdr:cNvSpPr/>
          </xdr:nvSpPr>
          <xdr:spPr>
            <a:xfrm>
              <a:off x="7229476" y="1104899"/>
              <a:ext cx="600075" cy="3143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37B55D1E-6262-4F0D-9A53-6185EFF27569}" type="TxLink">
                <a:rPr lang="en-US" sz="1600" b="1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l"/>
                <a:t>0%</a:t>
              </a:fld>
              <a:endParaRPr lang="es-PE" sz="3600" b="1">
                <a:solidFill>
                  <a:schemeClr val="accent2">
                    <a:lumMod val="50000"/>
                  </a:schemeClr>
                </a:solidFill>
              </a:endParaRPr>
            </a:p>
          </xdr:txBody>
        </xdr:sp>
      </xdr:grpSp>
      <xdr:graphicFrame macro="">
        <xdr:nvGraphicFramePr>
          <xdr:cNvPr id="60" name="Gráfico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GraphicFramePr>
            <a:graphicFrameLocks/>
          </xdr:cNvGraphicFramePr>
        </xdr:nvGraphicFramePr>
        <xdr:xfrm>
          <a:off x="9820275" y="561974"/>
          <a:ext cx="1653761" cy="140017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7</xdr:col>
      <xdr:colOff>47625</xdr:colOff>
      <xdr:row>16</xdr:row>
      <xdr:rowOff>19049</xdr:rowOff>
    </xdr:from>
    <xdr:to>
      <xdr:col>15</xdr:col>
      <xdr:colOff>752474</xdr:colOff>
      <xdr:row>24</xdr:row>
      <xdr:rowOff>161924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19050</xdr:colOff>
      <xdr:row>16</xdr:row>
      <xdr:rowOff>19051</xdr:rowOff>
    </xdr:from>
    <xdr:to>
      <xdr:col>6</xdr:col>
      <xdr:colOff>723899</xdr:colOff>
      <xdr:row>24</xdr:row>
      <xdr:rowOff>161925</xdr:rowOff>
    </xdr:to>
    <xdr:graphicFrame macro="">
      <xdr:nvGraphicFramePr>
        <xdr:cNvPr id="62" name="Gráfico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344455</xdr:colOff>
      <xdr:row>1</xdr:row>
      <xdr:rowOff>26243</xdr:rowOff>
    </xdr:from>
    <xdr:to>
      <xdr:col>16</xdr:col>
      <xdr:colOff>107616</xdr:colOff>
      <xdr:row>2</xdr:row>
      <xdr:rowOff>86251</xdr:rowOff>
    </xdr:to>
    <xdr:pic macro="[0]!ACTUALIZAR">
      <xdr:nvPicPr>
        <xdr:cNvPr id="18" name="Imagen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8333" y="123437"/>
          <a:ext cx="1337701" cy="400186"/>
        </a:xfrm>
        <a:prstGeom prst="rect">
          <a:avLst/>
        </a:prstGeom>
        <a:solidFill>
          <a:srgbClr val="F3F5FB"/>
        </a:solidFill>
      </xdr:spPr>
    </xdr:pic>
    <xdr:clientData/>
  </xdr:twoCellAnchor>
  <xdr:twoCellAnchor editAs="oneCell">
    <xdr:from>
      <xdr:col>2</xdr:col>
      <xdr:colOff>48598</xdr:colOff>
      <xdr:row>4</xdr:row>
      <xdr:rowOff>87474</xdr:rowOff>
    </xdr:from>
    <xdr:to>
      <xdr:col>3</xdr:col>
      <xdr:colOff>670641</xdr:colOff>
      <xdr:row>6</xdr:row>
      <xdr:rowOff>194388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7" name="MES 1">
              <a:extLst>
                <a:ext uri="{FF2B5EF4-FFF2-40B4-BE49-F238E27FC236}">
                  <a16:creationId xmlns:a16="http://schemas.microsoft.com/office/drawing/2014/main" id="{00000000-0008-0000-0000-00004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1863" y="933061"/>
              <a:ext cx="1613421" cy="563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55782</xdr:colOff>
      <xdr:row>7</xdr:row>
      <xdr:rowOff>161338</xdr:rowOff>
    </xdr:from>
    <xdr:to>
      <xdr:col>3</xdr:col>
      <xdr:colOff>690077</xdr:colOff>
      <xdr:row>8</xdr:row>
      <xdr:rowOff>58317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8" name="STATUS AJUSTE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AJUS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9047" y="2134374"/>
              <a:ext cx="1625673" cy="5676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5</xdr:row>
      <xdr:rowOff>48598</xdr:rowOff>
    </xdr:from>
    <xdr:to>
      <xdr:col>12</xdr:col>
      <xdr:colOff>0</xdr:colOff>
      <xdr:row>7</xdr:row>
      <xdr:rowOff>641480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48597</xdr:colOff>
      <xdr:row>5</xdr:row>
      <xdr:rowOff>48597</xdr:rowOff>
    </xdr:from>
    <xdr:to>
      <xdr:col>15</xdr:col>
      <xdr:colOff>806708</xdr:colOff>
      <xdr:row>7</xdr:row>
      <xdr:rowOff>641480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670631</xdr:colOff>
      <xdr:row>4</xdr:row>
      <xdr:rowOff>2140</xdr:rowOff>
    </xdr:from>
    <xdr:to>
      <xdr:col>9</xdr:col>
      <xdr:colOff>77757</xdr:colOff>
      <xdr:row>5</xdr:row>
      <xdr:rowOff>58317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927723" y="847727"/>
          <a:ext cx="923350" cy="2311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200">
              <a:solidFill>
                <a:schemeClr val="accent2"/>
              </a:solidFill>
              <a:latin typeface="Cambria" panose="02040503050406030204" pitchFamily="18" charset="0"/>
              <a:ea typeface="Cambria" panose="02040503050406030204" pitchFamily="18" charset="0"/>
            </a:rPr>
            <a:t>FALTANTE</a:t>
          </a:r>
        </a:p>
      </xdr:txBody>
    </xdr:sp>
    <xdr:clientData/>
  </xdr:twoCellAnchor>
  <xdr:twoCellAnchor>
    <xdr:from>
      <xdr:col>11</xdr:col>
      <xdr:colOff>725849</xdr:colOff>
      <xdr:row>3</xdr:row>
      <xdr:rowOff>202943</xdr:rowOff>
    </xdr:from>
    <xdr:to>
      <xdr:col>13</xdr:col>
      <xdr:colOff>570338</xdr:colOff>
      <xdr:row>5</xdr:row>
      <xdr:rowOff>68037</xdr:rowOff>
    </xdr:to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015390" y="844423"/>
          <a:ext cx="1360713" cy="2441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200">
              <a:solidFill>
                <a:srgbClr val="0070C0"/>
              </a:solidFill>
              <a:latin typeface="Cambria" panose="02040503050406030204" pitchFamily="18" charset="0"/>
              <a:ea typeface="Cambria" panose="02040503050406030204" pitchFamily="18" charset="0"/>
            </a:rPr>
            <a:t>SOBRANTE</a:t>
          </a:r>
        </a:p>
      </xdr:txBody>
    </xdr:sp>
    <xdr:clientData/>
  </xdr:twoCellAnchor>
  <xdr:twoCellAnchor>
    <xdr:from>
      <xdr:col>8</xdr:col>
      <xdr:colOff>738665</xdr:colOff>
      <xdr:row>3</xdr:row>
      <xdr:rowOff>145792</xdr:rowOff>
    </xdr:from>
    <xdr:to>
      <xdr:col>10</xdr:col>
      <xdr:colOff>583164</xdr:colOff>
      <xdr:row>5</xdr:row>
      <xdr:rowOff>48598</xdr:rowOff>
    </xdr:to>
    <xdr:sp macro="" textlink="TB!BC4">
      <xdr:nvSpPr>
        <xdr:cNvPr id="19" name="Rectángul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753869" y="787272"/>
          <a:ext cx="1360724" cy="28186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740CE92-2A68-4068-BB28-B9190F4F9E5E}" type="TxLink">
            <a:rPr lang="en-US" sz="1600" b="1" i="0" u="none" strike="noStrike">
              <a:solidFill>
                <a:schemeClr val="accent2"/>
              </a:solidFill>
              <a:latin typeface="Calibri"/>
              <a:cs typeface="Calibri"/>
            </a:rPr>
            <a:pPr algn="l"/>
            <a:t> S/ 1,700.35 </a:t>
          </a:fld>
          <a:endParaRPr lang="es-PE" sz="1600" b="1">
            <a:solidFill>
              <a:schemeClr val="accent2"/>
            </a:solidFill>
          </a:endParaRPr>
        </a:p>
      </xdr:txBody>
    </xdr:sp>
    <xdr:clientData/>
  </xdr:twoCellAnchor>
  <xdr:twoCellAnchor>
    <xdr:from>
      <xdr:col>12</xdr:col>
      <xdr:colOff>745287</xdr:colOff>
      <xdr:row>3</xdr:row>
      <xdr:rowOff>152400</xdr:rowOff>
    </xdr:from>
    <xdr:to>
      <xdr:col>14</xdr:col>
      <xdr:colOff>709520</xdr:colOff>
      <xdr:row>5</xdr:row>
      <xdr:rowOff>103804</xdr:rowOff>
    </xdr:to>
    <xdr:sp macro="" textlink="TB!BF4">
      <xdr:nvSpPr>
        <xdr:cNvPr id="72" name="Rectángulo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8792940" y="793880"/>
          <a:ext cx="1480458" cy="3304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D447F21-7A14-4B05-B1FF-56C06E38B131}" type="TxLink">
            <a:rPr lang="en-US" sz="1600" b="1" i="0" u="none" strike="noStrike">
              <a:solidFill>
                <a:schemeClr val="accent5"/>
              </a:solidFill>
              <a:latin typeface="Calibri"/>
              <a:cs typeface="Calibri"/>
            </a:rPr>
            <a:pPr algn="l"/>
            <a:t> S/ 1,480.11 </a:t>
          </a:fld>
          <a:endParaRPr lang="es-PE" sz="1600" b="1">
            <a:solidFill>
              <a:schemeClr val="accent5"/>
            </a:solidFill>
          </a:endParaRPr>
        </a:p>
      </xdr:txBody>
    </xdr:sp>
    <xdr:clientData/>
  </xdr:twoCellAnchor>
  <xdr:twoCellAnchor>
    <xdr:from>
      <xdr:col>3</xdr:col>
      <xdr:colOff>690077</xdr:colOff>
      <xdr:row>5</xdr:row>
      <xdr:rowOff>48597</xdr:rowOff>
    </xdr:from>
    <xdr:to>
      <xdr:col>7</xdr:col>
      <xdr:colOff>651199</xdr:colOff>
      <xdr:row>7</xdr:row>
      <xdr:rowOff>660919</xdr:rowOff>
    </xdr:to>
    <xdr:graphicFrame macro="">
      <xdr:nvGraphicFramePr>
        <xdr:cNvPr id="75" name="Gráfico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660922</xdr:colOff>
      <xdr:row>4</xdr:row>
      <xdr:rowOff>19444</xdr:rowOff>
    </xdr:from>
    <xdr:to>
      <xdr:col>4</xdr:col>
      <xdr:colOff>680357</xdr:colOff>
      <xdr:row>5</xdr:row>
      <xdr:rowOff>48597</xdr:rowOff>
    </xdr:to>
    <xdr:sp macro="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885565" y="865031"/>
          <a:ext cx="777547" cy="20410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 b="0">
              <a:solidFill>
                <a:schemeClr val="accent5">
                  <a:lumMod val="50000"/>
                </a:schemeClr>
              </a:solidFill>
              <a:latin typeface="Cambria" panose="02040503050406030204" pitchFamily="18" charset="0"/>
              <a:ea typeface="Cambria" panose="02040503050406030204" pitchFamily="18" charset="0"/>
            </a:rPr>
            <a:t>TURNO</a:t>
          </a:r>
        </a:p>
      </xdr:txBody>
    </xdr:sp>
    <xdr:clientData/>
  </xdr:twoCellAnchor>
  <xdr:twoCellAnchor>
    <xdr:from>
      <xdr:col>1</xdr:col>
      <xdr:colOff>97193</xdr:colOff>
      <xdr:row>26</xdr:row>
      <xdr:rowOff>194388</xdr:rowOff>
    </xdr:from>
    <xdr:to>
      <xdr:col>6</xdr:col>
      <xdr:colOff>738673</xdr:colOff>
      <xdr:row>41</xdr:row>
      <xdr:rowOff>136071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29158</xdr:colOff>
      <xdr:row>26</xdr:row>
      <xdr:rowOff>194388</xdr:rowOff>
    </xdr:from>
    <xdr:to>
      <xdr:col>11</xdr:col>
      <xdr:colOff>709515</xdr:colOff>
      <xdr:row>41</xdr:row>
      <xdr:rowOff>136072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29157</xdr:colOff>
      <xdr:row>26</xdr:row>
      <xdr:rowOff>194388</xdr:rowOff>
    </xdr:from>
    <xdr:to>
      <xdr:col>16</xdr:col>
      <xdr:colOff>68035</xdr:colOff>
      <xdr:row>41</xdr:row>
      <xdr:rowOff>126352</xdr:rowOff>
    </xdr:to>
    <xdr:graphicFrame macro="">
      <xdr:nvGraphicFramePr>
        <xdr:cNvPr id="73" name="Gráfico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</xdr:col>
      <xdr:colOff>68035</xdr:colOff>
      <xdr:row>6</xdr:row>
      <xdr:rowOff>223544</xdr:rowOff>
    </xdr:from>
    <xdr:to>
      <xdr:col>3</xdr:col>
      <xdr:colOff>680357</xdr:colOff>
      <xdr:row>7</xdr:row>
      <xdr:rowOff>145790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8" name="QUINCENA">
              <a:extLst>
                <a:ext uri="{FF2B5EF4-FFF2-40B4-BE49-F238E27FC236}">
                  <a16:creationId xmlns:a16="http://schemas.microsoft.com/office/drawing/2014/main" id="{00000000-0008-0000-0000-00004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INCE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1300" y="1525942"/>
              <a:ext cx="1603700" cy="5928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26049</xdr:colOff>
      <xdr:row>1</xdr:row>
      <xdr:rowOff>58315</xdr:rowOff>
    </xdr:from>
    <xdr:to>
      <xdr:col>3</xdr:col>
      <xdr:colOff>554004</xdr:colOff>
      <xdr:row>3</xdr:row>
      <xdr:rowOff>197886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254649" y="153565"/>
          <a:ext cx="1518555" cy="682496"/>
          <a:chOff x="191278" y="126351"/>
          <a:chExt cx="1519333" cy="683857"/>
        </a:xfrm>
      </xdr:grpSpPr>
      <xdr:sp macro="" textlink="">
        <xdr:nvSpPr>
          <xdr:cNvPr id="20" name="Rectángulo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223548" y="145789"/>
            <a:ext cx="670636" cy="24298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PE" sz="1100" b="1">
                <a:solidFill>
                  <a:srgbClr val="002060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DESDE</a:t>
            </a:r>
          </a:p>
        </xdr:txBody>
      </xdr:sp>
      <xdr:sp macro="" textlink="">
        <xdr:nvSpPr>
          <xdr:cNvPr id="79" name="Rectángulo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SpPr/>
        </xdr:nvSpPr>
        <xdr:spPr>
          <a:xfrm>
            <a:off x="191278" y="337068"/>
            <a:ext cx="673748" cy="24298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PE" sz="1100" b="1">
                <a:solidFill>
                  <a:srgbClr val="002060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HASTA</a:t>
            </a:r>
          </a:p>
        </xdr:txBody>
      </xdr:sp>
      <xdr:sp macro="" textlink="">
        <xdr:nvSpPr>
          <xdr:cNvPr id="80" name="Rectángulo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SpPr/>
        </xdr:nvSpPr>
        <xdr:spPr>
          <a:xfrm>
            <a:off x="197884" y="538065"/>
            <a:ext cx="667141" cy="24298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s-PE" sz="1100" b="1">
                <a:solidFill>
                  <a:schemeClr val="accent2"/>
                </a:solidFill>
                <a:latin typeface="Cambria" panose="02040503050406030204" pitchFamily="18" charset="0"/>
                <a:ea typeface="Cambria" panose="02040503050406030204" pitchFamily="18" charset="0"/>
              </a:rPr>
              <a:t>DIAS</a:t>
            </a:r>
          </a:p>
          <a:p>
            <a:pPr algn="ctr"/>
            <a:endParaRPr lang="es-PE" sz="1100" b="1">
              <a:solidFill>
                <a:schemeClr val="accent2"/>
              </a:solidFill>
              <a:latin typeface="Cambria" panose="02040503050406030204" pitchFamily="18" charset="0"/>
              <a:ea typeface="Cambria" panose="02040503050406030204" pitchFamily="18" charset="0"/>
            </a:endParaRPr>
          </a:p>
        </xdr:txBody>
      </xdr:sp>
      <xdr:sp macro="" textlink="TB!K10">
        <xdr:nvSpPr>
          <xdr:cNvPr id="22" name="Rectángulo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738673" y="126351"/>
            <a:ext cx="962220" cy="25270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A76B4EE0-4098-4D60-B84E-3B38D1F0116A}" type="TxLink">
              <a:rPr lang="en-US" sz="1100" b="1" i="0" u="none" strike="noStrike">
                <a:solidFill>
                  <a:srgbClr val="002060"/>
                </a:solidFill>
                <a:latin typeface="Calibri"/>
                <a:cs typeface="Calibri"/>
              </a:rPr>
              <a:pPr algn="ctr"/>
              <a:t>15/2/2025</a:t>
            </a:fld>
            <a:endParaRPr lang="es-PE" sz="1100" b="1">
              <a:solidFill>
                <a:srgbClr val="002060"/>
              </a:solidFill>
            </a:endParaRPr>
          </a:p>
        </xdr:txBody>
      </xdr:sp>
      <xdr:sp macro="" textlink="TB!K11">
        <xdr:nvSpPr>
          <xdr:cNvPr id="81" name="Rectángulo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SpPr/>
        </xdr:nvSpPr>
        <xdr:spPr>
          <a:xfrm>
            <a:off x="716124" y="327350"/>
            <a:ext cx="994487" cy="24609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411870A2-D6FC-4A20-82F0-D2CCE02EDB40}" type="TxLink">
              <a:rPr lang="en-US" sz="1100" b="1" i="0" u="none" strike="noStrike">
                <a:solidFill>
                  <a:srgbClr val="002060"/>
                </a:solidFill>
                <a:latin typeface="Calibri"/>
                <a:cs typeface="Calibri"/>
              </a:rPr>
              <a:pPr algn="ctr"/>
              <a:t>28/2/2025</a:t>
            </a:fld>
            <a:endParaRPr lang="es-PE" sz="1100" b="1">
              <a:solidFill>
                <a:srgbClr val="002060"/>
              </a:solidFill>
            </a:endParaRPr>
          </a:p>
        </xdr:txBody>
      </xdr:sp>
      <xdr:sp macro="" textlink="TB!K12">
        <xdr:nvSpPr>
          <xdr:cNvPr id="82" name="Rectángulo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SpPr/>
        </xdr:nvSpPr>
        <xdr:spPr>
          <a:xfrm>
            <a:off x="800490" y="576943"/>
            <a:ext cx="699796" cy="2332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fld id="{0D43B94B-2E75-4021-A7D9-DBBCC21483D2}" type="TxLink">
              <a:rPr lang="en-US" sz="1400" b="1" i="0" u="none" strike="noStrike">
                <a:solidFill>
                  <a:schemeClr val="accent2"/>
                </a:solidFill>
                <a:latin typeface="Calibri"/>
                <a:cs typeface="Calibri"/>
              </a:rPr>
              <a:pPr algn="ctr"/>
              <a:t>13</a:t>
            </a:fld>
            <a:endParaRPr lang="es-PE" sz="1400" b="1">
              <a:solidFill>
                <a:schemeClr val="accent2"/>
              </a:solidFill>
            </a:endParaRPr>
          </a:p>
        </xdr:txBody>
      </xdr:sp>
      <xdr:sp macro="" textlink="">
        <xdr:nvSpPr>
          <xdr:cNvPr id="16" name="Rectángulo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223545" y="165230"/>
            <a:ext cx="1428751" cy="583163"/>
          </a:xfrm>
          <a:prstGeom prst="rect">
            <a:avLst/>
          </a:prstGeom>
          <a:noFill/>
          <a:ln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  <xdr:twoCellAnchor>
    <xdr:from>
      <xdr:col>1</xdr:col>
      <xdr:colOff>126352</xdr:colOff>
      <xdr:row>43</xdr:row>
      <xdr:rowOff>19440</xdr:rowOff>
    </xdr:from>
    <xdr:to>
      <xdr:col>16</xdr:col>
      <xdr:colOff>38878</xdr:colOff>
      <xdr:row>53</xdr:row>
      <xdr:rowOff>19439</xdr:rowOff>
    </xdr:to>
    <xdr:graphicFrame macro="">
      <xdr:nvGraphicFramePr>
        <xdr:cNvPr id="76" name="Gráfico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y Veliz P." refreshedDate="45784.645361226852" createdVersion="6" refreshedVersion="6" minRefreshableVersion="3" recordCount="464" xr:uid="{00000000-000A-0000-FFFF-FFFF8E000000}">
  <cacheSource type="worksheet">
    <worksheetSource name="Tabla1"/>
  </cacheSource>
  <cacheFields count="25">
    <cacheField name="FECHA " numFmtId="16">
      <sharedItems containsSemiMixedTypes="0" containsNonDate="0" containsDate="1" containsString="0" minDate="2024-12-26T00:00:00" maxDate="2025-05-07T00:00:00" count="100">
        <d v="2024-12-26T00:00:00"/>
        <d v="2024-12-30T00:00:00"/>
        <d v="2024-12-31T00:00:00"/>
        <d v="2025-01-02T00:00:00"/>
        <d v="2025-01-03T00:00:00"/>
        <d v="2025-01-04T00:00:00"/>
        <d v="2025-01-06T00:00:00"/>
        <d v="2025-01-07T00:00:00"/>
        <d v="2025-01-08T00:00:00"/>
        <d v="2025-01-09T00:00:00"/>
        <d v="2025-01-10T00:00:00"/>
        <d v="2025-01-11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8T00:00:00"/>
        <d v="2025-02-10T00:00:00"/>
        <d v="2025-02-11T00:00:00"/>
        <d v="2025-02-12T00:00:00"/>
        <d v="2025-02-13T00:00:00"/>
        <d v="2025-02-15T00:00:00"/>
        <d v="2025-02-17T00:00:00"/>
        <d v="2025-02-20T00:00:00"/>
        <d v="2025-02-21T00:00:00"/>
        <d v="2025-02-22T00:00:00"/>
        <d v="2025-02-24T00:00:00"/>
        <d v="2025-02-25T00:00:00"/>
        <d v="2025-02-26T00:00:00"/>
        <d v="2025-02-27T00:00:00"/>
        <d v="2025-02-28T00:00:00"/>
        <d v="2025-03-01T00:00:00"/>
        <d v="2025-03-03T00:00:00"/>
        <d v="2025-03-04T00:00:00"/>
        <d v="2025-03-05T00:00:00"/>
        <d v="2025-03-06T00:00:00"/>
        <d v="2025-03-07T00:00:00"/>
        <d v="2025-03-08T00:00:00"/>
        <d v="2025-03-10T00:00:00"/>
        <d v="2025-03-11T00:00:00"/>
        <d v="2025-03-12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1T00:00:00"/>
        <d v="2025-03-22T00:00:00"/>
        <d v="2025-03-24T00:00:00"/>
        <d v="2025-03-25T00:00:00"/>
        <d v="2025-03-26T00:00:00"/>
        <d v="2025-03-27T00:00:00"/>
        <d v="2025-03-28T00:00:00"/>
        <d v="2025-03-31T00:00:00"/>
        <d v="2025-04-01T00:00:00"/>
        <d v="2025-04-02T00:00:00"/>
        <d v="2025-04-03T00:00:00"/>
        <d v="2025-04-04T00:00:00"/>
        <d v="2025-04-05T00:00:00"/>
        <d v="2025-04-07T00:00:00"/>
        <d v="2025-04-08T00:00:00"/>
        <d v="2025-04-09T00:00:00"/>
        <d v="2025-04-10T00:00:00"/>
        <d v="2025-04-12T00:00:00"/>
        <d v="2025-04-13T00:00:00"/>
        <d v="2025-04-14T00:00:00"/>
        <d v="2025-04-15T00:00:00"/>
        <d v="2025-05-01T00:00:00"/>
        <d v="2025-04-16T00:00:00"/>
        <d v="2025-04-18T00:00:00"/>
        <d v="2025-04-19T00:00:00"/>
        <d v="2025-04-22T00:00:00"/>
        <d v="2025-04-23T00:00:00"/>
        <d v="2025-04-28T00:00:00"/>
        <d v="2025-05-03T00:00:00"/>
        <d v="2025-05-05T00:00:00"/>
        <d v="2025-05-06T00:00:00"/>
        <d v="2025-04-26T00:00:00" u="1"/>
        <d v="2025-04-25T00:00:00" u="1"/>
      </sharedItems>
    </cacheField>
    <cacheField name="TIENDA" numFmtId="0">
      <sharedItems containsBlank="1" containsMixedTypes="1" containsNumber="1" containsInteger="1" minValue="45740" maxValue="45740"/>
    </cacheField>
    <cacheField name="LPN INICIAL" numFmtId="0">
      <sharedItems containsBlank="1" containsMixedTypes="1" containsNumber="1" containsInteger="1" minValue="13" maxValue="7640116540"/>
    </cacheField>
    <cacheField name="CODIGO" numFmtId="0">
      <sharedItems containsMixedTypes="1" containsNumber="1" containsInteger="1" minValue="3202" maxValue="1024863002" count="369">
        <n v="127798"/>
        <n v="523657"/>
        <n v="482702001"/>
        <n v="475300"/>
        <n v="12821"/>
        <n v="115457"/>
        <n v="700017"/>
        <n v="1009410"/>
        <n v="337637"/>
        <n v="48291002"/>
        <n v="564435"/>
        <n v="407813"/>
        <n v="1017402"/>
        <n v="703779"/>
        <n v="1017403"/>
        <n v="1023462"/>
        <n v="1029171"/>
        <n v="768743002"/>
        <n v="70841001"/>
        <n v="546579"/>
        <n v="1027578"/>
        <n v="189549"/>
        <n v="1009409"/>
        <n v="984571"/>
        <n v="983944"/>
        <n v="383353"/>
        <n v="1009738"/>
        <n v="1019409"/>
        <n v="938023004"/>
        <n v="929009"/>
        <n v="4352"/>
        <n v="270402"/>
        <n v="396035005"/>
        <n v="3730"/>
        <n v="200123"/>
        <n v="430418"/>
        <n v="733478001"/>
        <n v="727725"/>
        <n v="768642"/>
        <n v="700007"/>
        <n v="1022080"/>
        <n v="19651"/>
        <n v="249652"/>
        <n v="733478002"/>
        <n v="987077"/>
        <n v="98704"/>
        <n v="3770"/>
        <n v="949185003"/>
        <n v="346011"/>
        <n v="17098"/>
        <n v="949185004"/>
        <n v="949185001"/>
        <n v="205493"/>
        <n v="1012270"/>
        <n v="46994"/>
        <n v="350187"/>
        <n v="1019778"/>
        <n v="4759"/>
        <n v="773315"/>
        <n v="890695"/>
        <n v="716845"/>
        <n v="452020"/>
        <n v="3283"/>
        <n v="35501"/>
        <n v="396035003"/>
        <n v="765266"/>
        <n v="1001575"/>
        <n v="444730"/>
        <n v="3866"/>
        <n v="981635"/>
        <n v="365939"/>
        <n v="1004094"/>
        <n v="492713"/>
        <n v="369393"/>
        <n v="704410"/>
        <n v="3771"/>
        <n v="4257"/>
        <n v="48218002"/>
        <n v="48418016"/>
        <n v="396035001"/>
        <n v="3202"/>
        <n v="941346"/>
        <n v="118489"/>
        <n v="440047"/>
        <n v="440045"/>
        <n v="499905001"/>
        <n v="536867"/>
        <n v="118644003"/>
        <n v="43094"/>
        <n v="242006"/>
        <n v="973319"/>
        <n v="973473"/>
        <n v="973474"/>
        <n v="158395"/>
        <n v="740037"/>
        <n v="963277"/>
        <n v="1002197"/>
        <n v="544683"/>
        <n v="886904"/>
        <n v="48856001"/>
        <n v="101459004"/>
        <n v="1014011"/>
        <n v="987346001"/>
        <n v="1014012"/>
        <n v="101459001"/>
        <n v="270474"/>
        <n v="280234"/>
        <n v="445006"/>
        <n v="702362"/>
        <n v="700198002"/>
        <n v="531408"/>
        <n v="727603"/>
        <n v="235050"/>
        <n v="449571"/>
        <n v="533047006"/>
        <n v="938730"/>
        <n v="3774001"/>
        <n v="986766"/>
        <n v="1009404"/>
        <n v="258454"/>
        <n v="976958"/>
        <n v="504475"/>
        <n v="983945"/>
        <n v="107670"/>
        <n v="784804"/>
        <n v="233681"/>
        <n v="351081"/>
        <n v="768069"/>
        <n v="10395"/>
        <n v="767276"/>
        <n v="954681"/>
        <n v="716372"/>
        <n v="700198001"/>
        <n v="886903"/>
        <n v="533997"/>
        <n v="753538006"/>
        <n v="1024863002"/>
        <n v="62649"/>
        <n v="1016328"/>
        <n v="1001398"/>
        <n v="134526"/>
        <n v="3863001"/>
        <n v="130674001"/>
        <n v="752676001"/>
        <n v="1033106"/>
        <n v="343322"/>
        <n v="560913"/>
        <n v="485926"/>
        <n v="754391"/>
        <n v="929115"/>
        <n v="968970"/>
        <n v="355869"/>
        <n v="396381"/>
        <n v="488676002"/>
        <n v="514184"/>
        <n v="124941"/>
        <n v="10522"/>
        <n v="453712"/>
        <n v="702115"/>
        <n v="396035007"/>
        <n v="197680"/>
        <n v="567862002"/>
        <n v="892487"/>
        <n v="396035004"/>
        <n v="786927"/>
        <n v="454506"/>
        <n v="441661"/>
        <n v="768476"/>
        <n v="4724"/>
        <n v="4694"/>
        <n v="4262"/>
        <n v="137964"/>
        <n v="243288"/>
        <n v="889644"/>
        <n v="373210"/>
        <n v="4763"/>
        <n v="891733"/>
        <n v="324677"/>
        <n v="544673"/>
        <n v="477507005"/>
        <n v="1035922"/>
        <n v="484887"/>
        <n v="10414"/>
        <n v="27931"/>
        <n v="996299"/>
        <n v="373674"/>
        <n v="182247"/>
        <n v="457824003"/>
        <n v="531948"/>
        <n v="59568004"/>
        <n v="333396"/>
        <n v="449851002"/>
        <n v="976061"/>
        <n v="973213"/>
        <n v="947268"/>
        <n v="198754"/>
        <n v="720060"/>
        <n v="703087"/>
        <n v="1018031"/>
        <n v="705073"/>
        <n v="720332"/>
        <n v="767555"/>
        <n v="251169"/>
        <n v="401611"/>
        <n v="284207"/>
        <n v="441374"/>
        <n v="549257"/>
        <n v="163493"/>
        <n v="1022098"/>
        <n v="733609002"/>
        <n v="14277"/>
        <n v="733609001"/>
        <n v="886902"/>
        <n v="492717"/>
        <n v="533998"/>
        <n v="972582"/>
        <n v="326543"/>
        <n v="254685"/>
        <n v="10504"/>
        <n v="902566"/>
        <n v="531411"/>
        <n v="220018"/>
        <n v="3775"/>
        <n v="788947"/>
        <n v="788950"/>
        <n v="4259"/>
        <n v="492012"/>
        <n v="17128"/>
        <n v="531747"/>
        <n v="1031958"/>
        <n v="4750"/>
        <n v="353468"/>
        <n v="300751"/>
        <n v="979412"/>
        <n v="938681"/>
        <n v="1016060"/>
        <n v="741430"/>
        <s v="934536"/>
        <n v="113219002"/>
        <n v="988300"/>
        <n v="733867"/>
        <n v="375537"/>
        <n v="64210"/>
        <n v="564436"/>
        <n v="506563002"/>
        <n v="150755025"/>
        <n v="991236"/>
        <n v="543546"/>
        <n v="172826"/>
        <n v="80996"/>
        <n v="10464"/>
        <n v="531496"/>
        <n v="865350"/>
        <n v="984588"/>
        <n v="70841003"/>
        <n v="892485"/>
        <n v="79490040"/>
        <n v="753918002"/>
        <n v="976651"/>
        <n v="294596009"/>
        <n v="113219055"/>
        <n v="753918001"/>
        <n v="4986"/>
        <n v="49463004"/>
        <n v="977937"/>
        <n v="350193"/>
        <n v="534664"/>
        <n v="1035206"/>
        <n v="543529"/>
        <n v="31045"/>
        <n v="449851003"/>
        <n v="886905"/>
        <n v="756283"/>
        <n v="59553001"/>
        <n v="59597002"/>
        <n v="160567002"/>
        <n v="160567003"/>
        <n v="720432"/>
        <n v="574651"/>
        <n v="985796"/>
        <n v="10523"/>
        <n v="913698"/>
        <n v="445008"/>
        <n v="205532"/>
        <n v="753538008"/>
        <n v="180959"/>
        <n v="1008641003"/>
        <n v="888434"/>
        <n v="784799"/>
        <n v="784798"/>
        <n v="13444"/>
        <n v="330536"/>
        <n v="491097002"/>
        <n v="37116"/>
        <n v="451944"/>
        <n v="940318"/>
        <n v="968309"/>
        <n v="992694"/>
        <n v="1024743"/>
        <n v="1025662"/>
        <n v="733224001"/>
        <n v="938726001"/>
        <n v="76156"/>
        <n v="727300"/>
        <n v="787637"/>
        <n v="59505002"/>
        <n v="488262"/>
        <n v="733700002"/>
        <n v="49071001"/>
        <n v="4227"/>
        <n v="723876"/>
        <n v="789796"/>
        <n v="767554"/>
        <n v="1009412"/>
        <n v="1024531"/>
        <n v="768747"/>
        <n v="418210"/>
        <n v="789159"/>
        <n v="1022088"/>
        <n v="1022090"/>
        <n v="532862"/>
        <n v="703737"/>
        <n v="752676002"/>
        <n v="10462"/>
        <n v="10452"/>
        <n v="190800"/>
        <n v="10549"/>
        <n v="3378"/>
        <n v="991775"/>
        <n v="23371"/>
        <n v="269992"/>
        <n v="1015393"/>
        <n v="48501002"/>
        <n v="48524001"/>
        <n v="346849003"/>
        <n v="5499"/>
        <n v="5500"/>
        <n v="167042"/>
        <n v="373211"/>
        <n v="317948"/>
        <n v="947966"/>
        <n v="294596019"/>
        <n v="15433"/>
        <n v="1011397"/>
        <n v="794886"/>
        <n v="54620015"/>
        <n v="1024564"/>
        <n v="190798"/>
        <n v="477507003"/>
        <n v="86452"/>
        <n v="59583002"/>
        <n v="568242"/>
        <n v="466494"/>
        <n v="3868"/>
        <n v="789044"/>
        <n v="990565"/>
        <n v="135380001"/>
        <n v="3754"/>
        <n v="45959"/>
        <n v="932074"/>
        <n v="567945"/>
        <n v="754407"/>
        <n v="767799"/>
        <n v="1022410" u="1"/>
        <n v="934524" u="1"/>
        <n v="789726" u="1"/>
        <n v="59578001" u="1"/>
        <n v="392374" u="1"/>
        <n v="953926" u="1"/>
      </sharedItems>
    </cacheField>
    <cacheField name="DECRIPCION" numFmtId="0">
      <sharedItems count="374">
        <s v="CERVEZA ERDINGER WEISSBIER BOT 500 ML"/>
        <s v="GIN HENDRICKS X 700 ML"/>
        <s v="WHISKY JACK DANIELS X750 ML, HONEY"/>
        <s v="VINO EL ENEMIGO MALBEC 750 ML"/>
        <s v="VINO SANGRE DE TORO RESERVA BOT 750ML"/>
        <s v="VINO LAN RIOJA RESERVA 750 ML"/>
        <s v="VINO LOS INTOCABLES  MORAS MALBEC 750ML"/>
        <s v="CERVEZA TRES CRUCES LIGH PACK 12 LT310ML"/>
        <s v="CERVEZA HEINEKEN BARRIL 5 L"/>
        <s v="CERVEZA HEINEKEN BOTELLA X330 ML SIXPACK"/>
        <s v="PACK CHILCANERO PISCO PURO CUATRO GALLO"/>
        <s v="PISCO MV ACHOLADO PORTON X 750M C/CAJA"/>
        <s v="PISCO LA CARAVEDO QUEBRANTA &quot;U&quot; 750 ML"/>
        <s v="CERVEZA TRES CRUCES LATA 473ML SIX PACK"/>
        <s v="PISCO LA CARAVEDO ACHOLADO &quot;U&quot; 750 ML"/>
        <s v="PISCO OCUCAJE MV QUEBRANTA BT 700 ML"/>
        <s v="PACK NAVIDEÑO GELATINA+HELADO UNIVERSAL"/>
        <s v="VINO OVEJA NEGRA RSV BOT 750, SAUV SY"/>
        <s v="GELATINA DIET FRESA X 19GR UNIVERSAL"/>
        <s v="CERVEZA CANDELARIA LAGER BOT 330ML"/>
        <s v="PACK 2 ESPUMANTES MONTESIERPE 750ML+COPA"/>
        <s v="VINO LOS ARBOLES MALBEC 750 ML"/>
        <s v="CERVEZA TRES CRUCES LIGH PACK 6 LT 310ML"/>
        <s v="CERVEZA SIX HOP IPA BOT 330ML"/>
        <s v="PISCO PURO CUATRO GALLOS ACHOLADO 1.75L"/>
        <s v="BASE PARA CHICHA SOUR WASSKA X 125 GRS"/>
        <s v="SUPER STAY 24HR POWDER 220"/>
        <s v="CERVEZA HEINEKEN PK 12 LT 310ML"/>
        <s v="HERBAL TEA STASH , PEPPERMINT"/>
        <s v="VINO SOTTANO BARRABAS CAB.FRANC 750ML"/>
        <s v="CANELA CHINA X 5GRS.A.CHIANG"/>
        <s v="VINO TACAMA ALBILLA DE ICA X 750ML"/>
        <s v="GELATINA UNIVERSAL 130 GR, LIMON"/>
        <s v="ESPUMOSO TABERNERO BRUT 750 ML"/>
        <s v="VINO SEPTIMA  GRAN RESERVA 750 ML"/>
        <s v="VINO N.CORREAS SELEC PARCELAS MB 750 ML"/>
        <s v="VINO TRAPICHE MEDALLA 750ML , MALBEC"/>
        <s v="WHISKY JOHNNIE WALKER RED 1L"/>
        <s v="VINO AZAGADOR COSECHA BOT 750ML"/>
        <s v="VINO LA MASCOTA MALBEC X 750 ML"/>
        <s v="VINO SOUTHERN OCEAN 750ML"/>
        <s v="VINO MARQUES DE RISCAL ROSADO 750 ML"/>
        <s v="RON BARCELO GRAN AÑEJO X 750ML"/>
        <s v="VINO TRAPICHE MEDALLA 750ML , BLEND"/>
        <s v="ELVIVE HA PURE SHAMPOO 370ML"/>
        <s v="CREMA CHANTILLY X 380GR FLEISCHMANN"/>
        <s v="VINO TABERNERO BLANCO DE BLANCOS 750 ML"/>
        <s v="RTD MG SPIRIT BOT 275 ML, VODKA BLUE"/>
        <s v="LICOR JAGERMEISTER  X 700ML"/>
        <s v="VINO TINTO CLOS DE PIRQUE X 1LT. TETRA."/>
        <s v="RTD MG SPIRIT BOT 275 ML , MOJITO"/>
        <s v="RTD MG SPIRIT BOT 275 ML, GIN TONIC"/>
        <s v="CERVEZA PERONI PACK 6 BOT 330 ML"/>
        <s v="WHISKEY JACK DANIEL'S HONEY 1000ML"/>
        <s v="RON CARTAVIO SOLERA 750 ML"/>
        <s v="VINO INTIPALKA VARIETAL SAUV BLANC 750ML"/>
        <s v="PACK 2 VINOS TACAMA TINTO+ROSE 750ML C/U"/>
        <s v="COLAPEZ UNIVERSAL X 20 GR"/>
        <s v="BITTERS AMARGO BERNINA 75ML"/>
        <s v="HARINA AVENAX400GR SIN GLUTEN MI TIERRA"/>
        <s v="VINAGRE BALSAMICO DI MODENA X250ML PONS"/>
        <s v="ARVEJITAS VALLE FERTIL X 425 G."/>
        <s v="FUSILLI VERDURA X 500 GR LA MONTANARA"/>
        <s v="SILLAO X 500 ML   LAM"/>
        <s v="GELATINA UNIVERSAL 130 GR, PIÑA"/>
        <s v="SKYY INFUSIONS CITRUS 750ML"/>
        <s v="POLVO ALMID JOHNSONS BABY ORIGINAL 100G"/>
        <s v="VINO INTIPALKA COSECHA TARDIA 375ML"/>
        <s v="VINO TACAMA ROSE SEMI SECO X 750"/>
        <s v="BEBIDA PUM PUM TRES CRUCES 6P LAT 473ML"/>
        <s v="VINO INTIPALKA RSVA.CABERNE/P.VERDOT 750"/>
        <s v="CERVEZA HEINEKEN PACK 6 LATAS 310ML"/>
        <s v="VINO CABALLO LOCO GRAND CRU MAIPO X750ML"/>
        <s v="VINO TACAMA AMORE DE ICA 750 ML"/>
        <s v="PROTECTOR PISOS DE MADERA BINNER 700ml"/>
        <s v="VINO TACAMA GRAN BLANCO SECO X 750 ML."/>
        <s v="SILLAU # 01 X 160 CC EL KIKKO"/>
        <s v="FETTUCCINI EXTRA HUEVOX500GRS LA MONTANA"/>
        <s v="SOPA INST VASO MARUCHAN X 64G, GALLINA"/>
        <s v="GELATINA UNIVERSAL 130 GR, FRESA"/>
        <s v="ACEITE DE AJONJOLI X 60CC ALIDA CHIANG"/>
        <s v="VINO B&amp;G PARTAGER ROSE X 750ML"/>
        <s v="VINO LOS ARBOLES CAB/MB 750 ML"/>
        <s v="PISCO PORTON MOSTO VERDE ITALIA X 750M"/>
        <s v="PISCO PORTON M VERDE QUEBRANTAX 750M"/>
        <s v="GELATINA DIET UNIVERSAL C/STEVIA, FRESA"/>
        <s v="GELATINA DIET C/ STEVIA  PIÑA 12/19G"/>
        <s v="VINO ESCORIHUELA GASCON MALBEC X 750 ML"/>
        <s v="ESPUMOSO ZONIN ASTI 750 ML"/>
        <s v="VINO MUGA RIOJA RESERVA 750 ML"/>
        <s v="VINO CARLOS SERRES GRAN RESERVA 750ML"/>
        <s v="VINO CRIOS MALBEC 750ML."/>
        <s v="VINO CRIOS LIMITED EDITION 750ML"/>
        <s v="WHISKY SOMETHING SPECIAL X 1 L"/>
        <s v="GIN BEEFEATER PINK BOT 700 ML"/>
        <s v="PACK 2 VINOS TABERNERO G.TINTO 750ML C/U"/>
        <s v="WHISKY BUCHANAN´S DELUXE 12 AÑOS 750 ML"/>
        <s v="PISCO SOUR MARACUYA TABERNEROX700 ML"/>
        <s v="VINO VIÑA VIEJA MALBEC LATA 473ML"/>
        <s v="TRAPEADOR FELPA C/OJAL VERDE 70X50CM"/>
        <s v="LICOR DE CURAZAO X 750ML MITJANS"/>
        <s v="VINO C. DIABLO FABULOUS RED 750ML"/>
        <s v="CEREAL DE QUINUA NURA 200GR , CHOCO"/>
        <s v="VINO C. DIABLO FANTASTIC SWEET 750ML"/>
        <s v="CREMA DE MENTA X 750ML MITJANS"/>
        <s v="PACK 2 VINOS V.VIEJA BORGOÑA 750ML C/U"/>
        <s v="PACK 2 VINOS VIÑA VIEJA MALBEC 750ML C/U"/>
        <s v="VINO PATA NEGRA RESERVA x 750 ML"/>
        <s v="ESPUMOSO MARTINI PROSECCO BOT 750 ML"/>
        <s v="CITRICO COCTELERIA GO BARMAN,NARANJA45GR"/>
        <s v="INTIPALKA PISCO 750ML QUEBRANTA"/>
        <s v="RON MANDATARIO 700 ML"/>
        <s v="VINO ANGELICA ZAPATA MALBEC 750 ML"/>
        <s v="ESTANCIA MENDOZA CABERNET MALBEC"/>
        <s v="PALITOS DE CHOCO PEPERO, CHOCO COOKIE"/>
        <s v="PISCO SARCAY MV HOMENAJE ACHOLADO 700ML"/>
        <s v="VINO G.BLANCO S SECOX750TABER"/>
        <s v="VINO ESTANCIA MENDOZA CHARD-CHEN 750ML"/>
        <s v="CERVEZA HEINEKEN PACK 4 LATAS 473ML"/>
        <s v="VINO ESTANCIA MENDOZA MERLOT-MALBE.X 750"/>
        <s v="CARAVAN 66 EAU DE PARFUM POUR HOMME"/>
        <s v="VODKA RUSSKAYA CLASSIC 1 LT"/>
        <s v="PISCO PURO CUATRO GALLOS QUEBRANTA 1.75L"/>
        <s v="BITTER AMARGO CORTESANO X 75 ML"/>
        <s v="PISCO PURO HUAMANI TORONTEL 700 ML"/>
        <s v="AMARGO EL QUIJOTE X 120ML"/>
        <s v="RON CARTAVIO XO 750 ML"/>
        <s v="TABERNERO SOUR PIÑA COLADA 700ML"/>
        <s v="WHISKY SOMETHING SPECIAL X 750 ML"/>
        <s v="RON CARTAVIO RESERVA 750 ML"/>
        <s v="WHISKY CHIVAS REGAL 13AÑOS BOURBON 700ML"/>
        <s v="DEO NIVEA MEN SPRAY B&amp;W FRESH 150ML"/>
        <s v="CITRICO COCTELERIA GO BARMAN,TORONJA45GR"/>
        <s v="VINO VIÑA VIEJA ROSE LATA 473ML"/>
        <s v="VINO BORGOÑA GRAN SELECCIÓN BOT 750ML"/>
        <s v="FOUR LOKO 473ML , GREEN"/>
        <s v="REHIDRATANTE PEDIALYTE 500ML , CEREZA"/>
        <s v="VINO LA LINDA CABERNET SAUVIGNON 750 ML"/>
        <s v="VANISH LIQUIDO ROSA 450ML DYP"/>
        <s v="PACK 2 VINOS QUEIROLO ROSE +CHILCANO"/>
        <s v="CHOC.PASTILLA DE LECHE X 150G LA IBERICA"/>
        <s v="VINO GRAN ROSE S/SECO TABERNERO X 750"/>
        <s v="PISCO MONTESIERPE ITALIA X 700 ML"/>
        <s v="PISCO FINCA ROTONDO MACHU PICCHU , ACHOL"/>
        <s v="PETIT CORAZÓN BON O BON FRESA 45G"/>
        <s v="SALSA BBQ AHUMADA KRAFT X 410 GR"/>
        <s v="PACK CHILCANERO PANCHO FIERRO"/>
        <s v="HARINA DE MACA X 200 GR MARIMIEL"/>
        <s v="SIYAU KIKKO 1 LITROS"/>
        <s v="POTE CORAZÓN BUTTER TOFFEES SURTIDO 132G"/>
        <s v="BAÑOS HARPIC REMOVEDOR MANCHAS DP 500ML"/>
        <s v="DESOD NIVEA F/MEN SLV PROT AER X150ML"/>
        <s v=" TAB CHOC LA IBERICA FONDANT 40G"/>
        <s v="PISCO INTIPALKA MV X750ML, ACHOLADO"/>
        <s v="VINO VITTORIA ROSE BOT 750 ML"/>
        <s v="RON HAVANA CLUB AÑEJO ESPECIAL X 1 LT"/>
        <s v="VINO BLACK TOWER BLANCO 750 ML"/>
        <s v="SNACKS FILETE X 10UND TREATS     TMC-42"/>
        <s v="PACK APEROL+CINZANO TO-STPRITZ 750ML C/U"/>
        <s v="GELATINA UNIVERSAL 130 GR , CEREZA"/>
        <s v="PISCO DEMONIO DE LOS ANDES QUEBRAN 700ML"/>
        <s v="RTD HIT CARTAVIO 355 ML, CUBA LIBRE"/>
        <s v="BICARBONATO DE SODIO X 100 G UNIVERSAL"/>
        <s v="GELATINA UNIVERSAL 130 GR, DURAZNO"/>
        <s v="BACTERION JABON LIQUIDO VAINILLA X1L"/>
        <s v="EGUE BUC LISTERINE ZERO BOT 180ML"/>
        <s v="WHISKY JOHNNIE WALKER GOLD LABEL 750ML"/>
        <s v="VINO E.GASCON MALBEC/CAB SAUV BOT 750ML"/>
        <s v="ESCENCIA SABOR A VAINILLA UNIVERSAL"/>
        <s v="TE NARANJA X 25 SOBRES HORNIMANS"/>
        <s v="SILLAU # 06 X 350 CC EL KIKKO"/>
        <s v="ALGODON HIDROFIL X100GR METR/FAMILY CARE"/>
        <s v="KING KONG SAN ROQUE MANJARBLX 900GRS"/>
        <s v="SALSA TERIYAKI ESSENTIAL 295 ML"/>
        <s v="FLAN  VAINILLA  150 GRS.UNIVERSAL"/>
        <s v="POLVO DE  HORNEAR X 25 GR. UNIVERSAL"/>
        <s v="HARINA DE ALMENDRAS MARIMIELX200G"/>
        <s v="RON BACARDI GOLD 750 ML"/>
        <s v="VINO FINCA ROTONDO CHEN BLANC SAUVIG 750"/>
        <s v="VINO KENDALL JACKSON RESERVA, ZINFANDEL"/>
        <s v="VINO TACAMA ALIANZA LIMA MALBEC BOT750ML"/>
        <s v="VINO FINCA ROTONDO BLEND 750 ML"/>
        <s v="TEQUILA JOSE CUERVO 1800 REPOSADO 750 ML"/>
        <s v="LICOR 43 BOT 700ML"/>
        <s v="ENERGIZANTE REDBULL THE RED EITION 250ML"/>
        <s v="CHAPAGUET.FIDEOS E/SALSA D/SOYA X140 N.S"/>
        <s v="VINO PROTOS ROBLE RIBERA DEL DUERO 750ML"/>
        <s v="GEL MOCO DE GORILA X270 GRS, PUNK POTE"/>
        <s v="PASTA TRIGRANO FUSILLI AMÉRICAORGX227G"/>
        <s v="VINO TINTO LUIGI BOSCA MALBEC RESERVAX75"/>
        <s v="VINAGRE DE MANZANA X 500ML PERU PRIDE"/>
        <s v="GELATINA UNIVERSAL 38 GR, NARANJA"/>
        <s v="BARQUILLOS PARA HELADO 12UN CUISINE&amp;CO"/>
        <s v="VINO LUCA PINOT NOIR 750ML"/>
        <s v="CHIFLES C/CANCHA Y C.SECA ARTICHAY X500G"/>
        <s v="VINO POSTALES FIN DEL MUNDO MALBEC 750ML"/>
        <s v="ESENCIA SABOR A VAINILLA 100ML UNIVERSAL"/>
        <s v="PAÑO ABSORBENTE TRADIC VIRUTEX X20"/>
        <s v="CASHEW VALLEALTO BOLSA X90G"/>
        <s v="ESCOBA HOME CARE DE LUJO C/MANGO"/>
        <s v="CAFÉ MOLIDO 250 G IYARI"/>
        <s v="DEO NIVEAMEN FRESH ICE SPRAY 150ML"/>
        <s v="DEO ROLL ON NIVEA B&amp;W SILKY 50 ML"/>
        <s v="PISCO LABLANCO MOST.VERD GR.HERENCIAX500"/>
        <s v="RON MEDELLIN AÑEJO 12 AÑOS BOT 750 ML"/>
        <s v="PISCO VIÑAS DE ORO MV 500ML, TORONTEL"/>
        <s v="ALGODON X 60 PAÑOS COPPON BEBE"/>
        <s v="Terrafertil Frutos Rojos x20 sobres"/>
        <s v="CHOC PARA TAZA S/AZUCAR 100G LA IBERICA"/>
        <s v="VINO SMILEY CABERNET SAUVIGNON 750ML"/>
        <s v="VINO COSECHA TARAPACA 750ML, CAB SAUV"/>
        <s v="CURACAO TRIPLE SEC BARDINET X 700 ML"/>
        <s v="VINO COSECHA TARAPACA 750ML , CARMENERE"/>
        <s v="VINO VIÑA VIEJA BORGOÑA LATA 473ML"/>
        <s v="VINO LOS CARDOS CHARDONNAY X 750 ML."/>
        <s v="VINO ROSÉ GRAN SELECCIÓN BOT 750ML"/>
        <s v="PACK VINO BORGOÑA+SANGRIA VIÑA VIEJA"/>
        <s v="CORTA UÑA DIREMASA GRANDE X UND"/>
        <s v="ESPUMOSO TACAMA ROSA SALVAJE ROSE 750ML"/>
        <s v="RON FLOR DE CAÑA 4 AÑOS 750 ML"/>
        <s v="VINO KIDIA VARIETAL MERLOT 750ML"/>
        <s v="INTIPALKA PISCO 750ML ITALIA"/>
        <s v="VINO TINTO PASCUAL TOSO MALBEC X 750 ML"/>
        <s v="VINO TACAMA B.DE BLANCOS SB-VI-CH 750ML"/>
        <s v="CREMA DE AJI 85GR CUISINE &amp; CO"/>
        <s v="CREMA DE ROCOTO 85GR CUISINE &amp; CO"/>
        <s v="SILLAU # 04 X 500 CC EL KIKKO"/>
        <s v="VINO FINCA EL PORTILLO SAUV BLANC"/>
        <s v="VINO QUEIROLO ROSE S/SECO BOT 750 ML.."/>
        <s v="Harina de cañihua x 200 gr Marimiel"/>
        <s v="CREMA DE CHAMPIÑONES X 66GR CALNORT"/>
        <s v="AZUCAR IMPALPALBLE X 200 GR UNIVERSAL"/>
        <s v="FLAN DIET VAINILLA  X 19GRS UNIVERSAL"/>
        <s v="PACK 2 VINOS QUEIROLO MAG/BORG 750ML"/>
        <s v="VINO FINCA FLICHMAN ESTATE CH/VIOG 750ML"/>
        <s v="COCO RALLADO X 35 GR CUISINE&amp;CO"/>
        <s v="VINO LOCO DE PIEDRA RSVA CAR 750ML"/>
        <s v="PACK SCOTCH BRITE SECX4 + ESP2EN1X6"/>
        <s v="CO SCISSORS 3PACK CON/PEIN"/>
        <s v="TINTE EXCELLENCE, RUB.OSC.CENICIENTO 6.1"/>
        <s v="AGUARDIENTE ANTIOQUEÑO S/AZUCAR BT 750ML"/>
        <s v="WHISKY JAPONÉS IWAI BOT 750ML"/>
        <s v="VINO CATENA CHARDONNAY 750 ML"/>
        <s v="VINO EL COTO DE IMAZ RIOJA RSVA 750 ML"/>
        <s v="PACK MASON JARS PISCO PURO CUATRO GALLO"/>
        <s v="PISCO LA CARAVEDO BOT X 750 ML, TORONTEL"/>
        <s v="TINTE PALETTE COLO, 6.68 CHOCOLATE CLARO"/>
        <s v="VINO TRAPICHE ASTICA CAB/MALBEC 750ML"/>
        <s v="PISCO MV HUAMANI QUEBRANTA 700 ML"/>
        <s v="PISCO BIONDI ACHOLADO X 500 ML"/>
        <s v="VINO DOÑA PAULA MALBEC ESTATE X 750 ML"/>
        <s v="AMARETTO DISARONNO BOT 700 ML"/>
        <s v="RON PLANTATION X0 20 ANNIVERSARY 750 ML"/>
        <s v="PISCO KUSKALLA QUEBRANTA X 750ML"/>
        <s v="CHIFLES LECHE DE TIGRE CRICKETS X 250G"/>
        <s v="GELATINA DIET  X 19GR UNIVERSAL, NARANJA"/>
        <s v="POLVO HORNEAR S GLUTEN X 100G UNIVERSAL"/>
        <s v="TINTE IGORA VITAL, RUBIO OSC. CENIZO 6-1"/>
        <s v="ACONDIC JOHNSON'S BABY X400ML , ORIGINAL"/>
        <s v="VIRUTEX LIMPIADOR BAMBU 3800 ML"/>
        <s v="TINTE CREME GLOSS CAST, RUBIO OSCURO 600"/>
        <s v="TINTE EXCELLEN, CASTAÑO CLARO CENIZO 5.1"/>
        <s v="ACONDIC JOHNSON'S BABY X400M , MANZANILL"/>
        <s v="SOPA ANSUNG(CARNE)X 125 GR NONG SHIM"/>
        <s v="SALSA  POMODORO  OLIVE X 400 GR AGNESI"/>
        <s v="VINO BUENOS AIRES RED BLEND 750ML"/>
        <s v="VINO INTIPALKA VARIETAL CHARDONNAY 750ML"/>
        <s v="PACK 2 VINOS QUEIROLO BORG/ROSE 750ML"/>
        <s v="CERVEZA AMSTEL PREMIUM 6P LT 310ML"/>
        <s v="SPAGHETTI DE QUINOA REAL L GLU 250 DORAD"/>
        <s v="PALMITO  ENTEROS X 450 GR VALLE FERTIL"/>
        <s v="GELATINA UNIVERSAL 38 GR, PIÑA"/>
        <s v="VINO VIÑA VIEJA CHENIN BLANC LATA 473ML"/>
        <s v="DEO NIVEA INVISIBLE B&amp;W SILKY 150ML"/>
        <s v="ANIS AZUL SEMISECO X 750 NAJAR"/>
        <s v="SHAMPO FRASCOJIN X400 ML AMMENS , MANZAN"/>
        <s v="PISCO FINCA ROTONDO X 750 ML, PURO"/>
        <s v="PISCO FINCA ROTONDO X 750 ML, ACHOLADO"/>
        <s v="AMARGO MR JIGGER X 75 ML"/>
        <s v="LA OCA GEL LAVAVJILLA MAQUINA X 740 ML"/>
        <s v="RTD CHILCANO MANGO LATA 355ML"/>
        <s v="VINO MARQUES DE RISCAL BCO RUEDA 750 ML"/>
        <s v="WHISKY JOHNNIE WALKER DOUBLE BLACK 1L"/>
        <s v="VINO PATA NEGRA ROBLE x 750 ML"/>
        <s v="RON BLANCO CON COCO MALIBU BOT 750 ML"/>
        <s v="FOUR LOKO 473ML , PURPLE"/>
        <s v="PACK 2 VINOS QUEIROLO BORGOÑA 750ML"/>
        <s v="REHIDRATANTE SUEROX PACK X 4UN , MIX"/>
        <s v="DEO NIVEA DEEP DARK WOOD SPRAY 150ML"/>
        <s v="PISCO FINCA RETONDO MACHU PICCCHU, ACHOL"/>
        <s v="STEVIA POTE X 50GR CUISINE &amp; CO"/>
        <s v="STEVIA LIQ X 100ML CUISINE &amp; CO"/>
        <s v="CREMA NIVEA SOFT DOMO POTE X 200ML"/>
        <s v="CHOC. FONDANT PASTIL.X 150GR LA IBERICA"/>
        <s v="PISCO LA BOTIJA TABERNERO X700, ACHOLADO"/>
        <s v="VINO C.MACUL ANTIGUAS RESERVAS MERLOT"/>
        <s v="TRAT CAPI ELVIVE ACTE EXTRAORD BOT100ML"/>
        <s v="GIN GORDONS LONDON DRY 750ML"/>
        <s v="RON MANDATARIO 6 AÑOS BOT 700ML"/>
        <s v="MERMELADA ARAND LIGHT CASA VERDE 180GR"/>
        <s v="GLYCO-BRIGHT GEL LIMPIADOR ANTI-M 150ML"/>
        <s v="TIO NACHO SH PURIFICA CELULA MADRE 950ML"/>
        <s v="MASC GARNIER TELA SACHET 32GR , GRANADA"/>
        <s v="PISCO SARCAY PURO 700ML , QUEBRAN"/>
        <s v="VINO CATENA CABERNET SAUVIGNON 750 ML"/>
        <s v="LEVADURA INSTANTANEA MAURIPAN 125 GR"/>
        <s v="ESENCIA DE VANILLA FLEISCHMANN 500ML"/>
        <s v="SPAGHETTI #3 X 500 GR AGNESI"/>
        <s v="VINO ESCORIHUELA GASCON SAUVIG BLANC.750"/>
        <s v="VINO HAROLDOS 750 ML , CHIN"/>
        <s v="ESPUMANTE RICCADONNA ASTI BOT 750ML"/>
        <s v="SALSA TAMARINDO X 4 ONZ A.CHIANG"/>
        <s v="MANTEQUILLA DE MANI X230GR SANTA MANIA"/>
        <s v="FUDGE ESPECIAL X1KG LEITE"/>
        <s v="SHAMPOO MEDICASP 130 ML"/>
        <s v="CERVEZA TRES CRUCES PUMPUM PK 6 LT 310ML"/>
        <s v="CHAPAGURI ANGRY X 140GR"/>
        <s v="COLAPIZ SIN GLUTEN X 20G UNIVERSAL"/>
        <s v="VINO CANALLAS  750ML"/>
        <s v="VINO M.DE RISCAL ARIENZO CRIANZA 750ML"/>
        <s v="ACEITUNA NEGRA BOTIJA EXTRA X 400 GR"/>
        <s v="VINO CRUX MALBEC 750ML"/>
        <s v="VINO CRUX XTRA MALBEC 750ML"/>
        <s v="VINO TRUMPETER RESERVA BLEND"/>
        <s v="VINO KIDIA VARIETAL SAU.BLANC 750ML"/>
        <s v="PISCO FINCA ROTONDO MACHU PICCHU , QUEBR"/>
        <s v="LICOR BAILEYS IRISH CREAM 750 ML"/>
        <s v="CAMPARI BITTER X 750 ML"/>
        <s v="VINO TRUMPETER CABERNET SAUV. X 750ML"/>
        <s v="VODKA ABSOLUT X 700 ML"/>
        <s v="FARFALLE # 61 X 500 GR AGNESI"/>
        <s v="VINO SANTIAGO QUEIROLO BORGOÑA 2LT"/>
        <s v="AGUA DE AZAHAR X 1000 ML.( ERZA)"/>
        <s v="PAPEL ALUMINIO 24MT ESTUCHE"/>
        <s v="CHOCOLATES CONFIT. 47.9G M&amp;M MILK CHOCOL"/>
        <s v="CARAMELOS SKITTLES WILD BERRY 62 GR"/>
        <s v="CHIC.METRICO ORIGINALBUBBLE TAPE X 56.7"/>
        <s v="CHICLE EXTRA WRIGLEY 15STK, MENTA POLAR"/>
        <s v="CHOCOLATE BARRA X 1.84 OZ MILKY WAY"/>
        <s v="CHOCOLATE BARRA  X 1.86 OZ  SNICKERS"/>
        <s v="CREMA CHANTILLY FLEISCHMANN X 60 GR"/>
        <s v="FLAN  LUCUMA 150 GRS. UNIVERSAL"/>
        <s v="MAICENA  X 180GR UNIVERSAL"/>
        <s v="FILETE ANCHOAS /ACEITE OLIVA VF 100G"/>
        <s v="TINTE CREME GLOSS C, CASTAÑO NATURAL 400"/>
        <s v="RON FLOR DE CAÑA 5 AÑOS 750 ML"/>
        <s v="SACASARRO 500ML HOME CARE"/>
        <s v="TINTE IGORA VITAL 7-1 RUB MED CEN"/>
        <s v="TINTE 71 VAINILLA(RUBIO CENIZO) NUTRISSE"/>
        <s v="NUTRISSE OLEO RUBIO CENIZO NACARADO 7.12"/>
        <s v="VINO TRUMPETER MALBEC X 750 ML"/>
        <s v="VINO KENDALL JACKSON RESERVA T, CABERNET"/>
        <s v="VINO N.SENETINER ESTATE MALBEC BOT 750ML"/>
        <s v="VINO TRAPICHE VINEYARDS MALBEC 750ML"/>
        <s v="SPAGHETTI S/GLUTEN MOL.DEL MUNDO 400G."/>
        <s v="VINO TACAMA S.ESPECIAL A.BOUSCHET 750ML"/>
        <s v="VINO TACAMA GRAN TINTO X  750 ML."/>
        <s v="ACEIT NEGRA COCKTAIL 280G CUISINE&amp;CO POT"/>
        <s v="WHISKY MONKEY SHOULDER BOT 700ML"/>
        <s v="VINO TINTO BENJAMIN NIETO CAB/SAUV X 750"/>
        <s v="PISCO BIONDI ITALIA X 500 ML"/>
        <s v="POLENTA INSTANTANEA X 500 GR AGNESI"/>
        <s v="MAZAMORRA PIÑA 150GR UNIVERSAL"/>
        <s v="PISCO MV HUAMANI ACHOLADO 700 ML"/>
        <s v="JARABE DE GOMA BIZARRO, LIGHT"/>
        <s v="LICOR JAGERMEISTER 350ML"/>
        <s v="CREMA DE MENTA BARDINET X 700" u="1"/>
        <s v="AGUA TÓNICA BRITVIC REGULAR 150ML" u="1"/>
        <s v="PALMITO  ENTEROS X 450 GR VALLE FERTIL" u="1"/>
        <s v="STICKS D/QUINUA QUESO CHEDD 80G MAMALAMA" u="1"/>
        <s v="ALGODON HIDROFIL X100GR FAMILY CARE" u="1"/>
        <s v="GOODY ACC PATTERNED STARTIGHT BARRETTEX8" u="1"/>
        <s v="RON CARUPANO RESERVA 18 LIMITADA 750ML" u="1"/>
        <s v="NUTRIBELA-SH-BIOKERATINA-FR400ML" u="1"/>
      </sharedItems>
    </cacheField>
    <cacheField name="CANTIDAD" numFmtId="0">
      <sharedItems containsSemiMixedTypes="0" containsString="0" containsNumber="1" containsInteger="1" minValue="1" maxValue="180"/>
    </cacheField>
    <cacheField name="FILTRADOR" numFmtId="0">
      <sharedItems containsBlank="1"/>
    </cacheField>
    <cacheField name="STATUS INICIAL" numFmtId="0">
      <sharedItems count="2">
        <s v="FALTANTE"/>
        <s v="SOBRANTE"/>
      </sharedItems>
    </cacheField>
    <cacheField name="PROCESO DETECTADO" numFmtId="0">
      <sharedItems/>
    </cacheField>
    <cacheField name="TIENDA FINAL" numFmtId="0">
      <sharedItems containsMixedTypes="1" containsNumber="1" containsInteger="1" minValue="7620873040" maxValue="7640114915"/>
    </cacheField>
    <cacheField name="LPN FINAL" numFmtId="0">
      <sharedItems containsMixedTypes="1" containsNumber="1" containsInteger="1" minValue="762057129" maxValue="7640115856"/>
    </cacheField>
    <cacheField name="USUARIO PICKING ERROR" numFmtId="0">
      <sharedItems containsBlank="1" count="82">
        <s v="DQUICHCAP"/>
        <s v="AARMASV"/>
        <s v="AHUAMANPI"/>
        <s v="DVICTORIOB"/>
        <s v="-"/>
        <s v="MVELARDER"/>
        <s v="GENERICO"/>
        <s v="BRODASY"/>
        <s v="WRUIZA"/>
        <s v="HRAMOS"/>
        <s v="CYUCRA"/>
        <s v="MVERAL"/>
        <s v="MCORIMAYOL"/>
        <s v="YFALCONA"/>
        <s v="LVEGAH"/>
        <s v="OPILCO"/>
        <s v="BBONILLAR"/>
        <s v="JFLORESP"/>
        <s v="CROJAZZ"/>
        <s v="SALDAÑA"/>
        <s v="FCHAVEZ"/>
        <s v="ACUEVAJ"/>
        <s v="GHUANANEG"/>
        <s v="RROMEROM"/>
        <s v="AHUAMANCAYOD"/>
        <s v="FCARHUANCHOZ"/>
        <s v="JLIMACHEC"/>
        <s v="EQUISPET"/>
        <s v="JMENDEZR"/>
        <s v="KLUQUILLASR"/>
        <s v="JPAUCAR"/>
        <s v="FGUZMAN"/>
        <s v="EVENTURAG"/>
        <s v="LCHUNOCCAQ"/>
        <s v="ALMACEN"/>
        <s v="JLOPEZ"/>
        <s v="HRIVERAR"/>
        <s v="DYUPANQUIL"/>
        <s v="JCUTIS"/>
        <s v="AORDONEZP"/>
        <s v="JHUAMANGU"/>
        <s v="JCEDANOC"/>
        <s v="FRANZG"/>
        <s v="AHUAMANIL"/>
        <s v="RLOPEZG"/>
        <s v="WALEGRIA"/>
        <s v="JJESUSA"/>
        <s v="JCHOMBO"/>
        <s v="DCAPCHA"/>
        <s v="FCRUZR"/>
        <s v="CPASTORS"/>
        <s v="JCCOSCCOJ"/>
        <s v="INVENTARIO"/>
        <s v="JHONO"/>
        <s v="JVILCHEZ"/>
        <s v="JVARA"/>
        <s v="ASATURNOS"/>
        <s v="JROSALESD"/>
        <s v="RVILCA"/>
        <s v="GLAZARO"/>
        <s v="JTORRESE"/>
        <s v="MRAMOSE"/>
        <s v="WQUISPEC"/>
        <s v="RBALVIS"/>
        <s v="NMASGO"/>
        <s v="AHUARANGA"/>
        <s v="EZACARIAS"/>
        <s v="JPUENTE"/>
        <s v="PESPILCO"/>
        <s v="BTORIBIO"/>
        <s v="YVITERVOL"/>
        <s v="RMAZP"/>
        <m u="1"/>
        <s v="VALIDACIÓN" u="1"/>
        <s v="HUAMANCAYO" u="1"/>
        <s v="CMONTES" u="1"/>
        <s v="JUAN AYALA" u="1"/>
        <s v="LUQUILLA" u="1"/>
        <s v="DEZA" u="1"/>
        <s v="BRAMOSA" u="1"/>
        <s v="JOSUE ARIAS" u="1"/>
        <s v="CHUÑOCA" u="1"/>
      </sharedItems>
    </cacheField>
    <cacheField name="USUARIO FILTRO ERROR" numFmtId="0">
      <sharedItems containsBlank="1" count="13">
        <s v="-"/>
        <s v="JOSUE ARIAS"/>
        <s v="JORGE AVILA"/>
        <s v="JUAN AYALA"/>
        <s v="ANGEL HUAMANCAYO"/>
        <s v="JOE LIMACHE"/>
        <s v="LOPEZC"/>
        <s v="PIERO ESPILCO"/>
        <s v="ROSALES"/>
        <s v="ANGELO"/>
        <s v="CARHUANCHO"/>
        <m u="1"/>
        <s v="LIMACHE" u="1"/>
      </sharedItems>
    </cacheField>
    <cacheField name="DETALLE " numFmtId="0">
      <sharedItems containsBlank="1" count="19">
        <s v="ERROR DE PICKING"/>
        <s v="ERROR DE FILTRO "/>
        <s v="ERROR DE PICKING / FILTRO"/>
        <s v="ERROR DE INVENTARIO"/>
        <s v="ERROR DE CONSOLIDACION"/>
        <s v="CRUCE DE ORIGEN"/>
        <s v="ERROR DE DE RECEPCION"/>
        <m u="1"/>
        <s v="ERROR DE DISTRIBUCIÓN / FILTRO" u="1"/>
        <s v="ERROR DE DISTRIBUCIÓN" u="1"/>
        <s v="MANDAR CONTEO A TIENDA" u="1"/>
        <s v="ERROR DE EXTRACCIÓN/DISTRIBUCIÓN" u="1"/>
        <s v="ERROR DE FILTRO EN  STAGING" u="1"/>
        <s v="SOBRANTE FILTRO" u="1"/>
        <s v="INVENTARIO GENERAL" u="1"/>
        <s v="ERROR DE MODULACION" u="1"/>
        <s v="FALTANTE INVENTARIO GENERAL" u="1"/>
        <s v="AHUAMANCAYOD" u="1"/>
        <s v="ERROR DE FILTRO PISO" u="1"/>
      </sharedItems>
    </cacheField>
    <cacheField name="OBSERVACION FINAL" numFmtId="0">
      <sharedItems containsBlank="1" count="48">
        <s v="FALTANTE ERROR DE DISTRIBUCION"/>
        <s v="DECLARO FALSO FALTANTE"/>
        <s v="DEJO MERCADERIA DE MAS EN LPN"/>
        <s v="FALTANTE ERROR DE PICKING"/>
        <s v="PICKING EXTRAJO DE MENOS"/>
        <s v="PICKING NO EXTRAJO MERCADERIA DE UBICACIÓN"/>
        <s v="DECLARO FALSO SOBRANTE"/>
        <s v="PICKING EXTRAJO DE MAS"/>
        <s v="SOBRANTE DETECTADO EN AUDITORIA DE LPN"/>
        <s v="PICKING NO EXTRAJO MERCADERIA/ FILTRO DETECTO Y NO REPORTO"/>
        <s v="FALTANTE DETECTADO EN AUDITORIA DE LPN"/>
        <s v="ERROR EN CONTEO CICLICO ALTURA"/>
        <s v="PICKING Y FILTRO NO DETECTARON FALTANTE EN LPN"/>
        <s v="ERROR DE PICKING / DETECTADO EN INVENTARIO CICLICO"/>
        <s v="ERROR DE EXTRACCIÓN/DISTRIBUCIÓN"/>
        <s v="CRUCE DE ORIGEN DETECTADO EN LA DISTRIBUCION"/>
        <s v="DISTRIBUYÓ A OTRA TIENDA"/>
        <s v="NO REPORTO DIFERENCIA"/>
        <s v="CD16 ENVIO MENOS 1 UNIDAD"/>
        <s v="EXTRAVIADO EN EL CD16"/>
        <s v="ERROR DE PICKING / PICKING NO SOLICITABA"/>
        <s v="SE RECHAZO AL PROVEEDOR Y NO SE MODIFICO EN SAP"/>
        <s v="SOBRANTE DETECTADO EN CONSOLIDACION"/>
        <s v="SE ENCONTRO EN EL PISO "/>
        <s v="SOBRANTE DETECTADO EN INVENTARIO CICLICO"/>
        <s v="sobrante DETCTADO EN AUDITORIA DE LPN"/>
        <s v="FALTANTE DETECTADO EN PICKING"/>
        <s v="FALTANTE DE ORIGEN"/>
        <s v="ERROR DE CONTEO DE FILTRO"/>
        <s v="LLEGARON 3 PAQUETES DE MAS ENTRE LAS CAMAS DE APILAMIENTO"/>
        <s v="SE MANDO A TIENDA FALTANTE"/>
        <s v="POSIBLE FALTANTE DE ORIGEN"/>
        <s v="NO SE REGULARIZO RETIRO DE STAGING"/>
        <s v="DISTRIBUYÓ DE MAS "/>
        <s v="CRUCE DE CODIGOS SOBRANTE FALTANTE"/>
        <s v="NO EXTRAJO CANTIDAD TOTAL"/>
        <s v="SOBRANTE DETECTADO EN PICKING"/>
        <s v="SOBRANTE EN INVENTARIO GENERAL"/>
        <s v="DEJARON ENCIMA DE OTRO PALLET"/>
        <s v="ERROR DE VALIDACION UM"/>
        <s v="DECLARO FALSO EXCEDENTE"/>
        <s v="NO DETECTO FALTANTE"/>
        <s v="MANDO FALTANTE A TIENDA"/>
        <s v="ERROR DE PICKING Y FILTRO"/>
        <s v="ERROR DE PICKING"/>
        <m u="1"/>
        <s v="DISTRIBUYO A OTRA TIENDA" u="1"/>
        <s v="DISTRIBUYO DE MAS " u="1"/>
      </sharedItems>
    </cacheField>
    <cacheField name="STATUS FINAL" numFmtId="0">
      <sharedItems containsBlank="1" count="7">
        <s v="CUADRADO"/>
        <s v="FALTANTE"/>
        <s v="SOBRANTE"/>
        <s v="VALIDACION" u="1"/>
        <m u="1"/>
        <s v="VALIDACIÓN" u="1"/>
        <s v="EN VALIDACION" u="1"/>
      </sharedItems>
    </cacheField>
    <cacheField name="TURNO ERROR" numFmtId="0">
      <sharedItems containsBlank="1" count="7">
        <s v="MAÑANA"/>
        <s v="TARDE"/>
        <s v="ALMACEN"/>
        <s v="" u="1"/>
        <m u="1"/>
        <s v="VALIDACIÓN" u="1"/>
        <s v=" " u="1"/>
      </sharedItems>
    </cacheField>
    <cacheField name="PROCESO ERROR" numFmtId="0">
      <sharedItems count="8">
        <s v="PICKING"/>
        <s v="FILTRO"/>
        <s v="PICKING / FILTRO"/>
        <s v="INVENTARIO"/>
        <s v="DESPACHO"/>
        <s v="CRUCE DE ORIGEN"/>
        <s v="RECEPCION"/>
        <e v="#N/A" u="1"/>
      </sharedItems>
    </cacheField>
    <cacheField name="LIDER ERROR" numFmtId="0">
      <sharedItems/>
    </cacheField>
    <cacheField name="ALMACEN " numFmtId="0">
      <sharedItems count="153">
        <s v="FLUJO CONTINUO"/>
        <s v="ALMACENADO"/>
        <s v="27.97" u="1"/>
        <s v="90.27" u="1"/>
        <s v="3.4" u="1"/>
        <s v="5.31" u="1"/>
        <s v="3.5" u="1"/>
        <s v="27.06" u="1"/>
        <s v="36.96" u="1"/>
        <s v="38.43" u="1"/>
        <s v="29.81" u="1"/>
        <s v="13.37" u="1"/>
        <s v="22.99" u="1"/>
        <s v="26.65" u="1"/>
        <s v="29.78" u="1"/>
        <s v="32.42" u="1"/>
        <s v="57.01" u="1"/>
        <s v="79.91" u="1"/>
        <s v="15.12" u="1"/>
        <s v="150.07" u="1"/>
        <s v="90" u="1"/>
        <s v="14.3" u="1"/>
        <s v="6.03" u="1"/>
        <s v="122.38" u="1"/>
        <s v="31.07" u="1"/>
        <s v="34.51" u="1"/>
        <s v="103.97" u="1"/>
        <s v="153.79" u="1"/>
        <s v="1.22" u="1"/>
        <s v="22.01" u="1"/>
        <s v="25.14" u="1"/>
        <s v="1.6" u="1"/>
        <s v="10.1" u="1"/>
        <s v="19.8" u="1"/>
        <s v="4.45" u="1"/>
        <s v="20.82" u="1"/>
        <s v="37.45" u="1"/>
        <s v="26.64" u="1"/>
        <s v="4.24" u="1"/>
        <s v="21.57" u="1"/>
        <s v="20.88" u="1"/>
        <s v="38.76" u="1"/>
        <s v="2.56" u="1"/>
        <s v="7.88" u="1"/>
        <s v="19.27" u="1"/>
        <s v="23.57" u="1"/>
        <s v="7.26" u="1"/>
        <s v="65.99" u="1"/>
        <s v="59.06" u="1"/>
        <s v="2.76" u="1"/>
        <s v="34.9" u="1"/>
        <s v="82.38" u="1"/>
        <s v="3.39" u="1"/>
        <s v="62.1" u="1"/>
        <s v="9.24" u="1"/>
        <s v="14.32" u="1"/>
        <s v="5" u="1"/>
        <s v="13.5" u="1"/>
        <s v="35.53" u="1"/>
        <s v="55.52" u="1"/>
        <s v="25.66" u="1"/>
        <s v="12.22" u="1"/>
        <s v="104.17" u="1"/>
        <s v="46.68" u="1"/>
        <s v="12.9" u="1"/>
        <s v="7.04" u="1"/>
        <s v="13.69" u="1"/>
        <s v="24.78" u="1"/>
        <s v="64.76" u="1"/>
        <s v="180.61" u="1"/>
        <s v="80.8" u="1"/>
        <s v="2.1" u="1"/>
        <s v="6.92" u="1"/>
        <s v="27.03" u="1"/>
        <s v="0.76" u="1"/>
        <s v="12.56" u="1"/>
        <s v="18.41" u="1"/>
        <s v="46.77" u="1"/>
        <s v="12.12" u="1"/>
        <s v="26.34" u="1"/>
        <s v="55.23" u="1"/>
        <s v="93.74" u="1"/>
        <s v="3" u="1"/>
        <s v="8.59" u="1"/>
        <s v="28.81" u="1"/>
        <s v="47.55" u="1"/>
        <s v="28.06" u="1"/>
        <s v="57.23" u="1"/>
        <e v="#N/A" u="1"/>
        <s v="11.24" u="1"/>
        <s v="43.98" u="1"/>
        <s v="23.7" u="1"/>
        <s v="52.44" u="1"/>
        <s v="9.7" u="1"/>
        <s v="5.04" u="1"/>
        <s v="41.63" u="1"/>
        <s v="20.1" u="1"/>
        <s v="38.7" u="1"/>
        <s v="9.11" u="1"/>
        <s v="10.83" u="1"/>
        <s v="22.86" u="1"/>
        <s v="51.03" u="1"/>
        <s v="12.99" u="1"/>
        <s v="38.83" u="1"/>
        <s v="45.54" u="1"/>
        <s v="61.15" u="1"/>
        <s v="10.36" u="1"/>
        <s v="24.58" u="1"/>
        <s v="3.05" u="1"/>
        <s v="18.37" u="1"/>
        <s v="35.95" u="1"/>
        <s v="7.12" u="1"/>
        <s v="20.04" u="1"/>
        <s v="7.53" u="1"/>
        <s v="38.92" u="1"/>
        <s v="15.05" u="1"/>
        <s v="17.96" u="1"/>
        <s v="10.73" u="1"/>
        <s v="76.24" u="1"/>
        <s v="15.61" u="1"/>
        <s v="48.57" u="1"/>
        <s v="51.21" u="1"/>
        <s v="230.31" u="1"/>
        <s v="6.48" u="1"/>
        <s v="10.98" u="1"/>
        <s v="25.01" u="1"/>
        <s v="131.27" u="1"/>
        <s v="41.62" u="1"/>
        <s v="68.37" u="1"/>
        <s v="33.19" u="1"/>
        <s v="46.47" u="1"/>
        <s v="4.49" u="1"/>
        <s v="19.33" u="1"/>
        <s v="3.96" u="1"/>
        <s v="35.94" u="1"/>
        <s v="69.43" u="1"/>
        <s v="73.01" u="1"/>
        <s v="76.42" u="1"/>
        <s v="164.41" u="1"/>
        <s v="21.25" u="1"/>
        <s v="8.35" u="1"/>
        <s v="105.44" u="1"/>
        <s v="19.39" u="1"/>
        <s v="12.16" u="1"/>
        <s v="20.84" u="1"/>
        <s v="44.18" u="1"/>
        <s v="129.41" u="1"/>
        <s v="3.1" u="1"/>
        <s v="5.73" u="1"/>
        <s v="32.43" u="1"/>
        <s v="5.42" u="1"/>
        <s v="59.02" u="1"/>
        <s v="61.13" u="1"/>
      </sharedItems>
    </cacheField>
    <cacheField name="VALORIZADO" numFmtId="164">
      <sharedItems containsSemiMixedTypes="0" containsString="0" containsNumber="1" minValue="0.76" maxValue="1149.96"/>
    </cacheField>
    <cacheField name="CATEGORIA" numFmtId="164">
      <sharedItems count="8">
        <s v="ABARROTES BEBIBLES"/>
        <s v="ABARROTES COMESTIBLES"/>
        <s v="ABARROTES NO COMESTIBLES"/>
        <s v="BAZAR"/>
        <s v="PRODUCCION Y ELABORADOS"/>
        <s v="VINOS Y ESPUMANTES"/>
        <s v="HOGAR"/>
        <e v="#N/A" u="1"/>
      </sharedItems>
    </cacheField>
    <cacheField name="MES" numFmtId="164">
      <sharedItems containsBlank="1" count="9">
        <s v="1. ENERO"/>
        <s v="2. FEBRERO"/>
        <s v="3. MARZO"/>
        <s v="4. ABRIL"/>
        <s v="5. MAYO"/>
        <m u="1"/>
        <s v="ENERO" u="1"/>
        <s v="FEBRERO" u="1"/>
        <s v="MARZO" u="1"/>
      </sharedItems>
    </cacheField>
    <cacheField name="STATUS AJUSTE" numFmtId="0">
      <sharedItems containsBlank="1" count="6">
        <s v="NO AJUSTADO"/>
        <s v="AJUSTADO"/>
        <m u="1"/>
        <s v="-" u="1"/>
        <s v="CUADRADO" u="1"/>
        <s v="PENDIENTE" u="1"/>
      </sharedItems>
    </cacheField>
    <cacheField name="QUINCENA" numFmtId="0">
      <sharedItems containsBlank="1" count="3">
        <s v="1ra QUINCENA"/>
        <s v="2da QUINCENA"/>
        <m u="1"/>
      </sharedItems>
    </cacheField>
  </cacheFields>
  <extLst>
    <ext xmlns:x14="http://schemas.microsoft.com/office/spreadsheetml/2009/9/main" uri="{725AE2AE-9491-48be-B2B4-4EB974FC3084}">
      <x14:pivotCacheDefinition pivotCacheId="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4">
  <r>
    <x v="0"/>
    <s v="-"/>
    <s v="-"/>
    <x v="0"/>
    <x v="0"/>
    <n v="12"/>
    <s v="S/N"/>
    <x v="0"/>
    <s v="-"/>
    <s v="-"/>
    <s v="-"/>
    <x v="0"/>
    <x v="0"/>
    <x v="0"/>
    <x v="0"/>
    <x v="0"/>
    <x v="0"/>
    <x v="0"/>
    <s v="DANIEL PEREZ"/>
    <x v="0"/>
    <n v="124.32"/>
    <x v="0"/>
    <x v="0"/>
    <x v="0"/>
    <x v="0"/>
  </r>
  <r>
    <x v="0"/>
    <s v="-"/>
    <s v="-"/>
    <x v="1"/>
    <x v="1"/>
    <n v="3"/>
    <s v="S/N"/>
    <x v="0"/>
    <s v="-"/>
    <s v="-"/>
    <s v="-"/>
    <x v="1"/>
    <x v="0"/>
    <x v="0"/>
    <x v="0"/>
    <x v="0"/>
    <x v="0"/>
    <x v="0"/>
    <s v="BENJAMIN LIZARBE"/>
    <x v="0"/>
    <n v="281.21999999999997"/>
    <x v="0"/>
    <x v="0"/>
    <x v="0"/>
    <x v="0"/>
  </r>
  <r>
    <x v="0"/>
    <s v="-"/>
    <s v="-"/>
    <x v="2"/>
    <x v="2"/>
    <n v="1"/>
    <s v="S/N"/>
    <x v="0"/>
    <s v="-"/>
    <s v="-"/>
    <s v="-"/>
    <x v="2"/>
    <x v="0"/>
    <x v="0"/>
    <x v="0"/>
    <x v="0"/>
    <x v="1"/>
    <x v="0"/>
    <s v="DAVID PIÑAN"/>
    <x v="0"/>
    <n v="76.42"/>
    <x v="0"/>
    <x v="0"/>
    <x v="0"/>
    <x v="0"/>
  </r>
  <r>
    <x v="1"/>
    <s v="T104"/>
    <n v="7620860406"/>
    <x v="3"/>
    <x v="3"/>
    <n v="1"/>
    <s v="S/N"/>
    <x v="0"/>
    <s v="-"/>
    <s v="T106"/>
    <n v="7620860204"/>
    <x v="3"/>
    <x v="0"/>
    <x v="0"/>
    <x v="0"/>
    <x v="0"/>
    <x v="1"/>
    <x v="0"/>
    <s v="DAVID PIÑAN"/>
    <x v="0"/>
    <n v="82.38"/>
    <x v="0"/>
    <x v="0"/>
    <x v="0"/>
    <x v="0"/>
  </r>
  <r>
    <x v="1"/>
    <s v="T116"/>
    <n v="7620854821"/>
    <x v="4"/>
    <x v="4"/>
    <n v="1"/>
    <s v="S/N"/>
    <x v="0"/>
    <s v="-"/>
    <s v="T116"/>
    <n v="7620854821"/>
    <x v="4"/>
    <x v="1"/>
    <x v="1"/>
    <x v="1"/>
    <x v="0"/>
    <x v="1"/>
    <x v="1"/>
    <s v="DAVID PIÑAN"/>
    <x v="0"/>
    <n v="48.57"/>
    <x v="0"/>
    <x v="0"/>
    <x v="0"/>
    <x v="0"/>
  </r>
  <r>
    <x v="1"/>
    <s v="T116"/>
    <n v="7620854821"/>
    <x v="5"/>
    <x v="5"/>
    <n v="5"/>
    <s v="S/N"/>
    <x v="0"/>
    <s v="-"/>
    <s v="T116"/>
    <n v="7620854821"/>
    <x v="4"/>
    <x v="1"/>
    <x v="1"/>
    <x v="1"/>
    <x v="0"/>
    <x v="1"/>
    <x v="1"/>
    <s v="DAVID PIÑAN"/>
    <x v="0"/>
    <n v="329.95"/>
    <x v="0"/>
    <x v="0"/>
    <x v="0"/>
    <x v="0"/>
  </r>
  <r>
    <x v="1"/>
    <s v="T116"/>
    <n v="7620854821"/>
    <x v="6"/>
    <x v="6"/>
    <n v="6"/>
    <s v="S/N"/>
    <x v="0"/>
    <s v="-"/>
    <s v="T116"/>
    <n v="7620854821"/>
    <x v="4"/>
    <x v="1"/>
    <x v="1"/>
    <x v="1"/>
    <x v="0"/>
    <x v="1"/>
    <x v="1"/>
    <s v="DAVID PIÑAN"/>
    <x v="0"/>
    <n v="249.71999999999997"/>
    <x v="0"/>
    <x v="0"/>
    <x v="0"/>
    <x v="0"/>
  </r>
  <r>
    <x v="1"/>
    <s v="T106"/>
    <n v="7620860203"/>
    <x v="7"/>
    <x v="7"/>
    <n v="1"/>
    <s v="S/N"/>
    <x v="1"/>
    <s v="-"/>
    <s v="-"/>
    <s v="-"/>
    <x v="5"/>
    <x v="0"/>
    <x v="0"/>
    <x v="2"/>
    <x v="0"/>
    <x v="0"/>
    <x v="0"/>
    <s v="BENJAMIN LIZARBE"/>
    <x v="0"/>
    <n v="28.81"/>
    <x v="0"/>
    <x v="0"/>
    <x v="0"/>
    <x v="0"/>
  </r>
  <r>
    <x v="2"/>
    <s v="-"/>
    <n v="7620859096"/>
    <x v="8"/>
    <x v="8"/>
    <n v="2"/>
    <s v="JOSUE ARIAS"/>
    <x v="0"/>
    <s v="FILTRO"/>
    <s v="S008"/>
    <n v="7620860524"/>
    <x v="6"/>
    <x v="0"/>
    <x v="0"/>
    <x v="0"/>
    <x v="0"/>
    <x v="0"/>
    <x v="0"/>
    <s v="BENJAMIN LIZARBE"/>
    <x v="0"/>
    <n v="159.82"/>
    <x v="0"/>
    <x v="0"/>
    <x v="0"/>
    <x v="0"/>
  </r>
  <r>
    <x v="2"/>
    <s v="T104"/>
    <n v="7620860407"/>
    <x v="9"/>
    <x v="9"/>
    <n v="4"/>
    <s v="S/N"/>
    <x v="1"/>
    <s v="-"/>
    <s v="S087"/>
    <n v="7620858694"/>
    <x v="7"/>
    <x v="0"/>
    <x v="0"/>
    <x v="2"/>
    <x v="0"/>
    <x v="0"/>
    <x v="0"/>
    <s v="BENJAMIN LIZARBE"/>
    <x v="0"/>
    <n v="100.04"/>
    <x v="0"/>
    <x v="0"/>
    <x v="0"/>
    <x v="0"/>
  </r>
  <r>
    <x v="2"/>
    <s v="W101"/>
    <n v="7620854343"/>
    <x v="10"/>
    <x v="10"/>
    <n v="6"/>
    <s v="S/N"/>
    <x v="1"/>
    <s v="-"/>
    <s v="T115"/>
    <n v="7620854786"/>
    <x v="8"/>
    <x v="0"/>
    <x v="0"/>
    <x v="2"/>
    <x v="0"/>
    <x v="0"/>
    <x v="0"/>
    <s v="BENJAMIN LIZARBE"/>
    <x v="0"/>
    <n v="207.06"/>
    <x v="0"/>
    <x v="0"/>
    <x v="0"/>
    <x v="0"/>
  </r>
  <r>
    <x v="3"/>
    <s v="-"/>
    <s v="-"/>
    <x v="1"/>
    <x v="1"/>
    <n v="3"/>
    <s v="S/N"/>
    <x v="0"/>
    <s v="-"/>
    <s v="-"/>
    <s v="-"/>
    <x v="7"/>
    <x v="0"/>
    <x v="0"/>
    <x v="0"/>
    <x v="1"/>
    <x v="0"/>
    <x v="0"/>
    <s v="BENJAMIN LIZARBE"/>
    <x v="0"/>
    <n v="281.21999999999997"/>
    <x v="0"/>
    <x v="0"/>
    <x v="1"/>
    <x v="0"/>
  </r>
  <r>
    <x v="3"/>
    <s v="S021"/>
    <n v="7620779496"/>
    <x v="11"/>
    <x v="11"/>
    <n v="6"/>
    <s v="S/N"/>
    <x v="1"/>
    <s v="-"/>
    <s v="T121"/>
    <n v="7620855001"/>
    <x v="9"/>
    <x v="0"/>
    <x v="0"/>
    <x v="2"/>
    <x v="0"/>
    <x v="0"/>
    <x v="0"/>
    <s v="BENJAMIN LIZARBE"/>
    <x v="0"/>
    <n v="354.36"/>
    <x v="0"/>
    <x v="0"/>
    <x v="0"/>
    <x v="0"/>
  </r>
  <r>
    <x v="3"/>
    <s v="T116"/>
    <n v="7620854820"/>
    <x v="12"/>
    <x v="12"/>
    <n v="4"/>
    <s v="S/N"/>
    <x v="1"/>
    <s v="-"/>
    <s v="S093"/>
    <n v="7620859529"/>
    <x v="10"/>
    <x v="0"/>
    <x v="0"/>
    <x v="2"/>
    <x v="0"/>
    <x v="0"/>
    <x v="0"/>
    <s v="BENJAMIN LIZARBE"/>
    <x v="0"/>
    <n v="108.24"/>
    <x v="0"/>
    <x v="0"/>
    <x v="0"/>
    <x v="0"/>
  </r>
  <r>
    <x v="3"/>
    <s v="S011"/>
    <n v="7620859906"/>
    <x v="13"/>
    <x v="13"/>
    <n v="1"/>
    <s v="S/N"/>
    <x v="1"/>
    <s v="-"/>
    <s v="S098"/>
    <n v="7620858336"/>
    <x v="0"/>
    <x v="0"/>
    <x v="0"/>
    <x v="2"/>
    <x v="0"/>
    <x v="0"/>
    <x v="0"/>
    <s v="DANIEL PEREZ"/>
    <x v="0"/>
    <n v="20.88"/>
    <x v="0"/>
    <x v="0"/>
    <x v="0"/>
    <x v="0"/>
  </r>
  <r>
    <x v="3"/>
    <s v="T116"/>
    <n v="7620854820"/>
    <x v="14"/>
    <x v="14"/>
    <n v="4"/>
    <s v="S/N"/>
    <x v="0"/>
    <s v="-"/>
    <s v="S093"/>
    <n v="7620859529"/>
    <x v="10"/>
    <x v="0"/>
    <x v="0"/>
    <x v="0"/>
    <x v="0"/>
    <x v="0"/>
    <x v="0"/>
    <s v="BENJAMIN LIZARBE"/>
    <x v="0"/>
    <n v="108.24"/>
    <x v="0"/>
    <x v="0"/>
    <x v="0"/>
    <x v="0"/>
  </r>
  <r>
    <x v="3"/>
    <s v="S095"/>
    <n v="7620859330"/>
    <x v="9"/>
    <x v="9"/>
    <n v="4"/>
    <s v="DYLAN"/>
    <x v="1"/>
    <s v="FILTRO"/>
    <s v="H003"/>
    <n v="7620860193"/>
    <x v="7"/>
    <x v="0"/>
    <x v="0"/>
    <x v="2"/>
    <x v="0"/>
    <x v="0"/>
    <x v="0"/>
    <s v="BENJAMIN LIZARBE"/>
    <x v="0"/>
    <n v="100.04"/>
    <x v="0"/>
    <x v="0"/>
    <x v="0"/>
    <x v="0"/>
  </r>
  <r>
    <x v="3"/>
    <s v="-"/>
    <s v="-"/>
    <x v="15"/>
    <x v="15"/>
    <n v="1"/>
    <s v="S/N"/>
    <x v="0"/>
    <s v="-"/>
    <s v="-"/>
    <s v="-"/>
    <x v="11"/>
    <x v="0"/>
    <x v="0"/>
    <x v="3"/>
    <x v="1"/>
    <x v="0"/>
    <x v="0"/>
    <s v="BENJAMIN LIZARBE"/>
    <x v="1"/>
    <n v="57.01"/>
    <x v="0"/>
    <x v="0"/>
    <x v="1"/>
    <x v="0"/>
  </r>
  <r>
    <x v="3"/>
    <s v="-"/>
    <s v="-"/>
    <x v="16"/>
    <x v="16"/>
    <n v="2"/>
    <s v="S/N"/>
    <x v="0"/>
    <s v="-"/>
    <s v="-"/>
    <s v="-"/>
    <x v="12"/>
    <x v="0"/>
    <x v="0"/>
    <x v="3"/>
    <x v="1"/>
    <x v="0"/>
    <x v="0"/>
    <s v="BENJAMIN LIZARBE"/>
    <x v="1"/>
    <n v="21.46"/>
    <x v="1"/>
    <x v="0"/>
    <x v="1"/>
    <x v="0"/>
  </r>
  <r>
    <x v="3"/>
    <s v="-"/>
    <s v="-"/>
    <x v="17"/>
    <x v="17"/>
    <n v="1"/>
    <s v="S/N"/>
    <x v="0"/>
    <s v="-"/>
    <s v="-"/>
    <s v="-"/>
    <x v="13"/>
    <x v="0"/>
    <x v="0"/>
    <x v="3"/>
    <x v="1"/>
    <x v="0"/>
    <x v="0"/>
    <s v="BENJAMIN LIZARBE"/>
    <x v="1"/>
    <n v="36.96"/>
    <x v="0"/>
    <x v="0"/>
    <x v="1"/>
    <x v="0"/>
  </r>
  <r>
    <x v="3"/>
    <s v="H003"/>
    <n v="7600321739"/>
    <x v="18"/>
    <x v="18"/>
    <n v="24"/>
    <s v="S/N"/>
    <x v="0"/>
    <s v="-"/>
    <s v="-"/>
    <s v="-"/>
    <x v="7"/>
    <x v="0"/>
    <x v="0"/>
    <x v="3"/>
    <x v="0"/>
    <x v="0"/>
    <x v="0"/>
    <s v="BENJAMIN LIZARBE"/>
    <x v="1"/>
    <n v="61.44"/>
    <x v="1"/>
    <x v="0"/>
    <x v="0"/>
    <x v="0"/>
  </r>
  <r>
    <x v="4"/>
    <s v="T118"/>
    <n v="7620854820"/>
    <x v="14"/>
    <x v="14"/>
    <n v="4"/>
    <s v="S/N"/>
    <x v="0"/>
    <s v="-"/>
    <s v="-"/>
    <s v="-"/>
    <x v="10"/>
    <x v="0"/>
    <x v="0"/>
    <x v="0"/>
    <x v="0"/>
    <x v="0"/>
    <x v="0"/>
    <s v="BENJAMIN LIZARBE"/>
    <x v="0"/>
    <n v="108.24"/>
    <x v="0"/>
    <x v="0"/>
    <x v="0"/>
    <x v="0"/>
  </r>
  <r>
    <x v="4"/>
    <s v="S008"/>
    <n v="7620860524"/>
    <x v="19"/>
    <x v="19"/>
    <n v="24"/>
    <s v="JORGE AVILA"/>
    <x v="0"/>
    <s v="FILTRO"/>
    <s v="T121"/>
    <n v="7620855000"/>
    <x v="14"/>
    <x v="0"/>
    <x v="0"/>
    <x v="0"/>
    <x v="0"/>
    <x v="1"/>
    <x v="0"/>
    <s v="DAVID PIÑAN"/>
    <x v="0"/>
    <n v="106.80000000000001"/>
    <x v="0"/>
    <x v="0"/>
    <x v="0"/>
    <x v="0"/>
  </r>
  <r>
    <x v="4"/>
    <s v="S009"/>
    <n v="7620859273"/>
    <x v="20"/>
    <x v="20"/>
    <n v="5"/>
    <s v="JOSUE ARIAS"/>
    <x v="0"/>
    <s v="FILTRO"/>
    <s v="S076"/>
    <n v="7620820988"/>
    <x v="15"/>
    <x v="0"/>
    <x v="0"/>
    <x v="0"/>
    <x v="0"/>
    <x v="0"/>
    <x v="0"/>
    <s v="BENJAMIN LIZARBE"/>
    <x v="0"/>
    <n v="174.5"/>
    <x v="0"/>
    <x v="0"/>
    <x v="0"/>
    <x v="0"/>
  </r>
  <r>
    <x v="4"/>
    <s v="S009"/>
    <n v="7620859273"/>
    <x v="21"/>
    <x v="21"/>
    <n v="6"/>
    <s v="JOSUE ARIAS"/>
    <x v="0"/>
    <s v="FILTRO"/>
    <s v="S009"/>
    <n v="7620859273"/>
    <x v="15"/>
    <x v="0"/>
    <x v="0"/>
    <x v="0"/>
    <x v="0"/>
    <x v="0"/>
    <x v="0"/>
    <s v="BENJAMIN LIZARBE"/>
    <x v="0"/>
    <n v="124.92"/>
    <x v="0"/>
    <x v="0"/>
    <x v="0"/>
    <x v="0"/>
  </r>
  <r>
    <x v="4"/>
    <s v="S098"/>
    <n v="7620858336"/>
    <x v="13"/>
    <x v="13"/>
    <n v="2"/>
    <s v="JORGE AVILA"/>
    <x v="0"/>
    <s v="FILTRO"/>
    <s v="-"/>
    <s v="-"/>
    <x v="16"/>
    <x v="0"/>
    <x v="0"/>
    <x v="0"/>
    <x v="1"/>
    <x v="0"/>
    <x v="0"/>
    <s v="BENJAMIN LIZARBE"/>
    <x v="0"/>
    <n v="41.76"/>
    <x v="0"/>
    <x v="0"/>
    <x v="1"/>
    <x v="0"/>
  </r>
  <r>
    <x v="4"/>
    <s v="S098"/>
    <n v="7620858336"/>
    <x v="22"/>
    <x v="22"/>
    <n v="1"/>
    <s v="JORGE AVILA"/>
    <x v="0"/>
    <s v="FILTRO"/>
    <s v="-"/>
    <s v="-"/>
    <x v="16"/>
    <x v="0"/>
    <x v="0"/>
    <x v="0"/>
    <x v="1"/>
    <x v="0"/>
    <x v="0"/>
    <s v="BENJAMIN LIZARBE"/>
    <x v="0"/>
    <n v="15.12"/>
    <x v="0"/>
    <x v="0"/>
    <x v="1"/>
    <x v="0"/>
  </r>
  <r>
    <x v="4"/>
    <s v="H003"/>
    <n v="7620860193"/>
    <x v="9"/>
    <x v="9"/>
    <n v="4"/>
    <s v="JOSUE ARIAS"/>
    <x v="1"/>
    <s v="FILTRO"/>
    <s v="T121"/>
    <n v="7620855000"/>
    <x v="14"/>
    <x v="0"/>
    <x v="0"/>
    <x v="2"/>
    <x v="0"/>
    <x v="1"/>
    <x v="0"/>
    <s v="DAVID PIÑAN"/>
    <x v="0"/>
    <n v="100.04"/>
    <x v="0"/>
    <x v="0"/>
    <x v="0"/>
    <x v="0"/>
  </r>
  <r>
    <x v="4"/>
    <s v="S008"/>
    <n v="7620860524"/>
    <x v="23"/>
    <x v="23"/>
    <n v="24"/>
    <s v="JORGE AVILA"/>
    <x v="1"/>
    <s v="FILTRO"/>
    <s v="-"/>
    <s v="-"/>
    <x v="14"/>
    <x v="0"/>
    <x v="0"/>
    <x v="2"/>
    <x v="0"/>
    <x v="1"/>
    <x v="0"/>
    <s v="DAVID PIÑAN"/>
    <x v="0"/>
    <n v="120.96000000000001"/>
    <x v="0"/>
    <x v="0"/>
    <x v="0"/>
    <x v="0"/>
  </r>
  <r>
    <x v="4"/>
    <s v="-"/>
    <s v="-"/>
    <x v="24"/>
    <x v="24"/>
    <n v="6"/>
    <s v="S/N"/>
    <x v="1"/>
    <s v="-"/>
    <s v="-"/>
    <s v="-"/>
    <x v="17"/>
    <x v="0"/>
    <x v="0"/>
    <x v="2"/>
    <x v="0"/>
    <x v="0"/>
    <x v="0"/>
    <s v="BENJAMIN LIZARBE"/>
    <x v="0"/>
    <n v="366.9"/>
    <x v="0"/>
    <x v="0"/>
    <x v="0"/>
    <x v="0"/>
  </r>
  <r>
    <x v="4"/>
    <s v="S087"/>
    <n v="7620858694"/>
    <x v="25"/>
    <x v="25"/>
    <n v="36"/>
    <s v="ROMERO"/>
    <x v="1"/>
    <s v="FILTRO"/>
    <s v="T116"/>
    <n v="7620854812"/>
    <x v="18"/>
    <x v="0"/>
    <x v="0"/>
    <x v="2"/>
    <x v="0"/>
    <x v="1"/>
    <x v="0"/>
    <s v="DAVID PIÑAN"/>
    <x v="0"/>
    <n v="191.16"/>
    <x v="0"/>
    <x v="0"/>
    <x v="0"/>
    <x v="0"/>
  </r>
  <r>
    <x v="4"/>
    <s v="-"/>
    <s v="-"/>
    <x v="26"/>
    <x v="26"/>
    <n v="2"/>
    <s v="S/N"/>
    <x v="0"/>
    <s v="-"/>
    <s v="-"/>
    <s v="-"/>
    <x v="19"/>
    <x v="0"/>
    <x v="0"/>
    <x v="0"/>
    <x v="1"/>
    <x v="0"/>
    <x v="0"/>
    <s v="BENJAMIN LIZARBE"/>
    <x v="0"/>
    <n v="77.52"/>
    <x v="2"/>
    <x v="0"/>
    <x v="1"/>
    <x v="0"/>
  </r>
  <r>
    <x v="4"/>
    <s v="-"/>
    <s v="-"/>
    <x v="27"/>
    <x v="27"/>
    <n v="1"/>
    <s v="S/N"/>
    <x v="0"/>
    <s v="-"/>
    <s v="-"/>
    <s v="-"/>
    <x v="20"/>
    <x v="0"/>
    <x v="0"/>
    <x v="0"/>
    <x v="1"/>
    <x v="0"/>
    <x v="0"/>
    <s v="BENJAMIN LIZARBE"/>
    <x v="0"/>
    <n v="38.92"/>
    <x v="0"/>
    <x v="0"/>
    <x v="1"/>
    <x v="0"/>
  </r>
  <r>
    <x v="4"/>
    <s v="S049"/>
    <n v="7600322420"/>
    <x v="28"/>
    <x v="28"/>
    <n v="6"/>
    <s v="S/N"/>
    <x v="1"/>
    <s v="-"/>
    <s v="-"/>
    <s v="-"/>
    <x v="21"/>
    <x v="0"/>
    <x v="0"/>
    <x v="4"/>
    <x v="0"/>
    <x v="0"/>
    <x v="0"/>
    <s v="BENJAMIN LIZARBE"/>
    <x v="1"/>
    <n v="118.80000000000001"/>
    <x v="1"/>
    <x v="0"/>
    <x v="0"/>
    <x v="0"/>
  </r>
  <r>
    <x v="4"/>
    <s v="T120"/>
    <n v="7600322413"/>
    <x v="29"/>
    <x v="29"/>
    <n v="1"/>
    <s v="S/N"/>
    <x v="0"/>
    <s v="-"/>
    <s v="-"/>
    <s v="-"/>
    <x v="11"/>
    <x v="0"/>
    <x v="0"/>
    <x v="3"/>
    <x v="0"/>
    <x v="0"/>
    <x v="0"/>
    <s v="BENJAMIN LIZARBE"/>
    <x v="1"/>
    <n v="164.41"/>
    <x v="0"/>
    <x v="0"/>
    <x v="0"/>
    <x v="0"/>
  </r>
  <r>
    <x v="5"/>
    <s v="S066"/>
    <n v="7620848494"/>
    <x v="30"/>
    <x v="30"/>
    <n v="12"/>
    <s v="JOSUE ARIAS"/>
    <x v="0"/>
    <s v="FILTRO"/>
    <s v="-"/>
    <s v="-"/>
    <x v="21"/>
    <x v="0"/>
    <x v="0"/>
    <x v="3"/>
    <x v="0"/>
    <x v="0"/>
    <x v="0"/>
    <s v="BENJAMIN LIZARBE"/>
    <x v="1"/>
    <n v="36"/>
    <x v="1"/>
    <x v="0"/>
    <x v="0"/>
    <x v="0"/>
  </r>
  <r>
    <x v="5"/>
    <s v="S028"/>
    <n v="7620858296"/>
    <x v="31"/>
    <x v="31"/>
    <n v="1"/>
    <s v="JOSUE ARIAS"/>
    <x v="0"/>
    <s v="FILTRO"/>
    <s v="S028"/>
    <n v="7620858296"/>
    <x v="4"/>
    <x v="1"/>
    <x v="1"/>
    <x v="1"/>
    <x v="0"/>
    <x v="1"/>
    <x v="1"/>
    <s v="DAVID PIÑAN"/>
    <x v="0"/>
    <n v="28.06"/>
    <x v="0"/>
    <x v="0"/>
    <x v="0"/>
    <x v="0"/>
  </r>
  <r>
    <x v="5"/>
    <s v="S028"/>
    <n v="7620858296"/>
    <x v="32"/>
    <x v="32"/>
    <n v="12"/>
    <s v="JOSUE ARIAS"/>
    <x v="0"/>
    <s v="FILTRO"/>
    <s v="S028"/>
    <n v="7620858296"/>
    <x v="22"/>
    <x v="0"/>
    <x v="0"/>
    <x v="5"/>
    <x v="0"/>
    <x v="1"/>
    <x v="0"/>
    <s v="BENJAMIN LIZARBE"/>
    <x v="1"/>
    <n v="33.119999999999997"/>
    <x v="1"/>
    <x v="0"/>
    <x v="0"/>
    <x v="0"/>
  </r>
  <r>
    <x v="5"/>
    <s v="T107"/>
    <n v="7620854569"/>
    <x v="33"/>
    <x v="33"/>
    <n v="12"/>
    <s v="JOSUE ARIAS"/>
    <x v="0"/>
    <s v="FILTRO"/>
    <s v="T109"/>
    <n v="7620854687"/>
    <x v="14"/>
    <x v="0"/>
    <x v="0"/>
    <x v="0"/>
    <x v="0"/>
    <x v="1"/>
    <x v="0"/>
    <s v="DAVID PIÑAN"/>
    <x v="0"/>
    <n v="171.60000000000002"/>
    <x v="0"/>
    <x v="0"/>
    <x v="0"/>
    <x v="0"/>
  </r>
  <r>
    <x v="5"/>
    <s v="T102"/>
    <n v="7620859606"/>
    <x v="34"/>
    <x v="34"/>
    <n v="5"/>
    <s v="JOSUE ARIAS"/>
    <x v="0"/>
    <s v="FILTRO"/>
    <s v="T102"/>
    <n v="7620859606"/>
    <x v="4"/>
    <x v="1"/>
    <x v="1"/>
    <x v="1"/>
    <x v="0"/>
    <x v="1"/>
    <x v="1"/>
    <s v="DAVID PIÑAN"/>
    <x v="0"/>
    <n v="341.85"/>
    <x v="0"/>
    <x v="0"/>
    <x v="0"/>
    <x v="0"/>
  </r>
  <r>
    <x v="5"/>
    <s v="T102"/>
    <n v="7620859606"/>
    <x v="35"/>
    <x v="35"/>
    <n v="1"/>
    <s v="JOSUE ARIAS"/>
    <x v="0"/>
    <s v="FILTRO"/>
    <s v="T102"/>
    <n v="7620859606"/>
    <x v="4"/>
    <x v="1"/>
    <x v="1"/>
    <x v="1"/>
    <x v="0"/>
    <x v="1"/>
    <x v="1"/>
    <s v="DAVID PIÑAN"/>
    <x v="0"/>
    <n v="46.77"/>
    <x v="0"/>
    <x v="0"/>
    <x v="0"/>
    <x v="0"/>
  </r>
  <r>
    <x v="5"/>
    <s v="T102"/>
    <n v="7620859606"/>
    <x v="36"/>
    <x v="36"/>
    <n v="1"/>
    <s v="JOSUE ARIAS"/>
    <x v="0"/>
    <s v="FILTRO"/>
    <s v="T102"/>
    <n v="7620859606"/>
    <x v="4"/>
    <x v="1"/>
    <x v="1"/>
    <x v="1"/>
    <x v="0"/>
    <x v="1"/>
    <x v="1"/>
    <s v="DAVID PIÑAN"/>
    <x v="0"/>
    <n v="64.760000000000005"/>
    <x v="0"/>
    <x v="0"/>
    <x v="0"/>
    <x v="0"/>
  </r>
  <r>
    <x v="5"/>
    <s v="S062"/>
    <n v="7640097023"/>
    <x v="27"/>
    <x v="27"/>
    <n v="1"/>
    <s v="S/N"/>
    <x v="0"/>
    <s v="-"/>
    <s v="-"/>
    <s v="-"/>
    <x v="8"/>
    <x v="0"/>
    <x v="0"/>
    <x v="0"/>
    <x v="0"/>
    <x v="0"/>
    <x v="0"/>
    <s v="BENJAMIN LIZARBE"/>
    <x v="0"/>
    <n v="38.92"/>
    <x v="0"/>
    <x v="0"/>
    <x v="0"/>
    <x v="0"/>
  </r>
  <r>
    <x v="5"/>
    <s v="-"/>
    <s v="-"/>
    <x v="37"/>
    <x v="37"/>
    <n v="12"/>
    <s v="S/N"/>
    <x v="1"/>
    <s v="-"/>
    <s v="-"/>
    <s v="-"/>
    <x v="23"/>
    <x v="0"/>
    <x v="0"/>
    <x v="2"/>
    <x v="0"/>
    <x v="0"/>
    <x v="0"/>
    <s v="BENJAMIN LIZARBE"/>
    <x v="0"/>
    <n v="666.24"/>
    <x v="0"/>
    <x v="0"/>
    <x v="0"/>
    <x v="0"/>
  </r>
  <r>
    <x v="5"/>
    <s v="-"/>
    <s v="-"/>
    <x v="38"/>
    <x v="38"/>
    <n v="12"/>
    <s v="S/N"/>
    <x v="1"/>
    <s v="-"/>
    <s v="T103"/>
    <n v="7620854473"/>
    <x v="24"/>
    <x v="0"/>
    <x v="0"/>
    <x v="2"/>
    <x v="0"/>
    <x v="1"/>
    <x v="0"/>
    <s v="DAVID PIÑAN"/>
    <x v="0"/>
    <n v="274.32"/>
    <x v="0"/>
    <x v="0"/>
    <x v="0"/>
    <x v="0"/>
  </r>
  <r>
    <x v="5"/>
    <s v="-"/>
    <s v="-"/>
    <x v="39"/>
    <x v="39"/>
    <n v="1"/>
    <s v="S/N"/>
    <x v="1"/>
    <s v="-"/>
    <s v="-"/>
    <s v="-"/>
    <x v="25"/>
    <x v="0"/>
    <x v="0"/>
    <x v="2"/>
    <x v="0"/>
    <x v="0"/>
    <x v="0"/>
    <s v="BENJAMIN LIZARBE"/>
    <x v="0"/>
    <n v="46.68"/>
    <x v="0"/>
    <x v="0"/>
    <x v="0"/>
    <x v="0"/>
  </r>
  <r>
    <x v="5"/>
    <s v="T103"/>
    <n v="7620854473"/>
    <x v="40"/>
    <x v="40"/>
    <n v="1"/>
    <s v="AVILA"/>
    <x v="0"/>
    <s v="FILTRO"/>
    <s v="T103"/>
    <n v="7620854473"/>
    <x v="4"/>
    <x v="2"/>
    <x v="1"/>
    <x v="1"/>
    <x v="0"/>
    <x v="1"/>
    <x v="1"/>
    <s v="DAVID PIÑAN"/>
    <x v="0"/>
    <n v="69.430000000000007"/>
    <x v="0"/>
    <x v="0"/>
    <x v="0"/>
    <x v="0"/>
  </r>
  <r>
    <x v="5"/>
    <s v="T103"/>
    <n v="7620854473"/>
    <x v="41"/>
    <x v="41"/>
    <n v="2"/>
    <s v="AVILA"/>
    <x v="0"/>
    <s v="FILTRO"/>
    <s v="T103"/>
    <n v="7620854473"/>
    <x v="4"/>
    <x v="2"/>
    <x v="1"/>
    <x v="1"/>
    <x v="0"/>
    <x v="1"/>
    <x v="1"/>
    <s v="DAVID PIÑAN"/>
    <x v="0"/>
    <n v="71.900000000000006"/>
    <x v="0"/>
    <x v="0"/>
    <x v="0"/>
    <x v="0"/>
  </r>
  <r>
    <x v="5"/>
    <s v="T103"/>
    <n v="7620854473"/>
    <x v="42"/>
    <x v="42"/>
    <n v="2"/>
    <s v="AVILA"/>
    <x v="0"/>
    <s v="FILTRO"/>
    <s v="T103"/>
    <n v="7620854473"/>
    <x v="4"/>
    <x v="2"/>
    <x v="1"/>
    <x v="1"/>
    <x v="0"/>
    <x v="1"/>
    <x v="1"/>
    <s v="DAVID PIÑAN"/>
    <x v="0"/>
    <n v="77.66"/>
    <x v="0"/>
    <x v="0"/>
    <x v="0"/>
    <x v="0"/>
  </r>
  <r>
    <x v="5"/>
    <s v="T103"/>
    <n v="7620854473"/>
    <x v="43"/>
    <x v="43"/>
    <n v="1"/>
    <s v="AVILA"/>
    <x v="0"/>
    <s v="FILTRO"/>
    <s v="T103"/>
    <n v="7620854473"/>
    <x v="4"/>
    <x v="2"/>
    <x v="1"/>
    <x v="1"/>
    <x v="0"/>
    <x v="1"/>
    <x v="1"/>
    <s v="DAVID PIÑAN"/>
    <x v="0"/>
    <n v="64.760000000000005"/>
    <x v="0"/>
    <x v="0"/>
    <x v="0"/>
    <x v="0"/>
  </r>
  <r>
    <x v="5"/>
    <s v="H005"/>
    <n v="7600322159"/>
    <x v="44"/>
    <x v="44"/>
    <n v="72"/>
    <s v="S/N"/>
    <x v="0"/>
    <s v="-"/>
    <s v="-"/>
    <s v="-"/>
    <x v="26"/>
    <x v="0"/>
    <x v="0"/>
    <x v="3"/>
    <x v="0"/>
    <x v="0"/>
    <x v="0"/>
    <s v="BENJAMIN LIZARBE"/>
    <x v="1"/>
    <n v="1123.92"/>
    <x v="2"/>
    <x v="0"/>
    <x v="0"/>
    <x v="0"/>
  </r>
  <r>
    <x v="5"/>
    <s v="S009"/>
    <n v="7600322939"/>
    <x v="45"/>
    <x v="45"/>
    <n v="9"/>
    <s v="S/N"/>
    <x v="0"/>
    <s v="-"/>
    <s v="-"/>
    <s v="-"/>
    <x v="27"/>
    <x v="0"/>
    <x v="0"/>
    <x v="3"/>
    <x v="0"/>
    <x v="0"/>
    <x v="0"/>
    <s v="BENJAMIN LIZARBE"/>
    <x v="1"/>
    <n v="63.36"/>
    <x v="1"/>
    <x v="0"/>
    <x v="0"/>
    <x v="0"/>
  </r>
  <r>
    <x v="5"/>
    <s v="S095"/>
    <n v="7600322805"/>
    <x v="44"/>
    <x v="44"/>
    <n v="60"/>
    <s v="S/N"/>
    <x v="1"/>
    <s v="-"/>
    <s v="-"/>
    <s v="-"/>
    <x v="21"/>
    <x v="0"/>
    <x v="0"/>
    <x v="4"/>
    <x v="0"/>
    <x v="0"/>
    <x v="0"/>
    <s v="BENJAMIN LIZARBE"/>
    <x v="1"/>
    <n v="936.59999999999991"/>
    <x v="2"/>
    <x v="0"/>
    <x v="0"/>
    <x v="0"/>
  </r>
  <r>
    <x v="6"/>
    <s v="T107"/>
    <n v="7620854569"/>
    <x v="46"/>
    <x v="46"/>
    <n v="12"/>
    <s v="JOSUE ARIAS"/>
    <x v="1"/>
    <s v="FILTRO"/>
    <s v="S009"/>
    <n v="7620859274"/>
    <x v="28"/>
    <x v="0"/>
    <x v="0"/>
    <x v="2"/>
    <x v="0"/>
    <x v="1"/>
    <x v="0"/>
    <s v="DAVID PIÑAN"/>
    <x v="0"/>
    <n v="231.24"/>
    <x v="0"/>
    <x v="0"/>
    <x v="0"/>
    <x v="0"/>
  </r>
  <r>
    <x v="7"/>
    <s v="T106"/>
    <n v="7620861170"/>
    <x v="47"/>
    <x v="47"/>
    <n v="24"/>
    <s v="JUAN AYALA"/>
    <x v="0"/>
    <s v="FILTRO"/>
    <s v="T106"/>
    <n v="7620861170"/>
    <x v="4"/>
    <x v="3"/>
    <x v="1"/>
    <x v="1"/>
    <x v="0"/>
    <x v="1"/>
    <x v="1"/>
    <s v="DAVID PIÑAN"/>
    <x v="0"/>
    <n v="120"/>
    <x v="0"/>
    <x v="0"/>
    <x v="0"/>
    <x v="0"/>
  </r>
  <r>
    <x v="7"/>
    <s v="T115"/>
    <n v="7620854780"/>
    <x v="48"/>
    <x v="48"/>
    <n v="5"/>
    <s v="GUZMAN"/>
    <x v="0"/>
    <s v="FILTRO"/>
    <s v="-"/>
    <s v="-"/>
    <x v="15"/>
    <x v="0"/>
    <x v="0"/>
    <x v="0"/>
    <x v="0"/>
    <x v="0"/>
    <x v="0"/>
    <s v="BENJAMIN LIZARBE"/>
    <x v="0"/>
    <n v="276.14999999999998"/>
    <x v="0"/>
    <x v="0"/>
    <x v="0"/>
    <x v="0"/>
  </r>
  <r>
    <x v="7"/>
    <s v="H014"/>
    <n v="7620861012"/>
    <x v="48"/>
    <x v="48"/>
    <n v="2"/>
    <s v="VEGA"/>
    <x v="0"/>
    <s v="FILTRO"/>
    <s v="-"/>
    <s v="-"/>
    <x v="15"/>
    <x v="0"/>
    <x v="0"/>
    <x v="0"/>
    <x v="0"/>
    <x v="0"/>
    <x v="0"/>
    <s v="BENJAMIN LIZARBE"/>
    <x v="0"/>
    <n v="110.46"/>
    <x v="0"/>
    <x v="0"/>
    <x v="0"/>
    <x v="0"/>
  </r>
  <r>
    <x v="7"/>
    <s v="-"/>
    <s v="-"/>
    <x v="49"/>
    <x v="49"/>
    <n v="12"/>
    <s v="S/N"/>
    <x v="1"/>
    <s v="-"/>
    <s v="-"/>
    <s v="-"/>
    <x v="29"/>
    <x v="0"/>
    <x v="0"/>
    <x v="2"/>
    <x v="0"/>
    <x v="0"/>
    <x v="0"/>
    <s v="BENJAMIN LIZARBE"/>
    <x v="0"/>
    <n v="155.88"/>
    <x v="0"/>
    <x v="0"/>
    <x v="0"/>
    <x v="0"/>
  </r>
  <r>
    <x v="8"/>
    <s v="T117"/>
    <n v="7620854883"/>
    <x v="50"/>
    <x v="50"/>
    <n v="24"/>
    <s v="JUAN AYALA"/>
    <x v="1"/>
    <s v="FILTRO"/>
    <s v="T117"/>
    <n v="7620854883"/>
    <x v="4"/>
    <x v="3"/>
    <x v="1"/>
    <x v="6"/>
    <x v="0"/>
    <x v="1"/>
    <x v="1"/>
    <s v="DAVID PIÑAN"/>
    <x v="0"/>
    <n v="120"/>
    <x v="0"/>
    <x v="0"/>
    <x v="0"/>
    <x v="0"/>
  </r>
  <r>
    <x v="8"/>
    <s v="T117"/>
    <n v="7620854883"/>
    <x v="51"/>
    <x v="51"/>
    <n v="24"/>
    <s v="JUAN AYALA"/>
    <x v="0"/>
    <s v="FILTRO"/>
    <s v="T117"/>
    <n v="7620854883"/>
    <x v="4"/>
    <x v="3"/>
    <x v="1"/>
    <x v="1"/>
    <x v="0"/>
    <x v="1"/>
    <x v="1"/>
    <s v="DAVID PIÑAN"/>
    <x v="0"/>
    <n v="120"/>
    <x v="0"/>
    <x v="0"/>
    <x v="0"/>
    <x v="0"/>
  </r>
  <r>
    <x v="8"/>
    <s v="T109"/>
    <n v="7620859730"/>
    <x v="52"/>
    <x v="52"/>
    <n v="4"/>
    <s v="JUAN AYALA"/>
    <x v="1"/>
    <s v="FILTRO"/>
    <s v="T114"/>
    <n v="7620854747"/>
    <x v="14"/>
    <x v="0"/>
    <x v="0"/>
    <x v="2"/>
    <x v="0"/>
    <x v="1"/>
    <x v="0"/>
    <s v="DAVID PIÑAN"/>
    <x v="0"/>
    <n v="105.36"/>
    <x v="0"/>
    <x v="0"/>
    <x v="0"/>
    <x v="0"/>
  </r>
  <r>
    <x v="8"/>
    <s v="S011"/>
    <n v="7620859908"/>
    <x v="7"/>
    <x v="7"/>
    <n v="1"/>
    <s v="JORGE AVILA"/>
    <x v="1"/>
    <s v="FILTRO"/>
    <s v="S009"/>
    <n v="7620856037"/>
    <x v="30"/>
    <x v="0"/>
    <x v="0"/>
    <x v="2"/>
    <x v="0"/>
    <x v="1"/>
    <x v="0"/>
    <s v="DAVID PIÑAN"/>
    <x v="0"/>
    <n v="28.81"/>
    <x v="0"/>
    <x v="0"/>
    <x v="0"/>
    <x v="0"/>
  </r>
  <r>
    <x v="9"/>
    <s v="S087"/>
    <n v="720858695"/>
    <x v="53"/>
    <x v="53"/>
    <n v="2"/>
    <s v="S/N"/>
    <x v="1"/>
    <s v="-"/>
    <s v="-"/>
    <s v="-"/>
    <x v="25"/>
    <x v="0"/>
    <x v="0"/>
    <x v="2"/>
    <x v="2"/>
    <x v="0"/>
    <x v="0"/>
    <s v="BENJAMIN LIZARBE"/>
    <x v="0"/>
    <n v="208.34"/>
    <x v="0"/>
    <x v="0"/>
    <x v="1"/>
    <x v="0"/>
  </r>
  <r>
    <x v="9"/>
    <s v="S011"/>
    <n v="7620859909"/>
    <x v="48"/>
    <x v="48"/>
    <n v="2"/>
    <s v="CESAR ROJAS"/>
    <x v="0"/>
    <s v="AUDITORIA"/>
    <s v="-"/>
    <s v="-"/>
    <x v="15"/>
    <x v="0"/>
    <x v="0"/>
    <x v="0"/>
    <x v="0"/>
    <x v="0"/>
    <x v="0"/>
    <s v="BENJAMIN LIZARBE"/>
    <x v="0"/>
    <n v="110.46"/>
    <x v="0"/>
    <x v="0"/>
    <x v="0"/>
    <x v="0"/>
  </r>
  <r>
    <x v="10"/>
    <s v="H014"/>
    <n v="7620861010"/>
    <x v="54"/>
    <x v="54"/>
    <n v="2"/>
    <s v="GUZMAN"/>
    <x v="0"/>
    <s v="FILTRO"/>
    <s v="H014"/>
    <n v="7620861010"/>
    <x v="31"/>
    <x v="0"/>
    <x v="0"/>
    <x v="0"/>
    <x v="0"/>
    <x v="1"/>
    <x v="0"/>
    <s v="DAVID PIÑAN"/>
    <x v="0"/>
    <n v="124.2"/>
    <x v="0"/>
    <x v="0"/>
    <x v="0"/>
    <x v="0"/>
  </r>
  <r>
    <x v="10"/>
    <s v="S008"/>
    <n v="7620860522"/>
    <x v="55"/>
    <x v="55"/>
    <n v="6"/>
    <s v="S/N"/>
    <x v="0"/>
    <s v="-"/>
    <s v="S008"/>
    <n v="7620860522"/>
    <x v="14"/>
    <x v="0"/>
    <x v="0"/>
    <x v="0"/>
    <x v="0"/>
    <x v="1"/>
    <x v="0"/>
    <s v="DAVID PIÑAN"/>
    <x v="0"/>
    <n v="127.5"/>
    <x v="0"/>
    <x v="0"/>
    <x v="0"/>
    <x v="0"/>
  </r>
  <r>
    <x v="10"/>
    <s v="H001"/>
    <n v="7620859751"/>
    <x v="56"/>
    <x v="56"/>
    <n v="6"/>
    <s v="JUAN AYALA"/>
    <x v="1"/>
    <s v="FILTRO"/>
    <s v="H005"/>
    <n v="7620855895"/>
    <x v="4"/>
    <x v="3"/>
    <x v="1"/>
    <x v="6"/>
    <x v="0"/>
    <x v="1"/>
    <x v="1"/>
    <s v="DAVID PIÑAN"/>
    <x v="0"/>
    <n v="132.06"/>
    <x v="0"/>
    <x v="0"/>
    <x v="0"/>
    <x v="0"/>
  </r>
  <r>
    <x v="10"/>
    <s v="-"/>
    <s v="-"/>
    <x v="57"/>
    <x v="57"/>
    <n v="36"/>
    <s v="S/N"/>
    <x v="0"/>
    <s v="-"/>
    <s v="-"/>
    <s v="-"/>
    <x v="26"/>
    <x v="0"/>
    <x v="0"/>
    <x v="3"/>
    <x v="1"/>
    <x v="0"/>
    <x v="0"/>
    <s v="BENJAMIN LIZARBE"/>
    <x v="1"/>
    <n v="57.6"/>
    <x v="1"/>
    <x v="0"/>
    <x v="1"/>
    <x v="0"/>
  </r>
  <r>
    <x v="10"/>
    <s v="-"/>
    <s v="-"/>
    <x v="58"/>
    <x v="58"/>
    <n v="12"/>
    <s v="S/N"/>
    <x v="0"/>
    <s v="-"/>
    <s v="-"/>
    <s v="-"/>
    <x v="32"/>
    <x v="0"/>
    <x v="0"/>
    <x v="0"/>
    <x v="1"/>
    <x v="0"/>
    <x v="0"/>
    <s v="BENJAMIN LIZARBE"/>
    <x v="0"/>
    <n v="131.76"/>
    <x v="0"/>
    <x v="0"/>
    <x v="1"/>
    <x v="0"/>
  </r>
  <r>
    <x v="10"/>
    <s v="-"/>
    <s v="-"/>
    <x v="59"/>
    <x v="59"/>
    <n v="12"/>
    <s v="-"/>
    <x v="0"/>
    <s v="-"/>
    <s v="-"/>
    <s v="-"/>
    <x v="13"/>
    <x v="0"/>
    <x v="0"/>
    <x v="7"/>
    <x v="1"/>
    <x v="0"/>
    <x v="0"/>
    <s v="BENJAMIN LIZARBE"/>
    <x v="1"/>
    <n v="83.039999999999992"/>
    <x v="1"/>
    <x v="0"/>
    <x v="1"/>
    <x v="0"/>
  </r>
  <r>
    <x v="10"/>
    <s v="-"/>
    <s v="-"/>
    <x v="48"/>
    <x v="48"/>
    <n v="2"/>
    <s v="S/N"/>
    <x v="0"/>
    <s v="-"/>
    <s v="-"/>
    <s v="-"/>
    <x v="15"/>
    <x v="0"/>
    <x v="0"/>
    <x v="0"/>
    <x v="2"/>
    <x v="0"/>
    <x v="0"/>
    <s v="BENJAMIN LIZARBE"/>
    <x v="0"/>
    <n v="110.46"/>
    <x v="0"/>
    <x v="0"/>
    <x v="1"/>
    <x v="0"/>
  </r>
  <r>
    <x v="10"/>
    <s v="-"/>
    <s v="-"/>
    <x v="60"/>
    <x v="60"/>
    <n v="1"/>
    <s v="S/N"/>
    <x v="0"/>
    <s v="-"/>
    <s v="-"/>
    <s v="-"/>
    <x v="33"/>
    <x v="0"/>
    <x v="0"/>
    <x v="3"/>
    <x v="1"/>
    <x v="0"/>
    <x v="0"/>
    <s v="BENJAMIN LIZARBE"/>
    <x v="1"/>
    <n v="14.32"/>
    <x v="1"/>
    <x v="0"/>
    <x v="1"/>
    <x v="0"/>
  </r>
  <r>
    <x v="11"/>
    <s v="-"/>
    <s v="-"/>
    <x v="61"/>
    <x v="61"/>
    <n v="1"/>
    <s v="S/N"/>
    <x v="1"/>
    <s v="-"/>
    <s v="-"/>
    <s v="-"/>
    <x v="11"/>
    <x v="0"/>
    <x v="0"/>
    <x v="4"/>
    <x v="0"/>
    <x v="0"/>
    <x v="0"/>
    <s v="BENJAMIN LIZARBE"/>
    <x v="1"/>
    <n v="5.42"/>
    <x v="1"/>
    <x v="0"/>
    <x v="0"/>
    <x v="0"/>
  </r>
  <r>
    <x v="11"/>
    <s v="-"/>
    <s v="-"/>
    <x v="62"/>
    <x v="62"/>
    <n v="12"/>
    <s v="S/N"/>
    <x v="1"/>
    <s v="-"/>
    <s v="-"/>
    <s v="-"/>
    <x v="13"/>
    <x v="0"/>
    <x v="0"/>
    <x v="4"/>
    <x v="0"/>
    <x v="0"/>
    <x v="0"/>
    <s v="BENJAMIN LIZARBE"/>
    <x v="1"/>
    <n v="60"/>
    <x v="1"/>
    <x v="0"/>
    <x v="0"/>
    <x v="0"/>
  </r>
  <r>
    <x v="11"/>
    <s v="-"/>
    <s v="-"/>
    <x v="63"/>
    <x v="63"/>
    <n v="12"/>
    <s v="S/N"/>
    <x v="0"/>
    <s v="-"/>
    <s v="-"/>
    <s v="-"/>
    <x v="13"/>
    <x v="0"/>
    <x v="0"/>
    <x v="3"/>
    <x v="0"/>
    <x v="0"/>
    <x v="0"/>
    <s v="BENJAMIN LIZARBE"/>
    <x v="1"/>
    <n v="25.200000000000003"/>
    <x v="1"/>
    <x v="0"/>
    <x v="0"/>
    <x v="0"/>
  </r>
  <r>
    <x v="11"/>
    <s v="-"/>
    <s v="-"/>
    <x v="64"/>
    <x v="64"/>
    <n v="24"/>
    <s v="S/N"/>
    <x v="1"/>
    <s v="-"/>
    <s v="-"/>
    <s v="-"/>
    <x v="13"/>
    <x v="0"/>
    <x v="0"/>
    <x v="4"/>
    <x v="0"/>
    <x v="0"/>
    <x v="0"/>
    <s v="BENJAMIN LIZARBE"/>
    <x v="1"/>
    <n v="66.239999999999995"/>
    <x v="1"/>
    <x v="0"/>
    <x v="0"/>
    <x v="0"/>
  </r>
  <r>
    <x v="12"/>
    <s v="T120"/>
    <n v="7620854943"/>
    <x v="65"/>
    <x v="65"/>
    <n v="1"/>
    <s v="S/N"/>
    <x v="0"/>
    <s v="-"/>
    <s v="-"/>
    <s v="-"/>
    <x v="34"/>
    <x v="0"/>
    <x v="0"/>
    <x v="0"/>
    <x v="1"/>
    <x v="2"/>
    <x v="0"/>
    <s v="ALMACEN"/>
    <x v="0"/>
    <n v="35.94"/>
    <x v="0"/>
    <x v="0"/>
    <x v="1"/>
    <x v="0"/>
  </r>
  <r>
    <x v="12"/>
    <s v="-"/>
    <s v="-"/>
    <x v="49"/>
    <x v="49"/>
    <n v="12"/>
    <s v="S/N"/>
    <x v="1"/>
    <s v="-"/>
    <s v="S093"/>
    <n v="7620861800"/>
    <x v="17"/>
    <x v="0"/>
    <x v="0"/>
    <x v="2"/>
    <x v="0"/>
    <x v="0"/>
    <x v="0"/>
    <s v="BENJAMIN LIZARBE"/>
    <x v="0"/>
    <n v="155.88"/>
    <x v="0"/>
    <x v="0"/>
    <x v="0"/>
    <x v="0"/>
  </r>
  <r>
    <x v="13"/>
    <s v="H006"/>
    <n v="7620850995"/>
    <x v="66"/>
    <x v="66"/>
    <n v="12"/>
    <s v="JUAN AYALA"/>
    <x v="0"/>
    <s v="FILTRO"/>
    <s v="-"/>
    <s v="-"/>
    <x v="8"/>
    <x v="0"/>
    <x v="0"/>
    <x v="0"/>
    <x v="0"/>
    <x v="0"/>
    <x v="0"/>
    <s v="BENJAMIN LIZARBE"/>
    <x v="0"/>
    <n v="100.19999999999999"/>
    <x v="2"/>
    <x v="0"/>
    <x v="0"/>
    <x v="0"/>
  </r>
  <r>
    <x v="13"/>
    <s v="T120"/>
    <n v="7620854942"/>
    <x v="67"/>
    <x v="67"/>
    <n v="18"/>
    <s v="JOSUE ARIAS"/>
    <x v="0"/>
    <s v="FILTRO"/>
    <s v="T120"/>
    <n v="7620854942"/>
    <x v="4"/>
    <x v="1"/>
    <x v="1"/>
    <x v="1"/>
    <x v="0"/>
    <x v="1"/>
    <x v="1"/>
    <s v="DAVID PIÑAN"/>
    <x v="0"/>
    <n v="360.71999999999997"/>
    <x v="0"/>
    <x v="0"/>
    <x v="0"/>
    <x v="0"/>
  </r>
  <r>
    <x v="13"/>
    <s v="S085"/>
    <n v="7620859185"/>
    <x v="68"/>
    <x v="68"/>
    <n v="3"/>
    <s v="S/N"/>
    <x v="1"/>
    <s v="-"/>
    <s v="-"/>
    <s v="-"/>
    <x v="35"/>
    <x v="0"/>
    <x v="0"/>
    <x v="2"/>
    <x v="0"/>
    <x v="0"/>
    <x v="0"/>
    <s v="BENJAMIN LIZARBE"/>
    <x v="0"/>
    <n v="36.480000000000004"/>
    <x v="0"/>
    <x v="0"/>
    <x v="0"/>
    <x v="0"/>
  </r>
  <r>
    <x v="13"/>
    <s v="S044"/>
    <n v="7620859887"/>
    <x v="69"/>
    <x v="69"/>
    <n v="1"/>
    <s v="JUAN AYALA"/>
    <x v="1"/>
    <s v="FILTRO"/>
    <s v="-"/>
    <s v="-"/>
    <x v="20"/>
    <x v="0"/>
    <x v="0"/>
    <x v="2"/>
    <x v="0"/>
    <x v="0"/>
    <x v="0"/>
    <s v="BENJAMIN LIZARBE"/>
    <x v="0"/>
    <n v="20.88"/>
    <x v="0"/>
    <x v="0"/>
    <x v="0"/>
    <x v="0"/>
  </r>
  <r>
    <x v="13"/>
    <s v="T120"/>
    <n v="7620854942"/>
    <x v="70"/>
    <x v="70"/>
    <n v="12"/>
    <s v="JOSUE ARIAS"/>
    <x v="1"/>
    <s v="FILTRO"/>
    <s v="T126"/>
    <n v="7620858925"/>
    <x v="15"/>
    <x v="0"/>
    <x v="0"/>
    <x v="2"/>
    <x v="0"/>
    <x v="0"/>
    <x v="0"/>
    <s v="BENJAMIN LIZARBE"/>
    <x v="0"/>
    <n v="389.15999999999997"/>
    <x v="0"/>
    <x v="0"/>
    <x v="0"/>
    <x v="0"/>
  </r>
  <r>
    <x v="13"/>
    <s v="W101"/>
    <n v="7620854338"/>
    <x v="71"/>
    <x v="71"/>
    <n v="1"/>
    <s v="RONALDO ROMERO"/>
    <x v="1"/>
    <s v="FILTRO"/>
    <s v="S028"/>
    <n v="7620861740"/>
    <x v="20"/>
    <x v="0"/>
    <x v="0"/>
    <x v="2"/>
    <x v="0"/>
    <x v="0"/>
    <x v="0"/>
    <s v="BENJAMIN LIZARBE"/>
    <x v="0"/>
    <n v="20.84"/>
    <x v="0"/>
    <x v="0"/>
    <x v="0"/>
    <x v="0"/>
  </r>
  <r>
    <x v="13"/>
    <s v="T102"/>
    <n v="7620859604"/>
    <x v="72"/>
    <x v="72"/>
    <n v="5"/>
    <s v="JORGE AVILA"/>
    <x v="1"/>
    <s v="FILTRO"/>
    <s v="T104"/>
    <n v="7620860412"/>
    <x v="21"/>
    <x v="0"/>
    <x v="0"/>
    <x v="2"/>
    <x v="0"/>
    <x v="0"/>
    <x v="0"/>
    <s v="BENJAMIN LIZARBE"/>
    <x v="0"/>
    <n v="750.34999999999991"/>
    <x v="0"/>
    <x v="0"/>
    <x v="0"/>
    <x v="0"/>
  </r>
  <r>
    <x v="14"/>
    <s v="H009"/>
    <n v="7620856035"/>
    <x v="24"/>
    <x v="24"/>
    <n v="6"/>
    <s v="S/N"/>
    <x v="0"/>
    <s v="-"/>
    <s v="-"/>
    <s v="-"/>
    <x v="15"/>
    <x v="0"/>
    <x v="0"/>
    <x v="0"/>
    <x v="0"/>
    <x v="0"/>
    <x v="0"/>
    <s v="BENJAMIN LIZARBE"/>
    <x v="0"/>
    <n v="366.9"/>
    <x v="0"/>
    <x v="0"/>
    <x v="0"/>
    <x v="1"/>
  </r>
  <r>
    <x v="14"/>
    <s v="S098"/>
    <n v="7620858334"/>
    <x v="73"/>
    <x v="73"/>
    <n v="1"/>
    <s v="RONALDO ROMERO"/>
    <x v="1"/>
    <s v="FILTRO"/>
    <s v="T115"/>
    <n v="7620854776"/>
    <x v="18"/>
    <x v="0"/>
    <x v="0"/>
    <x v="2"/>
    <x v="0"/>
    <x v="1"/>
    <x v="0"/>
    <s v="DAVID PIÑAN"/>
    <x v="0"/>
    <n v="28.06"/>
    <x v="0"/>
    <x v="0"/>
    <x v="0"/>
    <x v="1"/>
  </r>
  <r>
    <x v="14"/>
    <s v="-"/>
    <s v="-"/>
    <x v="74"/>
    <x v="74"/>
    <n v="2"/>
    <s v="S/N"/>
    <x v="1"/>
    <s v="-"/>
    <s v="T104"/>
    <n v="7620862855"/>
    <x v="31"/>
    <x v="0"/>
    <x v="0"/>
    <x v="2"/>
    <x v="0"/>
    <x v="1"/>
    <x v="0"/>
    <s v="DAVID PIÑAN"/>
    <x v="0"/>
    <n v="27"/>
    <x v="2"/>
    <x v="0"/>
    <x v="0"/>
    <x v="1"/>
  </r>
  <r>
    <x v="14"/>
    <s v="S035"/>
    <n v="7620861256"/>
    <x v="75"/>
    <x v="75"/>
    <n v="2"/>
    <s v="ROMERO"/>
    <x v="0"/>
    <s v="FILTRO"/>
    <s v="S036"/>
    <n v="7620860923"/>
    <x v="36"/>
    <x v="0"/>
    <x v="0"/>
    <x v="0"/>
    <x v="0"/>
    <x v="0"/>
    <x v="0"/>
    <s v="BENJAMIN LIZARBE"/>
    <x v="0"/>
    <n v="36.74"/>
    <x v="0"/>
    <x v="0"/>
    <x v="0"/>
    <x v="1"/>
  </r>
  <r>
    <x v="14"/>
    <s v="-"/>
    <s v="-"/>
    <x v="76"/>
    <x v="76"/>
    <n v="96"/>
    <s v="S/N"/>
    <x v="1"/>
    <s v="-"/>
    <s v="-"/>
    <s v="-"/>
    <x v="37"/>
    <x v="0"/>
    <x v="0"/>
    <x v="4"/>
    <x v="0"/>
    <x v="0"/>
    <x v="0"/>
    <s v="BENJAMIN LIZARBE"/>
    <x v="1"/>
    <n v="117.12"/>
    <x v="1"/>
    <x v="0"/>
    <x v="0"/>
    <x v="1"/>
  </r>
  <r>
    <x v="14"/>
    <s v="-"/>
    <s v="-"/>
    <x v="77"/>
    <x v="77"/>
    <n v="12"/>
    <s v="S/N"/>
    <x v="1"/>
    <s v="-"/>
    <s v="-"/>
    <s v="-"/>
    <x v="36"/>
    <x v="0"/>
    <x v="0"/>
    <x v="4"/>
    <x v="0"/>
    <x v="0"/>
    <x v="0"/>
    <s v="BENJAMIN LIZARBE"/>
    <x v="1"/>
    <n v="60"/>
    <x v="1"/>
    <x v="0"/>
    <x v="0"/>
    <x v="1"/>
  </r>
  <r>
    <x v="14"/>
    <s v="-"/>
    <s v="-"/>
    <x v="78"/>
    <x v="78"/>
    <n v="12"/>
    <s v="S/N"/>
    <x v="0"/>
    <s v="-"/>
    <s v="-"/>
    <s v="-"/>
    <x v="36"/>
    <x v="0"/>
    <x v="0"/>
    <x v="3"/>
    <x v="0"/>
    <x v="0"/>
    <x v="0"/>
    <s v="BENJAMIN LIZARBE"/>
    <x v="1"/>
    <n v="42"/>
    <x v="1"/>
    <x v="0"/>
    <x v="0"/>
    <x v="1"/>
  </r>
  <r>
    <x v="14"/>
    <s v="-"/>
    <s v="-"/>
    <x v="79"/>
    <x v="79"/>
    <n v="96"/>
    <s v="S/N"/>
    <x v="0"/>
    <s v="-"/>
    <s v="-"/>
    <s v="-"/>
    <x v="36"/>
    <x v="0"/>
    <x v="0"/>
    <x v="3"/>
    <x v="0"/>
    <x v="0"/>
    <x v="0"/>
    <s v="BENJAMIN LIZARBE"/>
    <x v="1"/>
    <n v="264.95999999999998"/>
    <x v="1"/>
    <x v="0"/>
    <x v="0"/>
    <x v="1"/>
  </r>
  <r>
    <x v="14"/>
    <s v="-"/>
    <s v="-"/>
    <x v="80"/>
    <x v="80"/>
    <n v="12"/>
    <s v="S/N"/>
    <x v="1"/>
    <s v="-"/>
    <s v="-"/>
    <s v="-"/>
    <x v="38"/>
    <x v="0"/>
    <x v="0"/>
    <x v="4"/>
    <x v="0"/>
    <x v="0"/>
    <x v="0"/>
    <s v="BENJAMIN LIZARBE"/>
    <x v="1"/>
    <n v="60"/>
    <x v="1"/>
    <x v="0"/>
    <x v="0"/>
    <x v="1"/>
  </r>
  <r>
    <x v="15"/>
    <s v="S035"/>
    <n v="7620861256"/>
    <x v="31"/>
    <x v="31"/>
    <n v="11"/>
    <s v="ROMERO"/>
    <x v="0"/>
    <s v="FILTRO"/>
    <s v="S036"/>
    <n v="7620860923"/>
    <x v="38"/>
    <x v="0"/>
    <x v="0"/>
    <x v="0"/>
    <x v="0"/>
    <x v="0"/>
    <x v="0"/>
    <s v="BENJAMIN LIZARBE"/>
    <x v="0"/>
    <n v="308.65999999999997"/>
    <x v="0"/>
    <x v="0"/>
    <x v="0"/>
    <x v="1"/>
  </r>
  <r>
    <x v="15"/>
    <s v="T104"/>
    <n v="7620862822"/>
    <x v="81"/>
    <x v="81"/>
    <n v="12"/>
    <s v="JOSUE ARIAS"/>
    <x v="1"/>
    <s v="FILTRO"/>
    <s v="T102"/>
    <n v="7620859599"/>
    <x v="4"/>
    <x v="3"/>
    <x v="1"/>
    <x v="6"/>
    <x v="0"/>
    <x v="1"/>
    <x v="1"/>
    <s v="DAVID PIÑAN"/>
    <x v="0"/>
    <n v="307.92"/>
    <x v="0"/>
    <x v="0"/>
    <x v="0"/>
    <x v="1"/>
  </r>
  <r>
    <x v="15"/>
    <s v="T106"/>
    <n v="7620862833"/>
    <x v="82"/>
    <x v="82"/>
    <n v="6"/>
    <s v="JUAN AYALA"/>
    <x v="1"/>
    <s v="FILTRO"/>
    <s v="-"/>
    <s v="-"/>
    <x v="18"/>
    <x v="0"/>
    <x v="0"/>
    <x v="2"/>
    <x v="0"/>
    <x v="1"/>
    <x v="0"/>
    <s v="DAVID PIÑAN"/>
    <x v="0"/>
    <n v="124.92"/>
    <x v="0"/>
    <x v="0"/>
    <x v="0"/>
    <x v="1"/>
  </r>
  <r>
    <x v="15"/>
    <s v="T106"/>
    <n v="7620862829"/>
    <x v="83"/>
    <x v="83"/>
    <n v="12"/>
    <s v="AVILA"/>
    <x v="0"/>
    <s v="FILTRO"/>
    <s v="H014"/>
    <n v="7620862808"/>
    <x v="8"/>
    <x v="0"/>
    <x v="0"/>
    <x v="0"/>
    <x v="0"/>
    <x v="0"/>
    <x v="0"/>
    <s v="BENJAMIN LIZARBE"/>
    <x v="0"/>
    <n v="708.24"/>
    <x v="0"/>
    <x v="0"/>
    <x v="0"/>
    <x v="1"/>
  </r>
  <r>
    <x v="15"/>
    <s v="T106"/>
    <n v="7620862829"/>
    <x v="84"/>
    <x v="84"/>
    <n v="12"/>
    <s v="AVILA"/>
    <x v="1"/>
    <s v="FILTRO"/>
    <s v="H014"/>
    <n v="7620862808"/>
    <x v="8"/>
    <x v="0"/>
    <x v="0"/>
    <x v="2"/>
    <x v="0"/>
    <x v="0"/>
    <x v="0"/>
    <s v="BENJAMIN LIZARBE"/>
    <x v="0"/>
    <n v="708.24"/>
    <x v="0"/>
    <x v="0"/>
    <x v="0"/>
    <x v="1"/>
  </r>
  <r>
    <x v="15"/>
    <s v="-"/>
    <s v="-"/>
    <x v="85"/>
    <x v="85"/>
    <n v="12"/>
    <s v="S/N"/>
    <x v="1"/>
    <s v="-"/>
    <s v="-"/>
    <s v="-"/>
    <x v="27"/>
    <x v="0"/>
    <x v="0"/>
    <x v="4"/>
    <x v="0"/>
    <x v="0"/>
    <x v="0"/>
    <s v="BENJAMIN LIZARBE"/>
    <x v="1"/>
    <n v="36.599999999999994"/>
    <x v="1"/>
    <x v="0"/>
    <x v="0"/>
    <x v="1"/>
  </r>
  <r>
    <x v="15"/>
    <s v="-"/>
    <s v="-"/>
    <x v="86"/>
    <x v="86"/>
    <n v="12"/>
    <s v="S/N"/>
    <x v="1"/>
    <s v="-"/>
    <s v="-"/>
    <s v="-"/>
    <x v="38"/>
    <x v="0"/>
    <x v="0"/>
    <x v="4"/>
    <x v="0"/>
    <x v="0"/>
    <x v="0"/>
    <s v="BENJAMIN LIZARBE"/>
    <x v="1"/>
    <n v="36.599999999999994"/>
    <x v="1"/>
    <x v="0"/>
    <x v="0"/>
    <x v="1"/>
  </r>
  <r>
    <x v="15"/>
    <s v="-"/>
    <s v="-"/>
    <x v="87"/>
    <x v="87"/>
    <n v="12"/>
    <s v="S/N"/>
    <x v="1"/>
    <s v="-"/>
    <s v="-"/>
    <s v="-"/>
    <x v="38"/>
    <x v="0"/>
    <x v="0"/>
    <x v="4"/>
    <x v="0"/>
    <x v="0"/>
    <x v="0"/>
    <s v="BENJAMIN LIZARBE"/>
    <x v="1"/>
    <n v="464.40000000000003"/>
    <x v="0"/>
    <x v="0"/>
    <x v="0"/>
    <x v="1"/>
  </r>
  <r>
    <x v="15"/>
    <s v="-"/>
    <s v="-"/>
    <x v="87"/>
    <x v="87"/>
    <n v="6"/>
    <s v="S/N"/>
    <x v="1"/>
    <s v="-"/>
    <s v="-"/>
    <s v="-"/>
    <x v="29"/>
    <x v="0"/>
    <x v="0"/>
    <x v="4"/>
    <x v="0"/>
    <x v="0"/>
    <x v="0"/>
    <s v="BENJAMIN LIZARBE"/>
    <x v="1"/>
    <n v="232.20000000000002"/>
    <x v="0"/>
    <x v="0"/>
    <x v="0"/>
    <x v="1"/>
  </r>
  <r>
    <x v="15"/>
    <s v="-"/>
    <s v="-"/>
    <x v="88"/>
    <x v="88"/>
    <n v="12"/>
    <s v="S/N"/>
    <x v="0"/>
    <s v="-"/>
    <s v="-"/>
    <s v="-"/>
    <x v="33"/>
    <x v="0"/>
    <x v="0"/>
    <x v="3"/>
    <x v="0"/>
    <x v="0"/>
    <x v="0"/>
    <s v="BENJAMIN LIZARBE"/>
    <x v="1"/>
    <n v="357.36"/>
    <x v="0"/>
    <x v="0"/>
    <x v="0"/>
    <x v="1"/>
  </r>
  <r>
    <x v="15"/>
    <s v="-"/>
    <s v="-"/>
    <x v="89"/>
    <x v="89"/>
    <n v="6"/>
    <s v="S/N"/>
    <x v="0"/>
    <s v="-"/>
    <s v="-"/>
    <s v="-"/>
    <x v="11"/>
    <x v="0"/>
    <x v="0"/>
    <x v="3"/>
    <x v="0"/>
    <x v="0"/>
    <x v="0"/>
    <s v="BENJAMIN LIZARBE"/>
    <x v="1"/>
    <n v="623.81999999999994"/>
    <x v="0"/>
    <x v="0"/>
    <x v="0"/>
    <x v="1"/>
  </r>
  <r>
    <x v="15"/>
    <s v="-"/>
    <s v="-"/>
    <x v="90"/>
    <x v="90"/>
    <n v="6"/>
    <s v="S/N"/>
    <x v="1"/>
    <s v="-"/>
    <s v="-"/>
    <s v="-"/>
    <x v="11"/>
    <x v="0"/>
    <x v="0"/>
    <x v="4"/>
    <x v="0"/>
    <x v="0"/>
    <x v="0"/>
    <s v="BENJAMIN LIZARBE"/>
    <x v="1"/>
    <n v="438.06000000000006"/>
    <x v="0"/>
    <x v="0"/>
    <x v="0"/>
    <x v="1"/>
  </r>
  <r>
    <x v="16"/>
    <s v="T109"/>
    <n v="7620862798"/>
    <x v="91"/>
    <x v="91"/>
    <n v="2"/>
    <s v="AVILA"/>
    <x v="1"/>
    <s v="FILTRO"/>
    <s v="T120"/>
    <n v="7620854941"/>
    <x v="39"/>
    <x v="0"/>
    <x v="0"/>
    <x v="2"/>
    <x v="0"/>
    <x v="0"/>
    <x v="0"/>
    <s v="BENJAMIN LIZARBE"/>
    <x v="0"/>
    <n v="83.26"/>
    <x v="0"/>
    <x v="0"/>
    <x v="0"/>
    <x v="1"/>
  </r>
  <r>
    <x v="16"/>
    <s v="T109"/>
    <n v="7620862798"/>
    <x v="92"/>
    <x v="92"/>
    <n v="2"/>
    <s v="AVILA"/>
    <x v="0"/>
    <s v="FILTRO"/>
    <s v="T120"/>
    <n v="7620854941"/>
    <x v="39"/>
    <x v="0"/>
    <x v="0"/>
    <x v="0"/>
    <x v="0"/>
    <x v="0"/>
    <x v="0"/>
    <s v="BENJAMIN LIZARBE"/>
    <x v="0"/>
    <n v="83.26"/>
    <x v="0"/>
    <x v="0"/>
    <x v="0"/>
    <x v="1"/>
  </r>
  <r>
    <x v="16"/>
    <s v="S014"/>
    <n v="7620858677"/>
    <x v="93"/>
    <x v="93"/>
    <n v="6"/>
    <s v="ROMERO"/>
    <x v="0"/>
    <s v="FILTRO"/>
    <s v="S021"/>
    <n v="7620766410"/>
    <x v="20"/>
    <x v="0"/>
    <x v="0"/>
    <x v="0"/>
    <x v="0"/>
    <x v="0"/>
    <x v="0"/>
    <s v="BENJAMIN LIZARBE"/>
    <x v="0"/>
    <n v="343.38"/>
    <x v="0"/>
    <x v="0"/>
    <x v="0"/>
    <x v="1"/>
  </r>
  <r>
    <x v="16"/>
    <s v="S014"/>
    <n v="7620858677"/>
    <x v="94"/>
    <x v="94"/>
    <n v="2"/>
    <s v="ROMERO"/>
    <x v="0"/>
    <s v="FILTRO"/>
    <s v="S021"/>
    <n v="7620766410"/>
    <x v="20"/>
    <x v="0"/>
    <x v="0"/>
    <x v="0"/>
    <x v="0"/>
    <x v="0"/>
    <x v="0"/>
    <s v="BENJAMIN LIZARBE"/>
    <x v="0"/>
    <n v="161.6"/>
    <x v="0"/>
    <x v="0"/>
    <x v="0"/>
    <x v="1"/>
  </r>
  <r>
    <x v="16"/>
    <s v="S014"/>
    <n v="7620858677"/>
    <x v="95"/>
    <x v="95"/>
    <n v="6"/>
    <s v="ROMERO"/>
    <x v="0"/>
    <s v="FILTRO"/>
    <s v="S021"/>
    <n v="7620766410"/>
    <x v="35"/>
    <x v="0"/>
    <x v="0"/>
    <x v="0"/>
    <x v="0"/>
    <x v="0"/>
    <x v="0"/>
    <s v="BENJAMIN LIZARBE"/>
    <x v="0"/>
    <n v="141.42000000000002"/>
    <x v="0"/>
    <x v="0"/>
    <x v="0"/>
    <x v="1"/>
  </r>
  <r>
    <x v="17"/>
    <s v="-"/>
    <s v="-"/>
    <x v="71"/>
    <x v="71"/>
    <n v="5"/>
    <s v="AVILA"/>
    <x v="1"/>
    <s v="FILTRO"/>
    <s v="-"/>
    <s v="-"/>
    <x v="11"/>
    <x v="0"/>
    <x v="0"/>
    <x v="2"/>
    <x v="0"/>
    <x v="0"/>
    <x v="0"/>
    <s v="BENJAMIN LIZARBE"/>
    <x v="0"/>
    <n v="104.2"/>
    <x v="0"/>
    <x v="0"/>
    <x v="0"/>
    <x v="1"/>
  </r>
  <r>
    <x v="18"/>
    <s v="T116"/>
    <n v="7620863070"/>
    <x v="96"/>
    <x v="96"/>
    <n v="12"/>
    <s v="JOSUE ARIAS"/>
    <x v="1"/>
    <s v="FILTRO"/>
    <s v="T116"/>
    <s v="7620863071"/>
    <x v="40"/>
    <x v="0"/>
    <x v="0"/>
    <x v="2"/>
    <x v="0"/>
    <x v="1"/>
    <x v="0"/>
    <s v="DAVID PIÑAN"/>
    <x v="0"/>
    <n v="1083.24"/>
    <x v="0"/>
    <x v="0"/>
    <x v="0"/>
    <x v="1"/>
  </r>
  <r>
    <x v="19"/>
    <s v="H003"/>
    <s v="-"/>
    <x v="97"/>
    <x v="97"/>
    <n v="84"/>
    <s v="ROMERO"/>
    <x v="1"/>
    <s v="FILTRO"/>
    <s v="H005"/>
    <n v="7620855899"/>
    <x v="41"/>
    <x v="0"/>
    <x v="0"/>
    <x v="2"/>
    <x v="0"/>
    <x v="0"/>
    <x v="0"/>
    <s v="BENJAMIN LIZARBE"/>
    <x v="0"/>
    <n v="1149.96"/>
    <x v="0"/>
    <x v="0"/>
    <x v="0"/>
    <x v="1"/>
  </r>
  <r>
    <x v="19"/>
    <s v="S035"/>
    <n v="7620862775"/>
    <x v="98"/>
    <x v="98"/>
    <n v="1"/>
    <s v="ROMERO"/>
    <x v="1"/>
    <s v="FILTRO"/>
    <s v="S037"/>
    <n v="7620861998"/>
    <x v="42"/>
    <x v="0"/>
    <x v="0"/>
    <x v="2"/>
    <x v="0"/>
    <x v="0"/>
    <x v="0"/>
    <s v="BENJAMIN LIZARBE"/>
    <x v="0"/>
    <n v="6.48"/>
    <x v="0"/>
    <x v="0"/>
    <x v="0"/>
    <x v="1"/>
  </r>
  <r>
    <x v="19"/>
    <s v="-"/>
    <s v="-"/>
    <x v="99"/>
    <x v="99"/>
    <n v="1"/>
    <s v="S/N"/>
    <x v="0"/>
    <s v="-"/>
    <s v="-"/>
    <s v="-"/>
    <x v="34"/>
    <x v="0"/>
    <x v="0"/>
    <x v="0"/>
    <x v="1"/>
    <x v="2"/>
    <x v="0"/>
    <s v="ALMACEN"/>
    <x v="0"/>
    <n v="7.26"/>
    <x v="2"/>
    <x v="0"/>
    <x v="1"/>
    <x v="1"/>
  </r>
  <r>
    <x v="20"/>
    <s v="S047"/>
    <n v="7620862934"/>
    <x v="100"/>
    <x v="100"/>
    <n v="6"/>
    <s v="-"/>
    <x v="1"/>
    <s v="-"/>
    <s v="-"/>
    <s v="-"/>
    <x v="14"/>
    <x v="0"/>
    <x v="0"/>
    <x v="2"/>
    <x v="0"/>
    <x v="1"/>
    <x v="0"/>
    <s v="DAVID PIÑAN"/>
    <x v="0"/>
    <n v="159.89999999999998"/>
    <x v="0"/>
    <x v="0"/>
    <x v="0"/>
    <x v="1"/>
  </r>
  <r>
    <x v="20"/>
    <s v="S047"/>
    <n v="7620862939"/>
    <x v="101"/>
    <x v="101"/>
    <n v="2"/>
    <s v="-"/>
    <x v="1"/>
    <s v="-"/>
    <s v="T120"/>
    <s v="7620854937"/>
    <x v="15"/>
    <x v="0"/>
    <x v="0"/>
    <x v="2"/>
    <x v="0"/>
    <x v="0"/>
    <x v="0"/>
    <s v="BENJAMIN LIZARBE"/>
    <x v="0"/>
    <n v="66.38"/>
    <x v="0"/>
    <x v="0"/>
    <x v="0"/>
    <x v="1"/>
  </r>
  <r>
    <x v="20"/>
    <s v="S097"/>
    <n v="7620862622"/>
    <x v="102"/>
    <x v="102"/>
    <n v="20"/>
    <s v="-"/>
    <x v="1"/>
    <s v="-"/>
    <s v="S093"/>
    <n v="7640115856"/>
    <x v="43"/>
    <x v="0"/>
    <x v="0"/>
    <x v="4"/>
    <x v="0"/>
    <x v="1"/>
    <x v="0"/>
    <s v="DAVID PIÑAN"/>
    <x v="1"/>
    <n v="244.4"/>
    <x v="1"/>
    <x v="0"/>
    <x v="0"/>
    <x v="1"/>
  </r>
  <r>
    <x v="20"/>
    <s v="S047"/>
    <n v="7620862939"/>
    <x v="103"/>
    <x v="103"/>
    <n v="2"/>
    <s v="-"/>
    <x v="0"/>
    <s v="-"/>
    <s v="T120"/>
    <s v="7620854937"/>
    <x v="35"/>
    <x v="0"/>
    <x v="0"/>
    <x v="0"/>
    <x v="0"/>
    <x v="0"/>
    <x v="0"/>
    <s v="BENJAMIN LIZARBE"/>
    <x v="0"/>
    <n v="66.38"/>
    <x v="0"/>
    <x v="0"/>
    <x v="0"/>
    <x v="1"/>
  </r>
  <r>
    <x v="20"/>
    <s v="S047"/>
    <n v="7620862939"/>
    <x v="104"/>
    <x v="104"/>
    <n v="6"/>
    <s v="-"/>
    <x v="0"/>
    <s v="-"/>
    <s v="-"/>
    <s v="-"/>
    <x v="35"/>
    <x v="0"/>
    <x v="0"/>
    <x v="0"/>
    <x v="0"/>
    <x v="0"/>
    <x v="0"/>
    <s v="BENJAMIN LIZARBE"/>
    <x v="0"/>
    <n v="159.84"/>
    <x v="0"/>
    <x v="0"/>
    <x v="0"/>
    <x v="1"/>
  </r>
  <r>
    <x v="20"/>
    <s v="H005"/>
    <s v="7620855897"/>
    <x v="105"/>
    <x v="105"/>
    <n v="12"/>
    <s v="AVILA "/>
    <x v="1"/>
    <s v="FILTRO"/>
    <s v="-"/>
    <s v="-"/>
    <x v="42"/>
    <x v="0"/>
    <x v="0"/>
    <x v="2"/>
    <x v="0"/>
    <x v="0"/>
    <x v="0"/>
    <s v="BENJAMIN LIZARBE"/>
    <x v="0"/>
    <n v="241.20000000000002"/>
    <x v="0"/>
    <x v="0"/>
    <x v="0"/>
    <x v="1"/>
  </r>
  <r>
    <x v="20"/>
    <s v="H005"/>
    <s v="7620855897"/>
    <x v="106"/>
    <x v="106"/>
    <n v="12"/>
    <s v="AVILA"/>
    <x v="0"/>
    <s v="FILTRO"/>
    <s v="-"/>
    <s v="-"/>
    <x v="42"/>
    <x v="0"/>
    <x v="0"/>
    <x v="0"/>
    <x v="0"/>
    <x v="0"/>
    <x v="0"/>
    <s v="BENJAMIN LIZARBE"/>
    <x v="0"/>
    <n v="241.20000000000002"/>
    <x v="0"/>
    <x v="0"/>
    <x v="0"/>
    <x v="1"/>
  </r>
  <r>
    <x v="21"/>
    <s v="T103"/>
    <n v="7620854987"/>
    <x v="27"/>
    <x v="27"/>
    <n v="1"/>
    <s v="-"/>
    <x v="1"/>
    <s v="-"/>
    <s v="S001"/>
    <n v="7620861698"/>
    <x v="36"/>
    <x v="0"/>
    <x v="0"/>
    <x v="2"/>
    <x v="0"/>
    <x v="0"/>
    <x v="0"/>
    <s v="BENJAMIN LIZARBE"/>
    <x v="0"/>
    <n v="38.92"/>
    <x v="0"/>
    <x v="0"/>
    <x v="0"/>
    <x v="1"/>
  </r>
  <r>
    <x v="21"/>
    <s v="T107"/>
    <n v="7620861676"/>
    <x v="107"/>
    <x v="107"/>
    <n v="6"/>
    <s v="-"/>
    <x v="0"/>
    <s v="-"/>
    <s v="S003"/>
    <n v="7620860904"/>
    <x v="42"/>
    <x v="0"/>
    <x v="0"/>
    <x v="0"/>
    <x v="0"/>
    <x v="0"/>
    <x v="0"/>
    <s v="BENJAMIN LIZARBE"/>
    <x v="0"/>
    <n v="194.52"/>
    <x v="0"/>
    <x v="0"/>
    <x v="0"/>
    <x v="1"/>
  </r>
  <r>
    <x v="21"/>
    <s v="T108"/>
    <n v="7620854626"/>
    <x v="108"/>
    <x v="108"/>
    <n v="1"/>
    <s v="ROMERO"/>
    <x v="0"/>
    <s v="FILTRO"/>
    <s v="-"/>
    <s v="-"/>
    <x v="31"/>
    <x v="0"/>
    <x v="0"/>
    <x v="0"/>
    <x v="0"/>
    <x v="1"/>
    <x v="0"/>
    <s v="DAVID PIÑAN"/>
    <x v="0"/>
    <n v="45.54"/>
    <x v="0"/>
    <x v="0"/>
    <x v="0"/>
    <x v="1"/>
  </r>
  <r>
    <x v="21"/>
    <s v="S028"/>
    <n v="7620861724"/>
    <x v="27"/>
    <x v="27"/>
    <n v="1"/>
    <s v="-"/>
    <x v="0"/>
    <s v="-"/>
    <s v="T114"/>
    <n v="7620854739"/>
    <x v="42"/>
    <x v="0"/>
    <x v="0"/>
    <x v="0"/>
    <x v="0"/>
    <x v="0"/>
    <x v="0"/>
    <s v="BENJAMIN LIZARBE"/>
    <x v="0"/>
    <n v="38.92"/>
    <x v="0"/>
    <x v="0"/>
    <x v="0"/>
    <x v="1"/>
  </r>
  <r>
    <x v="21"/>
    <s v="T116"/>
    <n v="7620863066"/>
    <x v="109"/>
    <x v="109"/>
    <n v="12"/>
    <s v="-"/>
    <x v="1"/>
    <s v="-"/>
    <s v="T118"/>
    <n v="7620858900"/>
    <x v="44"/>
    <x v="0"/>
    <x v="0"/>
    <x v="2"/>
    <x v="0"/>
    <x v="1"/>
    <x v="0"/>
    <s v="DAVID PIÑAN"/>
    <x v="0"/>
    <n v="145.44"/>
    <x v="0"/>
    <x v="0"/>
    <x v="0"/>
    <x v="1"/>
  </r>
  <r>
    <x v="21"/>
    <s v="S055"/>
    <n v="7620861776"/>
    <x v="110"/>
    <x v="110"/>
    <n v="6"/>
    <s v="ROMERO"/>
    <x v="1"/>
    <s v="FILTRO"/>
    <s v="S002"/>
    <n v="7620861705"/>
    <x v="3"/>
    <x v="3"/>
    <x v="1"/>
    <x v="6"/>
    <x v="0"/>
    <x v="1"/>
    <x v="1"/>
    <s v="DAVID PIÑAN"/>
    <x v="0"/>
    <n v="186.42000000000002"/>
    <x v="0"/>
    <x v="0"/>
    <x v="0"/>
    <x v="1"/>
  </r>
  <r>
    <x v="22"/>
    <s v="T114"/>
    <n v="7620854739"/>
    <x v="27"/>
    <x v="27"/>
    <n v="2"/>
    <s v="-"/>
    <x v="1"/>
    <s v="-"/>
    <s v="S001"/>
    <n v="7620861698"/>
    <x v="36"/>
    <x v="0"/>
    <x v="0"/>
    <x v="2"/>
    <x v="0"/>
    <x v="0"/>
    <x v="0"/>
    <s v="BENJAMIN LIZARBE"/>
    <x v="0"/>
    <n v="77.84"/>
    <x v="0"/>
    <x v="0"/>
    <x v="0"/>
    <x v="1"/>
  </r>
  <r>
    <x v="22"/>
    <s v="W101"/>
    <n v="7620854333"/>
    <x v="111"/>
    <x v="111"/>
    <n v="1"/>
    <s v="-"/>
    <x v="1"/>
    <s v="-"/>
    <s v="T101"/>
    <n v="7620861594"/>
    <x v="14"/>
    <x v="0"/>
    <x v="0"/>
    <x v="2"/>
    <x v="0"/>
    <x v="1"/>
    <x v="0"/>
    <s v="DAVID PIÑAN"/>
    <x v="0"/>
    <n v="129.41"/>
    <x v="0"/>
    <x v="0"/>
    <x v="0"/>
    <x v="1"/>
  </r>
  <r>
    <x v="22"/>
    <s v="T116"/>
    <n v="7620863064"/>
    <x v="112"/>
    <x v="112"/>
    <n v="1"/>
    <s v="AVILA"/>
    <x v="0"/>
    <s v="FILTRO"/>
    <s v="S089"/>
    <n v="7620858351"/>
    <x v="20"/>
    <x v="0"/>
    <x v="0"/>
    <x v="0"/>
    <x v="0"/>
    <x v="0"/>
    <x v="0"/>
    <s v="BENJAMIN LIZARBE"/>
    <x v="0"/>
    <n v="230.31"/>
    <x v="0"/>
    <x v="0"/>
    <x v="0"/>
    <x v="1"/>
  </r>
  <r>
    <x v="22"/>
    <s v="T130"/>
    <n v="7620855043"/>
    <x v="107"/>
    <x v="107"/>
    <n v="6"/>
    <s v="AVILA"/>
    <x v="0"/>
    <s v="FILTRO"/>
    <s v="S085"/>
    <n v="7620860988"/>
    <x v="42"/>
    <x v="0"/>
    <x v="0"/>
    <x v="0"/>
    <x v="0"/>
    <x v="0"/>
    <x v="0"/>
    <s v="BENJAMIN LIZARBE"/>
    <x v="0"/>
    <n v="194.52"/>
    <x v="0"/>
    <x v="0"/>
    <x v="0"/>
    <x v="1"/>
  </r>
  <r>
    <x v="22"/>
    <s v="T130"/>
    <n v="7620855043"/>
    <x v="113"/>
    <x v="113"/>
    <n v="6"/>
    <s v="AVILA"/>
    <x v="0"/>
    <s v="FILTRO"/>
    <s v="S085"/>
    <n v="7620860988"/>
    <x v="42"/>
    <x v="0"/>
    <x v="0"/>
    <x v="0"/>
    <x v="0"/>
    <x v="0"/>
    <x v="0"/>
    <s v="BENJAMIN LIZARBE"/>
    <x v="0"/>
    <n v="107.76"/>
    <x v="0"/>
    <x v="0"/>
    <x v="0"/>
    <x v="1"/>
  </r>
  <r>
    <x v="22"/>
    <s v="S087"/>
    <n v="7620858700"/>
    <x v="114"/>
    <x v="114"/>
    <n v="2"/>
    <s v="ANGELO"/>
    <x v="0"/>
    <s v="FILTRO"/>
    <s v="S087"/>
    <n v="7620858700"/>
    <x v="37"/>
    <x v="0"/>
    <x v="0"/>
    <x v="5"/>
    <x v="0"/>
    <x v="1"/>
    <x v="0"/>
    <s v="BENJAMIN LIZARBE"/>
    <x v="1"/>
    <n v="6.78"/>
    <x v="1"/>
    <x v="0"/>
    <x v="0"/>
    <x v="1"/>
  </r>
  <r>
    <x v="23"/>
    <s v="T118"/>
    <n v="7620858900"/>
    <x v="115"/>
    <x v="115"/>
    <n v="2"/>
    <s v="ANGELO"/>
    <x v="0"/>
    <s v="FILTRO"/>
    <s v="T118"/>
    <n v="7620858900"/>
    <x v="14"/>
    <x v="4"/>
    <x v="1"/>
    <x v="1"/>
    <x v="0"/>
    <x v="1"/>
    <x v="1"/>
    <s v="DAVID PIÑAN"/>
    <x v="0"/>
    <n v="307.58"/>
    <x v="0"/>
    <x v="0"/>
    <x v="0"/>
    <x v="1"/>
  </r>
  <r>
    <x v="23"/>
    <s v="T118"/>
    <n v="7620858900"/>
    <x v="27"/>
    <x v="27"/>
    <n v="2"/>
    <s v="ANGELO"/>
    <x v="0"/>
    <s v="FILTRO"/>
    <s v="S001"/>
    <n v="7620861698"/>
    <x v="25"/>
    <x v="0"/>
    <x v="0"/>
    <x v="0"/>
    <x v="0"/>
    <x v="0"/>
    <x v="0"/>
    <s v="BENJAMIN LIZARBE"/>
    <x v="0"/>
    <n v="77.84"/>
    <x v="0"/>
    <x v="0"/>
    <x v="0"/>
    <x v="1"/>
  </r>
  <r>
    <x v="23"/>
    <s v="T118"/>
    <n v="7620858900"/>
    <x v="116"/>
    <x v="116"/>
    <n v="1"/>
    <s v="ANGELO"/>
    <x v="0"/>
    <s v="FILTRO"/>
    <s v="T118"/>
    <n v="7620858900"/>
    <x v="3"/>
    <x v="4"/>
    <x v="1"/>
    <x v="1"/>
    <x v="0"/>
    <x v="1"/>
    <x v="1"/>
    <s v="DAVID PIÑAN"/>
    <x v="0"/>
    <n v="12.9"/>
    <x v="0"/>
    <x v="0"/>
    <x v="0"/>
    <x v="1"/>
  </r>
  <r>
    <x v="23"/>
    <s v="T114"/>
    <n v="7620854740"/>
    <x v="117"/>
    <x v="117"/>
    <n v="6"/>
    <s v="-"/>
    <x v="0"/>
    <s v="-"/>
    <s v="T116"/>
    <n v="7620863067"/>
    <x v="42"/>
    <x v="0"/>
    <x v="0"/>
    <x v="0"/>
    <x v="0"/>
    <x v="0"/>
    <x v="0"/>
    <s v="BENJAMIN LIZARBE"/>
    <x v="0"/>
    <n v="107.76"/>
    <x v="0"/>
    <x v="0"/>
    <x v="0"/>
    <x v="1"/>
  </r>
  <r>
    <x v="23"/>
    <s v="T114"/>
    <n v="7620854740"/>
    <x v="118"/>
    <x v="118"/>
    <n v="6"/>
    <s v="-"/>
    <x v="0"/>
    <s v="-"/>
    <s v="S029"/>
    <n v="7620861938"/>
    <x v="7"/>
    <x v="0"/>
    <x v="0"/>
    <x v="0"/>
    <x v="0"/>
    <x v="0"/>
    <x v="0"/>
    <s v="BENJAMIN LIZARBE"/>
    <x v="0"/>
    <n v="110.46000000000001"/>
    <x v="0"/>
    <x v="0"/>
    <x v="0"/>
    <x v="1"/>
  </r>
  <r>
    <x v="23"/>
    <s v="T114"/>
    <n v="7620854740"/>
    <x v="119"/>
    <x v="119"/>
    <n v="6"/>
    <s v="-"/>
    <x v="1"/>
    <s v="-"/>
    <s v="T116"/>
    <n v="7620863067"/>
    <x v="42"/>
    <x v="0"/>
    <x v="0"/>
    <x v="2"/>
    <x v="0"/>
    <x v="0"/>
    <x v="0"/>
    <s v="BENJAMIN LIZARBE"/>
    <x v="0"/>
    <n v="107.76"/>
    <x v="0"/>
    <x v="0"/>
    <x v="0"/>
    <x v="1"/>
  </r>
  <r>
    <x v="23"/>
    <s v="S001"/>
    <n v="7620861698"/>
    <x v="27"/>
    <x v="27"/>
    <n v="3"/>
    <s v="ROMERO"/>
    <x v="1"/>
    <s v="FILTRO"/>
    <s v="T118"/>
    <n v="7620858900"/>
    <x v="25"/>
    <x v="0"/>
    <x v="0"/>
    <x v="2"/>
    <x v="0"/>
    <x v="0"/>
    <x v="0"/>
    <s v="BENJAMIN LIZARBE"/>
    <x v="0"/>
    <n v="116.76"/>
    <x v="0"/>
    <x v="0"/>
    <x v="0"/>
    <x v="1"/>
  </r>
  <r>
    <x v="23"/>
    <s v="-"/>
    <s v="-"/>
    <x v="120"/>
    <x v="120"/>
    <n v="6"/>
    <s v="S/N"/>
    <x v="1"/>
    <s v="-"/>
    <s v="T101"/>
    <s v="7620857407"/>
    <x v="28"/>
    <x v="0"/>
    <x v="0"/>
    <x v="2"/>
    <x v="0"/>
    <x v="1"/>
    <x v="0"/>
    <s v="DAVID PIÑAN"/>
    <x v="0"/>
    <n v="213.18"/>
    <x v="2"/>
    <x v="0"/>
    <x v="0"/>
    <x v="1"/>
  </r>
  <r>
    <x v="23"/>
    <s v="S095"/>
    <n v="7620861816"/>
    <x v="121"/>
    <x v="121"/>
    <n v="2"/>
    <s v="S/N"/>
    <x v="0"/>
    <s v="-"/>
    <s v="S067"/>
    <n v="7620848555"/>
    <x v="3"/>
    <x v="0"/>
    <x v="0"/>
    <x v="0"/>
    <x v="0"/>
    <x v="1"/>
    <x v="0"/>
    <s v="DAVID PIÑAN"/>
    <x v="0"/>
    <n v="38.78"/>
    <x v="0"/>
    <x v="0"/>
    <x v="0"/>
    <x v="1"/>
  </r>
  <r>
    <x v="23"/>
    <s v="S098"/>
    <n v="7620858331"/>
    <x v="97"/>
    <x v="97"/>
    <n v="12"/>
    <s v="S/N"/>
    <x v="0"/>
    <s v="-"/>
    <s v="H014"/>
    <n v="7620863041"/>
    <x v="7"/>
    <x v="0"/>
    <x v="0"/>
    <x v="0"/>
    <x v="0"/>
    <x v="0"/>
    <x v="0"/>
    <s v="BENJAMIN LIZARBE"/>
    <x v="0"/>
    <n v="164.28"/>
    <x v="0"/>
    <x v="0"/>
    <x v="0"/>
    <x v="1"/>
  </r>
  <r>
    <x v="23"/>
    <s v="S005"/>
    <n v="7620863026"/>
    <x v="122"/>
    <x v="122"/>
    <n v="6"/>
    <s v="S/N"/>
    <x v="0"/>
    <s v="-"/>
    <s v="-"/>
    <s v="-"/>
    <x v="24"/>
    <x v="0"/>
    <x v="0"/>
    <x v="0"/>
    <x v="0"/>
    <x v="1"/>
    <x v="0"/>
    <s v="DAVID PIÑAN"/>
    <x v="0"/>
    <n v="366.78000000000003"/>
    <x v="0"/>
    <x v="0"/>
    <x v="0"/>
    <x v="1"/>
  </r>
  <r>
    <x v="23"/>
    <s v="S067"/>
    <n v="7620848555"/>
    <x v="121"/>
    <x v="121"/>
    <n v="2"/>
    <s v="ROMERO"/>
    <x v="1"/>
    <s v="FILTRO"/>
    <s v="S095"/>
    <n v="7620861816"/>
    <x v="3"/>
    <x v="0"/>
    <x v="0"/>
    <x v="2"/>
    <x v="0"/>
    <x v="1"/>
    <x v="0"/>
    <s v="DAVID PIÑAN"/>
    <x v="0"/>
    <n v="38.78"/>
    <x v="0"/>
    <x v="0"/>
    <x v="0"/>
    <x v="1"/>
  </r>
  <r>
    <x v="24"/>
    <s v="H003"/>
    <n v="7620862636"/>
    <x v="123"/>
    <x v="123"/>
    <n v="12"/>
    <s v="-"/>
    <x v="0"/>
    <s v="-"/>
    <s v="T101"/>
    <n v="7620861598"/>
    <x v="7"/>
    <x v="0"/>
    <x v="0"/>
    <x v="0"/>
    <x v="0"/>
    <x v="0"/>
    <x v="0"/>
    <s v="BENJAMIN LIZARBE"/>
    <x v="0"/>
    <n v="129.96"/>
    <x v="0"/>
    <x v="0"/>
    <x v="0"/>
    <x v="1"/>
  </r>
  <r>
    <x v="24"/>
    <s v="S005"/>
    <n v="7620863025"/>
    <x v="124"/>
    <x v="124"/>
    <n v="1"/>
    <s v="-"/>
    <x v="0"/>
    <s v="-"/>
    <s v="S008"/>
    <n v="7620864626"/>
    <x v="34"/>
    <x v="0"/>
    <x v="0"/>
    <x v="0"/>
    <x v="0"/>
    <x v="2"/>
    <x v="0"/>
    <s v="ALMACEN"/>
    <x v="0"/>
    <n v="51.03"/>
    <x v="0"/>
    <x v="0"/>
    <x v="0"/>
    <x v="1"/>
  </r>
  <r>
    <x v="24"/>
    <s v="H003"/>
    <n v="7620862638"/>
    <x v="118"/>
    <x v="118"/>
    <n v="6"/>
    <s v="SATURNO"/>
    <x v="0"/>
    <s v="FILTRO"/>
    <s v="-"/>
    <s v="-"/>
    <x v="34"/>
    <x v="0"/>
    <x v="0"/>
    <x v="0"/>
    <x v="0"/>
    <x v="2"/>
    <x v="0"/>
    <s v="ALMACEN"/>
    <x v="0"/>
    <n v="110.46000000000001"/>
    <x v="0"/>
    <x v="0"/>
    <x v="0"/>
    <x v="1"/>
  </r>
  <r>
    <x v="24"/>
    <s v="T107"/>
    <n v="7620861674"/>
    <x v="125"/>
    <x v="125"/>
    <n v="12"/>
    <s v="-"/>
    <x v="1"/>
    <s v="-"/>
    <s v="T101"/>
    <n v="7620861598"/>
    <x v="7"/>
    <x v="0"/>
    <x v="0"/>
    <x v="2"/>
    <x v="0"/>
    <x v="0"/>
    <x v="0"/>
    <s v="BENJAMIN LIZARBE"/>
    <x v="0"/>
    <n v="134.88"/>
    <x v="0"/>
    <x v="0"/>
    <x v="0"/>
    <x v="1"/>
  </r>
  <r>
    <x v="24"/>
    <s v="S062"/>
    <n v="7620859134"/>
    <x v="126"/>
    <x v="126"/>
    <n v="4"/>
    <s v="AVILA"/>
    <x v="0"/>
    <s v="FILTRO"/>
    <s v="-"/>
    <s v="-"/>
    <x v="14"/>
    <x v="0"/>
    <x v="0"/>
    <x v="0"/>
    <x v="0"/>
    <x v="1"/>
    <x v="0"/>
    <s v="DAVID PIÑAN"/>
    <x v="0"/>
    <n v="525.08000000000004"/>
    <x v="0"/>
    <x v="0"/>
    <x v="0"/>
    <x v="1"/>
  </r>
  <r>
    <x v="24"/>
    <s v="T111"/>
    <n v="7620861607"/>
    <x v="97"/>
    <x v="97"/>
    <n v="12"/>
    <s v="-"/>
    <x v="0"/>
    <s v="-"/>
    <s v="H006"/>
    <n v="7620855945"/>
    <x v="14"/>
    <x v="0"/>
    <x v="0"/>
    <x v="0"/>
    <x v="0"/>
    <x v="1"/>
    <x v="0"/>
    <s v="DAVID PIÑAN"/>
    <x v="0"/>
    <n v="164.28"/>
    <x v="0"/>
    <x v="0"/>
    <x v="0"/>
    <x v="1"/>
  </r>
  <r>
    <x v="24"/>
    <s v="S011"/>
    <n v="7620859912"/>
    <x v="97"/>
    <x v="97"/>
    <n v="12"/>
    <s v="-"/>
    <x v="0"/>
    <s v="-"/>
    <s v="H006"/>
    <n v="7620855945"/>
    <x v="14"/>
    <x v="0"/>
    <x v="0"/>
    <x v="0"/>
    <x v="0"/>
    <x v="1"/>
    <x v="0"/>
    <s v="DAVID PIÑAN"/>
    <x v="0"/>
    <n v="164.28"/>
    <x v="0"/>
    <x v="0"/>
    <x v="0"/>
    <x v="1"/>
  </r>
  <r>
    <x v="24"/>
    <s v="H006"/>
    <n v="7620855945"/>
    <x v="127"/>
    <x v="127"/>
    <n v="24"/>
    <s v="-"/>
    <x v="1"/>
    <s v="-"/>
    <s v="S011"/>
    <n v="7620859912"/>
    <x v="14"/>
    <x v="0"/>
    <x v="0"/>
    <x v="2"/>
    <x v="0"/>
    <x v="1"/>
    <x v="0"/>
    <s v="DAVID PIÑAN"/>
    <x v="0"/>
    <n v="328.56"/>
    <x v="0"/>
    <x v="0"/>
    <x v="0"/>
    <x v="1"/>
  </r>
  <r>
    <x v="24"/>
    <s v="H014"/>
    <n v="7620863041"/>
    <x v="127"/>
    <x v="127"/>
    <n v="12"/>
    <s v="ROMERO"/>
    <x v="0"/>
    <s v="FILTRO"/>
    <s v="T107"/>
    <n v="7620861673"/>
    <x v="14"/>
    <x v="0"/>
    <x v="0"/>
    <x v="0"/>
    <x v="0"/>
    <x v="1"/>
    <x v="0"/>
    <s v="DAVID PIÑAN"/>
    <x v="0"/>
    <n v="164.28"/>
    <x v="0"/>
    <x v="0"/>
    <x v="0"/>
    <x v="1"/>
  </r>
  <r>
    <x v="25"/>
    <s v="T114"/>
    <n v="7620854738"/>
    <x v="128"/>
    <x v="128"/>
    <n v="1"/>
    <s v="ANGELO"/>
    <x v="0"/>
    <s v="FILTRO"/>
    <s v="T114"/>
    <n v="7620854738"/>
    <x v="3"/>
    <x v="4"/>
    <x v="1"/>
    <x v="1"/>
    <x v="0"/>
    <x v="1"/>
    <x v="1"/>
    <s v="DAVID PIÑAN"/>
    <x v="0"/>
    <n v="47.55"/>
    <x v="0"/>
    <x v="0"/>
    <x v="0"/>
    <x v="1"/>
  </r>
  <r>
    <x v="25"/>
    <s v="T114"/>
    <n v="7620854738"/>
    <x v="126"/>
    <x v="126"/>
    <n v="4"/>
    <s v="ANGELO"/>
    <x v="0"/>
    <s v="FILTRO"/>
    <s v="T118"/>
    <n v="7620858902"/>
    <x v="14"/>
    <x v="0"/>
    <x v="0"/>
    <x v="0"/>
    <x v="0"/>
    <x v="1"/>
    <x v="0"/>
    <s v="DAVID PIÑAN"/>
    <x v="0"/>
    <n v="525.08000000000004"/>
    <x v="0"/>
    <x v="0"/>
    <x v="0"/>
    <x v="1"/>
  </r>
  <r>
    <x v="25"/>
    <s v="T114"/>
    <n v="7620854738"/>
    <x v="129"/>
    <x v="129"/>
    <n v="1"/>
    <s v="ANGELO"/>
    <x v="0"/>
    <s v="FILTRO"/>
    <s v="T114"/>
    <n v="7620854738"/>
    <x v="36"/>
    <x v="4"/>
    <x v="1"/>
    <x v="1"/>
    <x v="0"/>
    <x v="1"/>
    <x v="1"/>
    <s v="BENJAMIN LIZARBE"/>
    <x v="0"/>
    <n v="37.450000000000003"/>
    <x v="0"/>
    <x v="0"/>
    <x v="0"/>
    <x v="1"/>
  </r>
  <r>
    <x v="25"/>
    <s v="T114"/>
    <n v="7620854738"/>
    <x v="130"/>
    <x v="130"/>
    <n v="2"/>
    <s v="ANGELO"/>
    <x v="0"/>
    <s v="FILTRO"/>
    <s v="T114"/>
    <n v="7620854738"/>
    <x v="3"/>
    <x v="4"/>
    <x v="1"/>
    <x v="1"/>
    <x v="0"/>
    <x v="1"/>
    <x v="1"/>
    <s v="DAVID PIÑAN"/>
    <x v="0"/>
    <n v="210.88"/>
    <x v="0"/>
    <x v="0"/>
    <x v="0"/>
    <x v="1"/>
  </r>
  <r>
    <x v="26"/>
    <s v="S097"/>
    <n v="7620862626"/>
    <x v="13"/>
    <x v="13"/>
    <n v="1"/>
    <s v="-"/>
    <x v="0"/>
    <s v="-"/>
    <s v="-"/>
    <s v="-"/>
    <x v="21"/>
    <x v="0"/>
    <x v="0"/>
    <x v="0"/>
    <x v="0"/>
    <x v="0"/>
    <x v="0"/>
    <s v="BENJAMIN LIZARBE"/>
    <x v="0"/>
    <n v="20.88"/>
    <x v="0"/>
    <x v="0"/>
    <x v="0"/>
    <x v="1"/>
  </r>
  <r>
    <x v="26"/>
    <s v="-"/>
    <s v="-"/>
    <x v="131"/>
    <x v="131"/>
    <n v="12"/>
    <s v="ROJAS"/>
    <x v="0"/>
    <s v="AUDITORIA"/>
    <s v="-"/>
    <s v="-"/>
    <x v="32"/>
    <x v="0"/>
    <x v="0"/>
    <x v="0"/>
    <x v="1"/>
    <x v="0"/>
    <x v="0"/>
    <s v="BENJAMIN LIZARBE"/>
    <x v="0"/>
    <n v="160.44"/>
    <x v="2"/>
    <x v="0"/>
    <x v="1"/>
    <x v="1"/>
  </r>
  <r>
    <x v="27"/>
    <s v="T108"/>
    <n v="7620854621"/>
    <x v="132"/>
    <x v="132"/>
    <n v="12"/>
    <s v="-"/>
    <x v="0"/>
    <s v="-"/>
    <s v="-"/>
    <s v="-"/>
    <x v="35"/>
    <x v="0"/>
    <x v="0"/>
    <x v="0"/>
    <x v="1"/>
    <x v="0"/>
    <x v="0"/>
    <s v="BENJAMIN LIZARBE"/>
    <x v="0"/>
    <n v="145.44"/>
    <x v="0"/>
    <x v="1"/>
    <x v="1"/>
    <x v="0"/>
  </r>
  <r>
    <x v="28"/>
    <s v="-"/>
    <s v="-"/>
    <x v="98"/>
    <x v="98"/>
    <n v="1"/>
    <s v="AVILA"/>
    <x v="1"/>
    <s v="FILTRO"/>
    <s v="S055"/>
    <n v="7620861775"/>
    <x v="35"/>
    <x v="0"/>
    <x v="0"/>
    <x v="2"/>
    <x v="0"/>
    <x v="0"/>
    <x v="0"/>
    <s v="BENJAMIN LIZARBE"/>
    <x v="0"/>
    <n v="6.48"/>
    <x v="0"/>
    <x v="1"/>
    <x v="0"/>
    <x v="0"/>
  </r>
  <r>
    <x v="28"/>
    <s v="-"/>
    <s v="-"/>
    <x v="133"/>
    <x v="133"/>
    <n v="1"/>
    <s v="AVILA"/>
    <x v="1"/>
    <s v="FILTRO"/>
    <s v="S055"/>
    <n v="7620861775"/>
    <x v="35"/>
    <x v="0"/>
    <x v="0"/>
    <x v="2"/>
    <x v="0"/>
    <x v="0"/>
    <x v="0"/>
    <s v="BENJAMIN LIZARBE"/>
    <x v="0"/>
    <n v="6.48"/>
    <x v="0"/>
    <x v="1"/>
    <x v="0"/>
    <x v="0"/>
  </r>
  <r>
    <x v="28"/>
    <s v="-"/>
    <s v="-"/>
    <x v="134"/>
    <x v="134"/>
    <n v="3"/>
    <s v="AVILA"/>
    <x v="1"/>
    <s v="FILTRO"/>
    <s v="-"/>
    <s v="-"/>
    <x v="3"/>
    <x v="0"/>
    <x v="0"/>
    <x v="2"/>
    <x v="2"/>
    <x v="1"/>
    <x v="0"/>
    <s v="DAVID PIÑAN"/>
    <x v="0"/>
    <n v="45.150000000000006"/>
    <x v="0"/>
    <x v="1"/>
    <x v="1"/>
    <x v="0"/>
  </r>
  <r>
    <x v="28"/>
    <s v="-"/>
    <s v="-"/>
    <x v="98"/>
    <x v="98"/>
    <n v="1"/>
    <s v="AVILA"/>
    <x v="1"/>
    <s v="FILTRO"/>
    <s v="S055"/>
    <n v="7620861775"/>
    <x v="35"/>
    <x v="0"/>
    <x v="0"/>
    <x v="2"/>
    <x v="0"/>
    <x v="0"/>
    <x v="0"/>
    <s v="BENJAMIN LIZARBE"/>
    <x v="0"/>
    <n v="6.48"/>
    <x v="0"/>
    <x v="1"/>
    <x v="0"/>
    <x v="0"/>
  </r>
  <r>
    <x v="28"/>
    <s v="-"/>
    <s v="-"/>
    <x v="133"/>
    <x v="133"/>
    <n v="1"/>
    <s v="AVILA"/>
    <x v="1"/>
    <s v="FILTRO"/>
    <s v="S055"/>
    <n v="7620861775"/>
    <x v="35"/>
    <x v="0"/>
    <x v="0"/>
    <x v="2"/>
    <x v="0"/>
    <x v="0"/>
    <x v="0"/>
    <s v="BENJAMIN LIZARBE"/>
    <x v="0"/>
    <n v="6.48"/>
    <x v="0"/>
    <x v="1"/>
    <x v="0"/>
    <x v="0"/>
  </r>
  <r>
    <x v="28"/>
    <s v="T120"/>
    <n v="7620854929"/>
    <x v="135"/>
    <x v="135"/>
    <n v="24"/>
    <s v="-"/>
    <x v="0"/>
    <s v="-"/>
    <s v="-"/>
    <s v="-"/>
    <x v="25"/>
    <x v="0"/>
    <x v="0"/>
    <x v="0"/>
    <x v="1"/>
    <x v="0"/>
    <x v="0"/>
    <s v="BENJAMIN LIZARBE"/>
    <x v="0"/>
    <n v="170.88"/>
    <x v="0"/>
    <x v="1"/>
    <x v="1"/>
    <x v="0"/>
  </r>
  <r>
    <x v="29"/>
    <s v="T102"/>
    <n v="7620866152"/>
    <x v="136"/>
    <x v="136"/>
    <n v="1"/>
    <s v="-"/>
    <x v="0"/>
    <s v="-"/>
    <s v="-"/>
    <s v="-"/>
    <x v="42"/>
    <x v="0"/>
    <x v="0"/>
    <x v="0"/>
    <x v="1"/>
    <x v="0"/>
    <x v="0"/>
    <s v="BENJAMIN LIZARBE"/>
    <x v="0"/>
    <n v="4.49"/>
    <x v="0"/>
    <x v="1"/>
    <x v="1"/>
    <x v="0"/>
  </r>
  <r>
    <x v="30"/>
    <s v="-"/>
    <s v="-"/>
    <x v="137"/>
    <x v="137"/>
    <n v="1"/>
    <s v="-"/>
    <x v="1"/>
    <s v="-"/>
    <s v="-"/>
    <s v="-"/>
    <x v="34"/>
    <x v="0"/>
    <x v="0"/>
    <x v="4"/>
    <x v="2"/>
    <x v="2"/>
    <x v="0"/>
    <s v="ALMACEN"/>
    <x v="1"/>
    <n v="29.81"/>
    <x v="0"/>
    <x v="1"/>
    <x v="1"/>
    <x v="0"/>
  </r>
  <r>
    <x v="30"/>
    <s v="S082"/>
    <n v="7620867312"/>
    <x v="138"/>
    <x v="138"/>
    <n v="24"/>
    <s v="DEZA"/>
    <x v="0"/>
    <s v="FILTRO"/>
    <s v="S082"/>
    <n v="7620866459"/>
    <x v="45"/>
    <x v="0"/>
    <x v="0"/>
    <x v="0"/>
    <x v="0"/>
    <x v="0"/>
    <x v="0"/>
    <s v="BENJAMIN LIZARBE"/>
    <x v="0"/>
    <n v="101.76"/>
    <x v="2"/>
    <x v="1"/>
    <x v="0"/>
    <x v="0"/>
  </r>
  <r>
    <x v="30"/>
    <s v="S003"/>
    <n v="7620863235"/>
    <x v="139"/>
    <x v="139"/>
    <n v="6"/>
    <s v="DEZA"/>
    <x v="0"/>
    <s v="FILTRO"/>
    <s v="S003"/>
    <n v="7620863235"/>
    <x v="14"/>
    <x v="4"/>
    <x v="1"/>
    <x v="1"/>
    <x v="0"/>
    <x v="1"/>
    <x v="1"/>
    <s v="DAVID PIÑAN"/>
    <x v="0"/>
    <n v="147.47999999999999"/>
    <x v="0"/>
    <x v="1"/>
    <x v="0"/>
    <x v="0"/>
  </r>
  <r>
    <x v="30"/>
    <s v="T114"/>
    <n v="7620866315"/>
    <x v="140"/>
    <x v="140"/>
    <n v="1"/>
    <s v="PALOMINO"/>
    <x v="1"/>
    <s v="AUDITORIA"/>
    <s v="-"/>
    <s v="-"/>
    <x v="31"/>
    <x v="0"/>
    <x v="0"/>
    <x v="8"/>
    <x v="2"/>
    <x v="1"/>
    <x v="0"/>
    <s v="DAVID PIÑAN"/>
    <x v="0"/>
    <n v="12.56"/>
    <x v="1"/>
    <x v="1"/>
    <x v="1"/>
    <x v="0"/>
  </r>
  <r>
    <x v="30"/>
    <s v="H009"/>
    <n v="7620856031"/>
    <x v="98"/>
    <x v="98"/>
    <n v="6"/>
    <s v="AVILA"/>
    <x v="1"/>
    <s v="FILTRO"/>
    <s v="-"/>
    <s v="-"/>
    <x v="46"/>
    <x v="0"/>
    <x v="0"/>
    <x v="2"/>
    <x v="2"/>
    <x v="1"/>
    <x v="0"/>
    <s v="DAVID PIÑAN"/>
    <x v="0"/>
    <n v="38.880000000000003"/>
    <x v="0"/>
    <x v="1"/>
    <x v="1"/>
    <x v="0"/>
  </r>
  <r>
    <x v="30"/>
    <s v="-"/>
    <s v="-"/>
    <x v="15"/>
    <x v="15"/>
    <n v="1"/>
    <s v="-"/>
    <x v="1"/>
    <s v="-"/>
    <s v="-"/>
    <s v="-"/>
    <x v="34"/>
    <x v="0"/>
    <x v="0"/>
    <x v="4"/>
    <x v="2"/>
    <x v="2"/>
    <x v="0"/>
    <s v="ALMACEN"/>
    <x v="1"/>
    <n v="57.01"/>
    <x v="0"/>
    <x v="1"/>
    <x v="1"/>
    <x v="0"/>
  </r>
  <r>
    <x v="30"/>
    <s v="H009"/>
    <n v="7620856031"/>
    <x v="141"/>
    <x v="141"/>
    <n v="1"/>
    <s v="AVILA"/>
    <x v="1"/>
    <s v="FILTRO"/>
    <s v="-"/>
    <s v="-"/>
    <x v="47"/>
    <x v="0"/>
    <x v="0"/>
    <x v="2"/>
    <x v="2"/>
    <x v="1"/>
    <x v="0"/>
    <s v="DAVID PIÑAN"/>
    <x v="0"/>
    <n v="12.9"/>
    <x v="0"/>
    <x v="1"/>
    <x v="1"/>
    <x v="0"/>
  </r>
  <r>
    <x v="30"/>
    <s v="H009"/>
    <n v="7620856031"/>
    <x v="142"/>
    <x v="142"/>
    <n v="3"/>
    <s v="AVILA"/>
    <x v="1"/>
    <s v="FILTRO"/>
    <s v="-"/>
    <s v="-"/>
    <x v="48"/>
    <x v="0"/>
    <x v="0"/>
    <x v="2"/>
    <x v="2"/>
    <x v="1"/>
    <x v="0"/>
    <s v="DAVID PIÑAN"/>
    <x v="0"/>
    <n v="57.989999999999995"/>
    <x v="0"/>
    <x v="1"/>
    <x v="1"/>
    <x v="0"/>
  </r>
  <r>
    <x v="30"/>
    <s v="-"/>
    <s v="-"/>
    <x v="143"/>
    <x v="143"/>
    <n v="3"/>
    <s v="-"/>
    <x v="1"/>
    <s v="-"/>
    <s v="-"/>
    <s v="-"/>
    <x v="34"/>
    <x v="0"/>
    <x v="0"/>
    <x v="2"/>
    <x v="2"/>
    <x v="2"/>
    <x v="0"/>
    <s v="ALMACEN"/>
    <x v="0"/>
    <n v="139.41"/>
    <x v="0"/>
    <x v="1"/>
    <x v="1"/>
    <x v="0"/>
  </r>
  <r>
    <x v="30"/>
    <s v="S082"/>
    <n v="7620867312"/>
    <x v="138"/>
    <x v="138"/>
    <n v="24"/>
    <s v="DEZA"/>
    <x v="0"/>
    <s v="FILTRO"/>
    <s v="S082"/>
    <n v="7620866459"/>
    <x v="45"/>
    <x v="0"/>
    <x v="0"/>
    <x v="0"/>
    <x v="0"/>
    <x v="0"/>
    <x v="0"/>
    <s v="BENJAMIN LIZARBE"/>
    <x v="0"/>
    <n v="101.76"/>
    <x v="2"/>
    <x v="1"/>
    <x v="0"/>
    <x v="0"/>
  </r>
  <r>
    <x v="31"/>
    <s v="T101"/>
    <n v="7620866128"/>
    <x v="144"/>
    <x v="144"/>
    <n v="18"/>
    <s v="-"/>
    <x v="0"/>
    <s v="-"/>
    <s v="-"/>
    <s v="-"/>
    <x v="49"/>
    <x v="0"/>
    <x v="0"/>
    <x v="0"/>
    <x v="1"/>
    <x v="0"/>
    <x v="0"/>
    <s v="BENJAMIN LIZARBE"/>
    <x v="0"/>
    <n v="103.14000000000001"/>
    <x v="1"/>
    <x v="1"/>
    <x v="1"/>
    <x v="0"/>
  </r>
  <r>
    <x v="32"/>
    <s v="-"/>
    <s v="-"/>
    <x v="89"/>
    <x v="89"/>
    <n v="1"/>
    <s v="-"/>
    <x v="0"/>
    <s v="-"/>
    <s v="-"/>
    <s v="-"/>
    <x v="34"/>
    <x v="0"/>
    <x v="0"/>
    <x v="3"/>
    <x v="1"/>
    <x v="2"/>
    <x v="0"/>
    <s v="ALMACEN"/>
    <x v="1"/>
    <n v="103.97"/>
    <x v="0"/>
    <x v="1"/>
    <x v="1"/>
    <x v="0"/>
  </r>
  <r>
    <x v="32"/>
    <s v="-"/>
    <s v="-"/>
    <x v="145"/>
    <x v="145"/>
    <n v="12"/>
    <s v="-"/>
    <x v="0"/>
    <s v="-"/>
    <s v="-"/>
    <s v="-"/>
    <x v="34"/>
    <x v="0"/>
    <x v="0"/>
    <x v="3"/>
    <x v="1"/>
    <x v="2"/>
    <x v="0"/>
    <s v="ALMACEN"/>
    <x v="1"/>
    <n v="121.19999999999999"/>
    <x v="1"/>
    <x v="1"/>
    <x v="1"/>
    <x v="0"/>
  </r>
  <r>
    <x v="32"/>
    <s v="T120"/>
    <n v="7620867413"/>
    <x v="22"/>
    <x v="22"/>
    <n v="2"/>
    <s v="-"/>
    <x v="1"/>
    <s v="-"/>
    <s v="T103"/>
    <n v="7620864680"/>
    <x v="24"/>
    <x v="0"/>
    <x v="0"/>
    <x v="2"/>
    <x v="0"/>
    <x v="1"/>
    <x v="0"/>
    <s v="DAVID PIÑAN"/>
    <x v="0"/>
    <n v="30.24"/>
    <x v="0"/>
    <x v="1"/>
    <x v="0"/>
    <x v="0"/>
  </r>
  <r>
    <x v="32"/>
    <s v="S036"/>
    <n v="7620867313"/>
    <x v="146"/>
    <x v="146"/>
    <n v="2"/>
    <s v="AVILA"/>
    <x v="1"/>
    <s v="FILTRO"/>
    <s v="S037"/>
    <n v="7620861995"/>
    <x v="46"/>
    <x v="0"/>
    <x v="0"/>
    <x v="2"/>
    <x v="0"/>
    <x v="1"/>
    <x v="0"/>
    <s v="DAVID PIÑAN"/>
    <x v="0"/>
    <n v="50.28"/>
    <x v="0"/>
    <x v="1"/>
    <x v="0"/>
    <x v="0"/>
  </r>
  <r>
    <x v="32"/>
    <s v="-"/>
    <s v="-"/>
    <x v="147"/>
    <x v="147"/>
    <n v="12"/>
    <s v="-"/>
    <x v="0"/>
    <s v="-"/>
    <s v="-"/>
    <s v="-"/>
    <x v="34"/>
    <x v="0"/>
    <x v="0"/>
    <x v="7"/>
    <x v="1"/>
    <x v="2"/>
    <x v="0"/>
    <s v="ALMACEN"/>
    <x v="1"/>
    <n v="116.39999999999999"/>
    <x v="1"/>
    <x v="1"/>
    <x v="1"/>
    <x v="0"/>
  </r>
  <r>
    <x v="32"/>
    <s v="-"/>
    <s v="-"/>
    <x v="148"/>
    <x v="148"/>
    <n v="24"/>
    <s v="-"/>
    <x v="1"/>
    <s v="-"/>
    <s v="-"/>
    <s v="-"/>
    <x v="34"/>
    <x v="0"/>
    <x v="0"/>
    <x v="4"/>
    <x v="2"/>
    <x v="2"/>
    <x v="0"/>
    <s v="ALMACEN"/>
    <x v="1"/>
    <n v="120.96000000000001"/>
    <x v="1"/>
    <x v="1"/>
    <x v="1"/>
    <x v="0"/>
  </r>
  <r>
    <x v="32"/>
    <s v="T120"/>
    <n v="7620867413"/>
    <x v="22"/>
    <x v="22"/>
    <n v="2"/>
    <s v="-"/>
    <x v="1"/>
    <s v="-"/>
    <s v="T103"/>
    <n v="7620864680"/>
    <x v="24"/>
    <x v="0"/>
    <x v="0"/>
    <x v="2"/>
    <x v="0"/>
    <x v="1"/>
    <x v="0"/>
    <s v="DAVID PIÑAN"/>
    <x v="0"/>
    <n v="30.24"/>
    <x v="0"/>
    <x v="1"/>
    <x v="0"/>
    <x v="0"/>
  </r>
  <r>
    <x v="32"/>
    <s v="S036"/>
    <n v="7620867313"/>
    <x v="146"/>
    <x v="146"/>
    <n v="2"/>
    <s v="AVILA"/>
    <x v="1"/>
    <s v="FILTRO"/>
    <s v="S037"/>
    <n v="7620861995"/>
    <x v="35"/>
    <x v="2"/>
    <x v="1"/>
    <x v="6"/>
    <x v="0"/>
    <x v="1"/>
    <x v="1"/>
    <s v="BENJAMIN LIZARBE"/>
    <x v="0"/>
    <n v="50.28"/>
    <x v="0"/>
    <x v="1"/>
    <x v="0"/>
    <x v="0"/>
  </r>
  <r>
    <x v="32"/>
    <s v="T101"/>
    <n v="7620866128"/>
    <x v="149"/>
    <x v="149"/>
    <n v="12"/>
    <s v="-"/>
    <x v="0"/>
    <s v="-"/>
    <s v="-"/>
    <s v="-"/>
    <x v="32"/>
    <x v="0"/>
    <x v="0"/>
    <x v="0"/>
    <x v="1"/>
    <x v="0"/>
    <x v="0"/>
    <s v="BENJAMIN LIZARBE"/>
    <x v="0"/>
    <n v="94.56"/>
    <x v="1"/>
    <x v="1"/>
    <x v="1"/>
    <x v="0"/>
  </r>
  <r>
    <x v="32"/>
    <s v="S087"/>
    <n v="7620866687"/>
    <x v="150"/>
    <x v="150"/>
    <n v="18"/>
    <s v="-"/>
    <x v="0"/>
    <s v="-"/>
    <s v="-"/>
    <s v="-"/>
    <x v="45"/>
    <x v="0"/>
    <x v="0"/>
    <x v="0"/>
    <x v="1"/>
    <x v="0"/>
    <x v="0"/>
    <s v="BENJAMIN LIZARBE"/>
    <x v="0"/>
    <n v="163.98"/>
    <x v="2"/>
    <x v="1"/>
    <x v="1"/>
    <x v="0"/>
  </r>
  <r>
    <x v="33"/>
    <s v="T117"/>
    <n v="7620853297"/>
    <x v="151"/>
    <x v="151"/>
    <n v="12"/>
    <s v="-"/>
    <x v="0"/>
    <s v="-"/>
    <s v="-"/>
    <s v="-"/>
    <x v="50"/>
    <x v="0"/>
    <x v="0"/>
    <x v="0"/>
    <x v="1"/>
    <x v="0"/>
    <x v="0"/>
    <s v="BENJAMIN LIZARBE"/>
    <x v="0"/>
    <n v="160.44"/>
    <x v="2"/>
    <x v="1"/>
    <x v="1"/>
    <x v="0"/>
  </r>
  <r>
    <x v="34"/>
    <s v="S011"/>
    <n v="7620853858"/>
    <x v="152"/>
    <x v="152"/>
    <n v="10"/>
    <s v="-"/>
    <x v="0"/>
    <s v="-"/>
    <s v="-"/>
    <s v="-"/>
    <x v="24"/>
    <x v="0"/>
    <x v="0"/>
    <x v="0"/>
    <x v="1"/>
    <x v="1"/>
    <x v="0"/>
    <s v="DAVID PIÑAN"/>
    <x v="0"/>
    <n v="39.6"/>
    <x v="1"/>
    <x v="1"/>
    <x v="1"/>
    <x v="0"/>
  </r>
  <r>
    <x v="35"/>
    <s v="T101"/>
    <n v="7620866643"/>
    <x v="153"/>
    <x v="153"/>
    <n v="2"/>
    <s v="-"/>
    <x v="1"/>
    <s v="-"/>
    <s v="W101"/>
    <n v="7620867881"/>
    <x v="24"/>
    <x v="0"/>
    <x v="0"/>
    <x v="2"/>
    <x v="0"/>
    <x v="1"/>
    <x v="0"/>
    <s v="DAVID PIÑAN"/>
    <x v="0"/>
    <n v="102.42"/>
    <x v="0"/>
    <x v="1"/>
    <x v="0"/>
    <x v="0"/>
  </r>
  <r>
    <x v="35"/>
    <s v="T101"/>
    <n v="7620866643"/>
    <x v="153"/>
    <x v="153"/>
    <n v="2"/>
    <s v="-"/>
    <x v="1"/>
    <s v="-"/>
    <s v="W101"/>
    <n v="7620867881"/>
    <x v="24"/>
    <x v="0"/>
    <x v="0"/>
    <x v="2"/>
    <x v="0"/>
    <x v="1"/>
    <x v="0"/>
    <s v="DAVID PIÑAN"/>
    <x v="0"/>
    <n v="102.42"/>
    <x v="0"/>
    <x v="1"/>
    <x v="0"/>
    <x v="0"/>
  </r>
  <r>
    <x v="35"/>
    <s v="S035"/>
    <n v="7620862771"/>
    <x v="22"/>
    <x v="22"/>
    <n v="1"/>
    <s v="-"/>
    <x v="0"/>
    <s v="-"/>
    <s v="-"/>
    <s v="-"/>
    <x v="24"/>
    <x v="0"/>
    <x v="0"/>
    <x v="0"/>
    <x v="1"/>
    <x v="1"/>
    <x v="0"/>
    <s v="DAVID PIÑAN"/>
    <x v="0"/>
    <n v="15.12"/>
    <x v="0"/>
    <x v="1"/>
    <x v="1"/>
    <x v="0"/>
  </r>
  <r>
    <x v="36"/>
    <s v="H005"/>
    <n v="7620861047"/>
    <x v="154"/>
    <x v="154"/>
    <n v="12"/>
    <s v="ORDOÑEZ"/>
    <x v="1"/>
    <s v="FILTRO"/>
    <s v="-"/>
    <s v="-"/>
    <x v="24"/>
    <x v="0"/>
    <x v="0"/>
    <x v="2"/>
    <x v="0"/>
    <x v="1"/>
    <x v="0"/>
    <s v="DAVID PIÑAN"/>
    <x v="0"/>
    <n v="249.84"/>
    <x v="0"/>
    <x v="1"/>
    <x v="0"/>
    <x v="0"/>
  </r>
  <r>
    <x v="36"/>
    <s v="H005"/>
    <n v="7620861047"/>
    <x v="33"/>
    <x v="33"/>
    <n v="12"/>
    <s v="ORDOÑEZ"/>
    <x v="0"/>
    <s v="FILTRO"/>
    <s v="-"/>
    <s v="-"/>
    <x v="7"/>
    <x v="0"/>
    <x v="0"/>
    <x v="0"/>
    <x v="0"/>
    <x v="0"/>
    <x v="0"/>
    <s v="BENJAMIN LIZARBE"/>
    <x v="0"/>
    <n v="171.60000000000002"/>
    <x v="0"/>
    <x v="1"/>
    <x v="0"/>
    <x v="0"/>
  </r>
  <r>
    <x v="36"/>
    <s v="H005"/>
    <n v="7620861047"/>
    <x v="154"/>
    <x v="154"/>
    <n v="12"/>
    <s v="ORDOÑEZ"/>
    <x v="1"/>
    <s v="FILTRO"/>
    <s v="S054"/>
    <n v="7620867801"/>
    <x v="24"/>
    <x v="0"/>
    <x v="0"/>
    <x v="2"/>
    <x v="0"/>
    <x v="1"/>
    <x v="0"/>
    <s v="DAVID PIÑAN"/>
    <x v="0"/>
    <n v="249.84"/>
    <x v="0"/>
    <x v="1"/>
    <x v="0"/>
    <x v="0"/>
  </r>
  <r>
    <x v="36"/>
    <s v="H005"/>
    <n v="7620861047"/>
    <x v="33"/>
    <x v="33"/>
    <n v="12"/>
    <s v="ORDOÑEZ"/>
    <x v="0"/>
    <s v="FILTRO"/>
    <s v="T121"/>
    <n v="762085987"/>
    <x v="7"/>
    <x v="0"/>
    <x v="0"/>
    <x v="0"/>
    <x v="0"/>
    <x v="0"/>
    <x v="0"/>
    <s v="BENJAMIN LIZARBE"/>
    <x v="0"/>
    <n v="171.60000000000002"/>
    <x v="0"/>
    <x v="1"/>
    <x v="0"/>
    <x v="0"/>
  </r>
  <r>
    <x v="37"/>
    <s v="S027"/>
    <n v="7620861508"/>
    <x v="155"/>
    <x v="155"/>
    <n v="3"/>
    <s v="AVILA"/>
    <x v="1"/>
    <s v="FILTRO"/>
    <s v="S028"/>
    <n v="7620861732"/>
    <x v="51"/>
    <x v="3"/>
    <x v="2"/>
    <x v="9"/>
    <x v="2"/>
    <x v="1"/>
    <x v="2"/>
    <s v="DAVID PIÑAN"/>
    <x v="0"/>
    <n v="157.32"/>
    <x v="0"/>
    <x v="1"/>
    <x v="1"/>
    <x v="0"/>
  </r>
  <r>
    <x v="37"/>
    <s v="S097"/>
    <n v="7620862629"/>
    <x v="156"/>
    <x v="156"/>
    <n v="6"/>
    <s v="JOSUE ARIAS"/>
    <x v="0"/>
    <s v="FILTRO"/>
    <s v="S098"/>
    <s v="-"/>
    <x v="24"/>
    <x v="0"/>
    <x v="0"/>
    <x v="0"/>
    <x v="0"/>
    <x v="1"/>
    <x v="0"/>
    <s v="DAVID PIÑAN"/>
    <x v="0"/>
    <n v="150.84"/>
    <x v="0"/>
    <x v="1"/>
    <x v="0"/>
    <x v="0"/>
  </r>
  <r>
    <x v="38"/>
    <s v="S011"/>
    <n v="7620853861"/>
    <x v="157"/>
    <x v="157"/>
    <n v="1"/>
    <s v="PALOMINO"/>
    <x v="1"/>
    <s v="AUDITORIA"/>
    <s v="-"/>
    <s v="-"/>
    <x v="36"/>
    <x v="0"/>
    <x v="0"/>
    <x v="8"/>
    <x v="2"/>
    <x v="0"/>
    <x v="0"/>
    <s v="BENJAMIN LIZARBE"/>
    <x v="0"/>
    <n v="7.53"/>
    <x v="3"/>
    <x v="1"/>
    <x v="1"/>
    <x v="0"/>
  </r>
  <r>
    <x v="39"/>
    <s v="T116"/>
    <n v="7640114812"/>
    <x v="158"/>
    <x v="158"/>
    <n v="6"/>
    <s v="JLIMACHEC"/>
    <x v="0"/>
    <s v="FILTRO"/>
    <s v="-"/>
    <s v="-"/>
    <x v="29"/>
    <x v="0"/>
    <x v="0"/>
    <x v="3"/>
    <x v="0"/>
    <x v="0"/>
    <x v="0"/>
    <s v="BENJAMIN LIZARBE"/>
    <x v="1"/>
    <n v="457.43999999999994"/>
    <x v="0"/>
    <x v="1"/>
    <x v="0"/>
    <x v="0"/>
  </r>
  <r>
    <x v="40"/>
    <s v="H006"/>
    <n v="7620855936"/>
    <x v="159"/>
    <x v="159"/>
    <n v="24"/>
    <s v="-"/>
    <x v="1"/>
    <s v="-"/>
    <s v="-"/>
    <s v="-"/>
    <x v="26"/>
    <x v="0"/>
    <x v="0"/>
    <x v="4"/>
    <x v="2"/>
    <x v="0"/>
    <x v="0"/>
    <s v="BENJAMIN LIZARBE"/>
    <x v="1"/>
    <n v="66.239999999999995"/>
    <x v="1"/>
    <x v="1"/>
    <x v="1"/>
    <x v="1"/>
  </r>
  <r>
    <x v="40"/>
    <s v="S097"/>
    <n v="7620871371"/>
    <x v="160"/>
    <x v="160"/>
    <n v="1"/>
    <s v="-"/>
    <x v="1"/>
    <s v="-"/>
    <s v="H003"/>
    <n v="7620866041"/>
    <x v="36"/>
    <x v="0"/>
    <x v="0"/>
    <x v="2"/>
    <x v="0"/>
    <x v="0"/>
    <x v="0"/>
    <s v="BENJAMIN LIZARBE"/>
    <x v="0"/>
    <n v="27.03"/>
    <x v="0"/>
    <x v="1"/>
    <x v="0"/>
    <x v="1"/>
  </r>
  <r>
    <x v="40"/>
    <s v="S087"/>
    <n v="7620866684"/>
    <x v="161"/>
    <x v="161"/>
    <n v="6"/>
    <s v="JOSUE ARIAS"/>
    <x v="1"/>
    <s v="FILTRO"/>
    <s v="S087"/>
    <n v="7620866684"/>
    <x v="14"/>
    <x v="1"/>
    <x v="1"/>
    <x v="6"/>
    <x v="0"/>
    <x v="1"/>
    <x v="1"/>
    <s v="DAVID PIÑAN"/>
    <x v="0"/>
    <n v="18.600000000000001"/>
    <x v="0"/>
    <x v="1"/>
    <x v="0"/>
    <x v="1"/>
  </r>
  <r>
    <x v="40"/>
    <s v="H014"/>
    <s v="7640114543"/>
    <x v="162"/>
    <x v="162"/>
    <n v="12"/>
    <s v="PALOMINO"/>
    <x v="0"/>
    <s v="AUDITORIA"/>
    <s v="-"/>
    <s v="-"/>
    <x v="27"/>
    <x v="0"/>
    <x v="0"/>
    <x v="10"/>
    <x v="1"/>
    <x v="0"/>
    <x v="0"/>
    <s v="BENJAMIN LIZARBE"/>
    <x v="1"/>
    <n v="40.799999999999997"/>
    <x v="1"/>
    <x v="1"/>
    <x v="1"/>
    <x v="1"/>
  </r>
  <r>
    <x v="40"/>
    <s v="H006"/>
    <n v="7640114492"/>
    <x v="163"/>
    <x v="163"/>
    <n v="24"/>
    <s v="PALOMINO"/>
    <x v="0"/>
    <s v="AUDITORIA"/>
    <s v="-"/>
    <s v="-"/>
    <x v="26"/>
    <x v="0"/>
    <x v="0"/>
    <x v="10"/>
    <x v="1"/>
    <x v="0"/>
    <x v="0"/>
    <s v="BENJAMIN LIZARBE"/>
    <x v="1"/>
    <n v="66.239999999999995"/>
    <x v="1"/>
    <x v="1"/>
    <x v="1"/>
    <x v="1"/>
  </r>
  <r>
    <x v="41"/>
    <s v="CD09"/>
    <s v="-"/>
    <x v="148"/>
    <x v="148"/>
    <n v="24"/>
    <s v="-"/>
    <x v="0"/>
    <s v="-"/>
    <s v="-"/>
    <s v="-"/>
    <x v="4"/>
    <x v="0"/>
    <x v="3"/>
    <x v="11"/>
    <x v="1"/>
    <x v="0"/>
    <x v="3"/>
    <s v="BENJAMIN LIZARBE"/>
    <x v="1"/>
    <n v="120.96000000000001"/>
    <x v="1"/>
    <x v="1"/>
    <x v="1"/>
    <x v="1"/>
  </r>
  <r>
    <x v="41"/>
    <s v="T102"/>
    <n v="7620870136"/>
    <x v="164"/>
    <x v="164"/>
    <n v="6"/>
    <s v="PALOMINO"/>
    <x v="0"/>
    <s v="AUDITORIA"/>
    <s v="-"/>
    <s v="-"/>
    <x v="38"/>
    <x v="0"/>
    <x v="0"/>
    <x v="10"/>
    <x v="1"/>
    <x v="0"/>
    <x v="0"/>
    <s v="BENJAMIN LIZARBE"/>
    <x v="0"/>
    <n v="51.54"/>
    <x v="2"/>
    <x v="1"/>
    <x v="1"/>
    <x v="1"/>
  </r>
  <r>
    <x v="41"/>
    <s v="T102"/>
    <n v="7620870136"/>
    <x v="165"/>
    <x v="165"/>
    <n v="12"/>
    <s v="PALOMINO"/>
    <x v="1"/>
    <s v="AUDITORIA"/>
    <s v="-"/>
    <s v="-"/>
    <x v="40"/>
    <x v="0"/>
    <x v="0"/>
    <x v="8"/>
    <x v="2"/>
    <x v="1"/>
    <x v="0"/>
    <s v="DAVID PIÑAN"/>
    <x v="0"/>
    <n v="72.36"/>
    <x v="2"/>
    <x v="1"/>
    <x v="1"/>
    <x v="1"/>
  </r>
  <r>
    <x v="41"/>
    <s v="S051"/>
    <n v="7620867356"/>
    <x v="166"/>
    <x v="166"/>
    <n v="6"/>
    <s v="RONALDO"/>
    <x v="0"/>
    <s v="FILTRO"/>
    <s v="T117"/>
    <n v="7620854879"/>
    <x v="36"/>
    <x v="0"/>
    <x v="0"/>
    <x v="0"/>
    <x v="0"/>
    <x v="0"/>
    <x v="0"/>
    <s v="BENJAMIN LIZARBE"/>
    <x v="0"/>
    <n v="1083.6600000000001"/>
    <x v="0"/>
    <x v="1"/>
    <x v="0"/>
    <x v="1"/>
  </r>
  <r>
    <x v="41"/>
    <s v="T115"/>
    <s v="7640114504"/>
    <x v="167"/>
    <x v="167"/>
    <n v="3"/>
    <s v="-"/>
    <x v="1"/>
    <s v="-"/>
    <s v="-"/>
    <s v="-"/>
    <x v="7"/>
    <x v="5"/>
    <x v="2"/>
    <x v="12"/>
    <x v="2"/>
    <x v="0"/>
    <x v="2"/>
    <s v="BENJAMIN LIZARBE"/>
    <x v="1"/>
    <n v="115.28999999999999"/>
    <x v="0"/>
    <x v="1"/>
    <x v="1"/>
    <x v="1"/>
  </r>
  <r>
    <x v="41"/>
    <s v="CD09"/>
    <s v="-"/>
    <x v="168"/>
    <x v="168"/>
    <n v="1"/>
    <s v="-"/>
    <x v="1"/>
    <s v="-"/>
    <s v="-"/>
    <s v="-"/>
    <x v="4"/>
    <x v="0"/>
    <x v="0"/>
    <x v="13"/>
    <x v="2"/>
    <x v="0"/>
    <x v="0"/>
    <s v="BENJAMIN LIZARBE"/>
    <x v="1"/>
    <n v="1.3"/>
    <x v="1"/>
    <x v="1"/>
    <x v="1"/>
    <x v="1"/>
  </r>
  <r>
    <x v="41"/>
    <s v="CD09"/>
    <s v="-"/>
    <x v="169"/>
    <x v="169"/>
    <n v="1"/>
    <s v="-"/>
    <x v="1"/>
    <s v="-"/>
    <s v="-"/>
    <s v="-"/>
    <x v="4"/>
    <x v="0"/>
    <x v="0"/>
    <x v="13"/>
    <x v="2"/>
    <x v="0"/>
    <x v="0"/>
    <s v="BENJAMIN LIZARBE"/>
    <x v="1"/>
    <n v="2.61"/>
    <x v="1"/>
    <x v="1"/>
    <x v="1"/>
    <x v="1"/>
  </r>
  <r>
    <x v="41"/>
    <s v="CD09"/>
    <s v="-"/>
    <x v="170"/>
    <x v="170"/>
    <n v="30"/>
    <s v="-"/>
    <x v="1"/>
    <s v="CICLICO"/>
    <s v="-"/>
    <s v="-"/>
    <x v="4"/>
    <x v="0"/>
    <x v="0"/>
    <x v="13"/>
    <x v="2"/>
    <x v="0"/>
    <x v="0"/>
    <s v="BENJAMIN LIZARBE"/>
    <x v="1"/>
    <n v="66"/>
    <x v="1"/>
    <x v="1"/>
    <x v="1"/>
    <x v="1"/>
  </r>
  <r>
    <x v="41"/>
    <s v="CD09"/>
    <s v="-"/>
    <x v="171"/>
    <x v="171"/>
    <n v="10"/>
    <s v="-"/>
    <x v="1"/>
    <s v="CONSOLIDACION"/>
    <s v="-"/>
    <s v="-"/>
    <x v="34"/>
    <x v="0"/>
    <x v="4"/>
    <x v="13"/>
    <x v="2"/>
    <x v="0"/>
    <x v="4"/>
    <s v="ALMACEN"/>
    <x v="0"/>
    <n v="29.4"/>
    <x v="2"/>
    <x v="1"/>
    <x v="1"/>
    <x v="1"/>
  </r>
  <r>
    <x v="42"/>
    <s v="T101"/>
    <n v="7620868444"/>
    <x v="172"/>
    <x v="172"/>
    <n v="3"/>
    <s v="PALOMINO"/>
    <x v="0"/>
    <s v="AUDITORIA"/>
    <s v="-"/>
    <s v="-"/>
    <x v="36"/>
    <x v="0"/>
    <x v="0"/>
    <x v="10"/>
    <x v="1"/>
    <x v="0"/>
    <x v="0"/>
    <s v="BENJAMIN LIZARBE"/>
    <x v="0"/>
    <n v="83.91"/>
    <x v="1"/>
    <x v="1"/>
    <x v="1"/>
    <x v="1"/>
  </r>
  <r>
    <x v="42"/>
    <s v="T104"/>
    <s v="7640114637"/>
    <x v="173"/>
    <x v="173"/>
    <n v="1"/>
    <s v="PALOMINO"/>
    <x v="0"/>
    <s v="AUDITORIA"/>
    <s v="-"/>
    <s v="-"/>
    <x v="11"/>
    <x v="0"/>
    <x v="0"/>
    <x v="10"/>
    <x v="1"/>
    <x v="0"/>
    <x v="0"/>
    <s v="BENJAMIN LIZARBE"/>
    <x v="1"/>
    <n v="9.24"/>
    <x v="1"/>
    <x v="1"/>
    <x v="1"/>
    <x v="1"/>
  </r>
  <r>
    <x v="42"/>
    <s v="T130"/>
    <n v="7620855037"/>
    <x v="62"/>
    <x v="62"/>
    <n v="12"/>
    <s v="-"/>
    <x v="0"/>
    <s v="-"/>
    <s v="-"/>
    <s v="-"/>
    <x v="36"/>
    <x v="0"/>
    <x v="0"/>
    <x v="3"/>
    <x v="0"/>
    <x v="0"/>
    <x v="0"/>
    <s v="BENJAMIN LIZARBE"/>
    <x v="1"/>
    <n v="60"/>
    <x v="1"/>
    <x v="1"/>
    <x v="0"/>
    <x v="1"/>
  </r>
  <r>
    <x v="43"/>
    <s v="S083"/>
    <n v="7620869209"/>
    <x v="174"/>
    <x v="174"/>
    <n v="1"/>
    <s v="-"/>
    <x v="0"/>
    <s v="-"/>
    <s v="-"/>
    <s v="-"/>
    <x v="29"/>
    <x v="0"/>
    <x v="0"/>
    <x v="3"/>
    <x v="1"/>
    <x v="0"/>
    <x v="0"/>
    <s v="BENJAMIN LIZARBE"/>
    <x v="1"/>
    <n v="2.71"/>
    <x v="1"/>
    <x v="1"/>
    <x v="1"/>
    <x v="1"/>
  </r>
  <r>
    <x v="43"/>
    <s v="T102"/>
    <n v="7640114831"/>
    <x v="175"/>
    <x v="175"/>
    <n v="1"/>
    <s v="PALOMINO"/>
    <x v="1"/>
    <s v="AUDITORIA"/>
    <s v="-"/>
    <s v="-"/>
    <x v="11"/>
    <x v="0"/>
    <x v="0"/>
    <x v="8"/>
    <x v="2"/>
    <x v="0"/>
    <x v="0"/>
    <s v="BENJAMIN LIZARBE"/>
    <x v="1"/>
    <n v="0.76"/>
    <x v="1"/>
    <x v="1"/>
    <x v="1"/>
    <x v="1"/>
  </r>
  <r>
    <x v="43"/>
    <s v="T111"/>
    <n v="7640114559"/>
    <x v="176"/>
    <x v="176"/>
    <n v="1"/>
    <s v="PALOMINO"/>
    <x v="1"/>
    <s v="AUDITORIA"/>
    <s v="-"/>
    <s v="-"/>
    <x v="37"/>
    <x v="0"/>
    <x v="0"/>
    <x v="8"/>
    <x v="2"/>
    <x v="0"/>
    <x v="0"/>
    <s v="BENJAMIN LIZARBE"/>
    <x v="1"/>
    <n v="22.99"/>
    <x v="1"/>
    <x v="1"/>
    <x v="1"/>
    <x v="1"/>
  </r>
  <r>
    <x v="44"/>
    <s v="S001"/>
    <n v="7620861690"/>
    <x v="177"/>
    <x v="177"/>
    <n v="1"/>
    <s v="ORDOÑEZ"/>
    <x v="0"/>
    <s v="FILTRO"/>
    <s v="-"/>
    <s v="-"/>
    <x v="32"/>
    <x v="0"/>
    <x v="0"/>
    <x v="14"/>
    <x v="1"/>
    <x v="0"/>
    <x v="0"/>
    <s v="BENJAMIN LIZARBE"/>
    <x v="0"/>
    <n v="33.979999999999997"/>
    <x v="0"/>
    <x v="1"/>
    <x v="1"/>
    <x v="1"/>
  </r>
  <r>
    <x v="44"/>
    <s v="T120"/>
    <n v="7620871918"/>
    <x v="178"/>
    <x v="178"/>
    <n v="12"/>
    <s v="-"/>
    <x v="0"/>
    <s v="-"/>
    <s v="-"/>
    <s v="-"/>
    <x v="25"/>
    <x v="0"/>
    <x v="5"/>
    <x v="15"/>
    <x v="0"/>
    <x v="0"/>
    <x v="5"/>
    <s v="BENJAMIN LIZARBE"/>
    <x v="0"/>
    <n v="284.39999999999998"/>
    <x v="0"/>
    <x v="1"/>
    <x v="0"/>
    <x v="1"/>
  </r>
  <r>
    <x v="44"/>
    <s v="T132"/>
    <n v="7620855120"/>
    <x v="179"/>
    <x v="179"/>
    <n v="2"/>
    <s v="-"/>
    <x v="0"/>
    <s v="-"/>
    <s v="T130"/>
    <n v="7620855036"/>
    <x v="24"/>
    <x v="0"/>
    <x v="0"/>
    <x v="16"/>
    <x v="0"/>
    <x v="1"/>
    <x v="0"/>
    <s v="DAVID PIÑAN"/>
    <x v="0"/>
    <n v="180"/>
    <x v="0"/>
    <x v="1"/>
    <x v="0"/>
    <x v="1"/>
  </r>
  <r>
    <x v="44"/>
    <s v="H005"/>
    <n v="7620869843"/>
    <x v="180"/>
    <x v="180"/>
    <n v="12"/>
    <s v="-"/>
    <x v="0"/>
    <s v="-"/>
    <s v="H008"/>
    <s v="-"/>
    <x v="35"/>
    <x v="0"/>
    <x v="0"/>
    <x v="14"/>
    <x v="0"/>
    <x v="0"/>
    <x v="0"/>
    <s v="BENJAMIN LIZARBE"/>
    <x v="0"/>
    <n v="297.36"/>
    <x v="0"/>
    <x v="1"/>
    <x v="0"/>
    <x v="1"/>
  </r>
  <r>
    <x v="44"/>
    <s v="T120"/>
    <n v="7620871918"/>
    <x v="181"/>
    <x v="181"/>
    <n v="12"/>
    <s v="-"/>
    <x v="1"/>
    <s v="-"/>
    <s v="-"/>
    <s v="-"/>
    <x v="32"/>
    <x v="0"/>
    <x v="5"/>
    <x v="15"/>
    <x v="0"/>
    <x v="0"/>
    <x v="5"/>
    <s v="BENJAMIN LIZARBE"/>
    <x v="0"/>
    <n v="284.39999999999998"/>
    <x v="0"/>
    <x v="1"/>
    <x v="0"/>
    <x v="1"/>
  </r>
  <r>
    <x v="44"/>
    <s v="T130"/>
    <n v="7620855036"/>
    <x v="182"/>
    <x v="182"/>
    <n v="2"/>
    <s v="-"/>
    <x v="1"/>
    <s v="-"/>
    <s v="T132"/>
    <n v="7620855120"/>
    <x v="38"/>
    <x v="3"/>
    <x v="1"/>
    <x v="17"/>
    <x v="0"/>
    <x v="1"/>
    <x v="1"/>
    <s v="BENJAMIN LIZARBE"/>
    <x v="0"/>
    <n v="152.56"/>
    <x v="0"/>
    <x v="1"/>
    <x v="0"/>
    <x v="1"/>
  </r>
  <r>
    <x v="44"/>
    <s v="T130"/>
    <n v="7620855036"/>
    <x v="183"/>
    <x v="183"/>
    <n v="2"/>
    <s v="-"/>
    <x v="1"/>
    <s v="-"/>
    <s v="T132"/>
    <n v="7620855120"/>
    <x v="35"/>
    <x v="3"/>
    <x v="1"/>
    <x v="17"/>
    <x v="0"/>
    <x v="1"/>
    <x v="1"/>
    <s v="BENJAMIN LIZARBE"/>
    <x v="0"/>
    <n v="161.41999999999999"/>
    <x v="0"/>
    <x v="1"/>
    <x v="0"/>
    <x v="1"/>
  </r>
  <r>
    <x v="44"/>
    <s v="T116"/>
    <n v="7620872071"/>
    <x v="181"/>
    <x v="181"/>
    <n v="24"/>
    <s v="CARHUANCHO"/>
    <x v="1"/>
    <s v="FILTRO"/>
    <s v="-"/>
    <s v="-"/>
    <x v="25"/>
    <x v="0"/>
    <x v="5"/>
    <x v="15"/>
    <x v="0"/>
    <x v="0"/>
    <x v="5"/>
    <s v="BENJAMIN LIZARBE"/>
    <x v="0"/>
    <n v="568.79999999999995"/>
    <x v="0"/>
    <x v="1"/>
    <x v="0"/>
    <x v="1"/>
  </r>
  <r>
    <x v="44"/>
    <s v="T116"/>
    <n v="7620872071"/>
    <x v="178"/>
    <x v="178"/>
    <n v="24"/>
    <s v="CARHUANCHO"/>
    <x v="0"/>
    <s v="FILTRO"/>
    <s v="-"/>
    <s v="-"/>
    <x v="25"/>
    <x v="0"/>
    <x v="5"/>
    <x v="15"/>
    <x v="0"/>
    <x v="0"/>
    <x v="5"/>
    <s v="BENJAMIN LIZARBE"/>
    <x v="0"/>
    <n v="568.79999999999995"/>
    <x v="0"/>
    <x v="1"/>
    <x v="0"/>
    <x v="1"/>
  </r>
  <r>
    <x v="45"/>
    <s v="CD16"/>
    <s v="-"/>
    <x v="184"/>
    <x v="184"/>
    <n v="1"/>
    <s v="-"/>
    <x v="0"/>
    <s v="-"/>
    <s v="-"/>
    <s v="-"/>
    <x v="52"/>
    <x v="0"/>
    <x v="3"/>
    <x v="18"/>
    <x v="1"/>
    <x v="0"/>
    <x v="3"/>
    <s v="FRANCIS MANDUJANO"/>
    <x v="0"/>
    <n v="5"/>
    <x v="0"/>
    <x v="1"/>
    <x v="1"/>
    <x v="1"/>
  </r>
  <r>
    <x v="45"/>
    <s v="T109"/>
    <n v="7640114810"/>
    <x v="185"/>
    <x v="185"/>
    <n v="1"/>
    <s v="PALOMINO"/>
    <x v="1"/>
    <s v="AUDITORIA"/>
    <s v="-"/>
    <s v="-"/>
    <x v="37"/>
    <x v="0"/>
    <x v="0"/>
    <x v="8"/>
    <x v="2"/>
    <x v="0"/>
    <x v="0"/>
    <s v="BENJAMIN LIZARBE"/>
    <x v="1"/>
    <n v="5.08"/>
    <x v="1"/>
    <x v="1"/>
    <x v="1"/>
    <x v="1"/>
  </r>
  <r>
    <x v="46"/>
    <s v="CD16"/>
    <s v="-"/>
    <x v="186"/>
    <x v="186"/>
    <n v="1"/>
    <s v="-"/>
    <x v="0"/>
    <s v="-"/>
    <s v="-"/>
    <s v="-"/>
    <x v="52"/>
    <x v="0"/>
    <x v="3"/>
    <x v="19"/>
    <x v="1"/>
    <x v="0"/>
    <x v="3"/>
    <s v="FRANCIS MANDUJANO"/>
    <x v="0"/>
    <n v="46.75"/>
    <x v="0"/>
    <x v="1"/>
    <x v="1"/>
    <x v="1"/>
  </r>
  <r>
    <x v="46"/>
    <s v="-"/>
    <s v="-"/>
    <x v="187"/>
    <x v="187"/>
    <n v="12"/>
    <s v="-"/>
    <x v="1"/>
    <s v="-"/>
    <s v="S014"/>
    <n v="7620822436"/>
    <x v="28"/>
    <x v="0"/>
    <x v="0"/>
    <x v="14"/>
    <x v="0"/>
    <x v="1"/>
    <x v="0"/>
    <s v="DAVID PIÑAN"/>
    <x v="0"/>
    <n v="147.72"/>
    <x v="2"/>
    <x v="1"/>
    <x v="0"/>
    <x v="1"/>
  </r>
  <r>
    <x v="46"/>
    <s v="T101"/>
    <n v="7640114727"/>
    <x v="188"/>
    <x v="188"/>
    <n v="24"/>
    <s v="PALOMINO"/>
    <x v="1"/>
    <s v="AUDITORIA"/>
    <s v="-"/>
    <s v="-"/>
    <x v="34"/>
    <x v="0"/>
    <x v="0"/>
    <x v="10"/>
    <x v="2"/>
    <x v="0"/>
    <x v="0"/>
    <s v="ALMACEN"/>
    <x v="1"/>
    <n v="247.44"/>
    <x v="1"/>
    <x v="1"/>
    <x v="1"/>
    <x v="1"/>
  </r>
  <r>
    <x v="46"/>
    <s v="S003"/>
    <n v="7640114837"/>
    <x v="189"/>
    <x v="189"/>
    <n v="3"/>
    <s v="LIMACHE"/>
    <x v="1"/>
    <s v="FILTRO"/>
    <s v="H003"/>
    <n v="7640114728"/>
    <x v="33"/>
    <x v="0"/>
    <x v="0"/>
    <x v="14"/>
    <x v="0"/>
    <x v="0"/>
    <x v="0"/>
    <s v="BENJAMIN LIZARBE"/>
    <x v="1"/>
    <n v="177.18"/>
    <x v="0"/>
    <x v="1"/>
    <x v="0"/>
    <x v="1"/>
  </r>
  <r>
    <x v="47"/>
    <s v="S001"/>
    <n v="7620853567"/>
    <x v="190"/>
    <x v="190"/>
    <n v="24"/>
    <s v="PALOMINO"/>
    <x v="1"/>
    <s v="AUDITORIA"/>
    <s v="-"/>
    <s v="-"/>
    <x v="53"/>
    <x v="0"/>
    <x v="0"/>
    <x v="8"/>
    <x v="2"/>
    <x v="0"/>
    <x v="0"/>
    <s v="BENJAMIN LIZARBE"/>
    <x v="0"/>
    <n v="171.12"/>
    <x v="1"/>
    <x v="1"/>
    <x v="1"/>
    <x v="1"/>
  </r>
  <r>
    <x v="48"/>
    <s v="T101"/>
    <n v="7640088201"/>
    <x v="191"/>
    <x v="191"/>
    <n v="24"/>
    <s v="PALOMINO"/>
    <x v="1"/>
    <s v="AUDITORIA"/>
    <s v="-"/>
    <s v="-"/>
    <x v="11"/>
    <x v="0"/>
    <x v="0"/>
    <x v="20"/>
    <x v="0"/>
    <x v="0"/>
    <x v="0"/>
    <s v="BENJAMIN LIZARBE"/>
    <x v="1"/>
    <n v="39.599999999999994"/>
    <x v="1"/>
    <x v="2"/>
    <x v="0"/>
    <x v="0"/>
  </r>
  <r>
    <x v="49"/>
    <s v="S038"/>
    <n v="7620868999"/>
    <x v="192"/>
    <x v="192"/>
    <n v="24"/>
    <s v="PALOMINO"/>
    <x v="0"/>
    <s v="AUDITORIA"/>
    <s v="-"/>
    <s v="-"/>
    <x v="34"/>
    <x v="0"/>
    <x v="0"/>
    <x v="14"/>
    <x v="0"/>
    <x v="2"/>
    <x v="0"/>
    <s v="ALMACEN"/>
    <x v="0"/>
    <n v="62.88"/>
    <x v="1"/>
    <x v="2"/>
    <x v="0"/>
    <x v="0"/>
  </r>
  <r>
    <x v="50"/>
    <s v="S024"/>
    <n v="7620766425"/>
    <x v="71"/>
    <x v="71"/>
    <n v="6"/>
    <s v="AVILA"/>
    <x v="1"/>
    <s v="FILTRO"/>
    <s v="-"/>
    <s v="-"/>
    <x v="11"/>
    <x v="0"/>
    <x v="0"/>
    <x v="14"/>
    <x v="2"/>
    <x v="0"/>
    <x v="0"/>
    <s v="BENJAMIN LIZARBE"/>
    <x v="0"/>
    <n v="125.03999999999999"/>
    <x v="0"/>
    <x v="2"/>
    <x v="0"/>
    <x v="0"/>
  </r>
  <r>
    <x v="50"/>
    <s v="CD09"/>
    <s v="-"/>
    <x v="193"/>
    <x v="193"/>
    <n v="2"/>
    <s v="-"/>
    <x v="0"/>
    <s v="RECEPCION"/>
    <s v="-"/>
    <s v="-"/>
    <x v="4"/>
    <x v="6"/>
    <x v="6"/>
    <x v="21"/>
    <x v="0"/>
    <x v="0"/>
    <x v="6"/>
    <s v="ARNOLD CASTILLO"/>
    <x v="0"/>
    <n v="220.88"/>
    <x v="0"/>
    <x v="2"/>
    <x v="0"/>
    <x v="0"/>
  </r>
  <r>
    <x v="50"/>
    <s v="CD09"/>
    <s v="-"/>
    <x v="194"/>
    <x v="194"/>
    <n v="10"/>
    <s v="-"/>
    <x v="1"/>
    <s v="ENFILMADO"/>
    <s v="-"/>
    <s v="-"/>
    <x v="20"/>
    <x v="0"/>
    <x v="4"/>
    <x v="22"/>
    <x v="2"/>
    <x v="0"/>
    <x v="4"/>
    <s v="BENJAMIN LIZARBE"/>
    <x v="0"/>
    <n v="180.79999999999998"/>
    <x v="1"/>
    <x v="2"/>
    <x v="0"/>
    <x v="0"/>
  </r>
  <r>
    <x v="50"/>
    <s v="S081"/>
    <n v="7620858467"/>
    <x v="195"/>
    <x v="195"/>
    <n v="1"/>
    <s v="JOSUE ARIAS"/>
    <x v="0"/>
    <s v="FILTRO"/>
    <s v="-"/>
    <s v="-"/>
    <x v="38"/>
    <x v="0"/>
    <x v="0"/>
    <x v="14"/>
    <x v="1"/>
    <x v="0"/>
    <x v="0"/>
    <s v="BENJAMIN LIZARBE"/>
    <x v="0"/>
    <n v="21.57"/>
    <x v="0"/>
    <x v="2"/>
    <x v="0"/>
    <x v="0"/>
  </r>
  <r>
    <x v="50"/>
    <s v="-"/>
    <s v="-"/>
    <x v="168"/>
    <x v="196"/>
    <n v="2"/>
    <s v="-"/>
    <x v="1"/>
    <s v="PICKING"/>
    <s v="-"/>
    <s v="-"/>
    <x v="34"/>
    <x v="0"/>
    <x v="0"/>
    <x v="23"/>
    <x v="2"/>
    <x v="0"/>
    <x v="0"/>
    <s v="ALMACEN"/>
    <x v="1"/>
    <n v="2.6"/>
    <x v="1"/>
    <x v="2"/>
    <x v="0"/>
    <x v="0"/>
  </r>
  <r>
    <x v="50"/>
    <s v="-"/>
    <s v="-"/>
    <x v="196"/>
    <x v="197"/>
    <n v="4"/>
    <s v="-"/>
    <x v="1"/>
    <s v="PICKING"/>
    <s v="-"/>
    <s v="-"/>
    <x v="34"/>
    <x v="0"/>
    <x v="0"/>
    <x v="23"/>
    <x v="2"/>
    <x v="0"/>
    <x v="0"/>
    <s v="ALMACEN"/>
    <x v="0"/>
    <n v="44.72"/>
    <x v="2"/>
    <x v="2"/>
    <x v="0"/>
    <x v="0"/>
  </r>
  <r>
    <x v="50"/>
    <s v="-"/>
    <s v="-"/>
    <x v="197"/>
    <x v="198"/>
    <n v="1"/>
    <s v="-"/>
    <x v="1"/>
    <s v="PICKING"/>
    <s v="-"/>
    <s v="-"/>
    <x v="34"/>
    <x v="0"/>
    <x v="0"/>
    <x v="23"/>
    <x v="2"/>
    <x v="0"/>
    <x v="0"/>
    <s v="ALMACEN"/>
    <x v="0"/>
    <n v="7.3"/>
    <x v="1"/>
    <x v="2"/>
    <x v="0"/>
    <x v="0"/>
  </r>
  <r>
    <x v="50"/>
    <s v="S083"/>
    <n v="7620870799"/>
    <x v="198"/>
    <x v="199"/>
    <n v="1"/>
    <s v="AVILA"/>
    <x v="0"/>
    <s v="FILTRO"/>
    <s v="-"/>
    <s v="-"/>
    <x v="38"/>
    <x v="0"/>
    <x v="0"/>
    <x v="14"/>
    <x v="1"/>
    <x v="0"/>
    <x v="0"/>
    <s v="BENJAMIN LIZARBE"/>
    <x v="0"/>
    <n v="12"/>
    <x v="2"/>
    <x v="2"/>
    <x v="0"/>
    <x v="0"/>
  </r>
  <r>
    <x v="51"/>
    <s v="CD09"/>
    <s v="-"/>
    <x v="199"/>
    <x v="200"/>
    <n v="12"/>
    <s v="-"/>
    <x v="1"/>
    <s v="CICLICO"/>
    <s v="-"/>
    <s v="-"/>
    <x v="4"/>
    <x v="0"/>
    <x v="0"/>
    <x v="24"/>
    <x v="2"/>
    <x v="0"/>
    <x v="0"/>
    <s v="BENJAMIN LIZARBE"/>
    <x v="1"/>
    <n v="165.60000000000002"/>
    <x v="1"/>
    <x v="2"/>
    <x v="0"/>
    <x v="0"/>
  </r>
  <r>
    <x v="52"/>
    <s v="S008"/>
    <n v="7620872280"/>
    <x v="200"/>
    <x v="201"/>
    <n v="12"/>
    <s v="PALOMINO"/>
    <x v="1"/>
    <s v="AUDITORIA"/>
    <s v="-"/>
    <s v="-"/>
    <x v="7"/>
    <x v="0"/>
    <x v="0"/>
    <x v="25"/>
    <x v="2"/>
    <x v="0"/>
    <x v="0"/>
    <s v="BENJAMIN LIZARBE"/>
    <x v="0"/>
    <n v="160.44"/>
    <x v="2"/>
    <x v="2"/>
    <x v="0"/>
    <x v="0"/>
  </r>
  <r>
    <x v="52"/>
    <s v="S008"/>
    <n v="7620872280"/>
    <x v="201"/>
    <x v="202"/>
    <n v="12"/>
    <s v="PALOMINO"/>
    <x v="0"/>
    <s v="AUDITORIA"/>
    <s v="-"/>
    <s v="-"/>
    <x v="7"/>
    <x v="0"/>
    <x v="0"/>
    <x v="10"/>
    <x v="1"/>
    <x v="0"/>
    <x v="0"/>
    <s v="BENJAMIN LIZARBE"/>
    <x v="0"/>
    <n v="141.60000000000002"/>
    <x v="2"/>
    <x v="2"/>
    <x v="0"/>
    <x v="0"/>
  </r>
  <r>
    <x v="53"/>
    <s v="T103"/>
    <n v="7620869470"/>
    <x v="202"/>
    <x v="203"/>
    <n v="1"/>
    <s v="-"/>
    <x v="1"/>
    <s v="FILTRO"/>
    <s v="T101"/>
    <n v="7620866652"/>
    <x v="14"/>
    <x v="0"/>
    <x v="0"/>
    <x v="14"/>
    <x v="0"/>
    <x v="1"/>
    <x v="0"/>
    <s v="DAVID PIÑAN"/>
    <x v="0"/>
    <n v="117.4"/>
    <x v="0"/>
    <x v="2"/>
    <x v="0"/>
    <x v="0"/>
  </r>
  <r>
    <x v="53"/>
    <s v="T103"/>
    <n v="7620869470"/>
    <x v="203"/>
    <x v="204"/>
    <n v="1"/>
    <s v="-"/>
    <x v="1"/>
    <s v="FILTRO"/>
    <s v="T101"/>
    <n v="7620866652"/>
    <x v="14"/>
    <x v="0"/>
    <x v="0"/>
    <x v="14"/>
    <x v="0"/>
    <x v="1"/>
    <x v="0"/>
    <s v="DAVID PIÑAN"/>
    <x v="0"/>
    <n v="73.37"/>
    <x v="0"/>
    <x v="2"/>
    <x v="0"/>
    <x v="0"/>
  </r>
  <r>
    <x v="53"/>
    <s v="T103"/>
    <n v="7620869470"/>
    <x v="204"/>
    <x v="205"/>
    <n v="6"/>
    <s v="-"/>
    <x v="1"/>
    <s v="FILTRO"/>
    <s v="T101"/>
    <n v="7620866652"/>
    <x v="14"/>
    <x v="0"/>
    <x v="0"/>
    <x v="14"/>
    <x v="0"/>
    <x v="1"/>
    <x v="0"/>
    <s v="DAVID PIÑAN"/>
    <x v="0"/>
    <n v="292.5"/>
    <x v="0"/>
    <x v="2"/>
    <x v="0"/>
    <x v="0"/>
  </r>
  <r>
    <x v="53"/>
    <s v="-"/>
    <s v="-"/>
    <x v="105"/>
    <x v="105"/>
    <n v="4"/>
    <s v="-"/>
    <x v="1"/>
    <s v="FILTRO"/>
    <s v="S005"/>
    <n v="7620871037"/>
    <x v="32"/>
    <x v="0"/>
    <x v="0"/>
    <x v="14"/>
    <x v="0"/>
    <x v="0"/>
    <x v="0"/>
    <s v="BENJAMIN LIZARBE"/>
    <x v="0"/>
    <n v="80.400000000000006"/>
    <x v="0"/>
    <x v="2"/>
    <x v="0"/>
    <x v="0"/>
  </r>
  <r>
    <x v="53"/>
    <s v="T111"/>
    <n v="7620870331"/>
    <x v="205"/>
    <x v="206"/>
    <n v="1"/>
    <s v="PALOMINO"/>
    <x v="0"/>
    <s v="AUDITORIA"/>
    <s v="-"/>
    <s v="-"/>
    <x v="20"/>
    <x v="0"/>
    <x v="0"/>
    <x v="10"/>
    <x v="1"/>
    <x v="0"/>
    <x v="0"/>
    <s v="BENJAMIN LIZARBE"/>
    <x v="0"/>
    <n v="7.43"/>
    <x v="2"/>
    <x v="2"/>
    <x v="0"/>
    <x v="0"/>
  </r>
  <r>
    <x v="53"/>
    <s v="H014"/>
    <n v="7640114916"/>
    <x v="18"/>
    <x v="18"/>
    <n v="12"/>
    <s v="PALOMINO"/>
    <x v="0"/>
    <s v="AUDITORIA"/>
    <s v="-"/>
    <s v="-"/>
    <x v="33"/>
    <x v="0"/>
    <x v="0"/>
    <x v="10"/>
    <x v="1"/>
    <x v="0"/>
    <x v="0"/>
    <s v="BENJAMIN LIZARBE"/>
    <x v="1"/>
    <n v="30.72"/>
    <x v="1"/>
    <x v="2"/>
    <x v="0"/>
    <x v="0"/>
  </r>
  <r>
    <x v="53"/>
    <s v="H014"/>
    <n v="7640114916"/>
    <x v="79"/>
    <x v="79"/>
    <n v="72"/>
    <s v="PALOMINO"/>
    <x v="0"/>
    <s v="AUDITORIA"/>
    <s v="-"/>
    <s v="-"/>
    <x v="33"/>
    <x v="0"/>
    <x v="0"/>
    <x v="10"/>
    <x v="1"/>
    <x v="0"/>
    <x v="0"/>
    <s v="BENJAMIN LIZARBE"/>
    <x v="1"/>
    <n v="198.71999999999997"/>
    <x v="1"/>
    <x v="2"/>
    <x v="0"/>
    <x v="0"/>
  </r>
  <r>
    <x v="53"/>
    <s v="-"/>
    <s v="-"/>
    <x v="206"/>
    <x v="207"/>
    <n v="20"/>
    <s v="-"/>
    <x v="1"/>
    <s v="FILTRO"/>
    <s v="-"/>
    <s v="-"/>
    <x v="34"/>
    <x v="0"/>
    <x v="0"/>
    <x v="14"/>
    <x v="2"/>
    <x v="0"/>
    <x v="0"/>
    <s v="ALMACEN"/>
    <x v="0"/>
    <n v="136.4"/>
    <x v="1"/>
    <x v="2"/>
    <x v="0"/>
    <x v="0"/>
  </r>
  <r>
    <x v="53"/>
    <s v="-"/>
    <s v="-"/>
    <x v="207"/>
    <x v="208"/>
    <n v="4"/>
    <s v="-"/>
    <x v="1"/>
    <s v="PICKING"/>
    <s v="-"/>
    <s v="-"/>
    <x v="34"/>
    <x v="0"/>
    <x v="0"/>
    <x v="14"/>
    <x v="2"/>
    <x v="0"/>
    <x v="0"/>
    <s v="ALMACEN"/>
    <x v="0"/>
    <n v="31.72"/>
    <x v="1"/>
    <x v="2"/>
    <x v="0"/>
    <x v="0"/>
  </r>
  <r>
    <x v="54"/>
    <s v="T104"/>
    <n v="7620869498"/>
    <x v="208"/>
    <x v="209"/>
    <n v="6"/>
    <s v="ROMERO"/>
    <x v="0"/>
    <s v="FILTRO"/>
    <s v="T102"/>
    <n v="7620869423"/>
    <x v="51"/>
    <x v="0"/>
    <x v="0"/>
    <x v="14"/>
    <x v="0"/>
    <x v="1"/>
    <x v="0"/>
    <s v="DAVID PIÑAN"/>
    <x v="0"/>
    <n v="312.29999999999995"/>
    <x v="0"/>
    <x v="2"/>
    <x v="0"/>
    <x v="0"/>
  </r>
  <r>
    <x v="54"/>
    <s v="H005"/>
    <n v="7620869847"/>
    <x v="209"/>
    <x v="210"/>
    <n v="1"/>
    <s v="ROMERO"/>
    <x v="0"/>
    <s v="FILTRO"/>
    <s v="T109"/>
    <n v="7620869613"/>
    <x v="24"/>
    <x v="0"/>
    <x v="0"/>
    <x v="14"/>
    <x v="0"/>
    <x v="1"/>
    <x v="0"/>
    <s v="DAVID PIÑAN"/>
    <x v="0"/>
    <n v="17.22"/>
    <x v="0"/>
    <x v="2"/>
    <x v="0"/>
    <x v="0"/>
  </r>
  <r>
    <x v="54"/>
    <s v="T102"/>
    <n v="7620869422"/>
    <x v="55"/>
    <x v="55"/>
    <n v="6"/>
    <s v="-"/>
    <x v="0"/>
    <s v="FILTRO"/>
    <s v="S032"/>
    <n v="7620871461"/>
    <x v="35"/>
    <x v="0"/>
    <x v="0"/>
    <x v="14"/>
    <x v="0"/>
    <x v="0"/>
    <x v="0"/>
    <s v="BENJAMIN LIZARBE"/>
    <x v="0"/>
    <n v="127.5"/>
    <x v="0"/>
    <x v="2"/>
    <x v="0"/>
    <x v="0"/>
  </r>
  <r>
    <x v="54"/>
    <s v="S028"/>
    <n v="7620861735"/>
    <x v="8"/>
    <x v="8"/>
    <n v="2"/>
    <s v="ROMERO"/>
    <x v="0"/>
    <s v="FILTRO"/>
    <s v="S029"/>
    <n v="7620872545"/>
    <x v="54"/>
    <x v="0"/>
    <x v="0"/>
    <x v="14"/>
    <x v="0"/>
    <x v="1"/>
    <x v="0"/>
    <s v="DAVID PIÑAN"/>
    <x v="0"/>
    <n v="159.82"/>
    <x v="0"/>
    <x v="2"/>
    <x v="0"/>
    <x v="0"/>
  </r>
  <r>
    <x v="55"/>
    <s v="-"/>
    <s v="-"/>
    <x v="210"/>
    <x v="211"/>
    <n v="1"/>
    <s v="-"/>
    <x v="0"/>
    <s v="PICKING"/>
    <s v="-"/>
    <s v="-"/>
    <x v="20"/>
    <x v="0"/>
    <x v="0"/>
    <x v="26"/>
    <x v="1"/>
    <x v="0"/>
    <x v="0"/>
    <s v="BENJAMIN LIZARBE"/>
    <x v="0"/>
    <n v="43.98"/>
    <x v="0"/>
    <x v="2"/>
    <x v="0"/>
    <x v="0"/>
  </r>
  <r>
    <x v="55"/>
    <s v="S047"/>
    <n v="7620864559"/>
    <x v="211"/>
    <x v="212"/>
    <n v="1"/>
    <s v="JUAN AYALA"/>
    <x v="1"/>
    <s v="FILTRO"/>
    <s v="S049"/>
    <n v="7620872554"/>
    <x v="51"/>
    <x v="3"/>
    <x v="1"/>
    <x v="17"/>
    <x v="2"/>
    <x v="1"/>
    <x v="1"/>
    <s v="DAVID PIÑAN"/>
    <x v="0"/>
    <n v="17.22"/>
    <x v="0"/>
    <x v="2"/>
    <x v="0"/>
    <x v="0"/>
  </r>
  <r>
    <x v="55"/>
    <s v="S047"/>
    <n v="7620864559"/>
    <x v="212"/>
    <x v="213"/>
    <n v="1"/>
    <s v="JUAN AYALA"/>
    <x v="1"/>
    <s v="FILTRO"/>
    <s v="S049"/>
    <n v="7620872554"/>
    <x v="42"/>
    <x v="3"/>
    <x v="1"/>
    <x v="17"/>
    <x v="2"/>
    <x v="0"/>
    <x v="1"/>
    <s v="BENJAMIN LIZARBE"/>
    <x v="0"/>
    <n v="6.48"/>
    <x v="0"/>
    <x v="2"/>
    <x v="0"/>
    <x v="0"/>
  </r>
  <r>
    <x v="55"/>
    <s v="S047"/>
    <n v="7620864559"/>
    <x v="213"/>
    <x v="214"/>
    <n v="7"/>
    <s v="JUAN AYALA"/>
    <x v="1"/>
    <s v="FILTRO"/>
    <s v="S049"/>
    <n v="7620872554"/>
    <x v="51"/>
    <x v="3"/>
    <x v="1"/>
    <x v="17"/>
    <x v="2"/>
    <x v="1"/>
    <x v="1"/>
    <s v="DAVID PIÑAN"/>
    <x v="0"/>
    <n v="181.01999999999998"/>
    <x v="0"/>
    <x v="2"/>
    <x v="0"/>
    <x v="0"/>
  </r>
  <r>
    <x v="55"/>
    <s v="S047"/>
    <n v="7620864559"/>
    <x v="214"/>
    <x v="215"/>
    <n v="1"/>
    <s v="JUAN AYALA"/>
    <x v="1"/>
    <s v="FILTRO"/>
    <s v="S058"/>
    <n v="7620867808"/>
    <x v="14"/>
    <x v="0"/>
    <x v="0"/>
    <x v="14"/>
    <x v="0"/>
    <x v="1"/>
    <x v="0"/>
    <s v="DAVID PIÑAN"/>
    <x v="0"/>
    <n v="15.05"/>
    <x v="0"/>
    <x v="2"/>
    <x v="0"/>
    <x v="0"/>
  </r>
  <r>
    <x v="55"/>
    <s v="S047"/>
    <n v="7620864559"/>
    <x v="215"/>
    <x v="216"/>
    <n v="2"/>
    <s v="JUAN AYALA"/>
    <x v="1"/>
    <s v="FILTRO"/>
    <s v="S049"/>
    <n v="7620872554"/>
    <x v="51"/>
    <x v="3"/>
    <x v="1"/>
    <x v="17"/>
    <x v="2"/>
    <x v="1"/>
    <x v="1"/>
    <s v="DAVID PIÑAN"/>
    <x v="0"/>
    <n v="24.48"/>
    <x v="0"/>
    <x v="2"/>
    <x v="0"/>
    <x v="0"/>
  </r>
  <r>
    <x v="55"/>
    <s v="T111"/>
    <n v="7620866656"/>
    <x v="209"/>
    <x v="210"/>
    <n v="1"/>
    <s v="-"/>
    <x v="0"/>
    <s v="FILTRO"/>
    <s v="-"/>
    <s v="-"/>
    <x v="24"/>
    <x v="0"/>
    <x v="1"/>
    <x v="1"/>
    <x v="0"/>
    <x v="1"/>
    <x v="1"/>
    <s v="DAVID PIÑAN"/>
    <x v="0"/>
    <n v="17.22"/>
    <x v="0"/>
    <x v="2"/>
    <x v="0"/>
    <x v="0"/>
  </r>
  <r>
    <x v="55"/>
    <s v="-"/>
    <s v="-"/>
    <x v="216"/>
    <x v="217"/>
    <n v="8"/>
    <s v="-"/>
    <x v="0"/>
    <s v="PICKING"/>
    <s v="-"/>
    <s v="-"/>
    <x v="3"/>
    <x v="0"/>
    <x v="6"/>
    <x v="27"/>
    <x v="0"/>
    <x v="1"/>
    <x v="6"/>
    <s v="DAVID PIÑAN"/>
    <x v="0"/>
    <n v="33.200000000000003"/>
    <x v="2"/>
    <x v="2"/>
    <x v="0"/>
    <x v="0"/>
  </r>
  <r>
    <x v="55"/>
    <s v="T106"/>
    <n v="7620869511"/>
    <x v="217"/>
    <x v="218"/>
    <n v="2"/>
    <s v="PIERO ESPILCO"/>
    <x v="0"/>
    <s v="FILTRO"/>
    <s v="T106"/>
    <n v="7620869511"/>
    <x v="51"/>
    <x v="7"/>
    <x v="1"/>
    <x v="1"/>
    <x v="0"/>
    <x v="1"/>
    <x v="1"/>
    <s v="DAVID PIÑAN"/>
    <x v="0"/>
    <n v="73.819999999999993"/>
    <x v="0"/>
    <x v="2"/>
    <x v="0"/>
    <x v="0"/>
  </r>
  <r>
    <x v="56"/>
    <s v="H008"/>
    <n v="7620869923"/>
    <x v="94"/>
    <x v="94"/>
    <n v="3"/>
    <s v="AVILA"/>
    <x v="0"/>
    <s v="FILTRO"/>
    <s v="H009"/>
    <n v="7620869849"/>
    <x v="51"/>
    <x v="0"/>
    <x v="0"/>
    <x v="14"/>
    <x v="0"/>
    <x v="1"/>
    <x v="0"/>
    <s v="DAVID PIÑAN"/>
    <x v="0"/>
    <n v="242.39999999999998"/>
    <x v="0"/>
    <x v="2"/>
    <x v="0"/>
    <x v="0"/>
  </r>
  <r>
    <x v="56"/>
    <s v="H008"/>
    <n v="7620869923"/>
    <x v="218"/>
    <x v="219"/>
    <n v="6"/>
    <s v="AVILA"/>
    <x v="0"/>
    <s v="FILTRO"/>
    <s v="H009"/>
    <n v="7620869849"/>
    <x v="35"/>
    <x v="0"/>
    <x v="0"/>
    <x v="14"/>
    <x v="0"/>
    <x v="0"/>
    <x v="0"/>
    <s v="BENJAMIN LIZARBE"/>
    <x v="0"/>
    <n v="203.82"/>
    <x v="0"/>
    <x v="2"/>
    <x v="0"/>
    <x v="0"/>
  </r>
  <r>
    <x v="56"/>
    <s v="T106"/>
    <n v="7620869518"/>
    <x v="73"/>
    <x v="73"/>
    <n v="1"/>
    <s v="-"/>
    <x v="1"/>
    <s v="FILTRO"/>
    <s v="T108"/>
    <n v="7620869600"/>
    <x v="35"/>
    <x v="0"/>
    <x v="0"/>
    <x v="14"/>
    <x v="0"/>
    <x v="0"/>
    <x v="0"/>
    <s v="BENJAMIN LIZARBE"/>
    <x v="0"/>
    <n v="28.06"/>
    <x v="0"/>
    <x v="2"/>
    <x v="0"/>
    <x v="0"/>
  </r>
  <r>
    <x v="56"/>
    <s v="T106"/>
    <n v="7620869518"/>
    <x v="219"/>
    <x v="220"/>
    <n v="4"/>
    <s v="-"/>
    <x v="1"/>
    <s v="FILTRO"/>
    <s v="-"/>
    <s v="-"/>
    <x v="42"/>
    <x v="0"/>
    <x v="0"/>
    <x v="14"/>
    <x v="2"/>
    <x v="0"/>
    <x v="0"/>
    <s v="BENJAMIN LIZARBE"/>
    <x v="0"/>
    <n v="83.12"/>
    <x v="0"/>
    <x v="2"/>
    <x v="0"/>
    <x v="0"/>
  </r>
  <r>
    <x v="56"/>
    <s v="T106"/>
    <n v="7620869518"/>
    <x v="220"/>
    <x v="221"/>
    <n v="6"/>
    <s v="-"/>
    <x v="1"/>
    <s v="FILTRO"/>
    <s v="T108"/>
    <n v="7620869600"/>
    <x v="7"/>
    <x v="0"/>
    <x v="0"/>
    <x v="14"/>
    <x v="0"/>
    <x v="0"/>
    <x v="0"/>
    <s v="BENJAMIN LIZARBE"/>
    <x v="0"/>
    <n v="186.42000000000002"/>
    <x v="0"/>
    <x v="2"/>
    <x v="0"/>
    <x v="0"/>
  </r>
  <r>
    <x v="56"/>
    <s v="T106"/>
    <n v="7620869518"/>
    <x v="221"/>
    <x v="222"/>
    <n v="1"/>
    <s v="-"/>
    <x v="1"/>
    <s v="FILTRO"/>
    <s v="T120"/>
    <n v="7620871909"/>
    <x v="42"/>
    <x v="0"/>
    <x v="0"/>
    <x v="14"/>
    <x v="0"/>
    <x v="0"/>
    <x v="0"/>
    <s v="BENJAMIN LIZARBE"/>
    <x v="0"/>
    <n v="32.6"/>
    <x v="0"/>
    <x v="2"/>
    <x v="0"/>
    <x v="0"/>
  </r>
  <r>
    <x v="56"/>
    <s v="T106"/>
    <n v="7620869518"/>
    <x v="73"/>
    <x v="73"/>
    <n v="5"/>
    <s v="-"/>
    <x v="1"/>
    <s v="FILTRO"/>
    <s v="T108"/>
    <n v="7620869600"/>
    <x v="35"/>
    <x v="0"/>
    <x v="0"/>
    <x v="14"/>
    <x v="0"/>
    <x v="0"/>
    <x v="0"/>
    <s v="BENJAMIN LIZARBE"/>
    <x v="0"/>
    <n v="140.29999999999998"/>
    <x v="0"/>
    <x v="2"/>
    <x v="0"/>
    <x v="0"/>
  </r>
  <r>
    <x v="56"/>
    <s v="T106"/>
    <n v="7620869518"/>
    <x v="222"/>
    <x v="223"/>
    <n v="3"/>
    <s v="-"/>
    <x v="1"/>
    <s v="FILTRO"/>
    <s v="T108"/>
    <n v="7620869600"/>
    <x v="35"/>
    <x v="0"/>
    <x v="0"/>
    <x v="14"/>
    <x v="0"/>
    <x v="0"/>
    <x v="0"/>
    <s v="BENJAMIN LIZARBE"/>
    <x v="0"/>
    <n v="103.19999999999999"/>
    <x v="0"/>
    <x v="2"/>
    <x v="0"/>
    <x v="0"/>
  </r>
  <r>
    <x v="56"/>
    <s v="S008"/>
    <n v="7620864431"/>
    <x v="223"/>
    <x v="224"/>
    <n v="24"/>
    <s v="-"/>
    <x v="0"/>
    <s v="AUDITORIA"/>
    <s v="-"/>
    <s v="-"/>
    <x v="55"/>
    <x v="0"/>
    <x v="0"/>
    <x v="14"/>
    <x v="0"/>
    <x v="1"/>
    <x v="0"/>
    <s v="DAVID PIÑAN"/>
    <x v="0"/>
    <n v="39.599999999999994"/>
    <x v="1"/>
    <x v="2"/>
    <x v="0"/>
    <x v="0"/>
  </r>
  <r>
    <x v="56"/>
    <s v="S008"/>
    <n v="7620864431"/>
    <x v="224"/>
    <x v="225"/>
    <n v="48"/>
    <s v="-"/>
    <x v="0"/>
    <s v="AUDITORIA"/>
    <s v="-"/>
    <s v="-"/>
    <x v="56"/>
    <x v="0"/>
    <x v="0"/>
    <x v="14"/>
    <x v="0"/>
    <x v="1"/>
    <x v="0"/>
    <s v="DAVID PIÑAN"/>
    <x v="0"/>
    <n v="81.599999999999994"/>
    <x v="1"/>
    <x v="2"/>
    <x v="0"/>
    <x v="0"/>
  </r>
  <r>
    <x v="56"/>
    <s v="S021"/>
    <n v="7620853978"/>
    <x v="225"/>
    <x v="226"/>
    <n v="30"/>
    <s v="-"/>
    <x v="1"/>
    <s v="AUDITORIA"/>
    <s v="-"/>
    <s v="-"/>
    <x v="33"/>
    <x v="0"/>
    <x v="0"/>
    <x v="14"/>
    <x v="2"/>
    <x v="0"/>
    <x v="0"/>
    <s v="BENJAMIN LIZARBE"/>
    <x v="1"/>
    <n v="80.099999999999994"/>
    <x v="1"/>
    <x v="2"/>
    <x v="0"/>
    <x v="0"/>
  </r>
  <r>
    <x v="56"/>
    <s v="T106"/>
    <n v="7620869518"/>
    <x v="214"/>
    <x v="215"/>
    <n v="1"/>
    <s v="ROMERO"/>
    <x v="1"/>
    <s v="FILTRO"/>
    <s v="-"/>
    <s v="-"/>
    <x v="51"/>
    <x v="0"/>
    <x v="0"/>
    <x v="14"/>
    <x v="2"/>
    <x v="1"/>
    <x v="0"/>
    <s v="DAVID PIÑAN"/>
    <x v="0"/>
    <n v="15.05"/>
    <x v="0"/>
    <x v="2"/>
    <x v="0"/>
    <x v="0"/>
  </r>
  <r>
    <x v="56"/>
    <s v="-"/>
    <s v="-"/>
    <x v="32"/>
    <x v="32"/>
    <n v="48"/>
    <s v="-"/>
    <x v="0"/>
    <s v="AUDITORIA"/>
    <s v="-"/>
    <s v="-"/>
    <x v="33"/>
    <x v="0"/>
    <x v="0"/>
    <x v="10"/>
    <x v="1"/>
    <x v="0"/>
    <x v="0"/>
    <s v="BENJAMIN LIZARBE"/>
    <x v="1"/>
    <n v="132.47999999999999"/>
    <x v="1"/>
    <x v="2"/>
    <x v="0"/>
    <x v="0"/>
  </r>
  <r>
    <x v="57"/>
    <s v="T116"/>
    <n v="7620872788"/>
    <x v="226"/>
    <x v="227"/>
    <n v="2"/>
    <s v="-"/>
    <x v="0"/>
    <s v="FILTRO"/>
    <s v="-"/>
    <s v="-"/>
    <x v="7"/>
    <x v="0"/>
    <x v="0"/>
    <x v="14"/>
    <x v="1"/>
    <x v="0"/>
    <x v="0"/>
    <s v="BENJAMIN LIZARBE"/>
    <x v="0"/>
    <n v="55.44"/>
    <x v="0"/>
    <x v="2"/>
    <x v="0"/>
    <x v="0"/>
  </r>
  <r>
    <x v="57"/>
    <s v="S054"/>
    <n v="7620820720"/>
    <x v="227"/>
    <x v="228"/>
    <n v="12"/>
    <s v="-"/>
    <x v="0"/>
    <s v="FILTRO"/>
    <s v="S054"/>
    <n v="7620820720"/>
    <x v="24"/>
    <x v="0"/>
    <x v="1"/>
    <x v="1"/>
    <x v="0"/>
    <x v="1"/>
    <x v="1"/>
    <s v="DAVID PIÑAN"/>
    <x v="0"/>
    <n v="154.44"/>
    <x v="0"/>
    <x v="2"/>
    <x v="0"/>
    <x v="0"/>
  </r>
  <r>
    <x v="57"/>
    <s v="-"/>
    <s v="-"/>
    <x v="228"/>
    <x v="229"/>
    <n v="6"/>
    <s v="-"/>
    <x v="1"/>
    <s v="CICLICO"/>
    <s v="T109"/>
    <n v="7640115056"/>
    <x v="57"/>
    <x v="0"/>
    <x v="0"/>
    <x v="14"/>
    <x v="0"/>
    <x v="0"/>
    <x v="0"/>
    <s v="BENJAMIN LIZARBE"/>
    <x v="1"/>
    <n v="47.519999999999996"/>
    <x v="1"/>
    <x v="2"/>
    <x v="0"/>
    <x v="0"/>
  </r>
  <r>
    <x v="57"/>
    <s v="-"/>
    <s v="-"/>
    <x v="229"/>
    <x v="230"/>
    <n v="3"/>
    <s v="-"/>
    <x v="1"/>
    <s v="CICLICO"/>
    <s v="T109"/>
    <n v="7640115056"/>
    <x v="57"/>
    <x v="0"/>
    <x v="0"/>
    <x v="14"/>
    <x v="0"/>
    <x v="0"/>
    <x v="0"/>
    <s v="BENJAMIN LIZARBE"/>
    <x v="1"/>
    <n v="6.99"/>
    <x v="1"/>
    <x v="2"/>
    <x v="0"/>
    <x v="0"/>
  </r>
  <r>
    <x v="57"/>
    <s v="-"/>
    <s v="-"/>
    <x v="230"/>
    <x v="231"/>
    <n v="10"/>
    <s v="-"/>
    <x v="1"/>
    <s v="CICLICO"/>
    <s v="T109"/>
    <n v="7640115056"/>
    <x v="57"/>
    <x v="0"/>
    <x v="0"/>
    <x v="14"/>
    <x v="0"/>
    <x v="0"/>
    <x v="0"/>
    <s v="BENJAMIN LIZARBE"/>
    <x v="1"/>
    <n v="19.099999999999998"/>
    <x v="1"/>
    <x v="2"/>
    <x v="0"/>
    <x v="0"/>
  </r>
  <r>
    <x v="57"/>
    <s v="-"/>
    <s v="-"/>
    <x v="86"/>
    <x v="86"/>
    <n v="12"/>
    <s v="-"/>
    <x v="1"/>
    <s v="CICLICO"/>
    <s v="S083"/>
    <n v="7620869205"/>
    <x v="7"/>
    <x v="0"/>
    <x v="0"/>
    <x v="14"/>
    <x v="0"/>
    <x v="0"/>
    <x v="0"/>
    <s v="BENJAMIN LIZARBE"/>
    <x v="1"/>
    <n v="36.599999999999994"/>
    <x v="1"/>
    <x v="2"/>
    <x v="0"/>
    <x v="0"/>
  </r>
  <r>
    <x v="57"/>
    <s v="-"/>
    <s v="-"/>
    <x v="231"/>
    <x v="232"/>
    <n v="12"/>
    <s v="-"/>
    <x v="1"/>
    <s v="CICLICO"/>
    <s v="-"/>
    <s v="-"/>
    <x v="34"/>
    <x v="0"/>
    <x v="0"/>
    <x v="14"/>
    <x v="2"/>
    <x v="2"/>
    <x v="0"/>
    <s v="ALMACEN"/>
    <x v="1"/>
    <n v="25.32"/>
    <x v="1"/>
    <x v="2"/>
    <x v="0"/>
    <x v="0"/>
  </r>
  <r>
    <x v="58"/>
    <s v="S012"/>
    <n v="7620871126"/>
    <x v="232"/>
    <x v="233"/>
    <n v="6"/>
    <s v="-"/>
    <x v="0"/>
    <s v="FILTRO"/>
    <s v="-"/>
    <s v="-"/>
    <x v="24"/>
    <x v="0"/>
    <x v="0"/>
    <x v="14"/>
    <x v="1"/>
    <x v="1"/>
    <x v="0"/>
    <s v="DAVID PIÑAN"/>
    <x v="0"/>
    <n v="136.38"/>
    <x v="0"/>
    <x v="2"/>
    <x v="0"/>
    <x v="0"/>
  </r>
  <r>
    <x v="58"/>
    <s v="-"/>
    <s v="-"/>
    <x v="233"/>
    <x v="234"/>
    <n v="6"/>
    <s v="-"/>
    <x v="0"/>
    <s v="FILTRO"/>
    <s v="-"/>
    <s v="-"/>
    <x v="35"/>
    <x v="0"/>
    <x v="0"/>
    <x v="14"/>
    <x v="0"/>
    <x v="0"/>
    <x v="0"/>
    <s v="BENJAMIN LIZARBE"/>
    <x v="0"/>
    <n v="164.94"/>
    <x v="0"/>
    <x v="2"/>
    <x v="0"/>
    <x v="0"/>
  </r>
  <r>
    <x v="58"/>
    <s v="T101"/>
    <n v="7620866656"/>
    <x v="209"/>
    <x v="210"/>
    <n v="1"/>
    <s v="PIERO ESPILCO"/>
    <x v="0"/>
    <s v="FILTRO"/>
    <s v="T101"/>
    <n v="7620866656"/>
    <x v="24"/>
    <x v="7"/>
    <x v="1"/>
    <x v="12"/>
    <x v="0"/>
    <x v="1"/>
    <x v="1"/>
    <s v="DAVID PIÑAN"/>
    <x v="0"/>
    <n v="17.22"/>
    <x v="0"/>
    <x v="2"/>
    <x v="0"/>
    <x v="0"/>
  </r>
  <r>
    <x v="58"/>
    <s v="S083"/>
    <n v="7620869205"/>
    <x v="234"/>
    <x v="235"/>
    <n v="10"/>
    <s v="-"/>
    <x v="1"/>
    <s v="FILTRO"/>
    <s v="-"/>
    <s v="-"/>
    <x v="38"/>
    <x v="0"/>
    <x v="0"/>
    <x v="14"/>
    <x v="0"/>
    <x v="0"/>
    <x v="0"/>
    <s v="BENJAMIN LIZARBE"/>
    <x v="0"/>
    <n v="16.5"/>
    <x v="1"/>
    <x v="2"/>
    <x v="0"/>
    <x v="0"/>
  </r>
  <r>
    <x v="58"/>
    <s v="H011"/>
    <n v="7620856112"/>
    <x v="27"/>
    <x v="27"/>
    <n v="2"/>
    <s v="ROMERO"/>
    <x v="1"/>
    <s v="FILTRO"/>
    <s v="T106"/>
    <n v="7620873040"/>
    <x v="54"/>
    <x v="0"/>
    <x v="0"/>
    <x v="14"/>
    <x v="0"/>
    <x v="1"/>
    <x v="0"/>
    <s v="DAVID PIÑAN"/>
    <x v="0"/>
    <n v="77.84"/>
    <x v="0"/>
    <x v="2"/>
    <x v="0"/>
    <x v="0"/>
  </r>
  <r>
    <x v="58"/>
    <s v="T120"/>
    <n v="7620871909"/>
    <x v="235"/>
    <x v="236"/>
    <n v="6"/>
    <s v="-"/>
    <x v="0"/>
    <s v="FILTRO"/>
    <s v="-"/>
    <s v="-"/>
    <x v="17"/>
    <x v="0"/>
    <x v="0"/>
    <x v="14"/>
    <x v="1"/>
    <x v="0"/>
    <x v="0"/>
    <s v="BENJAMIN LIZARBE"/>
    <x v="0"/>
    <n v="145.5"/>
    <x v="0"/>
    <x v="2"/>
    <x v="0"/>
    <x v="0"/>
  </r>
  <r>
    <x v="59"/>
    <s v="T114"/>
    <n v="7620870402"/>
    <x v="236"/>
    <x v="237"/>
    <n v="9"/>
    <s v="PALOMINO"/>
    <x v="0"/>
    <s v="AUDITORIA"/>
    <s v="-"/>
    <s v="-"/>
    <x v="58"/>
    <x v="0"/>
    <x v="0"/>
    <x v="14"/>
    <x v="1"/>
    <x v="0"/>
    <x v="0"/>
    <s v="BENJAMIN LIZARBE"/>
    <x v="0"/>
    <n v="132.39000000000001"/>
    <x v="2"/>
    <x v="2"/>
    <x v="0"/>
    <x v="0"/>
  </r>
  <r>
    <x v="59"/>
    <s v="H014"/>
    <n v="7640114916"/>
    <x v="237"/>
    <x v="238"/>
    <n v="6"/>
    <s v="-"/>
    <x v="0"/>
    <s v="AUDITORIA"/>
    <s v="-"/>
    <s v="-"/>
    <x v="50"/>
    <x v="0"/>
    <x v="0"/>
    <x v="10"/>
    <x v="1"/>
    <x v="0"/>
    <x v="0"/>
    <s v="BENJAMIN LIZARBE"/>
    <x v="0"/>
    <n v="106.44"/>
    <x v="0"/>
    <x v="2"/>
    <x v="0"/>
    <x v="0"/>
  </r>
  <r>
    <x v="59"/>
    <s v="-"/>
    <n v="7620861827"/>
    <x v="135"/>
    <x v="135"/>
    <n v="24"/>
    <s v="-"/>
    <x v="0"/>
    <s v="FILTRO"/>
    <s v="T126"/>
    <s v="7620859931"/>
    <x v="45"/>
    <x v="0"/>
    <x v="0"/>
    <x v="14"/>
    <x v="0"/>
    <x v="0"/>
    <x v="0"/>
    <s v="BENJAMIN LIZARBE"/>
    <x v="0"/>
    <n v="170.88"/>
    <x v="0"/>
    <x v="2"/>
    <x v="0"/>
    <x v="0"/>
  </r>
  <r>
    <x v="59"/>
    <s v="-"/>
    <n v="7620869894"/>
    <x v="73"/>
    <x v="73"/>
    <n v="1"/>
    <s v="AVILA"/>
    <x v="0"/>
    <s v="FILTRO"/>
    <s v="S003"/>
    <n v="7620870973"/>
    <x v="35"/>
    <x v="0"/>
    <x v="0"/>
    <x v="14"/>
    <x v="0"/>
    <x v="0"/>
    <x v="0"/>
    <s v="BENJAMIN LIZARBE"/>
    <x v="0"/>
    <n v="28.06"/>
    <x v="0"/>
    <x v="2"/>
    <x v="0"/>
    <x v="0"/>
  </r>
  <r>
    <x v="59"/>
    <s v="T114"/>
    <n v="7620870402"/>
    <x v="238"/>
    <x v="239"/>
    <n v="1"/>
    <s v="PALOMINO"/>
    <x v="0"/>
    <s v="AUDITORIA"/>
    <s v="-"/>
    <s v="-"/>
    <x v="53"/>
    <x v="0"/>
    <x v="0"/>
    <x v="14"/>
    <x v="1"/>
    <x v="0"/>
    <x v="0"/>
    <s v="BENJAMIN LIZARBE"/>
    <x v="0"/>
    <n v="25.64"/>
    <x v="2"/>
    <x v="2"/>
    <x v="0"/>
    <x v="0"/>
  </r>
  <r>
    <x v="60"/>
    <s v="S033"/>
    <n v="7620871481"/>
    <x v="55"/>
    <x v="55"/>
    <n v="6"/>
    <s v="-"/>
    <x v="0"/>
    <s v="FILTRO"/>
    <s v="-"/>
    <s v="-"/>
    <x v="42"/>
    <x v="0"/>
    <x v="0"/>
    <x v="14"/>
    <x v="1"/>
    <x v="0"/>
    <x v="0"/>
    <s v="BENJAMIN LIZARBE"/>
    <x v="0"/>
    <n v="127.5"/>
    <x v="0"/>
    <x v="2"/>
    <x v="0"/>
    <x v="0"/>
  </r>
  <r>
    <x v="60"/>
    <s v="S022"/>
    <n v="7620858391"/>
    <x v="118"/>
    <x v="118"/>
    <n v="1"/>
    <m/>
    <x v="0"/>
    <s v="FILTRO"/>
    <s v="-"/>
    <s v="-"/>
    <x v="32"/>
    <x v="0"/>
    <x v="0"/>
    <x v="14"/>
    <x v="1"/>
    <x v="0"/>
    <x v="0"/>
    <s v="BENJAMIN LIZARBE"/>
    <x v="0"/>
    <n v="18.41"/>
    <x v="0"/>
    <x v="2"/>
    <x v="0"/>
    <x v="0"/>
  </r>
  <r>
    <x v="60"/>
    <s v="S076"/>
    <n v="7620820976"/>
    <x v="239"/>
    <x v="240"/>
    <n v="3"/>
    <s v="JUAN AYALA"/>
    <x v="1"/>
    <s v="FILTRO"/>
    <s v="H008"/>
    <n v="7620866996"/>
    <x v="14"/>
    <x v="0"/>
    <x v="0"/>
    <x v="14"/>
    <x v="0"/>
    <x v="1"/>
    <x v="0"/>
    <s v="DAVID PIÑAN"/>
    <x v="0"/>
    <n v="79.949999999999989"/>
    <x v="0"/>
    <x v="2"/>
    <x v="0"/>
    <x v="0"/>
  </r>
  <r>
    <x v="60"/>
    <s v="S076"/>
    <n v="7620820976"/>
    <x v="212"/>
    <x v="213"/>
    <n v="4"/>
    <s v="JUAN AYALA"/>
    <x v="1"/>
    <s v="FILTRO"/>
    <s v="H008"/>
    <n v="7620866996"/>
    <x v="17"/>
    <x v="0"/>
    <x v="0"/>
    <x v="14"/>
    <x v="0"/>
    <x v="0"/>
    <x v="0"/>
    <s v="BENJAMIN LIZARBE"/>
    <x v="0"/>
    <n v="25.92"/>
    <x v="0"/>
    <x v="2"/>
    <x v="0"/>
    <x v="0"/>
  </r>
  <r>
    <x v="60"/>
    <s v="S076"/>
    <n v="7620820976"/>
    <x v="98"/>
    <x v="98"/>
    <n v="4"/>
    <s v="JUAN AYALA"/>
    <x v="1"/>
    <s v="FILTRO"/>
    <s v="H008"/>
    <n v="7620866996"/>
    <x v="17"/>
    <x v="0"/>
    <x v="0"/>
    <x v="14"/>
    <x v="0"/>
    <x v="0"/>
    <x v="0"/>
    <s v="BENJAMIN LIZARBE"/>
    <x v="0"/>
    <n v="25.92"/>
    <x v="0"/>
    <x v="2"/>
    <x v="0"/>
    <x v="0"/>
  </r>
  <r>
    <x v="60"/>
    <m/>
    <m/>
    <x v="240"/>
    <x v="241"/>
    <n v="1"/>
    <s v="LIMACHE"/>
    <x v="1"/>
    <s v="FILTRO"/>
    <n v="7640114915"/>
    <s v="T106"/>
    <x v="11"/>
    <x v="0"/>
    <x v="0"/>
    <x v="14"/>
    <x v="0"/>
    <x v="0"/>
    <x v="0"/>
    <s v="BENJAMIN LIZARBE"/>
    <x v="1"/>
    <n v="186.38"/>
    <x v="0"/>
    <x v="2"/>
    <x v="0"/>
    <x v="0"/>
  </r>
  <r>
    <x v="60"/>
    <s v="T103"/>
    <n v="7620869458"/>
    <x v="241"/>
    <x v="242"/>
    <n v="12"/>
    <s v="ROSALES"/>
    <x v="1"/>
    <s v="FILTRO"/>
    <n v="7620873040"/>
    <s v="T106"/>
    <x v="54"/>
    <x v="0"/>
    <x v="0"/>
    <x v="14"/>
    <x v="0"/>
    <x v="1"/>
    <x v="0"/>
    <s v="DAVID PIÑAN"/>
    <x v="0"/>
    <n v="765"/>
    <x v="0"/>
    <x v="2"/>
    <x v="0"/>
    <x v="0"/>
  </r>
  <r>
    <x v="60"/>
    <s v="T103"/>
    <n v="7620869458"/>
    <x v="242"/>
    <x v="243"/>
    <n v="9"/>
    <s v="ROSALES"/>
    <x v="0"/>
    <s v="FILTRO"/>
    <s v="T103"/>
    <n v="7620869458"/>
    <x v="35"/>
    <x v="8"/>
    <x v="1"/>
    <x v="14"/>
    <x v="0"/>
    <x v="0"/>
    <x v="1"/>
    <s v="BENJAMIN LIZARBE"/>
    <x v="0"/>
    <n v="629.01"/>
    <x v="0"/>
    <x v="2"/>
    <x v="0"/>
    <x v="0"/>
  </r>
  <r>
    <x v="61"/>
    <s v="S002"/>
    <n v="7620861719"/>
    <x v="243"/>
    <x v="244"/>
    <n v="3"/>
    <s v="JUAN AYALA"/>
    <x v="0"/>
    <s v="FILTRO"/>
    <s v="-"/>
    <s v="-"/>
    <x v="32"/>
    <x v="3"/>
    <x v="1"/>
    <x v="28"/>
    <x v="0"/>
    <x v="0"/>
    <x v="1"/>
    <s v="BENJAMIN LIZARBE"/>
    <x v="0"/>
    <n v="103.47"/>
    <x v="0"/>
    <x v="2"/>
    <x v="0"/>
    <x v="0"/>
  </r>
  <r>
    <x v="61"/>
    <s v="T102"/>
    <n v="7620869439"/>
    <x v="244"/>
    <x v="245"/>
    <n v="6"/>
    <s v="-"/>
    <x v="0"/>
    <s v="FILTRO"/>
    <s v="T104"/>
    <s v="-"/>
    <x v="14"/>
    <x v="0"/>
    <x v="0"/>
    <x v="14"/>
    <x v="0"/>
    <x v="1"/>
    <x v="0"/>
    <s v="DAVID PIÑAN"/>
    <x v="0"/>
    <n v="162.35999999999999"/>
    <x v="0"/>
    <x v="2"/>
    <x v="0"/>
    <x v="0"/>
  </r>
  <r>
    <x v="61"/>
    <s v="-"/>
    <s v="-"/>
    <x v="245"/>
    <x v="246"/>
    <n v="2"/>
    <s v="-"/>
    <x v="0"/>
    <s v="PICKING"/>
    <s v="-"/>
    <s v="-"/>
    <x v="50"/>
    <x v="0"/>
    <x v="0"/>
    <x v="14"/>
    <x v="0"/>
    <x v="0"/>
    <x v="0"/>
    <s v="BENJAMIN LIZARBE"/>
    <x v="0"/>
    <n v="27.22"/>
    <x v="2"/>
    <x v="2"/>
    <x v="0"/>
    <x v="0"/>
  </r>
  <r>
    <x v="61"/>
    <s v="S083"/>
    <n v="7620869204"/>
    <x v="245"/>
    <x v="246"/>
    <n v="1"/>
    <s v="-"/>
    <x v="0"/>
    <s v="FILTRO"/>
    <s v="-"/>
    <s v="-"/>
    <x v="12"/>
    <x v="0"/>
    <x v="0"/>
    <x v="14"/>
    <x v="1"/>
    <x v="0"/>
    <x v="0"/>
    <s v="BENJAMIN LIZARBE"/>
    <x v="0"/>
    <n v="13.61"/>
    <x v="2"/>
    <x v="2"/>
    <x v="0"/>
    <x v="0"/>
  </r>
  <r>
    <x v="62"/>
    <s v="S005"/>
    <n v="7620871032"/>
    <x v="246"/>
    <x v="247"/>
    <n v="12"/>
    <s v="PIERO ESPILCO"/>
    <x v="0"/>
    <s v="FILTRO"/>
    <s v="-"/>
    <s v="-"/>
    <x v="42"/>
    <x v="7"/>
    <x v="1"/>
    <x v="28"/>
    <x v="0"/>
    <x v="0"/>
    <x v="1"/>
    <s v="BENJAMIN LIZARBE"/>
    <x v="0"/>
    <n v="198"/>
    <x v="0"/>
    <x v="2"/>
    <x v="0"/>
    <x v="1"/>
  </r>
  <r>
    <x v="62"/>
    <s v="S009"/>
    <n v="7620872854"/>
    <x v="247"/>
    <x v="248"/>
    <n v="6"/>
    <s v="PIERO ESPILCO"/>
    <x v="0"/>
    <s v="FILTRO"/>
    <s v="-"/>
    <s v="-"/>
    <x v="50"/>
    <x v="7"/>
    <x v="1"/>
    <x v="28"/>
    <x v="0"/>
    <x v="0"/>
    <x v="1"/>
    <s v="BENJAMIN LIZARBE"/>
    <x v="0"/>
    <n v="392.34000000000003"/>
    <x v="0"/>
    <x v="2"/>
    <x v="0"/>
    <x v="1"/>
  </r>
  <r>
    <x v="62"/>
    <s v="T107"/>
    <n v="7620869556"/>
    <x v="2"/>
    <x v="2"/>
    <n v="1"/>
    <s v="ANGELO"/>
    <x v="0"/>
    <s v="FILTRO"/>
    <s v="-"/>
    <s v="-"/>
    <x v="59"/>
    <x v="9"/>
    <x v="1"/>
    <x v="28"/>
    <x v="0"/>
    <x v="1"/>
    <x v="1"/>
    <s v="BENJAMIN LIZARBE"/>
    <x v="0"/>
    <n v="76.42"/>
    <x v="0"/>
    <x v="2"/>
    <x v="0"/>
    <x v="1"/>
  </r>
  <r>
    <x v="62"/>
    <s v="T107"/>
    <n v="7620869556"/>
    <x v="248"/>
    <x v="249"/>
    <n v="1"/>
    <s v="ANGELO"/>
    <x v="0"/>
    <s v="FILTRO"/>
    <s v="-"/>
    <s v="-"/>
    <x v="3"/>
    <x v="9"/>
    <x v="1"/>
    <x v="28"/>
    <x v="0"/>
    <x v="1"/>
    <x v="1"/>
    <s v="DAVID PIÑAN"/>
    <x v="0"/>
    <n v="45.28"/>
    <x v="0"/>
    <x v="2"/>
    <x v="0"/>
    <x v="1"/>
  </r>
  <r>
    <x v="62"/>
    <s v="S087"/>
    <n v="7620864442"/>
    <x v="249"/>
    <x v="250"/>
    <n v="4"/>
    <s v="-"/>
    <x v="1"/>
    <s v="FILTRO"/>
    <s v="T118"/>
    <n v="7620854911"/>
    <x v="3"/>
    <x v="0"/>
    <x v="0"/>
    <x v="14"/>
    <x v="0"/>
    <x v="1"/>
    <x v="0"/>
    <s v="DAVID PIÑAN"/>
    <x v="0"/>
    <n v="172.56"/>
    <x v="0"/>
    <x v="2"/>
    <x v="0"/>
    <x v="1"/>
  </r>
  <r>
    <x v="62"/>
    <s v="S087"/>
    <n v="7620864442"/>
    <x v="161"/>
    <x v="161"/>
    <n v="1"/>
    <s v="-"/>
    <x v="1"/>
    <s v="FILTRO"/>
    <s v="S037"/>
    <n v="7620859261"/>
    <x v="14"/>
    <x v="0"/>
    <x v="0"/>
    <x v="14"/>
    <x v="0"/>
    <x v="1"/>
    <x v="0"/>
    <s v="DAVID PIÑAN"/>
    <x v="0"/>
    <n v="3.1"/>
    <x v="0"/>
    <x v="2"/>
    <x v="0"/>
    <x v="1"/>
  </r>
  <r>
    <x v="62"/>
    <s v="T115"/>
    <n v="7620869715"/>
    <x v="250"/>
    <x v="251"/>
    <n v="1"/>
    <s v="-"/>
    <x v="1"/>
    <s v="FILTRO"/>
    <s v="T115"/>
    <n v="7620869715"/>
    <x v="14"/>
    <x v="9"/>
    <x v="2"/>
    <x v="14"/>
    <x v="2"/>
    <x v="1"/>
    <x v="2"/>
    <s v="DAVID PIÑAN"/>
    <x v="0"/>
    <n v="89.12"/>
    <x v="0"/>
    <x v="2"/>
    <x v="0"/>
    <x v="1"/>
  </r>
  <r>
    <x v="62"/>
    <s v="-"/>
    <s v="-"/>
    <x v="251"/>
    <x v="252"/>
    <n v="2"/>
    <s v="-"/>
    <x v="1"/>
    <s v="FILTRO"/>
    <s v="T130"/>
    <n v="7640115047"/>
    <x v="21"/>
    <x v="0"/>
    <x v="0"/>
    <x v="14"/>
    <x v="0"/>
    <x v="0"/>
    <x v="0"/>
    <s v="BENJAMIN LIZARBE"/>
    <x v="1"/>
    <n v="359.92"/>
    <x v="0"/>
    <x v="2"/>
    <x v="0"/>
    <x v="1"/>
  </r>
  <r>
    <x v="62"/>
    <s v="S032"/>
    <n v="7620871449"/>
    <x v="252"/>
    <x v="253"/>
    <n v="1"/>
    <s v="JUAN AYALA"/>
    <x v="0"/>
    <s v="FILTRO"/>
    <s v="-"/>
    <s v="-"/>
    <x v="32"/>
    <x v="0"/>
    <x v="0"/>
    <x v="14"/>
    <x v="0"/>
    <x v="0"/>
    <x v="0"/>
    <s v="BENJAMIN LIZARBE"/>
    <x v="0"/>
    <n v="12.68"/>
    <x v="0"/>
    <x v="2"/>
    <x v="0"/>
    <x v="1"/>
  </r>
  <r>
    <x v="62"/>
    <s v="-"/>
    <s v="-"/>
    <x v="253"/>
    <x v="254"/>
    <n v="24"/>
    <s v="LIMACHE"/>
    <x v="1"/>
    <s v="FILTRO"/>
    <s v="-"/>
    <s v="-"/>
    <x v="34"/>
    <x v="0"/>
    <x v="0"/>
    <x v="14"/>
    <x v="0"/>
    <x v="2"/>
    <x v="0"/>
    <s v="ALMACEN"/>
    <x v="0"/>
    <n v="158.39999999999998"/>
    <x v="1"/>
    <x v="2"/>
    <x v="0"/>
    <x v="1"/>
  </r>
  <r>
    <x v="63"/>
    <s v="-"/>
    <s v="-"/>
    <x v="254"/>
    <x v="255"/>
    <n v="12"/>
    <s v="-"/>
    <x v="1"/>
    <s v="CICLICO"/>
    <s v="S047"/>
    <n v="7620864515"/>
    <x v="21"/>
    <x v="0"/>
    <x v="0"/>
    <x v="14"/>
    <x v="2"/>
    <x v="0"/>
    <x v="0"/>
    <s v="BENJAMIN LIZARBE"/>
    <x v="1"/>
    <n v="30.72"/>
    <x v="1"/>
    <x v="2"/>
    <x v="0"/>
    <x v="1"/>
  </r>
  <r>
    <x v="63"/>
    <s v="T104"/>
    <n v="7640115805"/>
    <x v="255"/>
    <x v="256"/>
    <n v="12"/>
    <s v="PALOMINO"/>
    <x v="1"/>
    <s v="AUDITORIA"/>
    <s v="T104"/>
    <s v="7640114981"/>
    <x v="11"/>
    <x v="0"/>
    <x v="0"/>
    <x v="14"/>
    <x v="2"/>
    <x v="0"/>
    <x v="0"/>
    <s v="BENJAMIN LIZARBE"/>
    <x v="1"/>
    <n v="45.599999999999994"/>
    <x v="1"/>
    <x v="2"/>
    <x v="0"/>
    <x v="1"/>
  </r>
  <r>
    <x v="63"/>
    <s v="S032"/>
    <n v="7620867167"/>
    <x v="256"/>
    <x v="257"/>
    <n v="3"/>
    <s v="PALOMINO"/>
    <x v="0"/>
    <s v="AUDITORIA"/>
    <s v="-"/>
    <s v="-"/>
    <x v="51"/>
    <x v="0"/>
    <x v="0"/>
    <x v="14"/>
    <x v="2"/>
    <x v="1"/>
    <x v="0"/>
    <s v="DAVID PIÑAN"/>
    <x v="0"/>
    <n v="55.019999999999996"/>
    <x v="2"/>
    <x v="2"/>
    <x v="0"/>
    <x v="1"/>
  </r>
  <r>
    <x v="63"/>
    <s v="S032"/>
    <n v="7620867167"/>
    <x v="257"/>
    <x v="258"/>
    <n v="12"/>
    <s v="PALOMINO"/>
    <x v="1"/>
    <s v="AUDITORIA"/>
    <s v="-"/>
    <s v="-"/>
    <x v="34"/>
    <x v="0"/>
    <x v="0"/>
    <x v="14"/>
    <x v="0"/>
    <x v="2"/>
    <x v="0"/>
    <s v="ALMACEN"/>
    <x v="0"/>
    <n v="236.88"/>
    <x v="2"/>
    <x v="2"/>
    <x v="0"/>
    <x v="1"/>
  </r>
  <r>
    <x v="63"/>
    <s v="S032"/>
    <n v="7620867167"/>
    <x v="258"/>
    <x v="259"/>
    <n v="6"/>
    <s v="PALOMINO"/>
    <x v="1"/>
    <s v="AUDITORIA"/>
    <s v="S092"/>
    <s v="7620873481"/>
    <x v="59"/>
    <x v="0"/>
    <x v="0"/>
    <x v="14"/>
    <x v="0"/>
    <x v="1"/>
    <x v="0"/>
    <s v="BENJAMIN LIZARBE"/>
    <x v="0"/>
    <n v="36.24"/>
    <x v="2"/>
    <x v="2"/>
    <x v="0"/>
    <x v="1"/>
  </r>
  <r>
    <x v="63"/>
    <s v="T114"/>
    <n v="7620870397"/>
    <x v="259"/>
    <x v="260"/>
    <n v="3"/>
    <s v="PALOMINO"/>
    <x v="1"/>
    <s v="AUDITORIA"/>
    <s v="-"/>
    <s v="-"/>
    <x v="38"/>
    <x v="0"/>
    <x v="0"/>
    <x v="14"/>
    <x v="2"/>
    <x v="0"/>
    <x v="0"/>
    <s v="BENJAMIN LIZARBE"/>
    <x v="0"/>
    <n v="75"/>
    <x v="2"/>
    <x v="2"/>
    <x v="0"/>
    <x v="1"/>
  </r>
  <r>
    <x v="63"/>
    <s v="T114"/>
    <n v="7620870397"/>
    <x v="260"/>
    <x v="261"/>
    <n v="1"/>
    <s v="PALOMINO"/>
    <x v="0"/>
    <s v="AUDITORIA"/>
    <s v="H009"/>
    <n v="7620857900"/>
    <x v="27"/>
    <x v="0"/>
    <x v="0"/>
    <x v="14"/>
    <x v="0"/>
    <x v="0"/>
    <x v="0"/>
    <s v="BENJAMIN LIZARBE"/>
    <x v="0"/>
    <n v="25.64"/>
    <x v="2"/>
    <x v="2"/>
    <x v="0"/>
    <x v="1"/>
  </r>
  <r>
    <x v="63"/>
    <s v="S032"/>
    <n v="7620867167"/>
    <x v="261"/>
    <x v="262"/>
    <n v="12"/>
    <s v="PALOMINO"/>
    <x v="0"/>
    <s v="AUDITORIA"/>
    <s v="-"/>
    <s v="-"/>
    <x v="60"/>
    <x v="0"/>
    <x v="0"/>
    <x v="14"/>
    <x v="0"/>
    <x v="0"/>
    <x v="0"/>
    <s v="BENJAMIN LIZARBE"/>
    <x v="0"/>
    <n v="236.76"/>
    <x v="2"/>
    <x v="2"/>
    <x v="0"/>
    <x v="1"/>
  </r>
  <r>
    <x v="63"/>
    <s v="S034"/>
    <n v="7640115744"/>
    <x v="262"/>
    <x v="263"/>
    <n v="1"/>
    <s v="PALOMINO"/>
    <x v="0"/>
    <s v="AUDITORIA"/>
    <s v="-"/>
    <s v="-"/>
    <x v="11"/>
    <x v="0"/>
    <x v="0"/>
    <x v="14"/>
    <x v="1"/>
    <x v="0"/>
    <x v="0"/>
    <s v="BENJAMIN LIZARBE"/>
    <x v="1"/>
    <n v="4.2300000000000004"/>
    <x v="1"/>
    <x v="2"/>
    <x v="0"/>
    <x v="1"/>
  </r>
  <r>
    <x v="63"/>
    <s v="-"/>
    <s v="-"/>
    <x v="148"/>
    <x v="148"/>
    <n v="12"/>
    <s v="-"/>
    <x v="1"/>
    <s v="CICLICO"/>
    <s v="ALAMCEN"/>
    <s v="-"/>
    <x v="34"/>
    <x v="0"/>
    <x v="0"/>
    <x v="13"/>
    <x v="2"/>
    <x v="2"/>
    <x v="0"/>
    <s v="ALMACEN"/>
    <x v="1"/>
    <n v="60.480000000000004"/>
    <x v="1"/>
    <x v="2"/>
    <x v="0"/>
    <x v="1"/>
  </r>
  <r>
    <x v="63"/>
    <s v="-"/>
    <s v="-"/>
    <x v="263"/>
    <x v="264"/>
    <n v="36"/>
    <s v="-"/>
    <x v="1"/>
    <s v="CICLICO"/>
    <s v="ALAMCEN"/>
    <s v="-"/>
    <x v="61"/>
    <x v="0"/>
    <x v="6"/>
    <x v="29"/>
    <x v="2"/>
    <x v="0"/>
    <x v="6"/>
    <s v="ARNOLD CASTILLO"/>
    <x v="1"/>
    <n v="446.40000000000003"/>
    <x v="1"/>
    <x v="2"/>
    <x v="0"/>
    <x v="1"/>
  </r>
  <r>
    <x v="64"/>
    <s v="S037"/>
    <n v="7620859261"/>
    <x v="264"/>
    <x v="265"/>
    <n v="6"/>
    <s v="-"/>
    <x v="0"/>
    <s v="FILTRO"/>
    <s v="-"/>
    <s v="-"/>
    <x v="32"/>
    <x v="0"/>
    <x v="0"/>
    <x v="14"/>
    <x v="0"/>
    <x v="0"/>
    <x v="0"/>
    <s v="BENJAMIN LIZARBE"/>
    <x v="0"/>
    <n v="95.460000000000008"/>
    <x v="0"/>
    <x v="2"/>
    <x v="0"/>
    <x v="1"/>
  </r>
  <r>
    <x v="64"/>
    <s v="T104"/>
    <n v="7620869485"/>
    <x v="265"/>
    <x v="266"/>
    <n v="6"/>
    <s v="LIMACHE"/>
    <x v="1"/>
    <s v="FILTRO"/>
    <s v="-"/>
    <s v="-"/>
    <x v="3"/>
    <x v="7"/>
    <x v="1"/>
    <x v="28"/>
    <x v="0"/>
    <x v="1"/>
    <x v="1"/>
    <s v="DAVID PIÑAN"/>
    <x v="0"/>
    <n v="127.5"/>
    <x v="0"/>
    <x v="2"/>
    <x v="0"/>
    <x v="1"/>
  </r>
  <r>
    <x v="64"/>
    <s v="S097"/>
    <n v="7620871364"/>
    <x v="266"/>
    <x v="267"/>
    <n v="6"/>
    <s v="-"/>
    <x v="1"/>
    <s v="FILTRO"/>
    <s v="-"/>
    <s v="-"/>
    <x v="42"/>
    <x v="0"/>
    <x v="0"/>
    <x v="14"/>
    <x v="0"/>
    <x v="0"/>
    <x v="0"/>
    <s v="BENJAMIN LIZARBE"/>
    <x v="0"/>
    <n v="136.38"/>
    <x v="0"/>
    <x v="2"/>
    <x v="0"/>
    <x v="1"/>
  </r>
  <r>
    <x v="64"/>
    <s v="T109"/>
    <n v="7620872845"/>
    <x v="267"/>
    <x v="268"/>
    <n v="6"/>
    <s v="-"/>
    <x v="1"/>
    <s v="FILTRO"/>
    <s v="T107"/>
    <n v="7620869554"/>
    <x v="32"/>
    <x v="0"/>
    <x v="0"/>
    <x v="14"/>
    <x v="0"/>
    <x v="0"/>
    <x v="0"/>
    <s v="BENJAMIN LIZARBE"/>
    <x v="0"/>
    <n v="120.89999999999999"/>
    <x v="0"/>
    <x v="2"/>
    <x v="0"/>
    <x v="1"/>
  </r>
  <r>
    <x v="64"/>
    <s v="-"/>
    <s v="-"/>
    <x v="268"/>
    <x v="269"/>
    <n v="12"/>
    <s v="INVENTARIO"/>
    <x v="1"/>
    <s v="CICLICO"/>
    <s v="ALAMCEN"/>
    <s v="-"/>
    <x v="34"/>
    <x v="0"/>
    <x v="0"/>
    <x v="14"/>
    <x v="2"/>
    <x v="2"/>
    <x v="0"/>
    <s v="ALMACEN"/>
    <x v="1"/>
    <n v="137.76"/>
    <x v="1"/>
    <x v="2"/>
    <x v="0"/>
    <x v="1"/>
  </r>
  <r>
    <x v="64"/>
    <s v="-"/>
    <s v="-"/>
    <x v="269"/>
    <x v="270"/>
    <n v="12"/>
    <s v="INVENTARIO"/>
    <x v="1"/>
    <s v="CICLICO"/>
    <s v="ALAMCEN"/>
    <s v="-"/>
    <x v="34"/>
    <x v="0"/>
    <x v="0"/>
    <x v="14"/>
    <x v="2"/>
    <x v="2"/>
    <x v="0"/>
    <s v="ALMACEN"/>
    <x v="1"/>
    <n v="118.19999999999999"/>
    <x v="1"/>
    <x v="2"/>
    <x v="0"/>
    <x v="1"/>
  </r>
  <r>
    <x v="64"/>
    <s v="-"/>
    <s v="-"/>
    <x v="270"/>
    <x v="271"/>
    <n v="24"/>
    <s v="INVENTARIO"/>
    <x v="1"/>
    <s v="CICLICO"/>
    <s v="ALAMCEN"/>
    <s v="-"/>
    <x v="34"/>
    <x v="0"/>
    <x v="0"/>
    <x v="14"/>
    <x v="2"/>
    <x v="2"/>
    <x v="0"/>
    <s v="ALMACEN"/>
    <x v="1"/>
    <n v="39.599999999999994"/>
    <x v="1"/>
    <x v="2"/>
    <x v="0"/>
    <x v="1"/>
  </r>
  <r>
    <x v="64"/>
    <s v="-"/>
    <s v="-"/>
    <x v="168"/>
    <x v="168"/>
    <n v="12"/>
    <s v="INVENTARIO"/>
    <x v="0"/>
    <s v="CICLICO"/>
    <s v="-"/>
    <s v="-"/>
    <x v="34"/>
    <x v="0"/>
    <x v="0"/>
    <x v="14"/>
    <x v="1"/>
    <x v="2"/>
    <x v="0"/>
    <s v="ALMACEN"/>
    <x v="1"/>
    <n v="15.600000000000001"/>
    <x v="1"/>
    <x v="2"/>
    <x v="0"/>
    <x v="1"/>
  </r>
  <r>
    <x v="64"/>
    <s v="S010"/>
    <n v="7620871066"/>
    <x v="271"/>
    <x v="272"/>
    <n v="12"/>
    <s v="-"/>
    <x v="0"/>
    <s v="FILTRO"/>
    <s v="S009"/>
    <n v="7620872855"/>
    <x v="32"/>
    <x v="0"/>
    <x v="0"/>
    <x v="14"/>
    <x v="0"/>
    <x v="0"/>
    <x v="0"/>
    <s v="BENJAMIN LIZARBE"/>
    <x v="0"/>
    <n v="77.760000000000005"/>
    <x v="0"/>
    <x v="2"/>
    <x v="0"/>
    <x v="1"/>
  </r>
  <r>
    <x v="64"/>
    <s v="S083"/>
    <n v="7620870796"/>
    <x v="272"/>
    <x v="273"/>
    <n v="12"/>
    <s v="-"/>
    <x v="0"/>
    <s v="FILTRO"/>
    <s v="-"/>
    <s v="-"/>
    <x v="7"/>
    <x v="0"/>
    <x v="0"/>
    <x v="14"/>
    <x v="1"/>
    <x v="0"/>
    <x v="0"/>
    <s v="BENJAMIN LIZARBE"/>
    <x v="0"/>
    <n v="160.44"/>
    <x v="2"/>
    <x v="2"/>
    <x v="0"/>
    <x v="1"/>
  </r>
  <r>
    <x v="64"/>
    <s v="S036"/>
    <n v="7620867319"/>
    <x v="273"/>
    <x v="274"/>
    <n v="12"/>
    <s v="ROMERO"/>
    <x v="1"/>
    <s v="FILTRO"/>
    <s v="S035"/>
    <n v="7620871547"/>
    <x v="14"/>
    <x v="8"/>
    <x v="1"/>
    <x v="28"/>
    <x v="2"/>
    <x v="1"/>
    <x v="1"/>
    <s v="DAVID PIÑAN"/>
    <x v="0"/>
    <n v="326.76"/>
    <x v="0"/>
    <x v="2"/>
    <x v="0"/>
    <x v="1"/>
  </r>
  <r>
    <x v="64"/>
    <s v="S093"/>
    <n v="7620861786"/>
    <x v="106"/>
    <x v="106"/>
    <n v="2"/>
    <s v="ROMERO"/>
    <x v="1"/>
    <s v="FILTRO"/>
    <s v="S095"/>
    <n v="7620861805"/>
    <x v="31"/>
    <x v="0"/>
    <x v="0"/>
    <x v="14"/>
    <x v="0"/>
    <x v="1"/>
    <x v="0"/>
    <s v="DAVID PIÑAN"/>
    <x v="0"/>
    <n v="40.200000000000003"/>
    <x v="0"/>
    <x v="2"/>
    <x v="0"/>
    <x v="1"/>
  </r>
  <r>
    <x v="64"/>
    <s v="S093"/>
    <n v="7620861786"/>
    <x v="215"/>
    <x v="216"/>
    <n v="4"/>
    <s v="ROMERO"/>
    <x v="1"/>
    <s v="FILTRO"/>
    <s v="S095"/>
    <n v="7620861805"/>
    <x v="62"/>
    <x v="0"/>
    <x v="0"/>
    <x v="14"/>
    <x v="0"/>
    <x v="1"/>
    <x v="0"/>
    <s v="DAVID PIÑAN"/>
    <x v="0"/>
    <n v="48.96"/>
    <x v="0"/>
    <x v="2"/>
    <x v="0"/>
    <x v="1"/>
  </r>
  <r>
    <x v="64"/>
    <s v="-"/>
    <s v="-"/>
    <x v="274"/>
    <x v="275"/>
    <n v="24"/>
    <s v="-"/>
    <x v="1"/>
    <s v="PICKING"/>
    <s v="-"/>
    <s v="-"/>
    <x v="34"/>
    <x v="0"/>
    <x v="4"/>
    <x v="30"/>
    <x v="2"/>
    <x v="2"/>
    <x v="4"/>
    <s v="ALMACEN"/>
    <x v="0"/>
    <n v="265.44"/>
    <x v="2"/>
    <x v="2"/>
    <x v="0"/>
    <x v="1"/>
  </r>
  <r>
    <x v="65"/>
    <s v="T120"/>
    <n v="7620872995"/>
    <x v="275"/>
    <x v="276"/>
    <n v="6"/>
    <s v="-"/>
    <x v="1"/>
    <s v="FILTRO"/>
    <s v="S008"/>
    <n v="7620872856"/>
    <x v="14"/>
    <x v="0"/>
    <x v="0"/>
    <x v="14"/>
    <x v="0"/>
    <x v="1"/>
    <x v="0"/>
    <s v="DAVID PIÑAN"/>
    <x v="0"/>
    <n v="166.8"/>
    <x v="0"/>
    <x v="2"/>
    <x v="0"/>
    <x v="1"/>
  </r>
  <r>
    <x v="65"/>
    <s v="T120"/>
    <n v="7620872995"/>
    <x v="276"/>
    <x v="277"/>
    <n v="6"/>
    <s v="-"/>
    <x v="0"/>
    <s v="FILTRO"/>
    <s v="S008"/>
    <n v="7620872856"/>
    <x v="14"/>
    <x v="0"/>
    <x v="0"/>
    <x v="14"/>
    <x v="0"/>
    <x v="1"/>
    <x v="0"/>
    <s v="DAVID PIÑAN"/>
    <x v="0"/>
    <n v="166.8"/>
    <x v="0"/>
    <x v="2"/>
    <x v="0"/>
    <x v="1"/>
  </r>
  <r>
    <x v="65"/>
    <n v="45740"/>
    <n v="13"/>
    <x v="277"/>
    <x v="278"/>
    <n v="1"/>
    <s v="-"/>
    <x v="1"/>
    <s v="CICLICO"/>
    <s v="-"/>
    <s v="-"/>
    <x v="21"/>
    <x v="0"/>
    <x v="1"/>
    <x v="30"/>
    <x v="2"/>
    <x v="0"/>
    <x v="1"/>
    <s v="BENJAMIN LIZARBE"/>
    <x v="1"/>
    <n v="11.85"/>
    <x v="0"/>
    <x v="2"/>
    <x v="0"/>
    <x v="1"/>
  </r>
  <r>
    <x v="66"/>
    <s v="S038"/>
    <n v="7620861750"/>
    <x v="264"/>
    <x v="265"/>
    <n v="6"/>
    <s v="-"/>
    <x v="1"/>
    <s v="FILTRO"/>
    <s v="S037"/>
    <n v="7620859261"/>
    <x v="54"/>
    <x v="0"/>
    <x v="0"/>
    <x v="14"/>
    <x v="0"/>
    <x v="1"/>
    <x v="0"/>
    <s v="DAVID PIÑAN"/>
    <x v="0"/>
    <n v="95.460000000000008"/>
    <x v="0"/>
    <x v="2"/>
    <x v="0"/>
    <x v="1"/>
  </r>
  <r>
    <x v="66"/>
    <s v="S083"/>
    <s v="-"/>
    <x v="278"/>
    <x v="279"/>
    <n v="10"/>
    <s v="JORGE AVILA"/>
    <x v="1"/>
    <s v="AUDITORIA"/>
    <s v="-"/>
    <s v="-"/>
    <x v="38"/>
    <x v="0"/>
    <x v="0"/>
    <x v="16"/>
    <x v="2"/>
    <x v="0"/>
    <x v="0"/>
    <s v="BENJAMIN LIZARBE"/>
    <x v="0"/>
    <n v="210.79999999999998"/>
    <x v="2"/>
    <x v="3"/>
    <x v="1"/>
    <x v="0"/>
  </r>
  <r>
    <x v="67"/>
    <s v="T106"/>
    <n v="7620874122"/>
    <x v="209"/>
    <x v="210"/>
    <n v="12"/>
    <s v="PIERO ESPILCO"/>
    <x v="0"/>
    <s v="FILTRO"/>
    <s v="T106"/>
    <n v="7620874122"/>
    <x v="24"/>
    <x v="7"/>
    <x v="1"/>
    <x v="1"/>
    <x v="0"/>
    <x v="1"/>
    <x v="1"/>
    <s v="DAVID PIÑAN"/>
    <x v="0"/>
    <n v="206.64"/>
    <x v="0"/>
    <x v="2"/>
    <x v="0"/>
    <x v="1"/>
  </r>
  <r>
    <x v="67"/>
    <s v="S001"/>
    <n v="7620861682"/>
    <x v="279"/>
    <x v="280"/>
    <n v="1"/>
    <s v="ANYELO"/>
    <x v="0"/>
    <s v="FILTRO"/>
    <s v="-"/>
    <s v="-"/>
    <x v="50"/>
    <x v="0"/>
    <x v="0"/>
    <x v="31"/>
    <x v="1"/>
    <x v="0"/>
    <x v="0"/>
    <s v="BENJAMIN LIZARBE"/>
    <x v="0"/>
    <n v="5.76"/>
    <x v="0"/>
    <x v="2"/>
    <x v="0"/>
    <x v="1"/>
  </r>
  <r>
    <x v="68"/>
    <s v="-"/>
    <s v="-"/>
    <x v="198"/>
    <x v="199"/>
    <n v="1"/>
    <s v="-"/>
    <x v="1"/>
    <s v="FILTRO"/>
    <s v="-"/>
    <s v="-"/>
    <x v="34"/>
    <x v="0"/>
    <x v="3"/>
    <x v="32"/>
    <x v="2"/>
    <x v="2"/>
    <x v="3"/>
    <s v="ALMACEN"/>
    <x v="0"/>
    <n v="12"/>
    <x v="2"/>
    <x v="2"/>
    <x v="0"/>
    <x v="1"/>
  </r>
  <r>
    <x v="69"/>
    <s v="T111"/>
    <n v="7620869646"/>
    <x v="280"/>
    <x v="281"/>
    <n v="6"/>
    <s v="PIERO ESPILCO"/>
    <x v="0"/>
    <s v="FILTRO"/>
    <s v="T111"/>
    <n v="7620869646"/>
    <x v="14"/>
    <x v="7"/>
    <x v="1"/>
    <x v="1"/>
    <x v="0"/>
    <x v="1"/>
    <x v="1"/>
    <s v="DAVID PIÑAN"/>
    <x v="0"/>
    <n v="215.70000000000002"/>
    <x v="0"/>
    <x v="2"/>
    <x v="0"/>
    <x v="1"/>
  </r>
  <r>
    <x v="69"/>
    <s v="W101"/>
    <n v="7620867869"/>
    <x v="281"/>
    <x v="282"/>
    <n v="2"/>
    <s v="ANYELO"/>
    <x v="0"/>
    <s v="FILTRO"/>
    <s v="T101"/>
    <n v="7620869407"/>
    <x v="32"/>
    <x v="0"/>
    <x v="0"/>
    <x v="14"/>
    <x v="0"/>
    <x v="0"/>
    <x v="0"/>
    <s v="BENJAMIN LIZARBE"/>
    <x v="0"/>
    <n v="305.64"/>
    <x v="0"/>
    <x v="2"/>
    <x v="0"/>
    <x v="1"/>
  </r>
  <r>
    <x v="69"/>
    <s v="W101"/>
    <n v="7620867869"/>
    <x v="282"/>
    <x v="283"/>
    <n v="3"/>
    <s v="ANYELO"/>
    <x v="0"/>
    <s v="FILTRO"/>
    <s v="T101"/>
    <n v="7620869407"/>
    <x v="42"/>
    <x v="0"/>
    <x v="0"/>
    <x v="14"/>
    <x v="0"/>
    <x v="0"/>
    <x v="0"/>
    <s v="BENJAMIN LIZARBE"/>
    <x v="0"/>
    <n v="68.58"/>
    <x v="0"/>
    <x v="2"/>
    <x v="0"/>
    <x v="1"/>
  </r>
  <r>
    <x v="70"/>
    <s v="T111"/>
    <n v="7620869647"/>
    <x v="122"/>
    <x v="122"/>
    <n v="6"/>
    <s v="ROMERO"/>
    <x v="0"/>
    <s v="FILTRO"/>
    <s v="-"/>
    <s v="-"/>
    <x v="29"/>
    <x v="0"/>
    <x v="0"/>
    <x v="14"/>
    <x v="0"/>
    <x v="0"/>
    <x v="0"/>
    <s v="BENJAMIN LIZARBE"/>
    <x v="0"/>
    <n v="366.78000000000003"/>
    <x v="0"/>
    <x v="2"/>
    <x v="0"/>
    <x v="1"/>
  </r>
  <r>
    <x v="70"/>
    <s v="H016"/>
    <n v="7620870039"/>
    <x v="283"/>
    <x v="284"/>
    <n v="1"/>
    <s v="ANYELO"/>
    <x v="1"/>
    <s v="FILTRO"/>
    <s v="T107"/>
    <s v="7620869551"/>
    <x v="59"/>
    <x v="0"/>
    <x v="0"/>
    <x v="14"/>
    <x v="0"/>
    <x v="1"/>
    <x v="0"/>
    <s v="BENJAMIN LIZARBE"/>
    <x v="0"/>
    <n v="33.67"/>
    <x v="0"/>
    <x v="2"/>
    <x v="0"/>
    <x v="1"/>
  </r>
  <r>
    <x v="70"/>
    <s v="T120"/>
    <n v="7620873988"/>
    <x v="284"/>
    <x v="285"/>
    <n v="48"/>
    <s v="-"/>
    <x v="1"/>
    <s v="FILTRO"/>
    <s v="T126"/>
    <n v="7620859934"/>
    <x v="35"/>
    <x v="0"/>
    <x v="0"/>
    <x v="14"/>
    <x v="0"/>
    <x v="0"/>
    <x v="0"/>
    <s v="BENJAMIN LIZARBE"/>
    <x v="0"/>
    <n v="341.76"/>
    <x v="0"/>
    <x v="2"/>
    <x v="0"/>
    <x v="1"/>
  </r>
  <r>
    <x v="70"/>
    <s v="S032"/>
    <n v="7620871452"/>
    <x v="285"/>
    <x v="286"/>
    <n v="6"/>
    <s v="-"/>
    <x v="1"/>
    <s v="FILTRO"/>
    <s v="S031"/>
    <n v="7620871428"/>
    <x v="35"/>
    <x v="0"/>
    <x v="0"/>
    <x v="14"/>
    <x v="0"/>
    <x v="0"/>
    <x v="0"/>
    <s v="BENJAMIN LIZARBE"/>
    <x v="0"/>
    <n v="136.38"/>
    <x v="0"/>
    <x v="2"/>
    <x v="0"/>
    <x v="1"/>
  </r>
  <r>
    <x v="71"/>
    <s v="H008"/>
    <s v="-"/>
    <x v="286"/>
    <x v="287"/>
    <n v="2"/>
    <s v="JORGE AVILA"/>
    <x v="1"/>
    <s v="FILTRO"/>
    <s v="-"/>
    <s v="-"/>
    <x v="63"/>
    <x v="0"/>
    <x v="0"/>
    <x v="33"/>
    <x v="2"/>
    <x v="1"/>
    <x v="0"/>
    <s v="DAVID PIÑAN"/>
    <x v="0"/>
    <n v="26.76"/>
    <x v="0"/>
    <x v="3"/>
    <x v="1"/>
    <x v="0"/>
  </r>
  <r>
    <x v="72"/>
    <s v="-"/>
    <s v="-"/>
    <x v="287"/>
    <x v="288"/>
    <n v="12"/>
    <s v="-"/>
    <x v="0"/>
    <s v="RECEPCION"/>
    <s v="-"/>
    <s v="-"/>
    <x v="61"/>
    <x v="0"/>
    <x v="6"/>
    <x v="27"/>
    <x v="1"/>
    <x v="0"/>
    <x v="6"/>
    <s v="ARNOLD CASTILLO"/>
    <x v="1"/>
    <n v="160.44"/>
    <x v="2"/>
    <x v="2"/>
    <x v="0"/>
    <x v="1"/>
  </r>
  <r>
    <x v="73"/>
    <s v="S002"/>
    <n v="7620859878"/>
    <x v="143"/>
    <x v="289"/>
    <n v="2"/>
    <s v="ROMERO"/>
    <x v="0"/>
    <s v="FILTRO"/>
    <s v="S003"/>
    <s v="7620870968"/>
    <x v="35"/>
    <x v="0"/>
    <x v="0"/>
    <x v="14"/>
    <x v="0"/>
    <x v="0"/>
    <x v="0"/>
    <s v="BENJAMIN LIZARBE"/>
    <x v="0"/>
    <n v="92.94"/>
    <x v="0"/>
    <x v="2"/>
    <x v="0"/>
    <x v="1"/>
  </r>
  <r>
    <x v="74"/>
    <s v="H008"/>
    <n v="7620868881"/>
    <x v="288"/>
    <x v="290"/>
    <n v="12"/>
    <s v="JORGE AVILA"/>
    <x v="1"/>
    <s v="AUDITORIA"/>
    <s v="-"/>
    <s v="-"/>
    <x v="64"/>
    <x v="0"/>
    <x v="0"/>
    <x v="34"/>
    <x v="2"/>
    <x v="1"/>
    <x v="0"/>
    <s v="DAVID PIÑAN"/>
    <x v="0"/>
    <n v="96.600000000000009"/>
    <x v="1"/>
    <x v="3"/>
    <x v="1"/>
    <x v="0"/>
  </r>
  <r>
    <x v="74"/>
    <s v="H008"/>
    <n v="7620868881"/>
    <x v="289"/>
    <x v="291"/>
    <n v="12"/>
    <s v="JORGE AVILA"/>
    <x v="0"/>
    <s v="AUDITORIA"/>
    <s v="-"/>
    <s v="-"/>
    <x v="64"/>
    <x v="0"/>
    <x v="0"/>
    <x v="34"/>
    <x v="1"/>
    <x v="1"/>
    <x v="0"/>
    <s v="DAVID PIÑAN"/>
    <x v="0"/>
    <n v="137.28"/>
    <x v="1"/>
    <x v="3"/>
    <x v="1"/>
    <x v="0"/>
  </r>
  <r>
    <x v="75"/>
    <s v="H008"/>
    <n v="7620874267"/>
    <x v="290"/>
    <x v="292"/>
    <n v="12"/>
    <s v="AVILA"/>
    <x v="0"/>
    <s v="AUDITORIA"/>
    <s v="-"/>
    <s v="-"/>
    <x v="60"/>
    <x v="0"/>
    <x v="0"/>
    <x v="14"/>
    <x v="1"/>
    <x v="0"/>
    <x v="0"/>
    <s v="BENJAMIN LIZARBE"/>
    <x v="0"/>
    <n v="214.79999999999998"/>
    <x v="2"/>
    <x v="3"/>
    <x v="1"/>
    <x v="0"/>
  </r>
  <r>
    <x v="75"/>
    <s v="H006"/>
    <n v="7620872466"/>
    <x v="291"/>
    <x v="293"/>
    <n v="1"/>
    <s v="PALOMINO"/>
    <x v="1"/>
    <s v="AUDITORIA"/>
    <s v="-"/>
    <s v="-"/>
    <x v="28"/>
    <x v="0"/>
    <x v="0"/>
    <x v="14"/>
    <x v="2"/>
    <x v="1"/>
    <x v="0"/>
    <s v="DAVID PIÑAN"/>
    <x v="0"/>
    <n v="12.56"/>
    <x v="1"/>
    <x v="3"/>
    <x v="1"/>
    <x v="0"/>
  </r>
  <r>
    <x v="75"/>
    <s v="T106"/>
    <n v="7620874115"/>
    <x v="111"/>
    <x v="111"/>
    <n v="6"/>
    <s v="-"/>
    <x v="1"/>
    <s v="FILTRO"/>
    <s v="-"/>
    <s v="-"/>
    <x v="43"/>
    <x v="0"/>
    <x v="0"/>
    <x v="14"/>
    <x v="2"/>
    <x v="1"/>
    <x v="4"/>
    <s v="DAVID PIÑAN"/>
    <x v="0"/>
    <n v="776.46"/>
    <x v="0"/>
    <x v="3"/>
    <x v="1"/>
    <x v="0"/>
  </r>
  <r>
    <x v="75"/>
    <s v="H013"/>
    <n v="7620869983"/>
    <x v="292"/>
    <x v="294"/>
    <n v="12"/>
    <s v="ROMERO"/>
    <x v="1"/>
    <s v="FILTRO"/>
    <s v="H016"/>
    <n v="7620870041"/>
    <x v="32"/>
    <x v="0"/>
    <x v="0"/>
    <x v="14"/>
    <x v="0"/>
    <x v="0"/>
    <x v="0"/>
    <s v="BENJAMIN LIZARBE"/>
    <x v="0"/>
    <n v="266.88"/>
    <x v="0"/>
    <x v="3"/>
    <x v="0"/>
    <x v="0"/>
  </r>
  <r>
    <x v="75"/>
    <s v="T109"/>
    <n v="7620869610"/>
    <x v="293"/>
    <x v="295"/>
    <n v="1"/>
    <s v="ROMERO"/>
    <x v="0"/>
    <s v="FILTRO"/>
    <s v="-"/>
    <s v="-"/>
    <x v="35"/>
    <x v="0"/>
    <x v="0"/>
    <x v="14"/>
    <x v="1"/>
    <x v="0"/>
    <x v="0"/>
    <s v="BENJAMIN LIZARBE"/>
    <x v="0"/>
    <n v="52.47"/>
    <x v="0"/>
    <x v="3"/>
    <x v="1"/>
    <x v="0"/>
  </r>
  <r>
    <x v="75"/>
    <s v="H008"/>
    <n v="7620874267"/>
    <x v="294"/>
    <x v="296"/>
    <n v="6"/>
    <s v="AVILA"/>
    <x v="0"/>
    <s v="AUDITORIA"/>
    <s v="-"/>
    <s v="-"/>
    <x v="7"/>
    <x v="0"/>
    <x v="0"/>
    <x v="14"/>
    <x v="1"/>
    <x v="0"/>
    <x v="0"/>
    <s v="BENJAMIN LIZARBE"/>
    <x v="0"/>
    <n v="175.74"/>
    <x v="2"/>
    <x v="3"/>
    <x v="1"/>
    <x v="0"/>
  </r>
  <r>
    <x v="75"/>
    <s v="H002"/>
    <n v="7620855832"/>
    <x v="295"/>
    <x v="297"/>
    <n v="4"/>
    <s v="ANYELO QUISPE"/>
    <x v="0"/>
    <s v="FILTRO"/>
    <s v="-"/>
    <s v="-"/>
    <x v="42"/>
    <x v="0"/>
    <x v="0"/>
    <x v="14"/>
    <x v="1"/>
    <x v="0"/>
    <x v="0"/>
    <s v="BENJAMIN LIZARBE"/>
    <x v="0"/>
    <n v="133.16"/>
    <x v="0"/>
    <x v="3"/>
    <x v="1"/>
    <x v="0"/>
  </r>
  <r>
    <x v="75"/>
    <s v="T106"/>
    <n v="7620874115"/>
    <x v="296"/>
    <x v="298"/>
    <n v="12"/>
    <s v="AVILA"/>
    <x v="0"/>
    <s v="FILTRO"/>
    <s v="-"/>
    <s v="-"/>
    <x v="43"/>
    <x v="3"/>
    <x v="4"/>
    <x v="14"/>
    <x v="1"/>
    <x v="0"/>
    <x v="4"/>
    <s v="DAVID PIÑAN"/>
    <x v="0"/>
    <n v="362.15999999999997"/>
    <x v="0"/>
    <x v="3"/>
    <x v="1"/>
    <x v="0"/>
  </r>
  <r>
    <x v="75"/>
    <s v="S064"/>
    <n v="7620861885"/>
    <x v="192"/>
    <x v="192"/>
    <n v="24"/>
    <s v="PALOMINO"/>
    <x v="0"/>
    <s v="AUDITORIA"/>
    <s v="-"/>
    <s v="-"/>
    <x v="65"/>
    <x v="0"/>
    <x v="0"/>
    <x v="14"/>
    <x v="1"/>
    <x v="0"/>
    <x v="0"/>
    <s v="BENJAMIN LIZARBE"/>
    <x v="0"/>
    <n v="62.88"/>
    <x v="1"/>
    <x v="3"/>
    <x v="1"/>
    <x v="0"/>
  </r>
  <r>
    <x v="75"/>
    <s v="W101"/>
    <n v="7620867869"/>
    <x v="297"/>
    <x v="299"/>
    <n v="12"/>
    <s v="ANYELO"/>
    <x v="0"/>
    <s v="FILTRO"/>
    <s v="-"/>
    <s v="-"/>
    <x v="66"/>
    <x v="0"/>
    <x v="0"/>
    <x v="14"/>
    <x v="1"/>
    <x v="0"/>
    <x v="0"/>
    <s v="BENJAMIN LIZARBE"/>
    <x v="0"/>
    <n v="91.800000000000011"/>
    <x v="1"/>
    <x v="3"/>
    <x v="1"/>
    <x v="0"/>
  </r>
  <r>
    <x v="75"/>
    <s v="H008"/>
    <n v="7620874267"/>
    <x v="298"/>
    <x v="300"/>
    <n v="6"/>
    <s v="AVILA"/>
    <x v="0"/>
    <s v="AUDITORIA"/>
    <s v="-"/>
    <s v="-"/>
    <x v="18"/>
    <x v="0"/>
    <x v="0"/>
    <x v="14"/>
    <x v="1"/>
    <x v="1"/>
    <x v="0"/>
    <s v="DAVID PIÑAN"/>
    <x v="0"/>
    <n v="141.66"/>
    <x v="2"/>
    <x v="3"/>
    <x v="1"/>
    <x v="0"/>
  </r>
  <r>
    <x v="75"/>
    <s v="H008"/>
    <n v="7620874267"/>
    <x v="299"/>
    <x v="301"/>
    <n v="6"/>
    <s v="AVILA"/>
    <x v="0"/>
    <s v="AUDITORIA"/>
    <s v="-"/>
    <s v="-"/>
    <x v="38"/>
    <x v="0"/>
    <x v="0"/>
    <x v="14"/>
    <x v="1"/>
    <x v="0"/>
    <x v="0"/>
    <s v="BENJAMIN LIZARBE"/>
    <x v="0"/>
    <n v="165.72"/>
    <x v="2"/>
    <x v="3"/>
    <x v="1"/>
    <x v="0"/>
  </r>
  <r>
    <x v="75"/>
    <s v="H008"/>
    <n v="7620874267"/>
    <x v="300"/>
    <x v="302"/>
    <n v="20"/>
    <s v="AVILA"/>
    <x v="0"/>
    <s v="AUDITORIA"/>
    <s v="-"/>
    <s v="-"/>
    <x v="54"/>
    <x v="0"/>
    <x v="0"/>
    <x v="14"/>
    <x v="1"/>
    <x v="1"/>
    <x v="0"/>
    <s v="DAVID PIÑAN"/>
    <x v="0"/>
    <n v="165.39999999999998"/>
    <x v="2"/>
    <x v="3"/>
    <x v="1"/>
    <x v="0"/>
  </r>
  <r>
    <x v="75"/>
    <s v="T115"/>
    <n v="7620874178"/>
    <x v="301"/>
    <x v="303"/>
    <n v="1"/>
    <s v="ROMERO"/>
    <x v="0"/>
    <s v="FILTRO"/>
    <s v="-"/>
    <s v="-"/>
    <x v="51"/>
    <x v="0"/>
    <x v="0"/>
    <x v="14"/>
    <x v="1"/>
    <x v="1"/>
    <x v="0"/>
    <s v="DAVID PIÑAN"/>
    <x v="0"/>
    <n v="55.45"/>
    <x v="0"/>
    <x v="3"/>
    <x v="1"/>
    <x v="0"/>
  </r>
  <r>
    <x v="76"/>
    <s v="T102"/>
    <n v="7620875746"/>
    <x v="302"/>
    <x v="304"/>
    <n v="12"/>
    <s v="RONALDO ROMERO"/>
    <x v="1"/>
    <s v="FILTRO"/>
    <s v="-"/>
    <s v="-"/>
    <x v="11"/>
    <x v="0"/>
    <x v="0"/>
    <x v="16"/>
    <x v="2"/>
    <x v="0"/>
    <x v="0"/>
    <s v="BENJAMIN LIZARBE"/>
    <x v="0"/>
    <n v="765"/>
    <x v="0"/>
    <x v="3"/>
    <x v="1"/>
    <x v="0"/>
  </r>
  <r>
    <x v="76"/>
    <s v="-"/>
    <s v="-"/>
    <x v="303"/>
    <x v="305"/>
    <n v="12"/>
    <s v="-"/>
    <x v="1"/>
    <s v="CICLICO"/>
    <s v="-"/>
    <s v="-"/>
    <x v="34"/>
    <x v="0"/>
    <x v="0"/>
    <x v="35"/>
    <x v="2"/>
    <x v="0"/>
    <x v="0"/>
    <s v="ALMACEN"/>
    <x v="1"/>
    <n v="47.400000000000006"/>
    <x v="1"/>
    <x v="3"/>
    <x v="1"/>
    <x v="0"/>
  </r>
  <r>
    <x v="76"/>
    <s v="-"/>
    <s v="-"/>
    <x v="304"/>
    <x v="306"/>
    <n v="6"/>
    <s v="-"/>
    <x v="1"/>
    <s v="CICLICO"/>
    <s v="-"/>
    <s v="-"/>
    <x v="34"/>
    <x v="0"/>
    <x v="0"/>
    <x v="35"/>
    <x v="2"/>
    <x v="0"/>
    <x v="0"/>
    <s v="ALMACEN"/>
    <x v="1"/>
    <n v="63.480000000000004"/>
    <x v="1"/>
    <x v="3"/>
    <x v="1"/>
    <x v="0"/>
  </r>
  <r>
    <x v="76"/>
    <s v="-"/>
    <s v="-"/>
    <x v="305"/>
    <x v="307"/>
    <n v="1"/>
    <s v="-"/>
    <x v="1"/>
    <s v="CICLICO"/>
    <s v="-"/>
    <s v="-"/>
    <x v="34"/>
    <x v="0"/>
    <x v="0"/>
    <x v="35"/>
    <x v="2"/>
    <x v="0"/>
    <x v="0"/>
    <s v="ALMACEN"/>
    <x v="1"/>
    <n v="7.02"/>
    <x v="1"/>
    <x v="3"/>
    <x v="1"/>
    <x v="0"/>
  </r>
  <r>
    <x v="76"/>
    <s v="-"/>
    <s v="-"/>
    <x v="64"/>
    <x v="64"/>
    <n v="24"/>
    <s v="-"/>
    <x v="1"/>
    <s v="CICLICO"/>
    <s v="-"/>
    <s v="-"/>
    <x v="34"/>
    <x v="0"/>
    <x v="0"/>
    <x v="35"/>
    <x v="2"/>
    <x v="0"/>
    <x v="0"/>
    <s v="ALMACEN"/>
    <x v="1"/>
    <n v="66.239999999999995"/>
    <x v="1"/>
    <x v="3"/>
    <x v="1"/>
    <x v="0"/>
  </r>
  <r>
    <x v="76"/>
    <s v="-"/>
    <s v="-"/>
    <x v="306"/>
    <x v="308"/>
    <n v="3"/>
    <s v="-"/>
    <x v="1"/>
    <s v="CICLICO"/>
    <s v="-"/>
    <s v="-"/>
    <x v="34"/>
    <x v="0"/>
    <x v="0"/>
    <x v="35"/>
    <x v="2"/>
    <x v="0"/>
    <x v="0"/>
    <s v="ALMACEN"/>
    <x v="1"/>
    <n v="119.49"/>
    <x v="0"/>
    <x v="3"/>
    <x v="1"/>
    <x v="0"/>
  </r>
  <r>
    <x v="77"/>
    <s v="-"/>
    <s v="-"/>
    <x v="307"/>
    <x v="309"/>
    <n v="2"/>
    <s v="-"/>
    <x v="1"/>
    <s v="PICKING"/>
    <s v="-"/>
    <s v="-"/>
    <x v="34"/>
    <x v="0"/>
    <x v="0"/>
    <x v="36"/>
    <x v="2"/>
    <x v="1"/>
    <x v="0"/>
    <s v="ALMACEN"/>
    <x v="0"/>
    <n v="43.08"/>
    <x v="0"/>
    <x v="3"/>
    <x v="1"/>
    <x v="0"/>
  </r>
  <r>
    <x v="77"/>
    <s v="-"/>
    <s v="-"/>
    <x v="21"/>
    <x v="21"/>
    <n v="1"/>
    <s v="-"/>
    <x v="1"/>
    <s v="PICKING"/>
    <s v="-"/>
    <s v="-"/>
    <x v="34"/>
    <x v="0"/>
    <x v="0"/>
    <x v="36"/>
    <x v="2"/>
    <x v="1"/>
    <x v="0"/>
    <s v="ALMACEN"/>
    <x v="0"/>
    <n v="20.82"/>
    <x v="0"/>
    <x v="3"/>
    <x v="1"/>
    <x v="0"/>
  </r>
  <r>
    <x v="78"/>
    <s v="S047"/>
    <n v="7620871234"/>
    <x v="2"/>
    <x v="2"/>
    <n v="1"/>
    <s v="ANYELO QUISPE"/>
    <x v="0"/>
    <s v="FILTRO"/>
    <s v="-"/>
    <s v="-"/>
    <x v="32"/>
    <x v="0"/>
    <x v="0"/>
    <x v="14"/>
    <x v="1"/>
    <x v="0"/>
    <x v="0"/>
    <s v="BENJAMIN LIZARBE"/>
    <x v="0"/>
    <n v="76.42"/>
    <x v="0"/>
    <x v="3"/>
    <x v="1"/>
    <x v="0"/>
  </r>
  <r>
    <x v="79"/>
    <s v="T101"/>
    <n v="7620877145"/>
    <x v="308"/>
    <x v="310"/>
    <n v="6"/>
    <s v="RONALDO ROMERO"/>
    <x v="1"/>
    <s v="FILTRO"/>
    <s v="-"/>
    <s v="-"/>
    <x v="24"/>
    <x v="0"/>
    <x v="0"/>
    <x v="33"/>
    <x v="2"/>
    <x v="1"/>
    <x v="0"/>
    <s v="DAVID PIÑAN"/>
    <x v="0"/>
    <n v="283.38"/>
    <x v="0"/>
    <x v="3"/>
    <x v="1"/>
    <x v="0"/>
  </r>
  <r>
    <x v="79"/>
    <s v="-"/>
    <s v="-"/>
    <x v="309"/>
    <x v="311"/>
    <n v="1"/>
    <s v="-"/>
    <x v="1"/>
    <s v="RASTRERO"/>
    <s v="-"/>
    <s v="-"/>
    <x v="34"/>
    <x v="0"/>
    <x v="0"/>
    <x v="35"/>
    <x v="2"/>
    <x v="0"/>
    <x v="0"/>
    <s v="ALMACEN"/>
    <x v="1"/>
    <n v="4"/>
    <x v="1"/>
    <x v="3"/>
    <x v="1"/>
    <x v="0"/>
  </r>
  <r>
    <x v="79"/>
    <s v="-"/>
    <s v="-"/>
    <x v="310"/>
    <x v="312"/>
    <n v="12"/>
    <s v="-"/>
    <x v="1"/>
    <s v="RASTRERO"/>
    <s v="-"/>
    <s v="-"/>
    <x v="34"/>
    <x v="0"/>
    <x v="0"/>
    <x v="35"/>
    <x v="2"/>
    <x v="0"/>
    <x v="0"/>
    <s v="ALMACEN"/>
    <x v="1"/>
    <n v="127.80000000000001"/>
    <x v="1"/>
    <x v="3"/>
    <x v="1"/>
    <x v="0"/>
  </r>
  <r>
    <x v="79"/>
    <s v="-"/>
    <s v="-"/>
    <x v="311"/>
    <x v="313"/>
    <n v="10"/>
    <s v="-"/>
    <x v="1"/>
    <s v="RASTRERO"/>
    <s v="-"/>
    <s v="-"/>
    <x v="34"/>
    <x v="0"/>
    <x v="0"/>
    <x v="35"/>
    <x v="2"/>
    <x v="0"/>
    <x v="0"/>
    <s v="ALMACEN"/>
    <x v="1"/>
    <n v="101.89999999999999"/>
    <x v="1"/>
    <x v="3"/>
    <x v="1"/>
    <x v="0"/>
  </r>
  <r>
    <x v="79"/>
    <s v="H008"/>
    <n v="7620875935"/>
    <x v="312"/>
    <x v="314"/>
    <n v="10"/>
    <s v="JORGE AVILA"/>
    <x v="1"/>
    <s v="FILTRO"/>
    <s v="T116"/>
    <n v="7620873556"/>
    <x v="9"/>
    <x v="0"/>
    <x v="0"/>
    <x v="16"/>
    <x v="0"/>
    <x v="0"/>
    <x v="0"/>
    <s v="BENJAMIN LIZARBE"/>
    <x v="0"/>
    <n v="268.89999999999998"/>
    <x v="2"/>
    <x v="3"/>
    <x v="0"/>
    <x v="0"/>
  </r>
  <r>
    <x v="80"/>
    <s v="T106"/>
    <n v="7620875483"/>
    <x v="313"/>
    <x v="315"/>
    <n v="1"/>
    <s v="JORGE AVILA"/>
    <x v="1"/>
    <s v="FILTRO"/>
    <s v="S028"/>
    <n v="7620877276"/>
    <x v="7"/>
    <x v="0"/>
    <x v="0"/>
    <x v="16"/>
    <x v="0"/>
    <x v="0"/>
    <x v="0"/>
    <s v="BENJAMIN LIZARBE"/>
    <x v="0"/>
    <n v="15.12"/>
    <x v="0"/>
    <x v="3"/>
    <x v="0"/>
    <x v="0"/>
  </r>
  <r>
    <x v="80"/>
    <s v="-"/>
    <s v="-"/>
    <x v="314"/>
    <x v="316"/>
    <n v="1"/>
    <s v="-"/>
    <x v="1"/>
    <s v="CICLICO"/>
    <s v="-"/>
    <s v="-"/>
    <x v="34"/>
    <x v="0"/>
    <x v="0"/>
    <x v="35"/>
    <x v="2"/>
    <x v="0"/>
    <x v="0"/>
    <s v="ALMACEN"/>
    <x v="1"/>
    <n v="6.53"/>
    <x v="1"/>
    <x v="3"/>
    <x v="1"/>
    <x v="0"/>
  </r>
  <r>
    <x v="80"/>
    <s v="-"/>
    <s v="-"/>
    <x v="57"/>
    <x v="317"/>
    <n v="4"/>
    <s v="-"/>
    <x v="1"/>
    <s v="CICLICO"/>
    <s v="-"/>
    <s v="-"/>
    <x v="34"/>
    <x v="0"/>
    <x v="0"/>
    <x v="35"/>
    <x v="2"/>
    <x v="0"/>
    <x v="0"/>
    <s v="ALMACEN"/>
    <x v="1"/>
    <n v="6.4"/>
    <x v="1"/>
    <x v="3"/>
    <x v="1"/>
    <x v="0"/>
  </r>
  <r>
    <x v="81"/>
    <s v="-"/>
    <s v="-"/>
    <x v="315"/>
    <x v="318"/>
    <n v="6"/>
    <s v="-"/>
    <x v="1"/>
    <s v="CICLICO"/>
    <s v="-"/>
    <s v="-"/>
    <x v="34"/>
    <x v="0"/>
    <x v="0"/>
    <x v="37"/>
    <x v="2"/>
    <x v="2"/>
    <x v="0"/>
    <s v="ALMACEN"/>
    <x v="1"/>
    <n v="156.24"/>
    <x v="0"/>
    <x v="3"/>
    <x v="1"/>
    <x v="0"/>
  </r>
  <r>
    <x v="81"/>
    <s v="T117"/>
    <n v="7620854865"/>
    <x v="27"/>
    <x v="27"/>
    <n v="2"/>
    <s v="AVILA"/>
    <x v="0"/>
    <s v="FILTRO"/>
    <s v="T115"/>
    <n v="762057129"/>
    <x v="14"/>
    <x v="0"/>
    <x v="0"/>
    <x v="16"/>
    <x v="0"/>
    <x v="1"/>
    <x v="0"/>
    <s v="DAVID PIÑAN"/>
    <x v="0"/>
    <n v="77.84"/>
    <x v="0"/>
    <x v="3"/>
    <x v="0"/>
    <x v="0"/>
  </r>
  <r>
    <x v="81"/>
    <s v="T117"/>
    <n v="7620854865"/>
    <x v="316"/>
    <x v="319"/>
    <n v="1"/>
    <s v="AVILA"/>
    <x v="0"/>
    <s v="FILTRO"/>
    <s v="T115"/>
    <n v="762057129"/>
    <x v="51"/>
    <x v="0"/>
    <x v="0"/>
    <x v="16"/>
    <x v="0"/>
    <x v="1"/>
    <x v="0"/>
    <s v="DAVID PIÑAN"/>
    <x v="0"/>
    <n v="46.75"/>
    <x v="0"/>
    <x v="3"/>
    <x v="0"/>
    <x v="0"/>
  </r>
  <r>
    <x v="82"/>
    <s v="S049"/>
    <n v="7620875900"/>
    <x v="317"/>
    <x v="320"/>
    <n v="32"/>
    <s v="-"/>
    <x v="0"/>
    <s v="AUDITORIA"/>
    <s v="-"/>
    <s v="-"/>
    <x v="67"/>
    <x v="0"/>
    <x v="0"/>
    <x v="14"/>
    <x v="1"/>
    <x v="0"/>
    <x v="0"/>
    <s v="BENJAMIN LIZARBE"/>
    <x v="0"/>
    <n v="371.84"/>
    <x v="4"/>
    <x v="3"/>
    <x v="1"/>
    <x v="0"/>
  </r>
  <r>
    <x v="82"/>
    <s v="T117"/>
    <n v="7620854865"/>
    <x v="27"/>
    <x v="27"/>
    <n v="2"/>
    <s v="JORGE AVILA"/>
    <x v="0"/>
    <s v="FILTRO"/>
    <s v="T115"/>
    <n v="7620874129"/>
    <x v="14"/>
    <x v="0"/>
    <x v="0"/>
    <x v="16"/>
    <x v="0"/>
    <x v="1"/>
    <x v="0"/>
    <s v="DAVID PIÑAN"/>
    <x v="0"/>
    <n v="77.84"/>
    <x v="0"/>
    <x v="3"/>
    <x v="0"/>
    <x v="0"/>
  </r>
  <r>
    <x v="83"/>
    <s v="T107"/>
    <n v="7620869543"/>
    <x v="141"/>
    <x v="141"/>
    <n v="1"/>
    <s v="JORGE AVILA"/>
    <x v="1"/>
    <s v="FILTRO"/>
    <s v="-"/>
    <s v="-"/>
    <x v="14"/>
    <x v="0"/>
    <x v="0"/>
    <x v="33"/>
    <x v="2"/>
    <x v="1"/>
    <x v="0"/>
    <s v="DAVID PIÑAN"/>
    <x v="0"/>
    <n v="12.9"/>
    <x v="0"/>
    <x v="3"/>
    <x v="1"/>
    <x v="0"/>
  </r>
  <r>
    <x v="83"/>
    <s v="T120"/>
    <n v="7620875884"/>
    <x v="318"/>
    <x v="321"/>
    <n v="6"/>
    <s v="RONALDO ROMERO"/>
    <x v="0"/>
    <s v="FILTRO"/>
    <s v="T117"/>
    <n v="7620854862"/>
    <x v="32"/>
    <x v="0"/>
    <x v="0"/>
    <x v="16"/>
    <x v="0"/>
    <x v="0"/>
    <x v="0"/>
    <s v="BENJAMIN LIZARBE"/>
    <x v="0"/>
    <n v="249.78000000000003"/>
    <x v="5"/>
    <x v="3"/>
    <x v="0"/>
    <x v="0"/>
  </r>
  <r>
    <x v="83"/>
    <s v="T120"/>
    <n v="7620875884"/>
    <x v="319"/>
    <x v="322"/>
    <n v="6"/>
    <s v="RONALDO ROMERO"/>
    <x v="0"/>
    <s v="FILTRO"/>
    <s v="T117"/>
    <n v="7620854862"/>
    <x v="32"/>
    <x v="0"/>
    <x v="0"/>
    <x v="16"/>
    <x v="0"/>
    <x v="0"/>
    <x v="0"/>
    <s v="BENJAMIN LIZARBE"/>
    <x v="0"/>
    <n v="416.58000000000004"/>
    <x v="0"/>
    <x v="3"/>
    <x v="0"/>
    <x v="0"/>
  </r>
  <r>
    <x v="84"/>
    <s v="S085"/>
    <n v="7620859175"/>
    <x v="195"/>
    <x v="195"/>
    <n v="1"/>
    <s v="MOISES CARHUANCHO"/>
    <x v="1"/>
    <s v="FILTRO"/>
    <s v="-"/>
    <s v="-"/>
    <x v="35"/>
    <x v="0"/>
    <x v="0"/>
    <x v="14"/>
    <x v="0"/>
    <x v="0"/>
    <x v="0"/>
    <s v="BENJAMIN LIZARBE"/>
    <x v="0"/>
    <n v="21.57"/>
    <x v="0"/>
    <x v="3"/>
    <x v="0"/>
    <x v="0"/>
  </r>
  <r>
    <x v="84"/>
    <s v="S085"/>
    <n v="7620859175"/>
    <x v="320"/>
    <x v="323"/>
    <n v="1"/>
    <s v="MOISES CARHUANCHO"/>
    <x v="1"/>
    <s v="FILTRO"/>
    <s v="T130"/>
    <n v="7620855022"/>
    <x v="32"/>
    <x v="0"/>
    <x v="0"/>
    <x v="16"/>
    <x v="0"/>
    <x v="0"/>
    <x v="0"/>
    <s v="BENJAMIN LIZARBE"/>
    <x v="0"/>
    <n v="43.15"/>
    <x v="0"/>
    <x v="3"/>
    <x v="0"/>
    <x v="0"/>
  </r>
  <r>
    <x v="85"/>
    <s v="T116"/>
    <n v="7620875390"/>
    <x v="321"/>
    <x v="324"/>
    <n v="1"/>
    <s v="AVILA"/>
    <x v="0"/>
    <s v="FILTRO"/>
    <s v="-"/>
    <s v="-"/>
    <x v="42"/>
    <x v="0"/>
    <x v="0"/>
    <x v="14"/>
    <x v="1"/>
    <x v="0"/>
    <x v="0"/>
    <s v="BENJAMIN LIZARBE"/>
    <x v="0"/>
    <n v="20.78"/>
    <x v="0"/>
    <x v="3"/>
    <x v="1"/>
    <x v="0"/>
  </r>
  <r>
    <x v="85"/>
    <s v="H001"/>
    <n v="7620869766"/>
    <x v="322"/>
    <x v="325"/>
    <n v="1"/>
    <s v="AVILA"/>
    <x v="0"/>
    <s v="FILTRO"/>
    <s v="-"/>
    <s v="-"/>
    <x v="51"/>
    <x v="0"/>
    <x v="0"/>
    <x v="16"/>
    <x v="0"/>
    <x v="0"/>
    <x v="0"/>
    <s v="DAVID PIÑAN"/>
    <x v="0"/>
    <n v="46.47"/>
    <x v="0"/>
    <x v="3"/>
    <x v="0"/>
    <x v="0"/>
  </r>
  <r>
    <x v="85"/>
    <s v="T111"/>
    <n v="7620869652"/>
    <x v="323"/>
    <x v="326"/>
    <n v="2"/>
    <s v="ANYELO"/>
    <x v="0"/>
    <s v="FILTRO"/>
    <s v="T108"/>
    <s v="7620869583"/>
    <x v="12"/>
    <x v="0"/>
    <x v="0"/>
    <x v="16"/>
    <x v="0"/>
    <x v="0"/>
    <x v="0"/>
    <s v="BENJAMIN LIZARBE"/>
    <x v="0"/>
    <n v="111.04"/>
    <x v="0"/>
    <x v="3"/>
    <x v="0"/>
    <x v="0"/>
  </r>
  <r>
    <x v="85"/>
    <s v="T111"/>
    <n v="7620869652"/>
    <x v="324"/>
    <x v="327"/>
    <n v="3"/>
    <s v="ANYELO"/>
    <x v="0"/>
    <s v="FILTRO"/>
    <s v="T108"/>
    <s v="7620869583"/>
    <x v="32"/>
    <x v="0"/>
    <x v="0"/>
    <x v="16"/>
    <x v="0"/>
    <x v="0"/>
    <x v="0"/>
    <s v="BENJAMIN LIZARBE"/>
    <x v="0"/>
    <n v="185.60999999999999"/>
    <x v="0"/>
    <x v="3"/>
    <x v="0"/>
    <x v="0"/>
  </r>
  <r>
    <x v="86"/>
    <s v="T104"/>
    <n v="7620875763"/>
    <x v="325"/>
    <x v="328"/>
    <n v="2"/>
    <s v="AVILA"/>
    <x v="0"/>
    <s v="FILTRO"/>
    <s v="-"/>
    <s v="-"/>
    <x v="33"/>
    <x v="0"/>
    <x v="0"/>
    <x v="16"/>
    <x v="1"/>
    <x v="0"/>
    <x v="0"/>
    <s v="BENJAMIN LIZARBE"/>
    <x v="0"/>
    <n v="88.48"/>
    <x v="0"/>
    <x v="3"/>
    <x v="0"/>
    <x v="1"/>
  </r>
  <r>
    <x v="86"/>
    <s v="H008"/>
    <n v="7620869910"/>
    <x v="326"/>
    <x v="329"/>
    <n v="1"/>
    <s v="JORGE AVILA"/>
    <x v="0"/>
    <s v="FILTRO"/>
    <s v="-"/>
    <s v="-"/>
    <x v="24"/>
    <x v="0"/>
    <x v="0"/>
    <x v="16"/>
    <x v="1"/>
    <x v="1"/>
    <x v="0"/>
    <s v="DAVID PIÑAN"/>
    <x v="0"/>
    <n v="45.43"/>
    <x v="0"/>
    <x v="3"/>
    <x v="0"/>
    <x v="1"/>
  </r>
  <r>
    <x v="86"/>
    <s v="T116"/>
    <n v="7620875383"/>
    <x v="5"/>
    <x v="5"/>
    <n v="1"/>
    <s v="JORGE AVILA"/>
    <x v="0"/>
    <s v="FILTRO"/>
    <s v="T106"/>
    <n v="7620877252"/>
    <x v="29"/>
    <x v="0"/>
    <x v="0"/>
    <x v="16"/>
    <x v="0"/>
    <x v="0"/>
    <x v="0"/>
    <s v="BENJAMIN LIZARBE"/>
    <x v="0"/>
    <n v="65.989999999999995"/>
    <x v="0"/>
    <x v="3"/>
    <x v="0"/>
    <x v="1"/>
  </r>
  <r>
    <x v="86"/>
    <s v="-"/>
    <s v="-"/>
    <x v="327"/>
    <x v="330"/>
    <n v="1"/>
    <s v="CORIMAYO"/>
    <x v="0"/>
    <s v="PICKING"/>
    <s v="-"/>
    <s v="-"/>
    <x v="34"/>
    <x v="0"/>
    <x v="6"/>
    <x v="27"/>
    <x v="1"/>
    <x v="0"/>
    <x v="6"/>
    <s v="ALMACEN"/>
    <x v="1"/>
    <n v="10.36"/>
    <x v="1"/>
    <x v="3"/>
    <x v="0"/>
    <x v="1"/>
  </r>
  <r>
    <x v="87"/>
    <s v="S093"/>
    <n v="7620877337"/>
    <x v="328"/>
    <x v="331"/>
    <n v="6"/>
    <s v="JUAN AYALA"/>
    <x v="0"/>
    <s v="FILTRO"/>
    <s v="S095"/>
    <n v="7620871398"/>
    <x v="31"/>
    <x v="0"/>
    <x v="0"/>
    <x v="16"/>
    <x v="0"/>
    <x v="1"/>
    <x v="0"/>
    <s v="DAVID PIÑAN"/>
    <x v="0"/>
    <n v="171"/>
    <x v="0"/>
    <x v="3"/>
    <x v="0"/>
    <x v="1"/>
  </r>
  <r>
    <x v="87"/>
    <s v="T106"/>
    <n v="7620877252"/>
    <x v="5"/>
    <x v="5"/>
    <n v="1"/>
    <s v="ALEX ORDOÑEZ"/>
    <x v="1"/>
    <s v="FILTRO"/>
    <s v="T116"/>
    <n v="7620875383"/>
    <x v="29"/>
    <x v="0"/>
    <x v="0"/>
    <x v="16"/>
    <x v="0"/>
    <x v="0"/>
    <x v="0"/>
    <s v="BENJAMIN LIZARBE"/>
    <x v="0"/>
    <n v="65.989999999999995"/>
    <x v="0"/>
    <x v="3"/>
    <x v="0"/>
    <x v="1"/>
  </r>
  <r>
    <x v="87"/>
    <s v="S028"/>
    <n v="7620877280"/>
    <x v="271"/>
    <x v="272"/>
    <n v="1"/>
    <s v="-"/>
    <x v="0"/>
    <s v="FILTRO"/>
    <s v="-"/>
    <s v="-"/>
    <x v="53"/>
    <x v="0"/>
    <x v="0"/>
    <x v="16"/>
    <x v="1"/>
    <x v="0"/>
    <x v="0"/>
    <s v="BENJAMIN LIZARBE"/>
    <x v="0"/>
    <n v="6.48"/>
    <x v="0"/>
    <x v="3"/>
    <x v="0"/>
    <x v="1"/>
  </r>
  <r>
    <x v="88"/>
    <s v="S028"/>
    <n v="7620877280"/>
    <x v="212"/>
    <x v="213"/>
    <n v="2"/>
    <s v="-"/>
    <x v="0"/>
    <s v="FILTRO"/>
    <s v="-"/>
    <s v="-"/>
    <x v="53"/>
    <x v="0"/>
    <x v="0"/>
    <x v="16"/>
    <x v="1"/>
    <x v="0"/>
    <x v="0"/>
    <s v="BENJAMIN LIZARBE"/>
    <x v="0"/>
    <n v="12.96"/>
    <x v="0"/>
    <x v="3"/>
    <x v="0"/>
    <x v="0"/>
  </r>
  <r>
    <x v="89"/>
    <s v="S095"/>
    <n v="7620871398"/>
    <x v="328"/>
    <x v="331"/>
    <n v="6"/>
    <s v="MOISES CARHUANCHO"/>
    <x v="1"/>
    <s v="FILTRO"/>
    <s v="S093"/>
    <n v="7620877337"/>
    <x v="31"/>
    <x v="0"/>
    <x v="0"/>
    <x v="16"/>
    <x v="0"/>
    <x v="1"/>
    <x v="0"/>
    <s v="DAVID PIÑAN"/>
    <x v="0"/>
    <n v="171"/>
    <x v="0"/>
    <x v="3"/>
    <x v="0"/>
    <x v="1"/>
  </r>
  <r>
    <x v="88"/>
    <s v="-"/>
    <s v="-"/>
    <x v="260"/>
    <x v="261"/>
    <n v="1"/>
    <s v="-"/>
    <x v="1"/>
    <s v="DESPACHO"/>
    <s v="-"/>
    <s v="-"/>
    <x v="20"/>
    <x v="0"/>
    <x v="4"/>
    <x v="38"/>
    <x v="2"/>
    <x v="0"/>
    <x v="4"/>
    <s v="BENJAMIN LIZARBE"/>
    <x v="0"/>
    <n v="25.64"/>
    <x v="2"/>
    <x v="4"/>
    <x v="0"/>
    <x v="0"/>
  </r>
  <r>
    <x v="90"/>
    <s v="-"/>
    <s v="-"/>
    <x v="329"/>
    <x v="332"/>
    <n v="3"/>
    <s v="-"/>
    <x v="1"/>
    <s v="DESPACHO"/>
    <s v="-"/>
    <s v="-"/>
    <x v="68"/>
    <x v="0"/>
    <x v="4"/>
    <x v="38"/>
    <x v="2"/>
    <x v="0"/>
    <x v="4"/>
    <s v="DAVID PIÑAN"/>
    <x v="0"/>
    <n v="12.96"/>
    <x v="2"/>
    <x v="3"/>
    <x v="0"/>
    <x v="1"/>
  </r>
  <r>
    <x v="88"/>
    <s v="-"/>
    <s v="8201509119"/>
    <x v="330"/>
    <x v="333"/>
    <n v="12"/>
    <s v="MOISES CARHUANCHO"/>
    <x v="0"/>
    <s v="FILTRO"/>
    <s v="-"/>
    <s v="-"/>
    <x v="0"/>
    <x v="0"/>
    <x v="0"/>
    <x v="39"/>
    <x v="0"/>
    <x v="0"/>
    <x v="0"/>
    <s v="DANIEL PEREZ"/>
    <x v="0"/>
    <n v="165.72"/>
    <x v="6"/>
    <x v="4"/>
    <x v="0"/>
    <x v="0"/>
  </r>
  <r>
    <x v="91"/>
    <s v="-"/>
    <s v="181466438"/>
    <x v="331"/>
    <x v="334"/>
    <n v="36"/>
    <s v="-"/>
    <x v="1"/>
    <s v="PICKING"/>
    <s v="-"/>
    <s v="-"/>
    <x v="69"/>
    <x v="0"/>
    <x v="6"/>
    <x v="40"/>
    <x v="0"/>
    <x v="0"/>
    <x v="6"/>
    <s v="DANIEL PEREZ"/>
    <x v="0"/>
    <n v="91.08"/>
    <x v="1"/>
    <x v="3"/>
    <x v="0"/>
    <x v="1"/>
  </r>
  <r>
    <x v="91"/>
    <s v="-"/>
    <s v="181466438"/>
    <x v="332"/>
    <x v="335"/>
    <n v="72"/>
    <s v="-"/>
    <x v="1"/>
    <s v="PICKING"/>
    <s v="-"/>
    <s v="-"/>
    <x v="69"/>
    <x v="0"/>
    <x v="6"/>
    <x v="40"/>
    <x v="0"/>
    <x v="0"/>
    <x v="6"/>
    <s v="DANIEL PEREZ"/>
    <x v="0"/>
    <n v="247.68"/>
    <x v="1"/>
    <x v="3"/>
    <x v="0"/>
    <x v="1"/>
  </r>
  <r>
    <x v="91"/>
    <s v="-"/>
    <s v="181466438"/>
    <x v="333"/>
    <x v="336"/>
    <n v="18"/>
    <s v="-"/>
    <x v="1"/>
    <s v="PICKING"/>
    <s v="-"/>
    <s v="-"/>
    <x v="69"/>
    <x v="0"/>
    <x v="6"/>
    <x v="40"/>
    <x v="0"/>
    <x v="0"/>
    <x v="6"/>
    <s v="DANIEL PEREZ"/>
    <x v="0"/>
    <n v="127.08"/>
    <x v="1"/>
    <x v="3"/>
    <x v="0"/>
    <x v="1"/>
  </r>
  <r>
    <x v="91"/>
    <s v="-"/>
    <s v="181466438"/>
    <x v="334"/>
    <x v="337"/>
    <n v="10"/>
    <s v="-"/>
    <x v="1"/>
    <s v="PICKING"/>
    <s v="-"/>
    <s v="-"/>
    <x v="69"/>
    <x v="0"/>
    <x v="6"/>
    <x v="40"/>
    <x v="0"/>
    <x v="0"/>
    <x v="6"/>
    <s v="DANIEL PEREZ"/>
    <x v="0"/>
    <n v="36.800000000000004"/>
    <x v="1"/>
    <x v="3"/>
    <x v="0"/>
    <x v="1"/>
  </r>
  <r>
    <x v="91"/>
    <s v="-"/>
    <s v="181466438"/>
    <x v="335"/>
    <x v="338"/>
    <n v="180"/>
    <s v="-"/>
    <x v="0"/>
    <s v="PICKING"/>
    <s v="-"/>
    <s v="-"/>
    <x v="69"/>
    <x v="0"/>
    <x v="6"/>
    <x v="41"/>
    <x v="0"/>
    <x v="0"/>
    <x v="6"/>
    <s v="DANIEL PEREZ"/>
    <x v="0"/>
    <n v="455.4"/>
    <x v="1"/>
    <x v="3"/>
    <x v="0"/>
    <x v="1"/>
  </r>
  <r>
    <x v="91"/>
    <s v="-"/>
    <s v="181466438"/>
    <x v="336"/>
    <x v="339"/>
    <n v="144"/>
    <s v="-"/>
    <x v="0"/>
    <s v="PICKING"/>
    <s v="-"/>
    <s v="-"/>
    <x v="69"/>
    <x v="0"/>
    <x v="6"/>
    <x v="41"/>
    <x v="0"/>
    <x v="0"/>
    <x v="6"/>
    <s v="DANIEL PEREZ"/>
    <x v="0"/>
    <n v="316.8"/>
    <x v="1"/>
    <x v="3"/>
    <x v="0"/>
    <x v="1"/>
  </r>
  <r>
    <x v="92"/>
    <s v="-"/>
    <s v="-"/>
    <x v="337"/>
    <x v="340"/>
    <n v="12"/>
    <s v="-"/>
    <x v="1"/>
    <s v="PICKING"/>
    <s v="-"/>
    <s v="-"/>
    <x v="34"/>
    <x v="0"/>
    <x v="0"/>
    <x v="42"/>
    <x v="2"/>
    <x v="0"/>
    <x v="0"/>
    <s v="ALMACEN"/>
    <x v="1"/>
    <n v="23.4"/>
    <x v="1"/>
    <x v="3"/>
    <x v="0"/>
    <x v="1"/>
  </r>
  <r>
    <x v="92"/>
    <s v="-"/>
    <s v="-"/>
    <x v="338"/>
    <x v="341"/>
    <n v="72"/>
    <s v="-"/>
    <x v="0"/>
    <s v="CICLICO"/>
    <s v="-"/>
    <s v="-"/>
    <x v="34"/>
    <x v="0"/>
    <x v="0"/>
    <x v="16"/>
    <x v="1"/>
    <x v="0"/>
    <x v="0"/>
    <s v="ALMACEN"/>
    <x v="1"/>
    <n v="195.12"/>
    <x v="1"/>
    <x v="3"/>
    <x v="0"/>
    <x v="1"/>
  </r>
  <r>
    <x v="92"/>
    <s v="-"/>
    <s v="-"/>
    <x v="339"/>
    <x v="342"/>
    <n v="12"/>
    <s v="-"/>
    <x v="0"/>
    <s v="CICLICO"/>
    <s v="-"/>
    <s v="-"/>
    <x v="34"/>
    <x v="0"/>
    <x v="0"/>
    <x v="34"/>
    <x v="1"/>
    <x v="0"/>
    <x v="0"/>
    <s v="ALMACEN"/>
    <x v="1"/>
    <n v="22.200000000000003"/>
    <x v="1"/>
    <x v="3"/>
    <x v="0"/>
    <x v="1"/>
  </r>
  <r>
    <x v="92"/>
    <s v="-"/>
    <s v="-"/>
    <x v="340"/>
    <x v="343"/>
    <n v="24"/>
    <s v="-"/>
    <x v="1"/>
    <s v="CICLICO"/>
    <s v="-"/>
    <s v="-"/>
    <x v="34"/>
    <x v="0"/>
    <x v="0"/>
    <x v="34"/>
    <x v="2"/>
    <x v="0"/>
    <x v="0"/>
    <s v="ALMACEN"/>
    <x v="1"/>
    <n v="170.88"/>
    <x v="1"/>
    <x v="3"/>
    <x v="0"/>
    <x v="1"/>
  </r>
  <r>
    <x v="88"/>
    <s v="-"/>
    <s v="-"/>
    <x v="341"/>
    <x v="344"/>
    <n v="6"/>
    <s v="CARHUANCHO"/>
    <x v="1"/>
    <s v="FILTRO"/>
    <s v="-"/>
    <s v="-"/>
    <x v="20"/>
    <x v="0"/>
    <x v="0"/>
    <x v="14"/>
    <x v="2"/>
    <x v="0"/>
    <x v="0"/>
    <s v="BENJAMIN LIZARBE"/>
    <x v="0"/>
    <n v="150"/>
    <x v="2"/>
    <x v="4"/>
    <x v="0"/>
    <x v="0"/>
  </r>
  <r>
    <x v="93"/>
    <s v="T114"/>
    <n v="7620887595"/>
    <x v="342"/>
    <x v="345"/>
    <n v="2"/>
    <s v="JUAN AYALA"/>
    <x v="1"/>
    <s v="FILTRO"/>
    <s v="-"/>
    <s v="-"/>
    <x v="3"/>
    <x v="0"/>
    <x v="0"/>
    <x v="16"/>
    <x v="2"/>
    <x v="1"/>
    <x v="0"/>
    <s v="DAVID PIÑAN"/>
    <x v="0"/>
    <n v="81.86"/>
    <x v="0"/>
    <x v="3"/>
    <x v="0"/>
    <x v="1"/>
  </r>
  <r>
    <x v="93"/>
    <s v="-"/>
    <n v="7620888056"/>
    <x v="343"/>
    <x v="346"/>
    <n v="12"/>
    <s v="MOISES CARHUANCHO"/>
    <x v="1"/>
    <s v="FILTRO"/>
    <s v="-"/>
    <s v="-"/>
    <x v="64"/>
    <x v="0"/>
    <x v="0"/>
    <x v="16"/>
    <x v="2"/>
    <x v="0"/>
    <x v="0"/>
    <s v="DAVID PIÑAN"/>
    <x v="0"/>
    <n v="43.2"/>
    <x v="2"/>
    <x v="3"/>
    <x v="0"/>
    <x v="1"/>
  </r>
  <r>
    <x v="88"/>
    <s v="S083"/>
    <n v="7620870785"/>
    <x v="344"/>
    <x v="347"/>
    <n v="12"/>
    <s v="AVILA"/>
    <x v="1"/>
    <s v="FILTRO"/>
    <s v="-"/>
    <s v="-"/>
    <x v="20"/>
    <x v="0"/>
    <x v="0"/>
    <x v="16"/>
    <x v="2"/>
    <x v="1"/>
    <x v="0"/>
    <s v="BENJAMIN LIZARBE"/>
    <x v="0"/>
    <n v="220.07999999999998"/>
    <x v="2"/>
    <x v="4"/>
    <x v="0"/>
    <x v="0"/>
  </r>
  <r>
    <x v="88"/>
    <s v="-"/>
    <s v="-"/>
    <x v="345"/>
    <x v="348"/>
    <n v="2"/>
    <s v="SATURNO"/>
    <x v="0"/>
    <s v="PICKING"/>
    <s v="-"/>
    <s v="-"/>
    <x v="64"/>
    <x v="0"/>
    <x v="0"/>
    <x v="16"/>
    <x v="1"/>
    <x v="1"/>
    <x v="0"/>
    <s v="DAVID PIÑAN"/>
    <x v="0"/>
    <n v="31.4"/>
    <x v="2"/>
    <x v="4"/>
    <x v="0"/>
    <x v="0"/>
  </r>
  <r>
    <x v="88"/>
    <s v="-"/>
    <s v="-"/>
    <x v="346"/>
    <x v="349"/>
    <n v="36"/>
    <s v="SATURNO"/>
    <x v="0"/>
    <s v="PICKING"/>
    <s v="-"/>
    <s v="-"/>
    <x v="64"/>
    <x v="0"/>
    <x v="0"/>
    <x v="16"/>
    <x v="1"/>
    <x v="1"/>
    <x v="0"/>
    <s v="DAVID PIÑAN"/>
    <x v="0"/>
    <n v="680.04"/>
    <x v="2"/>
    <x v="4"/>
    <x v="0"/>
    <x v="0"/>
  </r>
  <r>
    <x v="94"/>
    <s v="T107"/>
    <n v="7620888663"/>
    <x v="347"/>
    <x v="350"/>
    <n v="2"/>
    <s v="LIMACHE"/>
    <x v="1"/>
    <s v="FILTRO"/>
    <s v="T104"/>
    <n v="7620888237"/>
    <x v="14"/>
    <x v="3"/>
    <x v="0"/>
    <x v="43"/>
    <x v="0"/>
    <x v="1"/>
    <x v="0"/>
    <s v="DAVID PIÑAN"/>
    <x v="0"/>
    <n v="88.48"/>
    <x v="0"/>
    <x v="3"/>
    <x v="0"/>
    <x v="1"/>
  </r>
  <r>
    <x v="94"/>
    <s v="T107"/>
    <n v="7620888663"/>
    <x v="348"/>
    <x v="351"/>
    <n v="3"/>
    <s v="LIMACHE"/>
    <x v="1"/>
    <s v="FILTRO"/>
    <s v="T104"/>
    <n v="7620888237"/>
    <x v="70"/>
    <x v="3"/>
    <x v="0"/>
    <x v="16"/>
    <x v="0"/>
    <x v="1"/>
    <x v="0"/>
    <s v="DAVID PIÑAN"/>
    <x v="0"/>
    <n v="444.75"/>
    <x v="0"/>
    <x v="3"/>
    <x v="0"/>
    <x v="1"/>
  </r>
  <r>
    <x v="88"/>
    <s v="T107"/>
    <n v="7620888663"/>
    <x v="349"/>
    <x v="352"/>
    <n v="1"/>
    <s v="LIMACHE"/>
    <x v="1"/>
    <s v="FILTRO"/>
    <s v="-"/>
    <s v="-"/>
    <x v="53"/>
    <x v="0"/>
    <x v="0"/>
    <x v="44"/>
    <x v="2"/>
    <x v="1"/>
    <x v="0"/>
    <s v="BENJAMIN LIZARBE"/>
    <x v="0"/>
    <n v="40.24"/>
    <x v="0"/>
    <x v="4"/>
    <x v="0"/>
    <x v="0"/>
  </r>
  <r>
    <x v="88"/>
    <s v="T107"/>
    <n v="7640116540"/>
    <x v="27"/>
    <x v="27"/>
    <n v="1"/>
    <s v="LIMACHE"/>
    <x v="1"/>
    <s v="FILTRO"/>
    <s v="-"/>
    <s v="-"/>
    <x v="37"/>
    <x v="0"/>
    <x v="0"/>
    <x v="44"/>
    <x v="2"/>
    <x v="0"/>
    <x v="0"/>
    <s v="BENJAMIN LIZARBE"/>
    <x v="0"/>
    <n v="38.92"/>
    <x v="0"/>
    <x v="4"/>
    <x v="0"/>
    <x v="0"/>
  </r>
  <r>
    <x v="94"/>
    <s v="T107"/>
    <n v="7620877272"/>
    <x v="350"/>
    <x v="353"/>
    <n v="1"/>
    <s v="YUPANQUI"/>
    <x v="1"/>
    <s v="FILTRO"/>
    <s v="T132"/>
    <n v="7620877340"/>
    <x v="71"/>
    <x v="0"/>
    <x v="0"/>
    <x v="16"/>
    <x v="0"/>
    <x v="1"/>
    <x v="0"/>
    <s v="-"/>
    <x v="0"/>
    <n v="21.55"/>
    <x v="0"/>
    <x v="3"/>
    <x v="0"/>
    <x v="1"/>
  </r>
  <r>
    <x v="88"/>
    <s v="-"/>
    <s v="-"/>
    <x v="351"/>
    <x v="354"/>
    <n v="12"/>
    <s v="CORIMAYO"/>
    <x v="1"/>
    <s v="INVENTARIO"/>
    <s v="-"/>
    <s v="-"/>
    <x v="34"/>
    <x v="0"/>
    <x v="0"/>
    <x v="14"/>
    <x v="2"/>
    <x v="0"/>
    <x v="0"/>
    <s v="ALMACEN"/>
    <x v="1"/>
    <n v="155.28"/>
    <x v="1"/>
    <x v="4"/>
    <x v="0"/>
    <x v="0"/>
  </r>
  <r>
    <x v="95"/>
    <s v="T106"/>
    <n v="7620888244"/>
    <x v="352"/>
    <x v="355"/>
    <n v="1"/>
    <s v="AVILA"/>
    <x v="0"/>
    <s v="FILTRO"/>
    <s v="T106"/>
    <n v="7620888244"/>
    <x v="51"/>
    <x v="0"/>
    <x v="0"/>
    <x v="14"/>
    <x v="0"/>
    <x v="1"/>
    <x v="0"/>
    <s v="DAVID PIÑAN"/>
    <x v="0"/>
    <n v="34.4"/>
    <x v="0"/>
    <x v="4"/>
    <x v="0"/>
    <x v="0"/>
  </r>
  <r>
    <x v="95"/>
    <s v="-"/>
    <s v="-"/>
    <x v="353"/>
    <x v="356"/>
    <n v="3"/>
    <s v="S/N"/>
    <x v="0"/>
    <s v="PICKING"/>
    <s v="S001"/>
    <n v="7620874193"/>
    <x v="3"/>
    <x v="0"/>
    <x v="0"/>
    <x v="14"/>
    <x v="0"/>
    <x v="1"/>
    <x v="0"/>
    <s v="DAVID PIÑAN"/>
    <x v="0"/>
    <n v="55.11"/>
    <x v="0"/>
    <x v="4"/>
    <x v="0"/>
    <x v="0"/>
  </r>
  <r>
    <x v="95"/>
    <s v="S008"/>
    <n v="7620870759"/>
    <x v="354"/>
    <x v="357"/>
    <n v="18"/>
    <s v="FALCON"/>
    <x v="0"/>
    <s v="PICKING"/>
    <s v="T132"/>
    <n v="7620875001"/>
    <x v="64"/>
    <x v="0"/>
    <x v="0"/>
    <x v="14"/>
    <x v="0"/>
    <x v="1"/>
    <x v="0"/>
    <s v="DAVID PIÑAN"/>
    <x v="0"/>
    <n v="103.67999999999999"/>
    <x v="1"/>
    <x v="4"/>
    <x v="0"/>
    <x v="0"/>
  </r>
  <r>
    <x v="96"/>
    <s v="S097"/>
    <n v="7620871354"/>
    <x v="355"/>
    <x v="358"/>
    <n v="6"/>
    <s v="CARHUANCHO"/>
    <x v="1"/>
    <s v="FILTRO"/>
    <s v="T104"/>
    <n v="7620889059"/>
    <x v="51"/>
    <x v="0"/>
    <x v="0"/>
    <x v="14"/>
    <x v="0"/>
    <x v="1"/>
    <x v="0"/>
    <s v="DAVID PIÑAN"/>
    <x v="0"/>
    <n v="475.43999999999994"/>
    <x v="0"/>
    <x v="4"/>
    <x v="0"/>
    <x v="0"/>
  </r>
  <r>
    <x v="96"/>
    <s v="S098"/>
    <n v="7620867511"/>
    <x v="356"/>
    <x v="359"/>
    <n v="2"/>
    <s v="CARHUANCHO"/>
    <x v="1"/>
    <s v="FILTRO"/>
    <s v="T132"/>
    <n v="7620877274"/>
    <x v="42"/>
    <x v="0"/>
    <x v="0"/>
    <x v="14"/>
    <x v="0"/>
    <x v="0"/>
    <x v="0"/>
    <s v="BENJAMIN LIZARBE"/>
    <x v="0"/>
    <n v="60.3"/>
    <x v="0"/>
    <x v="4"/>
    <x v="0"/>
    <x v="0"/>
  </r>
  <r>
    <x v="96"/>
    <s v="S097"/>
    <n v="7620871354"/>
    <x v="357"/>
    <x v="360"/>
    <n v="4"/>
    <s v="CARHUANCHO"/>
    <x v="0"/>
    <s v="FILTRO"/>
    <s v="S097"/>
    <n v="7620871354"/>
    <x v="4"/>
    <x v="10"/>
    <x v="1"/>
    <x v="1"/>
    <x v="0"/>
    <x v="0"/>
    <x v="1"/>
    <s v="-"/>
    <x v="0"/>
    <n v="181.16"/>
    <x v="0"/>
    <x v="4"/>
    <x v="0"/>
    <x v="0"/>
  </r>
  <r>
    <x v="96"/>
    <s v="-"/>
    <s v="-"/>
    <x v="358"/>
    <x v="361"/>
    <n v="2"/>
    <s v="INVENTARIO"/>
    <x v="1"/>
    <s v="INVENTARIO"/>
    <s v="-"/>
    <s v="-"/>
    <x v="34"/>
    <x v="0"/>
    <x v="0"/>
    <x v="13"/>
    <x v="2"/>
    <x v="0"/>
    <x v="0"/>
    <s v="ALMACEN"/>
    <x v="1"/>
    <n v="18.88"/>
    <x v="1"/>
    <x v="4"/>
    <x v="0"/>
    <x v="0"/>
  </r>
  <r>
    <x v="96"/>
    <s v="-"/>
    <s v="-"/>
    <x v="168"/>
    <x v="168"/>
    <n v="36"/>
    <s v="INVENTARIO"/>
    <x v="1"/>
    <s v="INVENTARIO"/>
    <s v="-"/>
    <s v="-"/>
    <x v="34"/>
    <x v="0"/>
    <x v="0"/>
    <x v="13"/>
    <x v="2"/>
    <x v="0"/>
    <x v="0"/>
    <s v="ALMACEN"/>
    <x v="1"/>
    <n v="46.800000000000004"/>
    <x v="1"/>
    <x v="4"/>
    <x v="0"/>
    <x v="0"/>
  </r>
  <r>
    <x v="96"/>
    <s v="-"/>
    <s v="-"/>
    <x v="359"/>
    <x v="362"/>
    <n v="2"/>
    <s v="INVENTARIO"/>
    <x v="1"/>
    <s v="INVENTARIO"/>
    <s v="-"/>
    <s v="-"/>
    <x v="34"/>
    <x v="0"/>
    <x v="0"/>
    <x v="13"/>
    <x v="2"/>
    <x v="0"/>
    <x v="0"/>
    <s v="ALMACEN"/>
    <x v="1"/>
    <n v="4"/>
    <x v="1"/>
    <x v="4"/>
    <x v="0"/>
    <x v="0"/>
  </r>
  <r>
    <x v="97"/>
    <s v="H008"/>
    <n v="7620869905"/>
    <x v="360"/>
    <x v="363"/>
    <n v="1"/>
    <s v="JUAN AYALA"/>
    <x v="0"/>
    <s v="FILTRO"/>
    <s v="H010"/>
    <n v="7620856066"/>
    <x v="3"/>
    <x v="0"/>
    <x v="0"/>
    <x v="20"/>
    <x v="0"/>
    <x v="1"/>
    <x v="0"/>
    <s v="DAVID PIÑAN"/>
    <x v="0"/>
    <n v="65.39"/>
    <x v="0"/>
    <x v="4"/>
    <x v="0"/>
    <x v="0"/>
  </r>
  <r>
    <x v="97"/>
    <s v="H008"/>
    <n v="7620869905"/>
    <x v="361"/>
    <x v="364"/>
    <n v="3"/>
    <s v="JUAN AYALA"/>
    <x v="0"/>
    <s v="FILTRO"/>
    <s v="H010"/>
    <n v="7620856066"/>
    <x v="71"/>
    <x v="0"/>
    <x v="0"/>
    <x v="20"/>
    <x v="0"/>
    <x v="1"/>
    <x v="0"/>
    <s v="-"/>
    <x v="0"/>
    <n v="28.589999999999996"/>
    <x v="0"/>
    <x v="4"/>
    <x v="0"/>
    <x v="0"/>
  </r>
  <r>
    <x v="97"/>
    <s v="H008"/>
    <n v="7620869905"/>
    <x v="362"/>
    <x v="365"/>
    <n v="3"/>
    <s v="JUAN AYALA"/>
    <x v="0"/>
    <s v="FILTRO"/>
    <s v="H010"/>
    <n v="7620856066"/>
    <x v="7"/>
    <x v="0"/>
    <x v="0"/>
    <x v="20"/>
    <x v="0"/>
    <x v="0"/>
    <x v="0"/>
    <s v="BENJAMIN LIZARBE"/>
    <x v="0"/>
    <n v="89.429999999999993"/>
    <x v="0"/>
    <x v="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14000000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4">
  <location ref="AW3:AX7" firstHeaderRow="1" firstDataRow="1" firstDataCol="1" rowPageCount="1" colPageCount="1"/>
  <pivotFields count="25"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axis="axisPage" multipleItemSelectionAllowed="1" showAll="0">
      <items count="8">
        <item h="1" x="0"/>
        <item x="1"/>
        <item h="1" x="2"/>
        <item h="1" m="1" x="3"/>
        <item m="1" x="5"/>
        <item h="1" m="1" x="4"/>
        <item h="1" m="1" x="6"/>
        <item t="default"/>
      </items>
    </pivotField>
    <pivotField showAll="0"/>
    <pivotField showAll="0"/>
    <pivotField showAll="0"/>
    <pivotField showAll="0"/>
    <pivotField dataField="1" numFmtId="164" showAll="0"/>
    <pivotField axis="axisRow" showAll="0">
      <items count="9">
        <item x="0"/>
        <item x="1"/>
        <item x="2"/>
        <item x="3"/>
        <item m="1" x="7"/>
        <item x="4"/>
        <item x="5"/>
        <item x="6"/>
        <item t="default"/>
      </items>
    </pivotField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Fields count="1">
    <field x="21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5" hier="-1"/>
  </pageFields>
  <dataFields count="1">
    <dataField name="Suma de VALORIZADO" fld="20" baseField="0" baseItem="0" numFmtId="164"/>
  </dataFields>
  <formats count="1">
    <format dxfId="243">
      <pivotArea outline="0" collapsedLevelsAreSubtotals="1" fieldPosition="0"/>
    </format>
  </format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8000000}" name="TablaDinámica1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74">
  <location ref="AO3:AQ11" firstHeaderRow="0" firstDataRow="1" firstDataCol="1" rowPageCount="1" colPageCount="1"/>
  <pivotFields count="25">
    <pivotField numFmtId="16"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/>
    <pivotField showAll="0"/>
    <pivotField axis="axisRow" showAll="0" sortType="descending">
      <items count="83">
        <item x="24"/>
        <item x="34"/>
        <item x="7"/>
        <item x="50"/>
        <item x="48"/>
        <item m="1" x="78"/>
        <item x="3"/>
        <item x="37"/>
        <item x="27"/>
        <item x="32"/>
        <item x="25"/>
        <item x="49"/>
        <item x="31"/>
        <item x="42"/>
        <item x="36"/>
        <item m="1" x="74"/>
        <item x="47"/>
        <item x="38"/>
        <item x="40"/>
        <item x="46"/>
        <item x="26"/>
        <item x="35"/>
        <item m="1" x="80"/>
        <item m="1" x="76"/>
        <item m="1" x="77"/>
        <item x="14"/>
        <item x="11"/>
        <item x="45"/>
        <item h="1" x="4"/>
        <item x="0"/>
        <item x="1"/>
        <item x="2"/>
        <item x="5"/>
        <item x="6"/>
        <item x="8"/>
        <item x="9"/>
        <item x="10"/>
        <item x="12"/>
        <item x="13"/>
        <item x="15"/>
        <item x="16"/>
        <item x="17"/>
        <item x="18"/>
        <item x="19"/>
        <item x="20"/>
        <item x="21"/>
        <item x="23"/>
        <item x="28"/>
        <item x="29"/>
        <item x="30"/>
        <item x="33"/>
        <item m="1" x="73"/>
        <item x="39"/>
        <item x="41"/>
        <item x="43"/>
        <item x="44"/>
        <item m="1" x="75"/>
        <item m="1" x="72"/>
        <item x="51"/>
        <item x="22"/>
        <item h="1" m="1" x="81"/>
        <item h="1" x="53"/>
        <item h="1" x="54"/>
        <item h="1" x="57"/>
        <item h="1" x="55"/>
        <item h="1" x="56"/>
        <item h="1" x="52"/>
        <item h="1" x="58"/>
        <item h="1" m="1" x="79"/>
        <item h="1" x="59"/>
        <item h="1" x="62"/>
        <item h="1" x="60"/>
        <item h="1" x="66"/>
        <item h="1" x="61"/>
        <item h="1" x="65"/>
        <item h="1" x="64"/>
        <item h="1" x="63"/>
        <item h="1" x="67"/>
        <item h="1" x="69"/>
        <item h="1" x="68"/>
        <item h="1" x="70"/>
        <item h="1" x="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  <pivotField showAll="0"/>
    <pivotField showAll="0"/>
    <pivotField showAll="0"/>
    <pivotField axis="axisPage" multipleItemSelectionAllowed="1" showAll="0" defaultSubtotal="0">
      <items count="153">
        <item x="1"/>
        <item h="1" x="0"/>
        <item h="1" m="1" x="88"/>
        <item h="1" m="1" x="106"/>
        <item h="1" m="1" x="81"/>
        <item h="1" m="1" x="137"/>
        <item h="1" m="1" x="51"/>
        <item h="1" m="1" x="120"/>
        <item h="1" m="1" x="47"/>
        <item h="1" m="1" x="127"/>
        <item h="1" m="1" x="84"/>
        <item h="1" m="1" x="17"/>
        <item h="1" m="1" x="125"/>
        <item h="1" m="1" x="25"/>
        <item h="1" m="1" x="48"/>
        <item h="1" m="1" x="7"/>
        <item h="1" m="1" x="40"/>
        <item h="1" m="1" x="16"/>
        <item h="1" m="1" x="117"/>
        <item h="1" m="1" x="8"/>
        <item h="1" m="1" x="42"/>
        <item h="1" m="1" x="34"/>
        <item h="1" m="1" x="50"/>
        <item h="1" m="1" x="35"/>
        <item h="1" m="1" x="18"/>
        <item h="1" m="1" x="94"/>
        <item h="1" m="1" x="105"/>
        <item h="1" m="1" x="5"/>
        <item h="1" m="1" x="41"/>
        <item h="1" m="1" x="114"/>
        <item h="1" m="1" x="33"/>
        <item h="1" m="1" x="138"/>
        <item h="1" m="1" x="82"/>
        <item h="1" m="1" x="86"/>
        <item h="1" m="1" x="49"/>
        <item h="1" m="1" x="21"/>
        <item h="1" m="1" x="128"/>
        <item h="1" m="1" x="77"/>
        <item h="1" m="1" x="68"/>
        <item h="1" m="1" x="59"/>
        <item h="1" m="1" x="100"/>
        <item h="1" m="1" x="63"/>
        <item h="1" m="1" x="135"/>
        <item h="1" m="1" x="110"/>
        <item h="1" m="1" x="103"/>
        <item h="1" m="1" x="119"/>
        <item h="1" m="1" x="65"/>
        <item h="1" m="1" x="44"/>
        <item h="1" m="1" x="56"/>
        <item h="1" m="1" x="80"/>
        <item h="1" m="1" x="102"/>
        <item h="1" m="1" x="79"/>
        <item h="1" m="1" x="62"/>
        <item h="1" m="1" x="53"/>
        <item h="1" m="1" x="139"/>
        <item h="1" m="1" x="29"/>
        <item h="1" m="1" x="31"/>
        <item h="1" m="1" x="124"/>
        <item h="1" m="1" x="72"/>
        <item h="1" m="1" x="55"/>
        <item h="1" m="1" x="150"/>
        <item h="1" m="1" x="71"/>
        <item h="1" m="1" x="134"/>
        <item h="1" m="1" x="140"/>
        <item h="1" m="1" x="112"/>
        <item h="1" m="1" x="143"/>
        <item h="1" m="1" x="149"/>
        <item h="1" m="1" x="144"/>
        <item h="1" m="1" x="19"/>
        <item h="1" m="1" x="57"/>
        <item h="1" m="1" x="109"/>
        <item h="1" m="1" x="28"/>
        <item h="1" m="1" x="6"/>
        <item h="1" m="1" x="60"/>
        <item h="1" m="1" x="151"/>
        <item h="1" m="1" x="108"/>
        <item h="1" m="1" x="97"/>
        <item h="1" m="1" x="14"/>
        <item h="1" m="1" x="26"/>
        <item h="1" m="1" x="136"/>
        <item h="1" m="1" x="95"/>
        <item h="1" m="1" x="87"/>
        <item h="1" m="1" x="70"/>
        <item h="1" m="1" x="45"/>
        <item h="1" m="1" x="3"/>
        <item h="1" m="1" x="66"/>
        <item h="1" m="1" x="123"/>
        <item h="1" m="1" x="46"/>
        <item h="1" m="1" x="13"/>
        <item h="1" m="1" x="129"/>
        <item h="1" m="1" x="61"/>
        <item h="1" m="1" x="37"/>
        <item h="1" m="1" x="96"/>
        <item h="1" m="1" x="15"/>
        <item h="1" m="1" x="104"/>
        <item h="1" m="1" x="78"/>
        <item h="1" m="1" x="24"/>
        <item h="1" m="1" x="146"/>
        <item h="1" m="1" x="122"/>
        <item h="1" m="1" x="116"/>
        <item h="1" m="1" x="52"/>
        <item h="1" m="1" x="27"/>
        <item h="1" m="1" x="64"/>
        <item h="1" m="1" x="76"/>
        <item h="1" m="1" x="58"/>
        <item h="1" m="1" x="142"/>
        <item h="1" m="1" x="152"/>
        <item h="1" m="1" x="99"/>
        <item h="1" m="1" x="101"/>
        <item h="1" m="1" x="89"/>
        <item h="1" m="1" x="126"/>
        <item h="1" m="1" x="93"/>
        <item h="1" m="1" x="85"/>
        <item h="1" m="1" x="36"/>
        <item h="1" m="1" x="141"/>
        <item h="1" m="1" x="11"/>
        <item h="1" m="1" x="115"/>
        <item h="1" m="1" x="111"/>
        <item h="1" m="1" x="131"/>
        <item h="1" m="1" x="10"/>
        <item h="1" m="1" x="38"/>
        <item h="1" m="1" x="107"/>
        <item h="1" m="1" x="75"/>
        <item h="1" m="1" x="132"/>
        <item h="1" m="1" x="130"/>
        <item h="1" m="1" x="148"/>
        <item h="1" m="1" x="32"/>
        <item h="1" m="1" x="43"/>
        <item h="1" m="1" x="30"/>
        <item h="1" m="1" x="98"/>
        <item h="1" m="1" x="133"/>
        <item h="1" m="1" x="90"/>
        <item h="1" m="1" x="23"/>
        <item h="1" m="1" x="145"/>
        <item h="1" m="1" x="121"/>
        <item h="1" m="1" x="92"/>
        <item h="1" m="1" x="113"/>
        <item h="1" m="1" x="118"/>
        <item h="1" m="1" x="4"/>
        <item h="1" m="1" x="73"/>
        <item h="1" m="1" x="147"/>
        <item h="1" m="1" x="83"/>
        <item h="1" m="1" x="22"/>
        <item h="1" m="1" x="69"/>
        <item h="1" m="1" x="9"/>
        <item h="1" m="1" x="54"/>
        <item h="1" m="1" x="2"/>
        <item h="1" m="1" x="74"/>
        <item h="1" m="1" x="12"/>
        <item h="1" m="1" x="39"/>
        <item h="1" m="1" x="91"/>
        <item h="1" m="1" x="20"/>
        <item h="1" m="1" x="67"/>
      </items>
    </pivotField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Fields count="1">
    <field x="11"/>
  </rowFields>
  <rowItems count="8">
    <i>
      <x v="1"/>
    </i>
    <i>
      <x v="20"/>
    </i>
    <i>
      <x v="26"/>
    </i>
    <i>
      <x v="7"/>
    </i>
    <i>
      <x v="2"/>
    </i>
    <i>
      <x v="48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19" hier="-1"/>
  </pageFields>
  <dataFields count="2">
    <dataField name="Cuenta de CODIGO" fld="3" subtotal="count" baseField="10" baseItem="2" numFmtId="1"/>
    <dataField name="Suma de VALORIZADO" fld="20" baseField="0" baseItem="0" numFmtId="164"/>
  </dataFields>
  <formats count="7">
    <format dxfId="250">
      <pivotArea outline="0" collapsedLevelsAreSubtotals="1" fieldPosition="0"/>
    </format>
    <format dxfId="24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4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44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5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10000000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72">
  <location ref="AE1:AF21" firstHeaderRow="1" firstDataRow="1" firstDataCol="1"/>
  <pivotFields count="25">
    <pivotField axis="axisRow" numFmtId="16" showAll="0" sortType="ascending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m="1" x="99"/>
        <item m="1" x="98"/>
        <item x="94"/>
        <item x="88"/>
        <item x="95"/>
        <item x="96"/>
        <item x="9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 defaultSubtotal="0"/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Fields count="1">
    <field x="0"/>
  </rowFields>
  <rowItems count="20"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7"/>
    </i>
    <i>
      <x v="38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 t="grand">
      <x/>
    </i>
  </rowItems>
  <colItems count="1">
    <i/>
  </colItems>
  <dataFields count="1">
    <dataField name="Suma de VALORIZADO" fld="20" baseField="0" baseItem="0" numFmtId="164"/>
  </dataFields>
  <formats count="1">
    <format dxfId="251">
      <pivotArea outline="0" collapsedLevelsAreSubtotals="1" fieldPosition="0"/>
    </format>
  </formats>
  <chartFormats count="1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A000000}" name="TablaDinámica1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AA3:AC4" firstHeaderRow="0" firstDataRow="1" firstDataCol="0" rowPageCount="1" colPageCount="1"/>
  <pivotFields count="25">
    <pivotField numFmtId="16"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axis="axisPage" multipleItemSelectionAllowed="1" showAll="0">
      <items count="8">
        <item h="1" x="0"/>
        <item h="1" x="1"/>
        <item h="1" x="2"/>
        <item m="1" x="3"/>
        <item m="1" x="5"/>
        <item h="1" m="1" x="4"/>
        <item m="1" x="6"/>
        <item t="default"/>
      </items>
    </pivotField>
    <pivotField showAll="0"/>
    <pivotField showAll="0"/>
    <pivotField showAll="0"/>
    <pivotField showAll="0"/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Cuenta de CODIGO" fld="3" subtotal="count" baseField="0" baseItem="0"/>
    <dataField name="Suma de CANTIDAD" fld="5" baseField="0" baseItem="0"/>
    <dataField name="Suma de VALORIZADO" fld="20" baseField="0" baseItem="0" numFmtId="164"/>
  </dataFields>
  <formats count="1">
    <format dxfId="25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ablaDinámica1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A3:C4" firstHeaderRow="0" firstDataRow="1" firstDataCol="0"/>
  <pivotFields count="25">
    <pivotField numFmtId="16"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Cuenta de CODIGO" fld="3" subtotal="count" baseField="0" baseItem="0"/>
    <dataField name="Suma de CANTIDAD" fld="5" baseField="0" baseItem="0"/>
    <dataField name="Suma de VALORIZADO" fld="20" baseField="0" baseItem="0" numFmtId="164"/>
  </dataFields>
  <formats count="2">
    <format dxfId="25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2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5">
  <location ref="BX1:BY27" firstHeaderRow="1" firstDataRow="1" firstDataCol="1"/>
  <pivotFields count="25"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axis="axisRow" showAll="0" sortType="descending">
      <items count="83">
        <item h="1" x="4"/>
        <item x="1"/>
        <item x="21"/>
        <item x="24"/>
        <item x="43"/>
        <item x="2"/>
        <item x="65"/>
        <item h="1" x="34"/>
        <item x="39"/>
        <item x="56"/>
        <item x="16"/>
        <item m="1" x="79"/>
        <item x="7"/>
        <item m="1" x="81"/>
        <item m="1" x="75"/>
        <item x="50"/>
        <item x="18"/>
        <item x="10"/>
        <item x="48"/>
        <item m="1" x="78"/>
        <item x="0"/>
        <item x="3"/>
        <item x="37"/>
        <item x="27"/>
        <item x="32"/>
        <item x="66"/>
        <item x="25"/>
        <item x="20"/>
        <item x="49"/>
        <item x="31"/>
        <item x="42"/>
        <item x="6"/>
        <item x="22"/>
        <item x="59"/>
        <item x="9"/>
        <item x="36"/>
        <item m="1" x="74"/>
        <item x="52"/>
        <item x="51"/>
        <item x="41"/>
        <item x="47"/>
        <item x="38"/>
        <item x="17"/>
        <item x="53"/>
        <item x="40"/>
        <item x="46"/>
        <item x="26"/>
        <item x="35"/>
        <item x="28"/>
        <item m="1" x="80"/>
        <item x="30"/>
        <item x="67"/>
        <item x="57"/>
        <item x="60"/>
        <item m="1" x="76"/>
        <item x="55"/>
        <item x="54"/>
        <item x="29"/>
        <item x="33"/>
        <item m="1" x="77"/>
        <item x="14"/>
        <item x="12"/>
        <item x="61"/>
        <item x="5"/>
        <item x="11"/>
        <item x="64"/>
        <item x="15"/>
        <item x="63"/>
        <item x="44"/>
        <item x="23"/>
        <item x="58"/>
        <item x="19"/>
        <item m="1" x="73"/>
        <item x="45"/>
        <item x="62"/>
        <item x="8"/>
        <item x="13"/>
        <item h="1" m="1" x="72"/>
        <item h="1" x="69"/>
        <item h="1" x="68"/>
        <item h="1" x="70"/>
        <item h="1" x="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numFmtId="164" showAll="0"/>
    <pivotField showAl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Fields count="1">
    <field x="11"/>
  </rowFields>
  <rowItems count="26">
    <i>
      <x v="43"/>
    </i>
    <i>
      <x v="26"/>
    </i>
    <i>
      <x v="73"/>
    </i>
    <i>
      <x v="15"/>
    </i>
    <i>
      <x v="38"/>
    </i>
    <i>
      <x v="47"/>
    </i>
    <i>
      <x v="46"/>
    </i>
    <i>
      <x v="24"/>
    </i>
    <i>
      <x v="12"/>
    </i>
    <i>
      <x v="28"/>
    </i>
    <i>
      <x v="35"/>
    </i>
    <i>
      <x v="44"/>
    </i>
    <i>
      <x v="18"/>
    </i>
    <i>
      <x v="3"/>
    </i>
    <i>
      <x v="37"/>
    </i>
    <i>
      <x v="41"/>
    </i>
    <i>
      <x v="21"/>
    </i>
    <i>
      <x v="23"/>
    </i>
    <i>
      <x v="45"/>
    </i>
    <i>
      <x v="22"/>
    </i>
    <i>
      <x v="40"/>
    </i>
    <i>
      <x v="29"/>
    </i>
    <i>
      <x v="64"/>
    </i>
    <i>
      <x v="30"/>
    </i>
    <i>
      <x v="57"/>
    </i>
    <i t="grand">
      <x/>
    </i>
  </rowItems>
  <colItems count="1">
    <i/>
  </colItems>
  <dataFields count="1">
    <dataField name="Suma de VALORIZADO" fld="20" baseField="0" baseItem="0" numFmtId="164"/>
  </dataFields>
  <formats count="1">
    <format dxfId="255">
      <pivotArea outline="0" collapsedLevelsAreSubtotals="1" fieldPosition="0"/>
    </format>
  </formats>
  <chartFormats count="2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E000000}" name="TablaDiná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P3:P4" firstHeaderRow="1" firstDataRow="1" firstDataCol="0" rowPageCount="1" colPageCount="1"/>
  <pivotFields count="25"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axis="axisPage" multipleItemSelectionAllowed="1" showAll="0">
      <items count="8">
        <item h="1" x="0"/>
        <item h="1" x="1"/>
        <item h="1" x="2"/>
        <item m="1" x="3"/>
        <item h="1" m="1" x="5"/>
        <item h="1" m="1" x="4"/>
        <item m="1" x="6"/>
        <item t="default"/>
      </items>
    </pivotField>
    <pivotField showAll="0"/>
    <pivotField showAll="0"/>
    <pivotField showAll="0"/>
    <pivotField showAll="0" defaultSubtotal="0"/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Items count="1">
    <i/>
  </rowItems>
  <colItems count="1">
    <i/>
  </colItems>
  <pageFields count="1">
    <pageField fld="15" hier="-1"/>
  </pageFields>
  <dataFields count="1">
    <dataField name="Suma de VALORIZADO" fld="20" baseField="0" baseItem="0" numFmtId="164"/>
  </dataFields>
  <formats count="1">
    <format dxfId="25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9000000}" name="TablaDiná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1">
  <location ref="AZ3:BA8" firstHeaderRow="1" firstDataRow="1" firstDataCol="1" rowPageCount="1" colPageCount="1"/>
  <pivotFields count="25"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axis="axisPage" multipleItemSelectionAllowed="1" showAll="0">
      <items count="8">
        <item h="1" x="0"/>
        <item h="1" x="1"/>
        <item x="2"/>
        <item h="1" m="1" x="3"/>
        <item m="1" x="5"/>
        <item h="1" m="1" x="4"/>
        <item h="1" m="1" x="6"/>
        <item t="default"/>
      </items>
    </pivotField>
    <pivotField showAll="0"/>
    <pivotField showAll="0"/>
    <pivotField showAll="0"/>
    <pivotField showAll="0"/>
    <pivotField dataField="1" numFmtId="164" showAll="0"/>
    <pivotField axis="axisRow" showAll="0">
      <items count="9">
        <item x="0"/>
        <item x="1"/>
        <item x="2"/>
        <item x="3"/>
        <item m="1" x="7"/>
        <item x="4"/>
        <item x="5"/>
        <item x="6"/>
        <item t="default"/>
      </items>
    </pivotField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Fields count="1">
    <field x="21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15" hier="-1"/>
  </pageFields>
  <dataFields count="1">
    <dataField name="Suma de VALORIZADO" fld="20" baseField="0" baseItem="0" numFmtId="164"/>
  </dataFields>
  <formats count="1">
    <format dxfId="257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TablaDinámica1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65">
  <location ref="BI1:BJ5" firstHeaderRow="1" firstDataRow="1" firstDataCol="1"/>
  <pivotFields count="25"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showAll="0"/>
    <pivotField axis="axisRow" showAll="0" sortType="ascending">
      <items count="8">
        <item m="1" x="3"/>
        <item x="2"/>
        <item x="0"/>
        <item x="1"/>
        <item m="1" x="5"/>
        <item m="1" x="4"/>
        <item m="1"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numFmtId="164" showAll="0"/>
    <pivotField showAl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Fields count="1">
    <field x="16"/>
  </rowFields>
  <rowItems count="4">
    <i>
      <x v="3"/>
    </i>
    <i>
      <x v="1"/>
    </i>
    <i>
      <x v="2"/>
    </i>
    <i t="grand">
      <x/>
    </i>
  </rowItems>
  <colItems count="1">
    <i/>
  </colItems>
  <dataFields count="1">
    <dataField name="Suma de VALORIZADO" fld="20" baseField="0" baseItem="0" numFmtId="164"/>
  </dataFields>
  <formats count="1">
    <format dxfId="258">
      <pivotArea outline="0" collapsedLevelsAreSubtotals="1" fieldPosition="0"/>
    </format>
  </format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11000000}" name="TablaDiná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BC3:BC4" firstHeaderRow="1" firstDataRow="1" firstDataCol="0" rowPageCount="1" colPageCount="1"/>
  <pivotFields count="25"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axis="axisPage" multipleItemSelectionAllowed="1" showAll="0">
      <items count="8">
        <item h="1" x="0"/>
        <item x="1"/>
        <item h="1" x="2"/>
        <item h="1" m="1" x="3"/>
        <item m="1" x="5"/>
        <item h="1" m="1" x="4"/>
        <item h="1" m="1" x="6"/>
        <item t="default"/>
      </items>
    </pivotField>
    <pivotField showAll="0"/>
    <pivotField showAll="0"/>
    <pivotField showAll="0"/>
    <pivotField showAll="0"/>
    <pivotField dataField="1" numFmtId="164" showAll="0"/>
    <pivotField showAl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Items count="1">
    <i/>
  </rowItems>
  <colItems count="1">
    <i/>
  </colItems>
  <pageFields count="1">
    <pageField fld="15" hier="-1"/>
  </pageFields>
  <dataFields count="1">
    <dataField name="Suma de VALORIZADO" fld="20" baseField="0" baseItem="0" numFmtId="164"/>
  </dataFields>
  <formats count="1">
    <format dxfId="25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C000000}" name="TablaDinámica1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S3:U4" firstHeaderRow="0" firstDataRow="1" firstDataCol="0" rowPageCount="1" colPageCount="1"/>
  <pivotFields count="25">
    <pivotField numFmtId="16"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axis="axisPage" multipleItemSelectionAllowed="1" showAll="0">
      <items count="8">
        <item x="0"/>
        <item h="1" x="1"/>
        <item h="1" x="2"/>
        <item h="1" m="1" x="3"/>
        <item m="1" x="5"/>
        <item h="1" m="1" x="4"/>
        <item h="1" m="1" x="6"/>
        <item t="default"/>
      </items>
    </pivotField>
    <pivotField showAll="0"/>
    <pivotField showAll="0"/>
    <pivotField showAll="0"/>
    <pivotField showAll="0"/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Cuenta de CODIGO" fld="3" subtotal="count" baseField="0" baseItem="1"/>
    <dataField name="Suma de CANTIDAD" fld="5" baseField="0" baseItem="0"/>
    <dataField name="Suma de VALORIZADO" fld="20" baseField="0" baseItem="0" numFmtId="164"/>
  </dataFields>
  <formats count="1">
    <format dxfId="26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F000000}" name="TablaDinámica1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72">
  <location ref="AS3:AU6" firstHeaderRow="0" firstDataRow="1" firstDataCol="1"/>
  <pivotFields count="25">
    <pivotField numFmtId="16"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showAll="0" sortType="descending" defaultSubtotal="0">
      <items count="13">
        <item h="1" x="0"/>
        <item x="4"/>
        <item x="2"/>
        <item x="1"/>
        <item x="3"/>
        <item m="1" x="12"/>
        <item x="5"/>
        <item m="1" x="11"/>
        <item x="6"/>
        <item x="7"/>
        <item x="8"/>
        <item x="9"/>
        <item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multipleItemSelectionAllowed="1" showAll="0" defaultSubtotal="0"/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Fields count="1">
    <field x="12"/>
  </rowFields>
  <rowItems count="3">
    <i>
      <x v="6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CODIGO" fld="3" subtotal="count" baseField="11" baseItem="3" numFmtId="1"/>
    <dataField name="Suma de VALORIZADO" fld="20" baseField="0" baseItem="0" numFmtId="164"/>
  </dataFields>
  <formats count="7">
    <format dxfId="267">
      <pivotArea outline="0" collapsedLevelsAreSubtotals="1" fieldPosition="0"/>
    </format>
    <format dxfId="26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6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6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61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1" type="count" evalOrder="-1" id="1" iMeasureFld="1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12000000}" name="TablaDinámica2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CB3:CI4" firstHeaderRow="0" firstDataRow="1" firstDataCol="6" rowPageCount="1" colPageCount="1"/>
  <pivotFields count="25">
    <pivotField axis="axisPage" compact="0" numFmtId="16" outline="0" multipleItemSelectionAllowed="1" showAll="0" defaultSubtotal="0">
      <items count="100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5"/>
        <item h="1" x="84"/>
        <item x="86"/>
        <item x="87"/>
        <item x="89"/>
        <item x="91"/>
        <item x="93"/>
        <item x="92"/>
        <item x="90"/>
        <item m="1" x="99"/>
        <item m="1" x="98"/>
        <item x="94"/>
        <item h="1" x="88"/>
        <item h="1" x="95"/>
        <item h="1" x="96"/>
        <item h="1" x="9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9">
        <item x="80"/>
        <item x="62"/>
        <item x="33"/>
        <item x="46"/>
        <item x="75"/>
        <item x="222"/>
        <item x="68"/>
        <item x="309"/>
        <item x="76"/>
        <item x="225"/>
        <item x="170"/>
        <item x="30"/>
        <item x="169"/>
        <item x="168"/>
        <item x="230"/>
        <item x="57"/>
        <item x="175"/>
        <item x="262"/>
        <item x="128"/>
        <item x="182"/>
        <item x="250"/>
        <item x="218"/>
        <item x="156"/>
        <item x="280"/>
        <item x="4"/>
        <item x="290"/>
        <item x="210"/>
        <item x="49"/>
        <item x="227"/>
        <item x="41"/>
        <item x="183"/>
        <item x="269"/>
        <item x="63"/>
        <item x="293"/>
        <item x="88"/>
        <item x="54"/>
        <item x="137"/>
        <item x="242"/>
        <item x="302"/>
        <item x="249"/>
        <item x="45"/>
        <item x="123"/>
        <item x="5"/>
        <item x="82"/>
        <item x="155"/>
        <item x="0"/>
        <item x="140"/>
        <item x="171"/>
        <item x="93"/>
        <item x="207"/>
        <item x="248"/>
        <item x="285"/>
        <item x="186"/>
        <item x="21"/>
        <item x="160"/>
        <item x="195"/>
        <item x="34"/>
        <item x="52"/>
        <item x="283"/>
        <item x="221"/>
        <item x="125"/>
        <item x="112"/>
        <item x="89"/>
        <item x="172"/>
        <item x="42"/>
        <item x="202"/>
        <item x="217"/>
        <item x="119"/>
        <item x="31"/>
        <item x="105"/>
        <item x="106"/>
        <item x="204"/>
        <item x="232"/>
        <item x="177"/>
        <item x="216"/>
        <item x="291"/>
        <item x="190"/>
        <item x="8"/>
        <item x="145"/>
        <item x="48"/>
        <item x="55"/>
        <item x="265"/>
        <item x="126"/>
        <item x="231"/>
        <item x="151"/>
        <item x="70"/>
        <item x="73"/>
        <item x="174"/>
        <item x="185"/>
        <item x="241"/>
        <item x="25"/>
        <item m="1" x="367"/>
        <item x="152"/>
        <item x="203"/>
        <item x="11"/>
        <item x="35"/>
        <item x="84"/>
        <item x="83"/>
        <item x="205"/>
        <item x="166"/>
        <item x="67"/>
        <item x="107"/>
        <item x="282"/>
        <item x="113"/>
        <item x="294"/>
        <item x="61"/>
        <item x="157"/>
        <item x="165"/>
        <item x="3"/>
        <item x="181"/>
        <item x="147"/>
        <item x="306"/>
        <item x="226"/>
        <item x="72"/>
        <item x="213"/>
        <item x="121"/>
        <item x="154"/>
        <item x="1"/>
        <item x="110"/>
        <item x="220"/>
        <item x="251"/>
        <item x="228"/>
        <item x="188"/>
        <item x="134"/>
        <item x="214"/>
        <item x="266"/>
        <item x="86"/>
        <item x="268"/>
        <item x="247"/>
        <item x="178"/>
        <item x="97"/>
        <item x="19"/>
        <item x="206"/>
        <item x="146"/>
        <item x="10"/>
        <item x="243"/>
        <item x="278"/>
        <item x="39"/>
        <item x="6"/>
        <item x="158"/>
        <item x="108"/>
        <item x="197"/>
        <item x="13"/>
        <item x="74"/>
        <item x="199"/>
        <item x="131"/>
        <item x="60"/>
        <item x="196"/>
        <item x="200"/>
        <item x="277"/>
        <item x="310"/>
        <item x="303"/>
        <item x="111"/>
        <item x="37"/>
        <item x="240"/>
        <item x="94"/>
        <item x="236"/>
        <item x="148"/>
        <item x="272"/>
        <item x="65"/>
        <item x="129"/>
        <item x="312"/>
        <item x="201"/>
        <item x="127"/>
        <item x="167"/>
        <item x="38"/>
        <item x="315"/>
        <item x="58"/>
        <item x="289"/>
        <item x="288"/>
        <item x="124"/>
        <item x="164"/>
        <item x="304"/>
        <item x="223"/>
        <item x="224"/>
        <item x="317"/>
        <item m="1" x="365"/>
        <item x="311"/>
        <item x="252"/>
        <item x="212"/>
        <item x="133"/>
        <item x="98"/>
        <item x="271"/>
        <item x="287"/>
        <item x="173"/>
        <item x="59"/>
        <item x="176"/>
        <item x="255"/>
        <item x="162"/>
        <item x="219"/>
        <item x="281"/>
        <item x="29"/>
        <item x="149"/>
        <item m="1" x="364"/>
        <item x="234"/>
        <item x="115"/>
        <item x="295"/>
        <item x="81"/>
        <item x="194"/>
        <item m="1" x="368"/>
        <item x="130"/>
        <item x="95"/>
        <item x="296"/>
        <item x="150"/>
        <item x="215"/>
        <item x="193"/>
        <item x="90"/>
        <item x="91"/>
        <item x="92"/>
        <item x="192"/>
        <item x="258"/>
        <item x="120"/>
        <item x="264"/>
        <item x="233"/>
        <item x="69"/>
        <item x="24"/>
        <item x="122"/>
        <item x="23"/>
        <item x="253"/>
        <item x="279"/>
        <item x="117"/>
        <item x="44"/>
        <item x="239"/>
        <item x="246"/>
        <item x="297"/>
        <item x="184"/>
        <item x="139"/>
        <item x="66"/>
        <item x="96"/>
        <item x="71"/>
        <item x="118"/>
        <item x="22"/>
        <item x="7"/>
        <item x="313"/>
        <item x="26"/>
        <item x="53"/>
        <item x="101"/>
        <item x="103"/>
        <item x="235"/>
        <item x="138"/>
        <item x="12"/>
        <item x="14"/>
        <item x="198"/>
        <item x="27"/>
        <item x="56"/>
        <item x="40"/>
        <item x="208"/>
        <item m="1" x="363"/>
        <item x="15"/>
        <item x="314"/>
        <item x="298"/>
        <item x="299"/>
        <item x="20"/>
        <item x="16"/>
        <item x="229"/>
        <item x="144"/>
        <item x="267"/>
        <item x="180"/>
        <item x="116"/>
        <item x="141"/>
        <item x="77"/>
        <item x="9"/>
        <item x="78"/>
        <item x="99"/>
        <item x="308"/>
        <item x="263"/>
        <item x="305"/>
        <item x="273"/>
        <item x="189"/>
        <item m="1" x="366"/>
        <item x="274"/>
        <item x="18"/>
        <item x="254"/>
        <item x="256"/>
        <item x="104"/>
        <item x="100"/>
        <item x="238"/>
        <item x="260"/>
        <item x="87"/>
        <item x="142"/>
        <item x="245"/>
        <item x="275"/>
        <item x="276"/>
        <item x="259"/>
        <item x="79"/>
        <item x="64"/>
        <item x="163"/>
        <item x="32"/>
        <item x="159"/>
        <item x="191"/>
        <item x="270"/>
        <item x="187"/>
        <item x="179"/>
        <item x="2"/>
        <item x="153"/>
        <item x="292"/>
        <item x="85"/>
        <item x="244"/>
        <item x="114"/>
        <item x="161"/>
        <item x="132"/>
        <item x="109"/>
        <item x="300"/>
        <item x="36"/>
        <item x="43"/>
        <item x="211"/>
        <item x="209"/>
        <item x="307"/>
        <item x="143"/>
        <item x="135"/>
        <item x="284"/>
        <item x="261"/>
        <item x="257"/>
        <item x="17"/>
        <item x="28"/>
        <item x="301"/>
        <item x="51"/>
        <item x="47"/>
        <item x="50"/>
        <item x="102"/>
        <item x="286"/>
        <item x="136"/>
        <item x="237"/>
        <item x="318"/>
        <item x="319"/>
        <item x="322"/>
        <item x="325"/>
        <item x="323"/>
        <item x="324"/>
        <item x="316"/>
        <item x="321"/>
        <item x="320"/>
        <item x="326"/>
        <item x="328"/>
        <item x="330"/>
        <item x="342"/>
        <item x="331"/>
        <item x="332"/>
        <item x="333"/>
        <item x="334"/>
        <item x="335"/>
        <item x="336"/>
        <item x="343"/>
        <item x="337"/>
        <item x="338"/>
        <item x="339"/>
        <item x="340"/>
        <item x="329"/>
        <item x="327"/>
        <item x="341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74">
        <item x="152"/>
        <item x="80"/>
        <item x="320"/>
        <item x="262"/>
        <item x="258"/>
        <item m="1" x="367"/>
        <item x="240"/>
        <item m="1" x="370"/>
        <item x="171"/>
        <item x="206"/>
        <item x="251"/>
        <item x="125"/>
        <item x="278"/>
        <item x="274"/>
        <item x="61"/>
        <item x="231"/>
        <item x="164"/>
        <item x="150"/>
        <item x="192"/>
        <item x="25"/>
        <item x="69"/>
        <item x="162"/>
        <item x="123"/>
        <item x="58"/>
        <item x="200"/>
        <item x="30"/>
        <item x="120"/>
        <item x="198"/>
        <item x="102"/>
        <item x="268"/>
        <item x="19"/>
        <item x="0"/>
        <item x="8"/>
        <item x="9"/>
        <item x="118"/>
        <item x="71"/>
        <item x="27"/>
        <item x="52"/>
        <item x="23"/>
        <item x="13"/>
        <item x="7"/>
        <item x="22"/>
        <item x="315"/>
        <item x="185"/>
        <item x="316"/>
        <item x="194"/>
        <item x="254"/>
        <item x="208"/>
        <item x="293"/>
        <item x="140"/>
        <item x="109"/>
        <item x="132"/>
        <item x="238"/>
        <item x="235"/>
        <item x="57"/>
        <item x="317"/>
        <item x="217"/>
        <item x="45"/>
        <item x="224"/>
        <item x="230"/>
        <item m="1" x="366"/>
        <item x="104"/>
        <item x="225"/>
        <item x="292"/>
        <item x="211"/>
        <item x="288"/>
        <item x="273"/>
        <item x="131"/>
        <item x="201"/>
        <item x="202"/>
        <item x="151"/>
        <item x="165"/>
        <item x="44"/>
        <item x="184"/>
        <item x="168"/>
        <item x="199"/>
        <item x="306"/>
        <item x="196"/>
        <item x="310"/>
        <item x="108"/>
        <item x="33"/>
        <item x="218"/>
        <item x="88"/>
        <item x="113"/>
        <item x="77"/>
        <item x="174"/>
        <item x="232"/>
        <item x="135"/>
        <item x="285"/>
        <item x="313"/>
        <item x="62"/>
        <item x="187"/>
        <item x="255"/>
        <item x="86"/>
        <item x="18"/>
        <item x="85"/>
        <item x="159"/>
        <item x="163"/>
        <item x="79"/>
        <item x="32"/>
        <item x="64"/>
        <item x="191"/>
        <item x="271"/>
        <item x="94"/>
        <item x="297"/>
        <item x="1"/>
        <item x="300"/>
        <item m="1" x="371"/>
        <item x="59"/>
        <item x="176"/>
        <item x="229"/>
        <item x="147"/>
        <item x="28"/>
        <item x="221"/>
        <item x="110"/>
        <item x="172"/>
        <item x="279"/>
        <item x="305"/>
        <item x="183"/>
        <item x="100"/>
        <item x="48"/>
        <item x="312"/>
        <item x="302"/>
        <item x="299"/>
        <item m="1" x="373"/>
        <item x="20"/>
        <item x="267"/>
        <item x="286"/>
        <item x="233"/>
        <item x="139"/>
        <item x="95"/>
        <item x="56"/>
        <item x="105"/>
        <item x="106"/>
        <item x="158"/>
        <item x="146"/>
        <item x="10"/>
        <item x="244"/>
        <item x="16"/>
        <item x="237"/>
        <item x="216"/>
        <item x="114"/>
        <item x="270"/>
        <item m="1" x="368"/>
        <item x="197"/>
        <item x="188"/>
        <item x="144"/>
        <item x="249"/>
        <item x="160"/>
        <item x="289"/>
        <item x="143"/>
        <item x="277"/>
        <item x="276"/>
        <item x="153"/>
        <item x="253"/>
        <item x="294"/>
        <item x="14"/>
        <item x="245"/>
        <item x="12"/>
        <item x="203"/>
        <item x="142"/>
        <item x="11"/>
        <item x="248"/>
        <item x="15"/>
        <item x="84"/>
        <item x="83"/>
        <item x="24"/>
        <item x="122"/>
        <item x="124"/>
        <item x="115"/>
        <item x="303"/>
        <item x="97"/>
        <item x="205"/>
        <item x="66"/>
        <item x="175"/>
        <item x="256"/>
        <item x="149"/>
        <item x="74"/>
        <item x="136"/>
        <item x="287"/>
        <item x="177"/>
        <item x="42"/>
        <item x="284"/>
        <item x="129"/>
        <item x="54"/>
        <item x="126"/>
        <item m="1" x="372"/>
        <item x="219"/>
        <item x="155"/>
        <item x="298"/>
        <item x="111"/>
        <item x="204"/>
        <item x="252"/>
        <item x="280"/>
        <item x="161"/>
        <item x="50"/>
        <item x="51"/>
        <item x="47"/>
        <item x="264"/>
        <item x="145"/>
        <item x="311"/>
        <item x="173"/>
        <item x="275"/>
        <item x="314"/>
        <item x="63"/>
        <item x="76"/>
        <item x="226"/>
        <item x="170"/>
        <item x="148"/>
        <item x="65"/>
        <item x="157"/>
        <item x="263"/>
        <item x="78"/>
        <item x="307"/>
        <item x="269"/>
        <item x="291"/>
        <item x="290"/>
        <item m="1" x="369"/>
        <item x="26"/>
        <item x="127"/>
        <item x="169"/>
        <item x="182"/>
        <item x="207"/>
        <item x="260"/>
        <item x="261"/>
        <item x="239"/>
        <item x="257"/>
        <item x="246"/>
        <item x="301"/>
        <item x="99"/>
        <item x="296"/>
        <item x="138"/>
        <item x="60"/>
        <item x="190"/>
        <item x="112"/>
        <item x="38"/>
        <item x="81"/>
        <item x="156"/>
        <item x="134"/>
        <item x="265"/>
        <item x="101"/>
        <item x="103"/>
        <item x="295"/>
        <item x="72"/>
        <item x="318"/>
        <item x="90"/>
        <item x="304"/>
        <item x="242"/>
        <item x="212"/>
        <item x="210"/>
        <item x="92"/>
        <item x="91"/>
        <item x="250"/>
        <item x="167"/>
        <item x="243"/>
        <item x="3"/>
        <item x="87"/>
        <item x="308"/>
        <item x="117"/>
        <item x="119"/>
        <item x="227"/>
        <item x="234"/>
        <item x="181"/>
        <item x="178"/>
        <item x="116"/>
        <item x="141"/>
        <item x="309"/>
        <item x="67"/>
        <item x="70"/>
        <item x="266"/>
        <item x="55"/>
        <item x="179"/>
        <item x="220"/>
        <item x="137"/>
        <item x="39"/>
        <item x="5"/>
        <item x="236"/>
        <item x="82"/>
        <item x="21"/>
        <item x="214"/>
        <item x="6"/>
        <item x="193"/>
        <item x="281"/>
        <item x="41"/>
        <item x="89"/>
        <item x="35"/>
        <item x="17"/>
        <item x="107"/>
        <item x="283"/>
        <item x="195"/>
        <item x="186"/>
        <item x="228"/>
        <item x="215"/>
        <item x="4"/>
        <item x="34"/>
        <item x="209"/>
        <item x="29"/>
        <item x="40"/>
        <item x="46"/>
        <item x="31"/>
        <item x="180"/>
        <item x="73"/>
        <item x="223"/>
        <item x="75"/>
        <item x="68"/>
        <item x="49"/>
        <item x="189"/>
        <item x="222"/>
        <item x="247"/>
        <item x="43"/>
        <item x="36"/>
        <item x="213"/>
        <item x="272"/>
        <item x="98"/>
        <item x="133"/>
        <item x="154"/>
        <item x="259"/>
        <item x="121"/>
        <item x="53"/>
        <item x="96"/>
        <item x="130"/>
        <item x="2"/>
        <item x="241"/>
        <item x="282"/>
        <item x="166"/>
        <item x="37"/>
        <item x="93"/>
        <item x="128"/>
        <item x="321"/>
        <item x="322"/>
        <item x="325"/>
        <item x="328"/>
        <item x="326"/>
        <item x="327"/>
        <item x="319"/>
        <item x="324"/>
        <item x="323"/>
        <item x="329"/>
        <item x="331"/>
        <item x="333"/>
        <item x="345"/>
        <item x="334"/>
        <item x="335"/>
        <item x="336"/>
        <item x="337"/>
        <item x="338"/>
        <item x="339"/>
        <item x="346"/>
        <item x="340"/>
        <item x="341"/>
        <item x="342"/>
        <item x="343"/>
        <item x="332"/>
        <item x="330"/>
        <item x="344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2">
        <item x="4"/>
        <item x="1"/>
        <item x="21"/>
        <item x="24"/>
        <item x="43"/>
        <item x="2"/>
        <item x="65"/>
        <item x="34"/>
        <item x="39"/>
        <item x="56"/>
        <item x="16"/>
        <item m="1" x="79"/>
        <item x="7"/>
        <item m="1" x="81"/>
        <item m="1" x="75"/>
        <item x="50"/>
        <item x="18"/>
        <item x="10"/>
        <item x="48"/>
        <item m="1" x="78"/>
        <item x="0"/>
        <item x="3"/>
        <item x="37"/>
        <item x="27"/>
        <item x="32"/>
        <item x="66"/>
        <item x="25"/>
        <item x="20"/>
        <item x="49"/>
        <item x="31"/>
        <item x="42"/>
        <item x="6"/>
        <item x="22"/>
        <item x="59"/>
        <item x="9"/>
        <item x="36"/>
        <item m="1" x="74"/>
        <item x="52"/>
        <item x="51"/>
        <item x="41"/>
        <item x="47"/>
        <item x="38"/>
        <item x="17"/>
        <item x="53"/>
        <item x="40"/>
        <item x="46"/>
        <item x="26"/>
        <item x="35"/>
        <item x="28"/>
        <item m="1" x="80"/>
        <item x="30"/>
        <item x="67"/>
        <item x="57"/>
        <item x="60"/>
        <item m="1" x="76"/>
        <item x="55"/>
        <item x="54"/>
        <item x="29"/>
        <item x="33"/>
        <item m="1" x="77"/>
        <item x="14"/>
        <item x="12"/>
        <item x="61"/>
        <item x="5"/>
        <item x="11"/>
        <item x="64"/>
        <item x="15"/>
        <item x="63"/>
        <item x="44"/>
        <item x="23"/>
        <item x="58"/>
        <item x="19"/>
        <item m="1" x="73"/>
        <item x="45"/>
        <item x="62"/>
        <item x="8"/>
        <item x="13"/>
        <item m="1" x="72"/>
        <item x="69"/>
        <item x="68"/>
        <item x="70"/>
        <item x="7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8">
        <item x="18"/>
        <item x="34"/>
        <item x="15"/>
        <item x="1"/>
        <item x="6"/>
        <item x="2"/>
        <item m="1" x="46"/>
        <item m="1" x="47"/>
        <item x="28"/>
        <item x="14"/>
        <item x="13"/>
        <item x="20"/>
        <item x="11"/>
        <item x="19"/>
        <item x="27"/>
        <item x="10"/>
        <item x="26"/>
        <item x="0"/>
        <item x="3"/>
        <item x="29"/>
        <item x="35"/>
        <item x="17"/>
        <item x="32"/>
        <item x="7"/>
        <item x="4"/>
        <item x="5"/>
        <item x="9"/>
        <item x="12"/>
        <item x="31"/>
        <item x="23"/>
        <item x="30"/>
        <item x="21"/>
        <item x="25"/>
        <item x="8"/>
        <item x="22"/>
        <item x="24"/>
        <item x="36"/>
        <item x="37"/>
        <item x="16"/>
        <item x="33"/>
        <item m="1" x="45"/>
        <item x="40"/>
        <item x="41"/>
        <item x="42"/>
        <item x="38"/>
        <item x="39"/>
        <item x="43"/>
        <item x="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h="1" x="0"/>
        <item m="1" x="6"/>
        <item h="1" x="1"/>
        <item h="1" x="2"/>
        <item h="1" m="1" x="3"/>
        <item h="1" m="1" x="5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9">
        <item h="1" m="1" x="6"/>
        <item h="1" m="1" x="7"/>
        <item h="1" m="1" x="8"/>
        <item h="1" x="0"/>
        <item x="1"/>
        <item h="1" x="2"/>
        <item h="1" x="3"/>
        <item h="1" x="4"/>
        <item h="1"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">
        <item h="1" m="1" x="3"/>
        <item x="1"/>
        <item h="1" m="1" x="4"/>
        <item h="1" x="0"/>
        <item h="1" m="1" x="5"/>
        <item h="1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6">
    <field x="7"/>
    <field x="14"/>
    <field x="15"/>
    <field x="11"/>
    <field x="3"/>
    <field x="4"/>
  </rowFields>
  <rowItems count="1"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CANT. " fld="5" baseField="0" baseItem="0"/>
    <dataField name=" VALORIZADO" fld="20" baseField="0" baseItem="0" numFmtId="164"/>
  </dataFields>
  <formats count="23">
    <format dxfId="2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89">
      <pivotArea type="all" dataOnly="0" outline="0" fieldPosition="0"/>
    </format>
    <format dxfId="288">
      <pivotArea outline="0" collapsedLevelsAreSubtotals="1" fieldPosition="0"/>
    </format>
    <format dxfId="287">
      <pivotArea field="7" type="button" dataOnly="0" labelOnly="1" outline="0" axis="axisRow" fieldPosition="0"/>
    </format>
    <format dxfId="286">
      <pivotArea field="3" type="button" dataOnly="0" labelOnly="1" outline="0" axis="axisRow" fieldPosition="4"/>
    </format>
    <format dxfId="285">
      <pivotArea field="4" type="button" dataOnly="0" labelOnly="1" outline="0" axis="axisRow" fieldPosition="5"/>
    </format>
    <format dxfId="284">
      <pivotArea dataOnly="0" labelOnly="1" outline="0" fieldPosition="0">
        <references count="1">
          <reference field="7" count="1">
            <x v="0"/>
          </reference>
        </references>
      </pivotArea>
    </format>
    <format dxfId="283">
      <pivotArea dataOnly="0" labelOnly="1" grandRow="1" outline="0" fieldPosition="0"/>
    </format>
    <format dxfId="282">
      <pivotArea dataOnly="0" labelOnly="1" outline="0" fieldPosition="0">
        <references count="2">
          <reference field="3" count="2">
            <x v="175"/>
            <x v="243"/>
          </reference>
          <reference field="7" count="1" selected="0">
            <x v="0"/>
          </reference>
        </references>
      </pivotArea>
    </format>
    <format dxfId="281">
      <pivotArea dataOnly="0" labelOnly="1" outline="0" fieldPosition="0">
        <references count="3">
          <reference field="3" count="1" selected="0">
            <x v="175"/>
          </reference>
          <reference field="4" count="1">
            <x v="2"/>
          </reference>
          <reference field="7" count="1" selected="0">
            <x v="0"/>
          </reference>
        </references>
      </pivotArea>
    </format>
    <format dxfId="280">
      <pivotArea dataOnly="0" labelOnly="1" outline="0" fieldPosition="0">
        <references count="3">
          <reference field="3" count="1" selected="0">
            <x v="243"/>
          </reference>
          <reference field="4" count="1">
            <x v="36"/>
          </reference>
          <reference field="7" count="1" selected="0">
            <x v="0"/>
          </reference>
        </references>
      </pivotArea>
    </format>
    <format dxfId="27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78">
      <pivotArea type="all" dataOnly="0" outline="0" fieldPosition="0"/>
    </format>
    <format dxfId="277">
      <pivotArea outline="0" collapsedLevelsAreSubtotals="1" fieldPosition="0"/>
    </format>
    <format dxfId="276">
      <pivotArea field="7" type="button" dataOnly="0" labelOnly="1" outline="0" axis="axisRow" fieldPosition="0"/>
    </format>
    <format dxfId="275">
      <pivotArea field="3" type="button" dataOnly="0" labelOnly="1" outline="0" axis="axisRow" fieldPosition="4"/>
    </format>
    <format dxfId="274">
      <pivotArea field="4" type="button" dataOnly="0" labelOnly="1" outline="0" axis="axisRow" fieldPosition="5"/>
    </format>
    <format dxfId="273">
      <pivotArea dataOnly="0" labelOnly="1" outline="0" fieldPosition="0">
        <references count="1">
          <reference field="7" count="1">
            <x v="0"/>
          </reference>
        </references>
      </pivotArea>
    </format>
    <format dxfId="272">
      <pivotArea dataOnly="0" labelOnly="1" grandRow="1" outline="0" fieldPosition="0"/>
    </format>
    <format dxfId="271">
      <pivotArea dataOnly="0" labelOnly="1" outline="0" fieldPosition="0">
        <references count="2">
          <reference field="3" count="2">
            <x v="175"/>
            <x v="243"/>
          </reference>
          <reference field="7" count="1" selected="0">
            <x v="0"/>
          </reference>
        </references>
      </pivotArea>
    </format>
    <format dxfId="270">
      <pivotArea dataOnly="0" labelOnly="1" outline="0" fieldPosition="0">
        <references count="3">
          <reference field="3" count="1" selected="0">
            <x v="175"/>
          </reference>
          <reference field="4" count="1">
            <x v="2"/>
          </reference>
          <reference field="7" count="1" selected="0">
            <x v="0"/>
          </reference>
        </references>
      </pivotArea>
    </format>
    <format dxfId="269">
      <pivotArea dataOnly="0" labelOnly="1" outline="0" fieldPosition="0">
        <references count="3">
          <reference field="3" count="1" selected="0">
            <x v="243"/>
          </reference>
          <reference field="4" count="1">
            <x v="36"/>
          </reference>
          <reference field="7" count="1" selected="0">
            <x v="0"/>
          </reference>
        </references>
      </pivotArea>
    </format>
    <format dxfId="26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5000000}" name="TablaDiná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73">
  <location ref="AK3:AM23" firstHeaderRow="0" firstDataRow="1" firstDataCol="1" rowPageCount="1" colPageCount="1"/>
  <pivotFields count="25">
    <pivotField numFmtId="16"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/>
    <pivotField showAll="0"/>
    <pivotField axis="axisRow" showAll="0" sortType="descending">
      <items count="83">
        <item x="24"/>
        <item x="34"/>
        <item x="7"/>
        <item x="50"/>
        <item x="48"/>
        <item m="1" x="78"/>
        <item x="3"/>
        <item x="37"/>
        <item x="27"/>
        <item x="32"/>
        <item x="25"/>
        <item x="49"/>
        <item x="31"/>
        <item x="42"/>
        <item x="36"/>
        <item m="1" x="74"/>
        <item x="47"/>
        <item x="38"/>
        <item x="40"/>
        <item x="46"/>
        <item x="26"/>
        <item x="35"/>
        <item m="1" x="80"/>
        <item m="1" x="76"/>
        <item m="1" x="77"/>
        <item x="14"/>
        <item x="11"/>
        <item x="45"/>
        <item h="1" x="4"/>
        <item x="0"/>
        <item x="1"/>
        <item x="2"/>
        <item x="5"/>
        <item x="6"/>
        <item x="8"/>
        <item x="9"/>
        <item x="10"/>
        <item x="12"/>
        <item x="13"/>
        <item x="15"/>
        <item x="16"/>
        <item x="17"/>
        <item x="18"/>
        <item x="19"/>
        <item x="20"/>
        <item x="21"/>
        <item x="23"/>
        <item x="28"/>
        <item x="29"/>
        <item x="30"/>
        <item x="33"/>
        <item m="1" x="73"/>
        <item x="39"/>
        <item x="41"/>
        <item x="43"/>
        <item x="44"/>
        <item m="1" x="75"/>
        <item m="1" x="72"/>
        <item x="51"/>
        <item x="22"/>
        <item h="1" m="1" x="81"/>
        <item x="53"/>
        <item h="1" x="54"/>
        <item h="1" x="57"/>
        <item h="1" x="55"/>
        <item h="1" x="56"/>
        <item h="1" x="52"/>
        <item x="58"/>
        <item h="1" m="1" x="79"/>
        <item h="1" x="59"/>
        <item h="1" x="62"/>
        <item h="1" x="60"/>
        <item h="1" x="66"/>
        <item h="1" x="61"/>
        <item h="1" x="65"/>
        <item h="1" x="64"/>
        <item h="1" x="63"/>
        <item h="1" x="67"/>
        <item h="1" x="69"/>
        <item h="1" x="68"/>
        <item h="1" x="70"/>
        <item h="1" x="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/>
    <pivotField showAll="0"/>
    <pivotField showAll="0"/>
    <pivotField showAll="0"/>
    <pivotField showAll="0"/>
    <pivotField showAll="0"/>
    <pivotField axis="axisPage" multipleItemSelectionAllowed="1" showAll="0" defaultSubtotal="0">
      <items count="153">
        <item h="1" x="1"/>
        <item x="0"/>
        <item h="1" m="1" x="88"/>
        <item h="1" m="1" x="106"/>
        <item h="1" m="1" x="81"/>
        <item h="1" m="1" x="137"/>
        <item h="1" m="1" x="51"/>
        <item h="1" m="1" x="120"/>
        <item h="1" m="1" x="47"/>
        <item h="1" m="1" x="127"/>
        <item h="1" m="1" x="84"/>
        <item h="1" m="1" x="17"/>
        <item h="1" m="1" x="125"/>
        <item h="1" m="1" x="25"/>
        <item h="1" m="1" x="48"/>
        <item h="1" m="1" x="7"/>
        <item h="1" m="1" x="40"/>
        <item h="1" m="1" x="16"/>
        <item h="1" m="1" x="117"/>
        <item h="1" m="1" x="8"/>
        <item h="1" m="1" x="42"/>
        <item h="1" m="1" x="34"/>
        <item h="1" m="1" x="50"/>
        <item h="1" m="1" x="35"/>
        <item h="1" m="1" x="18"/>
        <item h="1" m="1" x="94"/>
        <item h="1" m="1" x="105"/>
        <item h="1" m="1" x="5"/>
        <item h="1" m="1" x="41"/>
        <item h="1" m="1" x="114"/>
        <item h="1" m="1" x="33"/>
        <item h="1" m="1" x="138"/>
        <item h="1" m="1" x="82"/>
        <item h="1" m="1" x="86"/>
        <item h="1" m="1" x="49"/>
        <item h="1" m="1" x="21"/>
        <item h="1" m="1" x="128"/>
        <item h="1" m="1" x="77"/>
        <item h="1" m="1" x="68"/>
        <item h="1" m="1" x="59"/>
        <item h="1" m="1" x="100"/>
        <item h="1" m="1" x="63"/>
        <item h="1" m="1" x="135"/>
        <item h="1" m="1" x="110"/>
        <item h="1" m="1" x="103"/>
        <item h="1" m="1" x="119"/>
        <item h="1" m="1" x="65"/>
        <item h="1" m="1" x="44"/>
        <item h="1" m="1" x="56"/>
        <item h="1" m="1" x="80"/>
        <item h="1" m="1" x="102"/>
        <item h="1" m="1" x="79"/>
        <item h="1" m="1" x="62"/>
        <item h="1" m="1" x="53"/>
        <item h="1" m="1" x="139"/>
        <item h="1" m="1" x="29"/>
        <item h="1" m="1" x="31"/>
        <item h="1" m="1" x="124"/>
        <item h="1" m="1" x="72"/>
        <item h="1" m="1" x="55"/>
        <item h="1" m="1" x="150"/>
        <item h="1" m="1" x="71"/>
        <item h="1" m="1" x="134"/>
        <item h="1" m="1" x="140"/>
        <item h="1" m="1" x="112"/>
        <item h="1" m="1" x="143"/>
        <item h="1" m="1" x="149"/>
        <item h="1" m="1" x="144"/>
        <item h="1" m="1" x="19"/>
        <item h="1" m="1" x="57"/>
        <item h="1" m="1" x="109"/>
        <item h="1" m="1" x="28"/>
        <item h="1" m="1" x="6"/>
        <item h="1" m="1" x="60"/>
        <item h="1" m="1" x="151"/>
        <item h="1" m="1" x="108"/>
        <item h="1" m="1" x="97"/>
        <item h="1" m="1" x="14"/>
        <item h="1" m="1" x="26"/>
        <item h="1" m="1" x="136"/>
        <item h="1" m="1" x="95"/>
        <item h="1" m="1" x="87"/>
        <item h="1" m="1" x="70"/>
        <item h="1" m="1" x="45"/>
        <item h="1" m="1" x="3"/>
        <item h="1" m="1" x="66"/>
        <item h="1" m="1" x="123"/>
        <item h="1" m="1" x="46"/>
        <item h="1" m="1" x="13"/>
        <item h="1" m="1" x="129"/>
        <item h="1" m="1" x="61"/>
        <item h="1" m="1" x="37"/>
        <item h="1" m="1" x="96"/>
        <item h="1" m="1" x="15"/>
        <item h="1" m="1" x="104"/>
        <item h="1" m="1" x="78"/>
        <item h="1" m="1" x="24"/>
        <item h="1" m="1" x="146"/>
        <item h="1" m="1" x="122"/>
        <item h="1" m="1" x="116"/>
        <item h="1" m="1" x="52"/>
        <item h="1" m="1" x="27"/>
        <item h="1" m="1" x="64"/>
        <item h="1" m="1" x="76"/>
        <item h="1" m="1" x="58"/>
        <item h="1" m="1" x="142"/>
        <item h="1" m="1" x="152"/>
        <item h="1" m="1" x="99"/>
        <item h="1" m="1" x="101"/>
        <item h="1" m="1" x="89"/>
        <item h="1" m="1" x="126"/>
        <item h="1" m="1" x="93"/>
        <item h="1" m="1" x="85"/>
        <item h="1" m="1" x="36"/>
        <item h="1" m="1" x="141"/>
        <item h="1" m="1" x="11"/>
        <item h="1" m="1" x="115"/>
        <item h="1" m="1" x="111"/>
        <item h="1" m="1" x="131"/>
        <item h="1" m="1" x="10"/>
        <item h="1" m="1" x="38"/>
        <item h="1" m="1" x="107"/>
        <item h="1" m="1" x="75"/>
        <item h="1" m="1" x="132"/>
        <item h="1" m="1" x="130"/>
        <item h="1" m="1" x="148"/>
        <item h="1" m="1" x="32"/>
        <item h="1" m="1" x="43"/>
        <item h="1" m="1" x="30"/>
        <item h="1" m="1" x="98"/>
        <item h="1" m="1" x="133"/>
        <item h="1" m="1" x="90"/>
        <item h="1" m="1" x="23"/>
        <item h="1" m="1" x="145"/>
        <item h="1" m="1" x="121"/>
        <item h="1" m="1" x="92"/>
        <item h="1" m="1" x="113"/>
        <item h="1" m="1" x="118"/>
        <item h="1" m="1" x="4"/>
        <item h="1" m="1" x="73"/>
        <item h="1" m="1" x="147"/>
        <item h="1" m="1" x="83"/>
        <item h="1" m="1" x="22"/>
        <item h="1" m="1" x="69"/>
        <item h="1" m="1" x="9"/>
        <item h="1" m="1" x="54"/>
        <item h="1" m="1" x="2"/>
        <item h="1" m="1" x="74"/>
        <item h="1" m="1" x="12"/>
        <item h="1" m="1" x="39"/>
        <item h="1" m="1" x="91"/>
        <item h="1" m="1" x="20"/>
        <item h="1" m="1" x="67"/>
      </items>
    </pivotField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Fields count="1">
    <field x="11"/>
  </rowFields>
  <rowItems count="20">
    <i>
      <x v="14"/>
    </i>
    <i>
      <x/>
    </i>
    <i>
      <x v="1"/>
    </i>
    <i>
      <x v="9"/>
    </i>
    <i>
      <x v="16"/>
    </i>
    <i>
      <x v="3"/>
    </i>
    <i>
      <x v="58"/>
    </i>
    <i>
      <x v="17"/>
    </i>
    <i>
      <x v="4"/>
    </i>
    <i>
      <x v="18"/>
    </i>
    <i>
      <x v="6"/>
    </i>
    <i>
      <x v="21"/>
    </i>
    <i>
      <x v="19"/>
    </i>
    <i>
      <x v="10"/>
    </i>
    <i>
      <x v="27"/>
    </i>
    <i>
      <x v="11"/>
    </i>
    <i>
      <x v="6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pageFields count="1">
    <pageField fld="19" hier="-1"/>
  </pageFields>
  <dataFields count="2">
    <dataField name="Cuenta de CODIGO" fld="3" subtotal="count" baseField="10" baseItem="27" numFmtId="1"/>
    <dataField name="Suma de VALORIZADO" fld="20" baseField="0" baseItem="0" numFmtId="164"/>
  </dataFields>
  <formats count="11">
    <format dxfId="301">
      <pivotArea outline="0" collapsedLevelsAreSubtotals="1" fieldPosition="0"/>
    </format>
    <format dxfId="30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9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1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2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laDinámica1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W3:Y4" firstHeaderRow="0" firstDataRow="1" firstDataCol="0" rowPageCount="1" colPageCount="1"/>
  <pivotFields count="25">
    <pivotField numFmtId="16" showAll="0"/>
    <pivotField showAll="0"/>
    <pivotField showAll="0"/>
    <pivotField dataField="1" showAll="0"/>
    <pivotField showAll="0"/>
    <pivotField dataField="1"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axis="axisPage" multipleItemSelectionAllowed="1" showAll="0">
      <items count="8">
        <item h="1" x="0"/>
        <item x="1"/>
        <item x="2"/>
        <item h="1" m="1" x="3"/>
        <item m="1" x="5"/>
        <item h="1" m="1" x="4"/>
        <item h="1" m="1" x="6"/>
        <item t="default"/>
      </items>
    </pivotField>
    <pivotField showAll="0"/>
    <pivotField showAll="0"/>
    <pivotField showAll="0"/>
    <pivotField showAll="0"/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Items count="1">
    <i/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Cuenta de CODIGO" fld="3" subtotal="count" baseField="0" baseItem="0"/>
    <dataField name="Suma de CANTIDAD" fld="5" baseField="0" baseItem="0"/>
    <dataField name="Suma de VALORIZADO" fld="20" baseField="0" baseItem="0" numFmtId="164"/>
  </dataFields>
  <formats count="1">
    <format dxfId="30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4000000}" name="TablaDinámica4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M3:M4" firstHeaderRow="1" firstDataRow="1" firstDataCol="0" rowPageCount="1" colPageCount="1"/>
  <pivotFields count="25"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axis="axisPage" multipleItemSelectionAllowed="1" showAll="0">
      <items count="8">
        <item h="1" x="0"/>
        <item x="1"/>
        <item x="2"/>
        <item h="1" m="1" x="3"/>
        <item h="1" m="1" x="5"/>
        <item h="1" m="1" x="4"/>
        <item h="1" m="1" x="6"/>
        <item t="default"/>
      </items>
    </pivotField>
    <pivotField showAll="0"/>
    <pivotField showAll="0"/>
    <pivotField showAll="0"/>
    <pivotField showAll="0" defaultSubtotal="0"/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Items count="1">
    <i/>
  </rowItems>
  <colItems count="1">
    <i/>
  </colItems>
  <pageFields count="1">
    <pageField fld="15" hier="-1"/>
  </pageFields>
  <dataFields count="1">
    <dataField name="Suma de VALORIZADO" fld="20" baseField="0" baseItem="0" numFmtId="164"/>
  </dataFields>
  <formats count="1">
    <format dxfId="30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6000000}" name="TablaDinámica1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BT3:BT6" firstHeaderRow="1" firstDataRow="1" firstDataCol="1" rowPageCount="1" colPageCount="1"/>
  <pivotFields count="25"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axis="axisPage" showAll="0">
      <items count="10">
        <item m="1" x="6"/>
        <item m="1" x="7"/>
        <item m="1" x="5"/>
        <item m="1" x="8"/>
        <item x="0"/>
        <item x="1"/>
        <item x="2"/>
        <item x="3"/>
        <item x="4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axis="axisRow" showAll="0" defaultSubtotal="0">
      <items count="3">
        <item x="1"/>
        <item m="1" x="2"/>
        <item x="0"/>
      </items>
    </pivotField>
  </pivotFields>
  <rowFields count="1">
    <field x="24"/>
  </rowFields>
  <rowItems count="3">
    <i>
      <x/>
    </i>
    <i>
      <x v="2"/>
    </i>
    <i t="grand">
      <x/>
    </i>
  </rowItems>
  <colItems count="1">
    <i/>
  </colItems>
  <pageFields count="1">
    <pageField fld="22" item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13000000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compactData="0" multipleFieldFilters="0">
  <location ref="BL5:BR51" firstHeaderRow="0" firstDataRow="1" firstDataCol="5" rowPageCount="3" colPageCount="1"/>
  <pivotFields count="25">
    <pivotField compact="0" numFmtId="16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69">
        <item x="80"/>
        <item x="62"/>
        <item x="33"/>
        <item x="46"/>
        <item x="75"/>
        <item x="68"/>
        <item x="76"/>
        <item x="30"/>
        <item x="57"/>
        <item x="175"/>
        <item x="128"/>
        <item x="156"/>
        <item x="4"/>
        <item x="210"/>
        <item x="49"/>
        <item x="41"/>
        <item x="63"/>
        <item x="88"/>
        <item x="54"/>
        <item x="137"/>
        <item x="45"/>
        <item x="123"/>
        <item x="5"/>
        <item x="82"/>
        <item x="155"/>
        <item x="0"/>
        <item x="140"/>
        <item x="93"/>
        <item x="21"/>
        <item x="160"/>
        <item x="195"/>
        <item x="34"/>
        <item x="52"/>
        <item x="125"/>
        <item x="112"/>
        <item x="89"/>
        <item x="172"/>
        <item x="42"/>
        <item x="119"/>
        <item x="31"/>
        <item x="105"/>
        <item x="106"/>
        <item x="8"/>
        <item x="145"/>
        <item x="48"/>
        <item x="55"/>
        <item x="126"/>
        <item x="151"/>
        <item x="70"/>
        <item x="73"/>
        <item x="25"/>
        <item x="152"/>
        <item x="11"/>
        <item x="35"/>
        <item x="84"/>
        <item x="83"/>
        <item x="166"/>
        <item x="67"/>
        <item x="107"/>
        <item x="113"/>
        <item x="61"/>
        <item x="157"/>
        <item x="165"/>
        <item x="3"/>
        <item x="181"/>
        <item x="147"/>
        <item x="72"/>
        <item x="121"/>
        <item x="154"/>
        <item x="1"/>
        <item x="110"/>
        <item x="134"/>
        <item x="86"/>
        <item x="178"/>
        <item x="97"/>
        <item x="19"/>
        <item x="146"/>
        <item x="10"/>
        <item x="39"/>
        <item x="6"/>
        <item x="158"/>
        <item x="108"/>
        <item x="13"/>
        <item x="74"/>
        <item x="131"/>
        <item x="60"/>
        <item x="111"/>
        <item x="37"/>
        <item x="94"/>
        <item x="148"/>
        <item x="65"/>
        <item x="129"/>
        <item x="127"/>
        <item x="167"/>
        <item x="38"/>
        <item x="58"/>
        <item x="124"/>
        <item x="164"/>
        <item x="133"/>
        <item x="98"/>
        <item x="173"/>
        <item x="59"/>
        <item x="176"/>
        <item x="162"/>
        <item x="29"/>
        <item x="149"/>
        <item x="115"/>
        <item x="81"/>
        <item m="1" x="368"/>
        <item x="130"/>
        <item x="95"/>
        <item x="150"/>
        <item x="90"/>
        <item x="91"/>
        <item x="92"/>
        <item x="120"/>
        <item x="69"/>
        <item x="24"/>
        <item x="122"/>
        <item x="23"/>
        <item x="117"/>
        <item x="44"/>
        <item x="139"/>
        <item x="66"/>
        <item x="96"/>
        <item x="71"/>
        <item x="118"/>
        <item x="22"/>
        <item x="7"/>
        <item x="26"/>
        <item x="53"/>
        <item x="101"/>
        <item x="103"/>
        <item x="138"/>
        <item x="12"/>
        <item x="14"/>
        <item x="27"/>
        <item x="56"/>
        <item x="40"/>
        <item x="15"/>
        <item x="20"/>
        <item x="16"/>
        <item x="144"/>
        <item x="180"/>
        <item x="116"/>
        <item x="141"/>
        <item x="77"/>
        <item x="9"/>
        <item x="78"/>
        <item x="99"/>
        <item m="1" x="366"/>
        <item x="18"/>
        <item x="104"/>
        <item x="100"/>
        <item x="87"/>
        <item x="142"/>
        <item x="79"/>
        <item x="64"/>
        <item x="163"/>
        <item x="32"/>
        <item x="159"/>
        <item x="179"/>
        <item x="2"/>
        <item x="153"/>
        <item x="85"/>
        <item x="114"/>
        <item x="161"/>
        <item x="132"/>
        <item x="109"/>
        <item x="36"/>
        <item x="43"/>
        <item x="143"/>
        <item x="135"/>
        <item x="17"/>
        <item x="28"/>
        <item x="51"/>
        <item x="47"/>
        <item x="50"/>
        <item x="102"/>
        <item x="136"/>
        <item x="177"/>
        <item x="182"/>
        <item x="183"/>
        <item x="174"/>
        <item x="185"/>
        <item x="187"/>
        <item x="188"/>
        <item x="189"/>
        <item x="190"/>
        <item x="186"/>
        <item x="193"/>
        <item x="184"/>
        <item x="168"/>
        <item x="169"/>
        <item x="170"/>
        <item x="171"/>
        <item x="192"/>
        <item x="191"/>
        <item x="200"/>
        <item x="201"/>
        <item x="199"/>
        <item x="194"/>
        <item x="202"/>
        <item x="203"/>
        <item x="204"/>
        <item x="205"/>
        <item x="208"/>
        <item x="209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7"/>
        <item x="232"/>
        <item x="226"/>
        <item x="222"/>
        <item x="228"/>
        <item x="229"/>
        <item x="230"/>
        <item x="254"/>
        <item x="231"/>
        <item x="223"/>
        <item x="224"/>
        <item x="225"/>
        <item x="233"/>
        <item x="235"/>
        <item x="234"/>
        <item x="238"/>
        <item m="1" x="364"/>
        <item x="236"/>
        <item x="198"/>
        <item m="1" x="367"/>
        <item x="196"/>
        <item x="197"/>
        <item x="239"/>
        <item x="240"/>
        <item x="241"/>
        <item x="242"/>
        <item x="243"/>
        <item x="244"/>
        <item x="291"/>
        <item m="1" x="363"/>
        <item x="245"/>
        <item x="237"/>
        <item x="206"/>
        <item x="207"/>
        <item x="246"/>
        <item x="247"/>
        <item x="248"/>
        <item x="249"/>
        <item x="250"/>
        <item x="251"/>
        <item x="252"/>
        <item x="253"/>
        <item x="255"/>
        <item x="256"/>
        <item x="257"/>
        <item x="258"/>
        <item x="259"/>
        <item x="260"/>
        <item x="261"/>
        <item x="262"/>
        <item x="264"/>
        <item x="265"/>
        <item x="271"/>
        <item x="266"/>
        <item x="267"/>
        <item x="268"/>
        <item m="1" x="365"/>
        <item x="269"/>
        <item x="270"/>
        <item x="272"/>
        <item x="273"/>
        <item x="275"/>
        <item x="276"/>
        <item x="280"/>
        <item x="281"/>
        <item x="282"/>
        <item x="297"/>
        <item x="283"/>
        <item x="284"/>
        <item x="285"/>
        <item x="263"/>
        <item x="274"/>
        <item x="277"/>
        <item x="279"/>
        <item x="287"/>
        <item x="292"/>
        <item x="296"/>
        <item x="298"/>
        <item x="299"/>
        <item x="290"/>
        <item x="294"/>
        <item x="300"/>
        <item x="293"/>
        <item x="301"/>
        <item x="295"/>
        <item x="302"/>
        <item x="315"/>
        <item x="288"/>
        <item x="303"/>
        <item x="304"/>
        <item x="305"/>
        <item x="286"/>
        <item x="308"/>
        <item x="306"/>
        <item x="307"/>
        <item x="309"/>
        <item x="310"/>
        <item x="311"/>
        <item x="278"/>
        <item x="312"/>
        <item x="313"/>
        <item x="314"/>
        <item x="289"/>
        <item x="317"/>
        <item x="318"/>
        <item x="319"/>
        <item x="322"/>
        <item x="325"/>
        <item x="323"/>
        <item x="324"/>
        <item x="316"/>
        <item x="321"/>
        <item x="320"/>
        <item x="326"/>
        <item x="328"/>
        <item x="330"/>
        <item x="342"/>
        <item x="331"/>
        <item x="332"/>
        <item x="333"/>
        <item x="334"/>
        <item x="335"/>
        <item x="336"/>
        <item x="343"/>
        <item x="337"/>
        <item x="338"/>
        <item x="339"/>
        <item x="340"/>
        <item x="329"/>
        <item x="327"/>
        <item x="341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374">
        <item x="152"/>
        <item x="80"/>
        <item x="125"/>
        <item x="61"/>
        <item x="164"/>
        <item x="150"/>
        <item x="25"/>
        <item x="69"/>
        <item x="162"/>
        <item x="123"/>
        <item x="58"/>
        <item x="30"/>
        <item x="120"/>
        <item x="102"/>
        <item x="19"/>
        <item x="0"/>
        <item x="8"/>
        <item x="9"/>
        <item x="118"/>
        <item x="71"/>
        <item x="27"/>
        <item x="52"/>
        <item x="23"/>
        <item x="13"/>
        <item x="7"/>
        <item x="22"/>
        <item x="140"/>
        <item x="109"/>
        <item x="132"/>
        <item x="57"/>
        <item x="45"/>
        <item m="1" x="366"/>
        <item x="104"/>
        <item x="211"/>
        <item x="131"/>
        <item x="151"/>
        <item x="165"/>
        <item x="44"/>
        <item x="108"/>
        <item x="33"/>
        <item x="88"/>
        <item x="113"/>
        <item x="77"/>
        <item x="135"/>
        <item x="62"/>
        <item x="86"/>
        <item x="18"/>
        <item x="85"/>
        <item x="159"/>
        <item x="163"/>
        <item x="79"/>
        <item x="32"/>
        <item x="64"/>
        <item x="94"/>
        <item x="1"/>
        <item x="59"/>
        <item x="176"/>
        <item x="147"/>
        <item x="28"/>
        <item x="110"/>
        <item x="172"/>
        <item x="100"/>
        <item x="48"/>
        <item x="20"/>
        <item x="139"/>
        <item x="95"/>
        <item x="56"/>
        <item x="105"/>
        <item x="106"/>
        <item x="158"/>
        <item x="146"/>
        <item x="10"/>
        <item x="16"/>
        <item x="114"/>
        <item x="144"/>
        <item x="160"/>
        <item x="143"/>
        <item x="153"/>
        <item x="14"/>
        <item x="12"/>
        <item x="142"/>
        <item x="11"/>
        <item x="15"/>
        <item x="84"/>
        <item x="83"/>
        <item x="24"/>
        <item x="122"/>
        <item x="124"/>
        <item x="115"/>
        <item x="97"/>
        <item x="66"/>
        <item x="175"/>
        <item x="149"/>
        <item x="74"/>
        <item x="136"/>
        <item x="42"/>
        <item x="129"/>
        <item x="54"/>
        <item x="126"/>
        <item m="1" x="372"/>
        <item x="155"/>
        <item x="111"/>
        <item x="161"/>
        <item x="50"/>
        <item x="51"/>
        <item x="47"/>
        <item x="145"/>
        <item x="173"/>
        <item x="63"/>
        <item x="76"/>
        <item x="148"/>
        <item x="65"/>
        <item x="157"/>
        <item x="78"/>
        <item x="26"/>
        <item x="127"/>
        <item x="99"/>
        <item x="138"/>
        <item x="60"/>
        <item x="112"/>
        <item x="38"/>
        <item x="81"/>
        <item x="156"/>
        <item x="134"/>
        <item x="101"/>
        <item x="103"/>
        <item x="72"/>
        <item x="90"/>
        <item x="92"/>
        <item x="91"/>
        <item x="167"/>
        <item x="3"/>
        <item x="87"/>
        <item x="117"/>
        <item x="119"/>
        <item x="181"/>
        <item x="178"/>
        <item x="116"/>
        <item x="141"/>
        <item x="67"/>
        <item x="70"/>
        <item x="55"/>
        <item x="179"/>
        <item x="137"/>
        <item x="39"/>
        <item x="5"/>
        <item x="82"/>
        <item x="21"/>
        <item x="6"/>
        <item x="41"/>
        <item x="89"/>
        <item x="35"/>
        <item x="17"/>
        <item x="107"/>
        <item x="195"/>
        <item x="4"/>
        <item x="34"/>
        <item x="29"/>
        <item x="40"/>
        <item x="46"/>
        <item x="31"/>
        <item x="180"/>
        <item x="73"/>
        <item x="75"/>
        <item x="68"/>
        <item x="49"/>
        <item x="43"/>
        <item x="36"/>
        <item x="98"/>
        <item x="133"/>
        <item x="154"/>
        <item x="121"/>
        <item x="53"/>
        <item x="96"/>
        <item x="130"/>
        <item x="2"/>
        <item x="166"/>
        <item x="37"/>
        <item x="93"/>
        <item x="128"/>
        <item x="177"/>
        <item x="182"/>
        <item x="183"/>
        <item x="174"/>
        <item x="185"/>
        <item x="187"/>
        <item x="188"/>
        <item x="189"/>
        <item x="190"/>
        <item x="186"/>
        <item x="193"/>
        <item x="184"/>
        <item x="196"/>
        <item x="169"/>
        <item x="170"/>
        <item m="1" x="370"/>
        <item x="168"/>
        <item x="171"/>
        <item x="192"/>
        <item x="191"/>
        <item x="201"/>
        <item x="202"/>
        <item x="200"/>
        <item x="194"/>
        <item x="203"/>
        <item x="204"/>
        <item x="205"/>
        <item x="206"/>
        <item x="209"/>
        <item x="210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8"/>
        <item x="233"/>
        <item x="227"/>
        <item x="223"/>
        <item x="229"/>
        <item x="230"/>
        <item x="231"/>
        <item x="255"/>
        <item x="232"/>
        <item x="224"/>
        <item x="225"/>
        <item x="226"/>
        <item x="234"/>
        <item x="236"/>
        <item x="235"/>
        <item x="239"/>
        <item m="1" x="371"/>
        <item x="237"/>
        <item x="199"/>
        <item m="1" x="367"/>
        <item x="197"/>
        <item x="198"/>
        <item x="240"/>
        <item x="241"/>
        <item x="242"/>
        <item x="243"/>
        <item x="244"/>
        <item x="245"/>
        <item x="293"/>
        <item m="1" x="373"/>
        <item x="246"/>
        <item x="238"/>
        <item x="207"/>
        <item x="208"/>
        <item x="247"/>
        <item x="248"/>
        <item x="249"/>
        <item x="250"/>
        <item x="251"/>
        <item x="252"/>
        <item x="253"/>
        <item x="254"/>
        <item x="256"/>
        <item x="257"/>
        <item x="258"/>
        <item x="259"/>
        <item x="260"/>
        <item x="261"/>
        <item x="262"/>
        <item x="263"/>
        <item x="265"/>
        <item x="266"/>
        <item x="272"/>
        <item x="267"/>
        <item x="268"/>
        <item x="269"/>
        <item m="1" x="369"/>
        <item m="1" x="368"/>
        <item x="271"/>
        <item x="270"/>
        <item x="273"/>
        <item x="274"/>
        <item x="276"/>
        <item x="277"/>
        <item x="281"/>
        <item x="282"/>
        <item x="283"/>
        <item x="299"/>
        <item x="284"/>
        <item x="285"/>
        <item x="286"/>
        <item x="264"/>
        <item x="275"/>
        <item x="278"/>
        <item x="280"/>
        <item x="288"/>
        <item x="289"/>
        <item x="294"/>
        <item x="298"/>
        <item x="300"/>
        <item x="301"/>
        <item x="292"/>
        <item x="296"/>
        <item x="302"/>
        <item x="295"/>
        <item x="303"/>
        <item x="297"/>
        <item x="304"/>
        <item x="318"/>
        <item x="290"/>
        <item x="305"/>
        <item x="306"/>
        <item x="307"/>
        <item x="287"/>
        <item x="310"/>
        <item x="308"/>
        <item x="309"/>
        <item x="311"/>
        <item x="312"/>
        <item x="313"/>
        <item x="279"/>
        <item x="314"/>
        <item x="315"/>
        <item x="316"/>
        <item x="317"/>
        <item x="291"/>
        <item x="320"/>
        <item x="321"/>
        <item x="322"/>
        <item x="325"/>
        <item x="328"/>
        <item x="326"/>
        <item x="327"/>
        <item x="319"/>
        <item x="324"/>
        <item x="323"/>
        <item x="329"/>
        <item x="331"/>
        <item x="333"/>
        <item x="345"/>
        <item x="334"/>
        <item x="335"/>
        <item x="336"/>
        <item x="337"/>
        <item x="338"/>
        <item x="339"/>
        <item x="346"/>
        <item x="340"/>
        <item x="341"/>
        <item x="342"/>
        <item x="343"/>
        <item x="332"/>
        <item x="330"/>
        <item x="344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7">
        <item h="1" x="0"/>
        <item x="1"/>
        <item x="2"/>
        <item h="1" m="1" x="3"/>
        <item h="1" m="1" x="5"/>
        <item h="1" m="1" x="4"/>
        <item h="1"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5"/>
        <item x="1"/>
        <item x="0"/>
        <item x="2"/>
        <item m="1" x="7"/>
        <item x="3"/>
        <item x="6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9">
        <item h="1" m="1" x="6"/>
        <item h="1" m="1" x="7"/>
        <item h="1" m="1" x="8"/>
        <item h="1" m="1" x="5"/>
        <item h="1" x="0"/>
        <item x="1"/>
        <item h="1" x="2"/>
        <item h="1" x="3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6">
        <item h="1" m="1" x="3"/>
        <item x="1"/>
        <item h="1" m="1" x="4"/>
        <item h="1" x="0"/>
        <item h="1" m="1" x="5"/>
        <item h="1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7"/>
    <field x="15"/>
    <field x="17"/>
    <field x="3"/>
    <field x="4"/>
  </rowFields>
  <rowItems count="46">
    <i>
      <x/>
      <x v="1"/>
      <x v="2"/>
      <x v="35"/>
      <x v="150"/>
    </i>
    <i r="3">
      <x v="36"/>
      <x v="60"/>
    </i>
    <i r="3">
      <x v="43"/>
      <x v="106"/>
    </i>
    <i r="3">
      <x v="47"/>
      <x v="35"/>
    </i>
    <i r="3">
      <x v="51"/>
      <x/>
    </i>
    <i r="3">
      <x v="65"/>
      <x v="57"/>
    </i>
    <i r="3">
      <x v="97"/>
      <x v="4"/>
    </i>
    <i r="3">
      <x v="100"/>
      <x v="107"/>
    </i>
    <i r="3">
      <x v="103"/>
      <x v="8"/>
    </i>
    <i r="3">
      <x v="105"/>
      <x v="92"/>
    </i>
    <i r="3">
      <x v="111"/>
      <x v="5"/>
    </i>
    <i r="3">
      <x v="127"/>
      <x v="25"/>
    </i>
    <i r="3">
      <x v="142"/>
      <x v="74"/>
    </i>
    <i r="3">
      <x v="158"/>
      <x v="49"/>
    </i>
    <i r="3">
      <x v="167"/>
      <x v="28"/>
    </i>
    <i r="3">
      <x v="172"/>
      <x v="43"/>
    </i>
    <i r="3">
      <x v="179"/>
      <x v="94"/>
    </i>
    <i r="3">
      <x v="180"/>
      <x v="180"/>
    </i>
    <i r="3">
      <x v="183"/>
      <x v="183"/>
    </i>
    <i r="2">
      <x v="5"/>
      <x v="89"/>
      <x v="110"/>
    </i>
    <i r="3">
      <x v="189"/>
      <x v="189"/>
    </i>
    <i r="3">
      <x v="191"/>
      <x v="191"/>
    </i>
    <i>
      <x v="1"/>
      <x v="2"/>
      <x v="2"/>
      <x v="9"/>
      <x v="91"/>
    </i>
    <i r="3">
      <x v="19"/>
      <x v="143"/>
    </i>
    <i r="3">
      <x v="26"/>
      <x v="26"/>
    </i>
    <i r="3">
      <x v="61"/>
      <x v="112"/>
    </i>
    <i r="3">
      <x v="62"/>
      <x v="36"/>
    </i>
    <i r="3">
      <x v="71"/>
      <x v="123"/>
    </i>
    <i r="3">
      <x v="89"/>
      <x v="110"/>
    </i>
    <i r="3">
      <x v="99"/>
      <x v="168"/>
    </i>
    <i r="3">
      <x v="102"/>
      <x v="56"/>
    </i>
    <i r="3">
      <x v="139"/>
      <x v="82"/>
    </i>
    <i r="3">
      <x v="145"/>
      <x v="138"/>
    </i>
    <i r="3">
      <x v="155"/>
      <x v="80"/>
    </i>
    <i r="3">
      <x v="160"/>
      <x v="48"/>
    </i>
    <i r="3">
      <x v="171"/>
      <x v="76"/>
    </i>
    <i r="3">
      <x v="184"/>
      <x v="184"/>
    </i>
    <i r="3">
      <x v="186"/>
      <x v="186"/>
    </i>
    <i r="3">
      <x v="188"/>
      <x v="188"/>
    </i>
    <i r="3">
      <x v="192"/>
      <x v="196"/>
    </i>
    <i r="3">
      <x v="193"/>
      <x v="193"/>
    </i>
    <i r="3">
      <x v="194"/>
      <x v="194"/>
    </i>
    <i r="2">
      <x v="3"/>
      <x v="24"/>
      <x v="100"/>
    </i>
    <i r="3">
      <x v="93"/>
      <x v="130"/>
    </i>
    <i r="2">
      <x v="7"/>
      <x v="195"/>
      <x v="197"/>
    </i>
    <i t="grand">
      <x/>
    </i>
  </rowItems>
  <colFields count="1">
    <field x="-2"/>
  </colFields>
  <colItems count="2">
    <i>
      <x/>
    </i>
    <i i="1">
      <x v="1"/>
    </i>
  </colItems>
  <pageFields count="3">
    <pageField fld="23" hier="-1"/>
    <pageField fld="22" hier="-1"/>
    <pageField fld="24" hier="-1"/>
  </pageFields>
  <dataFields count="2">
    <dataField name="UND " fld="5" baseField="0" baseItem="0"/>
    <dataField name="VALORIZADO " fld="20" baseField="0" baseItem="0" numFmtId="164"/>
  </dataFields>
  <formats count="37">
    <format dxfId="3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39">
      <pivotArea type="all" dataOnly="0" outline="0" fieldPosition="0"/>
    </format>
    <format dxfId="338">
      <pivotArea outline="0" collapsedLevelsAreSubtotals="1" fieldPosition="0"/>
    </format>
    <format dxfId="337">
      <pivotArea field="15" type="button" dataOnly="0" labelOnly="1" outline="0" axis="axisRow" fieldPosition="1"/>
    </format>
    <format dxfId="336">
      <pivotArea field="3" type="button" dataOnly="0" labelOnly="1" outline="0" axis="axisRow" fieldPosition="3"/>
    </format>
    <format dxfId="335">
      <pivotArea field="4" type="button" dataOnly="0" labelOnly="1" outline="0" axis="axisRow" fieldPosition="4"/>
    </format>
    <format dxfId="334">
      <pivotArea dataOnly="0" labelOnly="1" outline="0" fieldPosition="0">
        <references count="1">
          <reference field="15" count="0"/>
        </references>
      </pivotArea>
    </format>
    <format dxfId="333">
      <pivotArea dataOnly="0" labelOnly="1" grandRow="1" outline="0" fieldPosition="0"/>
    </format>
    <format dxfId="332">
      <pivotArea dataOnly="0" labelOnly="1" outline="0" fieldPosition="0">
        <references count="2">
          <reference field="3" count="5">
            <x v="36"/>
            <x v="97"/>
            <x v="100"/>
            <x v="103"/>
            <x v="158"/>
          </reference>
          <reference field="15" count="1" selected="0">
            <x v="1"/>
          </reference>
        </references>
      </pivotArea>
    </format>
    <format dxfId="331">
      <pivotArea dataOnly="0" labelOnly="1" outline="0" fieldPosition="0">
        <references count="2">
          <reference field="3" count="3">
            <x v="62"/>
            <x v="93"/>
            <x v="160"/>
          </reference>
          <reference field="15" count="1" selected="0">
            <x v="2"/>
          </reference>
        </references>
      </pivotArea>
    </format>
    <format dxfId="330">
      <pivotArea dataOnly="0" labelOnly="1" outline="0" fieldPosition="0">
        <references count="3">
          <reference field="3" count="1" selected="0">
            <x v="36"/>
          </reference>
          <reference field="4" count="1">
            <x v="60"/>
          </reference>
          <reference field="15" count="1" selected="0">
            <x v="1"/>
          </reference>
        </references>
      </pivotArea>
    </format>
    <format dxfId="329">
      <pivotArea dataOnly="0" labelOnly="1" outline="0" fieldPosition="0">
        <references count="3">
          <reference field="3" count="1" selected="0">
            <x v="97"/>
          </reference>
          <reference field="4" count="1">
            <x v="4"/>
          </reference>
          <reference field="15" count="1" selected="0">
            <x v="1"/>
          </reference>
        </references>
      </pivotArea>
    </format>
    <format dxfId="328">
      <pivotArea dataOnly="0" labelOnly="1" outline="0" fieldPosition="0">
        <references count="3">
          <reference field="3" count="1" selected="0">
            <x v="100"/>
          </reference>
          <reference field="4" count="1">
            <x v="107"/>
          </reference>
          <reference field="15" count="1" selected="0">
            <x v="1"/>
          </reference>
        </references>
      </pivotArea>
    </format>
    <format dxfId="327">
      <pivotArea dataOnly="0" labelOnly="1" outline="0" fieldPosition="0">
        <references count="3">
          <reference field="3" count="1" selected="0">
            <x v="103"/>
          </reference>
          <reference field="4" count="1">
            <x v="8"/>
          </reference>
          <reference field="15" count="1" selected="0">
            <x v="1"/>
          </reference>
        </references>
      </pivotArea>
    </format>
    <format dxfId="326">
      <pivotArea dataOnly="0" labelOnly="1" outline="0" fieldPosition="0">
        <references count="3">
          <reference field="3" count="1" selected="0">
            <x v="158"/>
          </reference>
          <reference field="4" count="1">
            <x v="49"/>
          </reference>
          <reference field="15" count="1" selected="0">
            <x v="1"/>
          </reference>
        </references>
      </pivotArea>
    </format>
    <format dxfId="325">
      <pivotArea dataOnly="0" labelOnly="1" outline="0" fieldPosition="0">
        <references count="3">
          <reference field="3" count="1" selected="0">
            <x v="62"/>
          </reference>
          <reference field="4" count="1">
            <x v="36"/>
          </reference>
          <reference field="15" count="1" selected="0">
            <x v="2"/>
          </reference>
        </references>
      </pivotArea>
    </format>
    <format dxfId="324">
      <pivotArea dataOnly="0" labelOnly="1" outline="0" fieldPosition="0">
        <references count="3">
          <reference field="3" count="1" selected="0">
            <x v="93"/>
          </reference>
          <reference field="4" count="1">
            <x v="130"/>
          </reference>
          <reference field="15" count="1" selected="0">
            <x v="2"/>
          </reference>
        </references>
      </pivotArea>
    </format>
    <format dxfId="323">
      <pivotArea dataOnly="0" labelOnly="1" outline="0" fieldPosition="0">
        <references count="3">
          <reference field="3" count="1" selected="0">
            <x v="160"/>
          </reference>
          <reference field="4" count="1">
            <x v="48"/>
          </reference>
          <reference field="15" count="1" selected="0">
            <x v="2"/>
          </reference>
        </references>
      </pivotArea>
    </format>
    <format dxfId="3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1">
      <pivotArea type="all" dataOnly="0" outline="0" fieldPosition="0"/>
    </format>
    <format dxfId="320">
      <pivotArea outline="0" collapsedLevelsAreSubtotals="1" fieldPosition="0"/>
    </format>
    <format dxfId="319">
      <pivotArea field="15" type="button" dataOnly="0" labelOnly="1" outline="0" axis="axisRow" fieldPosition="1"/>
    </format>
    <format dxfId="318">
      <pivotArea field="3" type="button" dataOnly="0" labelOnly="1" outline="0" axis="axisRow" fieldPosition="3"/>
    </format>
    <format dxfId="317">
      <pivotArea field="4" type="button" dataOnly="0" labelOnly="1" outline="0" axis="axisRow" fieldPosition="4"/>
    </format>
    <format dxfId="316">
      <pivotArea dataOnly="0" labelOnly="1" outline="0" fieldPosition="0">
        <references count="1">
          <reference field="15" count="0"/>
        </references>
      </pivotArea>
    </format>
    <format dxfId="315">
      <pivotArea dataOnly="0" labelOnly="1" grandRow="1" outline="0" fieldPosition="0"/>
    </format>
    <format dxfId="314">
      <pivotArea dataOnly="0" labelOnly="1" outline="0" fieldPosition="0">
        <references count="2">
          <reference field="3" count="5">
            <x v="36"/>
            <x v="97"/>
            <x v="100"/>
            <x v="103"/>
            <x v="158"/>
          </reference>
          <reference field="15" count="1" selected="0">
            <x v="1"/>
          </reference>
        </references>
      </pivotArea>
    </format>
    <format dxfId="313">
      <pivotArea dataOnly="0" labelOnly="1" outline="0" fieldPosition="0">
        <references count="2">
          <reference field="3" count="3">
            <x v="62"/>
            <x v="93"/>
            <x v="160"/>
          </reference>
          <reference field="15" count="1" selected="0">
            <x v="2"/>
          </reference>
        </references>
      </pivotArea>
    </format>
    <format dxfId="312">
      <pivotArea dataOnly="0" labelOnly="1" outline="0" fieldPosition="0">
        <references count="3">
          <reference field="3" count="1" selected="0">
            <x v="36"/>
          </reference>
          <reference field="4" count="1">
            <x v="60"/>
          </reference>
          <reference field="15" count="1" selected="0">
            <x v="1"/>
          </reference>
        </references>
      </pivotArea>
    </format>
    <format dxfId="311">
      <pivotArea dataOnly="0" labelOnly="1" outline="0" fieldPosition="0">
        <references count="3">
          <reference field="3" count="1" selected="0">
            <x v="97"/>
          </reference>
          <reference field="4" count="1">
            <x v="4"/>
          </reference>
          <reference field="15" count="1" selected="0">
            <x v="1"/>
          </reference>
        </references>
      </pivotArea>
    </format>
    <format dxfId="310">
      <pivotArea dataOnly="0" labelOnly="1" outline="0" fieldPosition="0">
        <references count="3">
          <reference field="3" count="1" selected="0">
            <x v="100"/>
          </reference>
          <reference field="4" count="1">
            <x v="107"/>
          </reference>
          <reference field="15" count="1" selected="0">
            <x v="1"/>
          </reference>
        </references>
      </pivotArea>
    </format>
    <format dxfId="309">
      <pivotArea dataOnly="0" labelOnly="1" outline="0" fieldPosition="0">
        <references count="3">
          <reference field="3" count="1" selected="0">
            <x v="103"/>
          </reference>
          <reference field="4" count="1">
            <x v="8"/>
          </reference>
          <reference field="15" count="1" selected="0">
            <x v="1"/>
          </reference>
        </references>
      </pivotArea>
    </format>
    <format dxfId="308">
      <pivotArea dataOnly="0" labelOnly="1" outline="0" fieldPosition="0">
        <references count="3">
          <reference field="3" count="1" selected="0">
            <x v="158"/>
          </reference>
          <reference field="4" count="1">
            <x v="49"/>
          </reference>
          <reference field="15" count="1" selected="0">
            <x v="1"/>
          </reference>
        </references>
      </pivotArea>
    </format>
    <format dxfId="307">
      <pivotArea dataOnly="0" labelOnly="1" outline="0" fieldPosition="0">
        <references count="3">
          <reference field="3" count="1" selected="0">
            <x v="62"/>
          </reference>
          <reference field="4" count="1">
            <x v="36"/>
          </reference>
          <reference field="15" count="1" selected="0">
            <x v="2"/>
          </reference>
        </references>
      </pivotArea>
    </format>
    <format dxfId="306">
      <pivotArea dataOnly="0" labelOnly="1" outline="0" fieldPosition="0">
        <references count="3">
          <reference field="3" count="1" selected="0">
            <x v="93"/>
          </reference>
          <reference field="4" count="1">
            <x v="130"/>
          </reference>
          <reference field="15" count="1" selected="0">
            <x v="2"/>
          </reference>
        </references>
      </pivotArea>
    </format>
    <format dxfId="305">
      <pivotArea dataOnly="0" labelOnly="1" outline="0" fieldPosition="0">
        <references count="3">
          <reference field="3" count="1" selected="0">
            <x v="160"/>
          </reference>
          <reference field="4" count="1">
            <x v="48"/>
          </reference>
          <reference field="15" count="1" selected="0">
            <x v="2"/>
          </reference>
        </references>
      </pivotArea>
    </format>
    <format dxfId="30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B000000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BF3:BF4" firstHeaderRow="1" firstDataRow="1" firstDataCol="0" rowPageCount="1" colPageCount="1"/>
  <pivotFields count="25"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axis="axisPage" multipleItemSelectionAllowed="1" showAll="0">
      <items count="8">
        <item h="1" x="0"/>
        <item h="1" x="1"/>
        <item x="2"/>
        <item h="1" m="1" x="3"/>
        <item m="1" x="5"/>
        <item h="1" m="1" x="4"/>
        <item h="1" m="1" x="6"/>
        <item t="default"/>
      </items>
    </pivotField>
    <pivotField showAll="0"/>
    <pivotField showAll="0"/>
    <pivotField showAll="0"/>
    <pivotField showAll="0"/>
    <pivotField dataField="1" numFmtId="164" showAll="0"/>
    <pivotField showAl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Items count="1">
    <i/>
  </rowItems>
  <colItems count="1">
    <i/>
  </colItems>
  <pageFields count="1">
    <pageField fld="15" hier="-1"/>
  </pageFields>
  <dataFields count="1">
    <dataField name="Suma de VALORIZADO" fld="20" baseField="0" baseItem="0" numFmtId="164"/>
  </dataFields>
  <formats count="1">
    <format dxfId="34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7000000}" name="TablaDinámica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 chartFormat="81">
  <location ref="AH1:AI6" firstHeaderRow="1" firstDataRow="1" firstDataCol="1"/>
  <pivotFields count="25"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axis="axisRow" showAll="0" sortType="ascending">
      <items count="20">
        <item m="1" x="11"/>
        <item m="1" x="12"/>
        <item m="1" x="18"/>
        <item m="1" x="16"/>
        <item m="1" x="10"/>
        <item m="1" x="13"/>
        <item m="1" x="14"/>
        <item m="1" x="9"/>
        <item x="1"/>
        <item m="1" x="8"/>
        <item m="1" x="15"/>
        <item x="5"/>
        <item x="0"/>
        <item x="2"/>
        <item m="1" x="7"/>
        <item x="3"/>
        <item x="6"/>
        <item x="4"/>
        <item m="1" x="1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 defaultSubtotal="0"/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Fields count="1">
    <field x="13"/>
  </rowFields>
  <rowItems count="5">
    <i>
      <x v="17"/>
    </i>
    <i>
      <x v="15"/>
    </i>
    <i>
      <x v="13"/>
    </i>
    <i>
      <x v="12"/>
    </i>
    <i t="grand">
      <x/>
    </i>
  </rowItems>
  <colItems count="1">
    <i/>
  </colItems>
  <dataFields count="1">
    <dataField name="Suma de VALORIZADO" fld="20" baseField="0" baseItem="0" numFmtId="164"/>
  </dataFields>
  <formats count="1">
    <format dxfId="342">
      <pivotArea outline="0" collapsedLevelsAreSubtotals="1" fieldPosition="0"/>
    </format>
  </formats>
  <chartFormats count="1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D000000}" name="TablaDiná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outline="1" outlineData="1" multipleFieldFilters="0">
  <location ref="J3:J4" firstHeaderRow="1" firstDataRow="1" firstDataCol="0" rowPageCount="1" colPageCount="1"/>
  <pivotFields count="25">
    <pivotField numFmtId="16"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 defaultSubtotal="0"/>
    <pivotField showAll="0"/>
    <pivotField showAll="0"/>
    <pivotField axis="axisPage" multipleItemSelectionAllowed="1" showAll="0">
      <items count="8">
        <item x="0"/>
        <item h="1" x="1"/>
        <item h="1" x="2"/>
        <item h="1" m="1" x="3"/>
        <item h="1" m="1" x="5"/>
        <item h="1" m="1" x="4"/>
        <item h="1" m="1" x="6"/>
        <item t="default"/>
      </items>
    </pivotField>
    <pivotField showAll="0"/>
    <pivotField showAll="0"/>
    <pivotField showAll="0"/>
    <pivotField showAll="0" defaultSubtotal="0"/>
    <pivotField dataField="1" numFmtId="164" showAll="0"/>
    <pivotField showAll="0" defaultSubtotal="0"/>
    <pivotField showAll="0">
      <items count="10">
        <item h="1" m="1" x="6"/>
        <item h="1" m="1" x="7"/>
        <item h="1" m="1" x="8"/>
        <item h="1" x="0"/>
        <item x="1"/>
        <item h="1" x="2"/>
        <item h="1" x="3"/>
        <item h="1" x="4"/>
        <item h="1" m="1" x="5"/>
        <item t="default"/>
      </items>
    </pivotField>
    <pivotField showAll="0">
      <items count="7">
        <item h="1" m="1" x="3"/>
        <item x="1"/>
        <item h="1" m="1" x="4"/>
        <item h="1" x="0"/>
        <item h="1" m="1" x="5"/>
        <item h="1" m="1" x="2"/>
        <item t="default"/>
      </items>
    </pivotField>
    <pivotField showAll="0" defaultSubtotal="0">
      <items count="3">
        <item x="0"/>
        <item x="1"/>
        <item m="1" x="2"/>
      </items>
    </pivotField>
  </pivotFields>
  <rowItems count="1">
    <i/>
  </rowItems>
  <colItems count="1">
    <i/>
  </colItems>
  <pageFields count="1">
    <pageField fld="15" hier="-1"/>
  </pageFields>
  <dataFields count="1">
    <dataField name="Suma de VALORIZADO" fld="20" baseField="0" baseItem="0" numFmtId="164"/>
  </dataFields>
  <formats count="1">
    <format dxfId="34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1" xr10:uid="{00000000-0013-0000-FFFF-FFFF01000000}" sourceName="MES">
  <pivotTables>
    <pivotTable tabId="3" name="TablaDinámica3"/>
    <pivotTable tabId="3" name="TablaDinámica1"/>
    <pivotTable tabId="3" name="TablaDinámica10"/>
    <pivotTable tabId="3" name="TablaDinámica11"/>
    <pivotTable tabId="3" name="TablaDinámica12"/>
    <pivotTable tabId="3" name="TablaDinámica4"/>
    <pivotTable tabId="3" name="TablaDinámica5"/>
    <pivotTable tabId="3" name="TablaDinámica9"/>
    <pivotTable tabId="3" name="TablaDinámica13"/>
    <pivotTable tabId="3" name="TablaDinámica14"/>
    <pivotTable tabId="3" name="TablaDinámica15"/>
    <pivotTable tabId="3" name="TablaDinámica16"/>
    <pivotTable tabId="3" name="TablaDinámica2"/>
    <pivotTable tabId="3" name="TablaDinámica6"/>
    <pivotTable tabId="3" name="TablaDinámica17"/>
    <pivotTable tabId="3" name="TablaDinámica8"/>
    <pivotTable tabId="3" name="TablaDinámica18"/>
    <pivotTable tabId="3" name="TablaDinámica19"/>
    <pivotTable tabId="3" name="TablaDinámica7"/>
    <pivotTable tabId="3" name="TablaDinámica20"/>
    <pivotTable tabId="3" name="TablaDinámica21"/>
  </pivotTables>
  <data>
    <tabular pivotCacheId="3">
      <items count="9">
        <i x="0"/>
        <i x="1" s="1"/>
        <i x="3"/>
        <i x="6" nd="1"/>
        <i x="7" nd="1"/>
        <i x="8" nd="1"/>
        <i x="2" nd="1"/>
        <i x="4" nd="1"/>
        <i x="5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TATUS_AJUSTE" xr10:uid="{00000000-0013-0000-FFFF-FFFF02000000}" sourceName="STATUS AJUSTE">
  <pivotTables>
    <pivotTable tabId="3" name="TablaDinámica13"/>
    <pivotTable tabId="3" name="TablaDinámica1"/>
    <pivotTable tabId="3" name="TablaDinámica10"/>
    <pivotTable tabId="3" name="TablaDinámica11"/>
    <pivotTable tabId="3" name="TablaDinámica12"/>
    <pivotTable tabId="3" name="TablaDinámica14"/>
    <pivotTable tabId="3" name="TablaDinámica15"/>
    <pivotTable tabId="3" name="TablaDinámica16"/>
    <pivotTable tabId="3" name="TablaDinámica3"/>
    <pivotTable tabId="3" name="TablaDinámica4"/>
    <pivotTable tabId="3" name="TablaDinámica5"/>
    <pivotTable tabId="3" name="TablaDinámica9"/>
    <pivotTable tabId="3" name="TablaDinámica2"/>
    <pivotTable tabId="3" name="TablaDinámica6"/>
    <pivotTable tabId="3" name="TablaDinámica17"/>
    <pivotTable tabId="3" name="TablaDinámica8"/>
    <pivotTable tabId="3" name="TablaDinámica18"/>
    <pivotTable tabId="3" name="TablaDinámica19"/>
    <pivotTable tabId="3" name="TablaDinámica7"/>
    <pivotTable tabId="3" name="TablaDinámica20"/>
    <pivotTable tabId="3" name="TablaDinámica21"/>
  </pivotTables>
  <data>
    <tabular pivotCacheId="3">
      <items count="6">
        <i x="1" s="1"/>
        <i x="0"/>
        <i x="3" nd="1"/>
        <i x="4" nd="1"/>
        <i x="5" nd="1"/>
        <i x="2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QUINCENA" xr10:uid="{00000000-0013-0000-FFFF-FFFF03000000}" sourceName="QUINCENA">
  <pivotTables>
    <pivotTable tabId="3" name="TablaDinámica19"/>
    <pivotTable tabId="3" name="TablaDinámica1"/>
    <pivotTable tabId="3" name="TablaDinámica10"/>
    <pivotTable tabId="3" name="TablaDinámica11"/>
    <pivotTable tabId="3" name="TablaDinámica12"/>
    <pivotTable tabId="3" name="TablaDinámica13"/>
    <pivotTable tabId="3" name="TablaDinámica14"/>
    <pivotTable tabId="3" name="TablaDinámica15"/>
    <pivotTable tabId="3" name="TablaDinámica16"/>
    <pivotTable tabId="3" name="TablaDinámica17"/>
    <pivotTable tabId="3" name="TablaDinámica18"/>
    <pivotTable tabId="3" name="TablaDinámica2"/>
    <pivotTable tabId="3" name="TablaDinámica3"/>
    <pivotTable tabId="3" name="TablaDinámica4"/>
    <pivotTable tabId="3" name="TablaDinámica5"/>
    <pivotTable tabId="3" name="TablaDinámica6"/>
    <pivotTable tabId="3" name="TablaDinámica7"/>
    <pivotTable tabId="3" name="TablaDinámica8"/>
    <pivotTable tabId="3" name="TablaDinámica9"/>
    <pivotTable tabId="3" name="TablaDinámica20"/>
    <pivotTable tabId="3" name="TablaDinámica21"/>
  </pivotTables>
  <data>
    <tabular pivotCacheId="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 1" xr10:uid="{00000000-0014-0000-FFFF-FFFF01000000}" cache="SegmentaciónDeDatos_MES1" caption="MES" startItem="1" rowHeight="241300"/>
  <slicer name="STATUS AJUSTE" xr10:uid="{00000000-0014-0000-FFFF-FFFF02000000}" cache="SegmentaciónDeDatos_STATUS_AJUSTE" caption="STATUS AJUSTE" rowHeight="241300"/>
  <slicer name="QUINCENA" xr10:uid="{00000000-0014-0000-FFFF-FFFF03000000}" cache="SegmentaciónDeDatos_QUINCENA" caption="QUINCENA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a4" displayName="Tabla4" ref="A10:F19" totalsRowShown="0" headerRowDxfId="242" tableBorderDxfId="241">
  <tableColumns count="6">
    <tableColumn id="1" xr3:uid="{00000000-0010-0000-0000-000001000000}" name="&amp;&amp;">
      <calculatedColumnFormula>TB!$B11&amp;TB!$C11</calculatedColumnFormula>
    </tableColumn>
    <tableColumn id="2" xr3:uid="{00000000-0010-0000-0000-000002000000}" name="MES" dataDxfId="240"/>
    <tableColumn id="3" xr3:uid="{00000000-0010-0000-0000-000003000000}" name="PERIODO" dataDxfId="239"/>
    <tableColumn id="4" xr3:uid="{00000000-0010-0000-0000-000004000000}" name="DESDE" dataDxfId="238"/>
    <tableColumn id="5" xr3:uid="{00000000-0010-0000-0000-000005000000}" name="HASTA" dataDxfId="237"/>
    <tableColumn id="6" xr3:uid="{00000000-0010-0000-0000-000006000000}" name="TOTAL" dataDxfId="236">
      <calculatedColumnFormula>TB!$E11-TB!$D11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Y465" totalsRowShown="0" headerRowDxfId="230" headerRowBorderDxfId="229" tableBorderDxfId="228" totalsRowBorderDxfId="227">
  <autoFilter ref="A1:Y465" xr:uid="{00000000-000C-0000-FFFF-FFFF01000000}"/>
  <sortState xmlns:xlrd2="http://schemas.microsoft.com/office/spreadsheetml/2017/richdata2" ref="A2:Y465">
    <sortCondition ref="A1:A465"/>
  </sortState>
  <tableColumns count="25">
    <tableColumn id="1" xr3:uid="{00000000-0010-0000-0100-000001000000}" name="FECHA " dataDxfId="226"/>
    <tableColumn id="2" xr3:uid="{00000000-0010-0000-0100-000002000000}" name="TIENDA" dataDxfId="225"/>
    <tableColumn id="3" xr3:uid="{00000000-0010-0000-0100-000003000000}" name="LPN INICIAL" dataDxfId="224"/>
    <tableColumn id="4" xr3:uid="{00000000-0010-0000-0100-000004000000}" name="CODIGO" dataDxfId="223"/>
    <tableColumn id="5" xr3:uid="{00000000-0010-0000-0100-000005000000}" name="DECRIPCION" dataDxfId="222"/>
    <tableColumn id="6" xr3:uid="{00000000-0010-0000-0100-000006000000}" name="CANTIDAD" dataDxfId="221"/>
    <tableColumn id="7" xr3:uid="{00000000-0010-0000-0100-000007000000}" name="FILTRADOR" dataDxfId="220"/>
    <tableColumn id="8" xr3:uid="{00000000-0010-0000-0100-000008000000}" name="STATUS INICIAL" dataDxfId="219"/>
    <tableColumn id="25" xr3:uid="{00000000-0010-0000-0100-000019000000}" name="PROCESO DETECTADO" dataDxfId="218"/>
    <tableColumn id="9" xr3:uid="{00000000-0010-0000-0100-000009000000}" name="TIENDA FINAL" dataDxfId="217"/>
    <tableColumn id="10" xr3:uid="{00000000-0010-0000-0100-00000A000000}" name="LPN FINAL" dataDxfId="216"/>
    <tableColumn id="11" xr3:uid="{00000000-0010-0000-0100-00000B000000}" name="USUARIO PICKING ERROR" dataDxfId="215"/>
    <tableColumn id="12" xr3:uid="{00000000-0010-0000-0100-00000C000000}" name="USUARIO FILTRO ERROR" dataDxfId="214"/>
    <tableColumn id="14" xr3:uid="{00000000-0010-0000-0100-00000E000000}" name="DETALLE " dataDxfId="213"/>
    <tableColumn id="15" xr3:uid="{00000000-0010-0000-0100-00000F000000}" name="OBSERVACION FINAL" dataDxfId="212"/>
    <tableColumn id="13" xr3:uid="{00000000-0010-0000-0100-00000D000000}" name="STATUS FINAL" dataDxfId="211"/>
    <tableColumn id="16" xr3:uid="{00000000-0010-0000-0100-000010000000}" name="TURNO ERROR" dataDxfId="210"/>
    <tableColumn id="17" xr3:uid="{00000000-0010-0000-0100-000011000000}" name="PROCESO ERROR" dataDxfId="209">
      <calculatedColumnFormula>VLOOKUP(Tabla1[[#This Row],[DETALLE ]],DATOS!L:M,2,0)</calculatedColumnFormula>
    </tableColumn>
    <tableColumn id="18" xr3:uid="{00000000-0010-0000-0100-000012000000}" name="LIDER ERROR" dataDxfId="208">
      <calculatedColumnFormula>IFERROR(IFERROR(VLOOKUP(Tabla1[[#This Row],[USUARIO PICKING ERROR]],DATOS!H:J,3,0),VLOOKUP(Tabla1[[#This Row],[USUARIO FILTRO ERROR]],DATOS!O:P,2,0)),"-")</calculatedColumnFormula>
    </tableColumn>
    <tableColumn id="19" xr3:uid="{00000000-0010-0000-0100-000013000000}" name="ALMACEN " dataDxfId="207">
      <calculatedColumnFormula>UPPER(VLOOKUP(Tabla1[[#This Row],[CODIGO]],DATOS!A:E,5,0))</calculatedColumnFormula>
    </tableColumn>
    <tableColumn id="21" xr3:uid="{00000000-0010-0000-0100-000015000000}" name="VALORIZADO" dataDxfId="206" dataCellStyle="Moneda">
      <calculatedColumnFormula>(Tabla1[[#This Row],[CANTIDAD]])*(VLOOKUP(Tabla1[[#This Row],[CODIGO]],DATOS!A:D,4,0))</calculatedColumnFormula>
    </tableColumn>
    <tableColumn id="22" xr3:uid="{00000000-0010-0000-0100-000016000000}" name="CATEGORIA" dataDxfId="205" dataCellStyle="Moneda">
      <calculatedColumnFormula>VLOOKUP(Tabla1[[#This Row],[CODIGO]],DATOS!A:C,3,0)</calculatedColumnFormula>
    </tableColumn>
    <tableColumn id="23" xr3:uid="{00000000-0010-0000-0100-000017000000}" name="MES" dataDxfId="204" dataCellStyle="Moneda"/>
    <tableColumn id="20" xr3:uid="{00000000-0010-0000-0100-000014000000}" name="STATUS AJUSTE" dataDxfId="203"/>
    <tableColumn id="24" xr3:uid="{00000000-0010-0000-0100-000018000000}" name="QUINCENA" dataDxfId="202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table" Target="../tables/table1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R55"/>
  <sheetViews>
    <sheetView showGridLines="0" tabSelected="1" zoomScaleNormal="100" workbookViewId="0">
      <selection activeCell="T7" sqref="T7"/>
    </sheetView>
  </sheetViews>
  <sheetFormatPr baseColWidth="10" defaultRowHeight="15" x14ac:dyDescent="0.25"/>
  <cols>
    <col min="1" max="1" width="1.42578125" customWidth="1"/>
    <col min="2" max="2" width="2" customWidth="1"/>
    <col min="3" max="3" width="14.85546875" customWidth="1"/>
    <col min="16" max="16" width="12.28515625" customWidth="1"/>
    <col min="17" max="17" width="2" customWidth="1"/>
    <col min="18" max="18" width="1.42578125" customWidth="1"/>
  </cols>
  <sheetData>
    <row r="1" spans="2:18" ht="7.5" customHeight="1" x14ac:dyDescent="0.25"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</row>
    <row r="2" spans="2:18" ht="27" x14ac:dyDescent="0.35">
      <c r="B2" s="126" t="s">
        <v>12961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8"/>
      <c r="R2" s="125"/>
    </row>
    <row r="3" spans="2:18" ht="15.75" customHeight="1" x14ac:dyDescent="0.3">
      <c r="B3" s="129">
        <f ca="1">TODAY()</f>
        <v>45798</v>
      </c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1"/>
      <c r="R3" s="125"/>
    </row>
    <row r="4" spans="2:18" ht="15.75" customHeight="1" x14ac:dyDescent="0.3">
      <c r="B4" s="80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2"/>
      <c r="R4" s="125"/>
    </row>
    <row r="5" spans="2:18" ht="13.5" customHeight="1" x14ac:dyDescent="0.35">
      <c r="B5" s="53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8"/>
      <c r="R5" s="125"/>
    </row>
    <row r="6" spans="2:18" ht="22.5" customHeight="1" x14ac:dyDescent="0.35">
      <c r="B6" s="53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8"/>
      <c r="R6" s="125"/>
    </row>
    <row r="7" spans="2:18" ht="52.5" customHeight="1" x14ac:dyDescent="0.3">
      <c r="B7" s="36"/>
      <c r="C7" s="37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8"/>
      <c r="R7" s="125"/>
    </row>
    <row r="8" spans="2:18" ht="52.5" customHeight="1" x14ac:dyDescent="0.3">
      <c r="B8" s="36"/>
      <c r="C8" s="37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8"/>
      <c r="R8" s="125"/>
    </row>
    <row r="9" spans="2:18" x14ac:dyDescent="0.25">
      <c r="B9" s="36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58"/>
      <c r="R9" s="125"/>
    </row>
    <row r="10" spans="2:18" x14ac:dyDescent="0.25">
      <c r="B10" s="36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58"/>
      <c r="R10" s="125"/>
    </row>
    <row r="11" spans="2:18" x14ac:dyDescent="0.25">
      <c r="B11" s="36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58"/>
      <c r="R11" s="125"/>
    </row>
    <row r="12" spans="2:18" x14ac:dyDescent="0.25">
      <c r="B12" s="36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58"/>
      <c r="R12" s="125"/>
    </row>
    <row r="13" spans="2:18" x14ac:dyDescent="0.25">
      <c r="B13" s="36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58"/>
      <c r="R13" s="125"/>
    </row>
    <row r="14" spans="2:18" x14ac:dyDescent="0.25">
      <c r="B14" s="36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58"/>
      <c r="R14" s="125"/>
    </row>
    <row r="15" spans="2:18" x14ac:dyDescent="0.25">
      <c r="B15" s="36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58"/>
      <c r="R15" s="125"/>
    </row>
    <row r="16" spans="2:18" ht="15.75" x14ac:dyDescent="0.25">
      <c r="B16" s="36"/>
      <c r="C16" s="38" t="s">
        <v>12964</v>
      </c>
      <c r="D16" s="37"/>
      <c r="E16" s="37"/>
      <c r="F16" s="37"/>
      <c r="G16" s="37"/>
      <c r="H16" s="38" t="s">
        <v>12965</v>
      </c>
      <c r="I16" s="37"/>
      <c r="J16" s="37"/>
      <c r="K16" s="37"/>
      <c r="L16" s="37"/>
      <c r="M16" s="37"/>
      <c r="N16" s="37"/>
      <c r="O16" s="37"/>
      <c r="P16" s="37"/>
      <c r="Q16" s="58"/>
      <c r="R16" s="125"/>
    </row>
    <row r="17" spans="2:18" x14ac:dyDescent="0.25">
      <c r="B17" s="36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58"/>
      <c r="R17" s="125"/>
    </row>
    <row r="18" spans="2:18" x14ac:dyDescent="0.25">
      <c r="B18" s="36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58"/>
      <c r="R18" s="125"/>
    </row>
    <row r="19" spans="2:18" x14ac:dyDescent="0.25">
      <c r="B19" s="36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58"/>
      <c r="R19" s="125"/>
    </row>
    <row r="20" spans="2:18" x14ac:dyDescent="0.25">
      <c r="B20" s="36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58"/>
      <c r="R20" s="125"/>
    </row>
    <row r="21" spans="2:18" x14ac:dyDescent="0.25">
      <c r="B21" s="36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58"/>
      <c r="R21" s="125"/>
    </row>
    <row r="22" spans="2:18" x14ac:dyDescent="0.25">
      <c r="B22" s="36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58"/>
      <c r="R22" s="125"/>
    </row>
    <row r="23" spans="2:18" x14ac:dyDescent="0.25">
      <c r="B23" s="36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58"/>
      <c r="R23" s="125"/>
    </row>
    <row r="24" spans="2:18" x14ac:dyDescent="0.25">
      <c r="B24" s="36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58"/>
      <c r="R24" s="125"/>
    </row>
    <row r="25" spans="2:18" x14ac:dyDescent="0.25">
      <c r="B25" s="36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58"/>
      <c r="R25" s="125"/>
    </row>
    <row r="26" spans="2:18" ht="18" x14ac:dyDescent="0.25">
      <c r="B26" s="36"/>
      <c r="C26" s="124" t="s">
        <v>12960</v>
      </c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58"/>
      <c r="R26" s="125"/>
    </row>
    <row r="27" spans="2:18" ht="15.75" x14ac:dyDescent="0.25">
      <c r="B27" s="36"/>
      <c r="C27" s="38" t="s">
        <v>12966</v>
      </c>
      <c r="D27" s="37"/>
      <c r="E27" s="37"/>
      <c r="F27" s="37"/>
      <c r="G27" s="37"/>
      <c r="H27" s="38" t="s">
        <v>12967</v>
      </c>
      <c r="I27" s="37"/>
      <c r="J27" s="37"/>
      <c r="K27" s="37"/>
      <c r="L27" s="37"/>
      <c r="M27" s="38" t="s">
        <v>12968</v>
      </c>
      <c r="N27" s="37"/>
      <c r="O27" s="37"/>
      <c r="P27" s="37"/>
      <c r="Q27" s="58"/>
      <c r="R27" s="125"/>
    </row>
    <row r="28" spans="2:18" x14ac:dyDescent="0.25">
      <c r="B28" s="36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58"/>
      <c r="R28" s="125"/>
    </row>
    <row r="29" spans="2:18" x14ac:dyDescent="0.25">
      <c r="B29" s="36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58"/>
      <c r="R29" s="125"/>
    </row>
    <row r="30" spans="2:18" x14ac:dyDescent="0.25">
      <c r="B30" s="36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58"/>
      <c r="R30" s="125"/>
    </row>
    <row r="31" spans="2:18" x14ac:dyDescent="0.25">
      <c r="B31" s="36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58"/>
      <c r="R31" s="125"/>
    </row>
    <row r="32" spans="2:18" x14ac:dyDescent="0.25">
      <c r="B32" s="36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58"/>
      <c r="R32" s="125"/>
    </row>
    <row r="33" spans="2:18" x14ac:dyDescent="0.25">
      <c r="B33" s="36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58"/>
      <c r="R33" s="125"/>
    </row>
    <row r="34" spans="2:18" x14ac:dyDescent="0.25">
      <c r="B34" s="36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58"/>
      <c r="R34" s="125"/>
    </row>
    <row r="35" spans="2:18" x14ac:dyDescent="0.25">
      <c r="B35" s="36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58"/>
      <c r="R35" s="125"/>
    </row>
    <row r="36" spans="2:18" x14ac:dyDescent="0.25">
      <c r="B36" s="36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58"/>
      <c r="R36" s="125"/>
    </row>
    <row r="37" spans="2:18" x14ac:dyDescent="0.25">
      <c r="B37" s="36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58"/>
      <c r="R37" s="125"/>
    </row>
    <row r="38" spans="2:18" x14ac:dyDescent="0.25">
      <c r="B38" s="36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58"/>
      <c r="R38" s="125"/>
    </row>
    <row r="39" spans="2:18" x14ac:dyDescent="0.25">
      <c r="B39" s="36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58"/>
      <c r="R39" s="125"/>
    </row>
    <row r="40" spans="2:18" x14ac:dyDescent="0.25">
      <c r="B40" s="36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58"/>
      <c r="R40" s="125"/>
    </row>
    <row r="41" spans="2:18" x14ac:dyDescent="0.25">
      <c r="B41" s="36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58"/>
      <c r="R41" s="125"/>
    </row>
    <row r="42" spans="2:18" x14ac:dyDescent="0.25">
      <c r="B42" s="36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58"/>
      <c r="R42" s="125"/>
    </row>
    <row r="43" spans="2:18" ht="18" customHeight="1" x14ac:dyDescent="0.25">
      <c r="B43" s="36"/>
      <c r="C43" s="124" t="s">
        <v>13368</v>
      </c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58"/>
      <c r="R43" s="125"/>
    </row>
    <row r="44" spans="2:18" x14ac:dyDescent="0.25">
      <c r="B44" s="36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58"/>
      <c r="R44" s="125"/>
    </row>
    <row r="45" spans="2:18" x14ac:dyDescent="0.25">
      <c r="B45" s="36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58"/>
      <c r="R45" s="125"/>
    </row>
    <row r="46" spans="2:18" x14ac:dyDescent="0.25">
      <c r="B46" s="36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58"/>
      <c r="R46" s="125"/>
    </row>
    <row r="47" spans="2:18" x14ac:dyDescent="0.25">
      <c r="B47" s="3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58"/>
      <c r="R47" s="125"/>
    </row>
    <row r="48" spans="2:18" x14ac:dyDescent="0.25">
      <c r="B48" s="36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58"/>
      <c r="R48" s="125"/>
    </row>
    <row r="49" spans="2:18" x14ac:dyDescent="0.25">
      <c r="B49" s="36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58"/>
      <c r="R49" s="125"/>
    </row>
    <row r="50" spans="2:18" x14ac:dyDescent="0.25">
      <c r="B50" s="36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58"/>
      <c r="R50" s="125"/>
    </row>
    <row r="51" spans="2:18" x14ac:dyDescent="0.25">
      <c r="B51" s="36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58"/>
      <c r="R51" s="125"/>
    </row>
    <row r="52" spans="2:18" x14ac:dyDescent="0.25">
      <c r="B52" s="36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58"/>
      <c r="R52" s="125"/>
    </row>
    <row r="53" spans="2:18" x14ac:dyDescent="0.25">
      <c r="B53" s="36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58"/>
      <c r="R53" s="125"/>
    </row>
    <row r="54" spans="2:18" x14ac:dyDescent="0.25">
      <c r="B54" s="39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0"/>
      <c r="N54" s="40"/>
      <c r="O54" s="40"/>
      <c r="P54" s="40"/>
      <c r="Q54" s="86"/>
      <c r="R54" s="125"/>
    </row>
    <row r="55" spans="2:18" ht="7.5" customHeight="1" x14ac:dyDescent="0.25">
      <c r="R55" s="125"/>
    </row>
  </sheetData>
  <mergeCells count="6">
    <mergeCell ref="C26:P26"/>
    <mergeCell ref="B1:R1"/>
    <mergeCell ref="B2:Q2"/>
    <mergeCell ref="B3:Q3"/>
    <mergeCell ref="C43:P43"/>
    <mergeCell ref="R2:R55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J426"/>
  <sheetViews>
    <sheetView showGridLines="0" topLeftCell="AI1" zoomScale="85" zoomScaleNormal="85" workbookViewId="0">
      <selection activeCell="AS8" sqref="AS8"/>
    </sheetView>
  </sheetViews>
  <sheetFormatPr baseColWidth="10" defaultRowHeight="15" x14ac:dyDescent="0.25"/>
  <cols>
    <col min="1" max="1" width="17.85546875" customWidth="1"/>
    <col min="2" max="2" width="18.42578125" bestFit="1" customWidth="1"/>
    <col min="3" max="3" width="20.7109375" bestFit="1" customWidth="1"/>
    <col min="4" max="4" width="10.7109375" bestFit="1" customWidth="1"/>
    <col min="5" max="5" width="12.140625" bestFit="1" customWidth="1"/>
    <col min="6" max="6" width="12.85546875" bestFit="1" customWidth="1"/>
    <col min="7" max="8" width="5.5703125" bestFit="1" customWidth="1"/>
    <col min="9" max="9" width="3" customWidth="1"/>
    <col min="10" max="10" width="20.7109375" bestFit="1" customWidth="1"/>
    <col min="11" max="11" width="13.7109375" bestFit="1" customWidth="1"/>
    <col min="12" max="12" width="1.85546875" customWidth="1"/>
    <col min="13" max="13" width="20.7109375" bestFit="1" customWidth="1"/>
    <col min="14" max="14" width="21.7109375" bestFit="1" customWidth="1"/>
    <col min="15" max="15" width="1.85546875" customWidth="1"/>
    <col min="16" max="16" width="20.7109375" bestFit="1" customWidth="1"/>
    <col min="17" max="17" width="21.7109375" bestFit="1" customWidth="1"/>
    <col min="19" max="19" width="17.85546875" customWidth="1"/>
    <col min="20" max="20" width="18.42578125" customWidth="1"/>
    <col min="21" max="21" width="20.7109375" bestFit="1" customWidth="1"/>
    <col min="23" max="23" width="17.85546875" customWidth="1"/>
    <col min="24" max="24" width="21.7109375" bestFit="1" customWidth="1"/>
    <col min="25" max="25" width="20.7109375" bestFit="1" customWidth="1"/>
    <col min="27" max="27" width="17.85546875" customWidth="1"/>
    <col min="28" max="28" width="21.7109375" bestFit="1" customWidth="1"/>
    <col min="29" max="29" width="20.7109375" bestFit="1" customWidth="1"/>
    <col min="31" max="31" width="17.5703125" bestFit="1" customWidth="1"/>
    <col min="32" max="32" width="20.7109375" bestFit="1" customWidth="1"/>
    <col min="34" max="34" width="25.7109375" bestFit="1" customWidth="1"/>
    <col min="35" max="35" width="20.7109375" bestFit="1" customWidth="1"/>
    <col min="37" max="37" width="17.5703125" bestFit="1" customWidth="1"/>
    <col min="38" max="38" width="19.140625" bestFit="1" customWidth="1"/>
    <col min="39" max="39" width="20.7109375" style="62" customWidth="1"/>
    <col min="41" max="41" width="17.5703125" bestFit="1" customWidth="1"/>
    <col min="42" max="42" width="17.85546875" customWidth="1"/>
    <col min="43" max="43" width="20.7109375" style="62" customWidth="1"/>
    <col min="45" max="45" width="17.5703125" bestFit="1" customWidth="1"/>
    <col min="46" max="46" width="17.85546875" style="62" customWidth="1"/>
    <col min="47" max="47" width="20.7109375" customWidth="1"/>
    <col min="49" max="49" width="27.42578125" bestFit="1" customWidth="1"/>
    <col min="50" max="50" width="20.7109375" bestFit="1" customWidth="1"/>
    <col min="52" max="52" width="27.42578125" bestFit="1" customWidth="1"/>
    <col min="53" max="53" width="20.7109375" bestFit="1" customWidth="1"/>
    <col min="55" max="55" width="20.7109375" bestFit="1" customWidth="1"/>
    <col min="56" max="56" width="12.42578125" bestFit="1" customWidth="1"/>
    <col min="58" max="58" width="20.7109375" bestFit="1" customWidth="1"/>
    <col min="59" max="59" width="13.140625" bestFit="1" customWidth="1"/>
    <col min="61" max="61" width="17.5703125" bestFit="1" customWidth="1"/>
    <col min="62" max="62" width="20.7109375" bestFit="1" customWidth="1"/>
    <col min="64" max="64" width="19" style="59" bestFit="1" customWidth="1"/>
    <col min="65" max="65" width="18.140625" style="59" bestFit="1" customWidth="1"/>
    <col min="66" max="66" width="20.140625" style="59" bestFit="1" customWidth="1"/>
    <col min="67" max="67" width="12.7109375" style="59" bestFit="1" customWidth="1"/>
    <col min="68" max="68" width="45.42578125" style="59" bestFit="1" customWidth="1"/>
    <col min="69" max="69" width="5.7109375" bestFit="1" customWidth="1"/>
    <col min="70" max="70" width="13" bestFit="1" customWidth="1"/>
    <col min="72" max="72" width="17.5703125" customWidth="1"/>
    <col min="73" max="73" width="13.7109375" bestFit="1" customWidth="1"/>
    <col min="76" max="76" width="17.5703125" customWidth="1"/>
    <col min="77" max="77" width="20.7109375" bestFit="1" customWidth="1"/>
    <col min="78" max="78" width="4.140625" customWidth="1"/>
    <col min="79" max="79" width="4.7109375" customWidth="1"/>
    <col min="80" max="80" width="16.85546875" style="59" bestFit="1" customWidth="1"/>
    <col min="81" max="81" width="39.7109375" style="59" bestFit="1" customWidth="1"/>
    <col min="82" max="82" width="17.7109375" style="59" bestFit="1" customWidth="1"/>
    <col min="83" max="83" width="26.5703125" style="59" customWidth="1"/>
    <col min="84" max="84" width="12.7109375" style="59" bestFit="1" customWidth="1"/>
    <col min="85" max="85" width="17.140625" bestFit="1" customWidth="1"/>
    <col min="86" max="86" width="6.85546875" bestFit="1" customWidth="1"/>
    <col min="87" max="87" width="13" bestFit="1" customWidth="1"/>
    <col min="88" max="88" width="4.7109375" customWidth="1"/>
  </cols>
  <sheetData>
    <row r="1" spans="1:88" x14ac:dyDescent="0.25">
      <c r="J1" s="33" t="s">
        <v>9</v>
      </c>
      <c r="K1" t="s">
        <v>28</v>
      </c>
      <c r="M1" s="33" t="s">
        <v>9</v>
      </c>
      <c r="N1" t="s">
        <v>12952</v>
      </c>
      <c r="P1" s="33" t="s">
        <v>9</v>
      </c>
      <c r="Q1" t="s">
        <v>12952</v>
      </c>
      <c r="S1" s="33" t="s">
        <v>9</v>
      </c>
      <c r="T1" t="s">
        <v>28</v>
      </c>
      <c r="U1" s="47"/>
      <c r="W1" s="33" t="s">
        <v>9</v>
      </c>
      <c r="X1" t="s">
        <v>12952</v>
      </c>
      <c r="Y1" s="47"/>
      <c r="AA1" s="33" t="s">
        <v>9</v>
      </c>
      <c r="AB1" t="s">
        <v>12952</v>
      </c>
      <c r="AE1" s="33" t="s">
        <v>12954</v>
      </c>
      <c r="AF1" t="s">
        <v>12950</v>
      </c>
      <c r="AH1" s="33" t="s">
        <v>12954</v>
      </c>
      <c r="AI1" t="s">
        <v>12950</v>
      </c>
      <c r="AK1" s="33" t="s">
        <v>12959</v>
      </c>
      <c r="AL1" t="s">
        <v>12956</v>
      </c>
      <c r="AO1" s="33" t="s">
        <v>12959</v>
      </c>
      <c r="AP1" t="s">
        <v>12958</v>
      </c>
      <c r="AW1" s="33" t="s">
        <v>9</v>
      </c>
      <c r="AX1" t="s">
        <v>17</v>
      </c>
      <c r="AZ1" s="33" t="s">
        <v>9</v>
      </c>
      <c r="BA1" t="s">
        <v>25</v>
      </c>
      <c r="BC1" s="33" t="s">
        <v>9</v>
      </c>
      <c r="BD1" t="s">
        <v>17</v>
      </c>
      <c r="BF1" s="33" t="s">
        <v>9</v>
      </c>
      <c r="BG1" t="s">
        <v>25</v>
      </c>
      <c r="BI1" s="33" t="s">
        <v>12954</v>
      </c>
      <c r="BJ1" t="s">
        <v>12950</v>
      </c>
      <c r="BL1" s="60" t="s">
        <v>13</v>
      </c>
      <c r="BM1" s="59" t="s">
        <v>21</v>
      </c>
      <c r="BT1" s="33" t="s">
        <v>12948</v>
      </c>
      <c r="BU1" t="s">
        <v>13323</v>
      </c>
      <c r="BV1" t="str">
        <f>BU1&amp;BT4</f>
        <v>2. FEBRERO2da QUINCENA</v>
      </c>
      <c r="BX1" s="33" t="s">
        <v>12954</v>
      </c>
      <c r="BY1" t="s">
        <v>12950</v>
      </c>
      <c r="CB1" s="60" t="s">
        <v>0</v>
      </c>
      <c r="CC1" s="59" t="s">
        <v>12952</v>
      </c>
    </row>
    <row r="2" spans="1:88" x14ac:dyDescent="0.25">
      <c r="AE2" s="34">
        <v>45686</v>
      </c>
      <c r="AF2" s="32">
        <v>145.44</v>
      </c>
      <c r="AH2" s="35" t="s">
        <v>13136</v>
      </c>
      <c r="AI2" s="32">
        <v>29.4</v>
      </c>
      <c r="BI2" s="35" t="s">
        <v>39</v>
      </c>
      <c r="BJ2" s="32">
        <v>451.88</v>
      </c>
      <c r="BL2" s="60" t="s">
        <v>12948</v>
      </c>
      <c r="BM2" s="59" t="s">
        <v>13323</v>
      </c>
      <c r="BX2" s="35" t="s">
        <v>13121</v>
      </c>
      <c r="BY2" s="32">
        <v>171.12</v>
      </c>
      <c r="BZ2" s="32"/>
      <c r="CA2" s="125"/>
      <c r="CB2" s="125"/>
      <c r="CC2" s="125"/>
      <c r="CD2" s="125"/>
      <c r="CE2" s="125"/>
      <c r="CF2" s="125"/>
      <c r="CG2" s="125"/>
      <c r="CH2" s="125"/>
      <c r="CI2" s="125"/>
      <c r="CJ2" s="125"/>
    </row>
    <row r="3" spans="1:88" ht="30" x14ac:dyDescent="0.25">
      <c r="A3" s="71" t="s">
        <v>13022</v>
      </c>
      <c r="B3" s="71" t="s">
        <v>12949</v>
      </c>
      <c r="C3" s="71" t="s">
        <v>12950</v>
      </c>
      <c r="E3" s="52" t="s">
        <v>12951</v>
      </c>
      <c r="F3" s="52" t="s">
        <v>12953</v>
      </c>
      <c r="G3" s="52">
        <v>1</v>
      </c>
      <c r="H3" s="52">
        <v>2</v>
      </c>
      <c r="J3" t="s">
        <v>12950</v>
      </c>
      <c r="M3" t="s">
        <v>12950</v>
      </c>
      <c r="P3" t="s">
        <v>12950</v>
      </c>
      <c r="S3" t="s">
        <v>13022</v>
      </c>
      <c r="T3" t="s">
        <v>12949</v>
      </c>
      <c r="U3" t="s">
        <v>12950</v>
      </c>
      <c r="W3" t="s">
        <v>13022</v>
      </c>
      <c r="X3" t="s">
        <v>12949</v>
      </c>
      <c r="Y3" t="s">
        <v>12950</v>
      </c>
      <c r="AA3" t="s">
        <v>13022</v>
      </c>
      <c r="AB3" t="s">
        <v>12949</v>
      </c>
      <c r="AC3" t="s">
        <v>12950</v>
      </c>
      <c r="AE3" s="34">
        <v>45687</v>
      </c>
      <c r="AF3" s="32">
        <v>216.03</v>
      </c>
      <c r="AH3" s="35" t="s">
        <v>13123</v>
      </c>
      <c r="AI3" s="32">
        <v>172.71</v>
      </c>
      <c r="AK3" s="33" t="s">
        <v>12954</v>
      </c>
      <c r="AL3" s="62" t="s">
        <v>13022</v>
      </c>
      <c r="AM3" t="s">
        <v>12950</v>
      </c>
      <c r="AO3" s="33" t="s">
        <v>12954</v>
      </c>
      <c r="AP3" s="62" t="s">
        <v>13022</v>
      </c>
      <c r="AQ3" t="s">
        <v>12950</v>
      </c>
      <c r="AS3" s="33" t="s">
        <v>12954</v>
      </c>
      <c r="AT3" s="62" t="s">
        <v>13022</v>
      </c>
      <c r="AU3" t="s">
        <v>12950</v>
      </c>
      <c r="AW3" s="33" t="s">
        <v>12954</v>
      </c>
      <c r="AX3" t="s">
        <v>12950</v>
      </c>
      <c r="AZ3" s="33" t="s">
        <v>12954</v>
      </c>
      <c r="BA3" t="s">
        <v>12950</v>
      </c>
      <c r="BC3" t="s">
        <v>12950</v>
      </c>
      <c r="BF3" t="s">
        <v>12950</v>
      </c>
      <c r="BI3" s="35" t="s">
        <v>14</v>
      </c>
      <c r="BJ3" s="32">
        <v>688.75999999999988</v>
      </c>
      <c r="BL3" s="60" t="s">
        <v>13110</v>
      </c>
      <c r="BM3" s="59" t="s">
        <v>13392</v>
      </c>
      <c r="BT3" s="33" t="s">
        <v>12954</v>
      </c>
      <c r="BX3" s="35" t="s">
        <v>82</v>
      </c>
      <c r="BY3" s="32">
        <v>170.88</v>
      </c>
      <c r="BZ3" s="32"/>
      <c r="CB3" s="60" t="s">
        <v>6</v>
      </c>
      <c r="CC3" s="60" t="s">
        <v>11</v>
      </c>
      <c r="CD3" s="60" t="s">
        <v>9</v>
      </c>
      <c r="CE3" s="60" t="s">
        <v>137</v>
      </c>
      <c r="CF3" s="60" t="s">
        <v>136</v>
      </c>
      <c r="CG3" s="60" t="s">
        <v>3</v>
      </c>
      <c r="CH3" s="59" t="s">
        <v>13372</v>
      </c>
      <c r="CI3" s="59" t="s">
        <v>13371</v>
      </c>
      <c r="CJ3" s="125"/>
    </row>
    <row r="4" spans="1:88" x14ac:dyDescent="0.25">
      <c r="A4" s="132">
        <v>45</v>
      </c>
      <c r="B4" s="132">
        <v>386</v>
      </c>
      <c r="C4" s="32">
        <v>3180.4599999999991</v>
      </c>
      <c r="E4" s="48" t="s">
        <v>28</v>
      </c>
      <c r="F4" s="49">
        <f>J4</f>
        <v>0</v>
      </c>
      <c r="G4" s="50">
        <f>F4/F7</f>
        <v>0</v>
      </c>
      <c r="H4" s="51">
        <f>1-G4</f>
        <v>1</v>
      </c>
      <c r="J4" s="32"/>
      <c r="M4" s="32">
        <v>3180.4599999999991</v>
      </c>
      <c r="P4" s="32"/>
      <c r="S4" s="132"/>
      <c r="T4" s="132"/>
      <c r="U4" s="32"/>
      <c r="W4" s="132">
        <v>45</v>
      </c>
      <c r="X4" s="132">
        <v>386</v>
      </c>
      <c r="Y4" s="32">
        <v>3180.4599999999991</v>
      </c>
      <c r="AA4" s="132"/>
      <c r="AB4" s="132"/>
      <c r="AC4" s="32"/>
      <c r="AE4" s="34">
        <v>45688</v>
      </c>
      <c r="AF4" s="32">
        <v>4.49</v>
      </c>
      <c r="AH4" s="35" t="s">
        <v>13090</v>
      </c>
      <c r="AI4" s="32">
        <v>272.61</v>
      </c>
      <c r="AK4" s="35" t="s">
        <v>55</v>
      </c>
      <c r="AL4" s="62">
        <v>2</v>
      </c>
      <c r="AM4" s="32">
        <v>91.44</v>
      </c>
      <c r="AO4" s="35" t="s">
        <v>14</v>
      </c>
      <c r="AP4" s="62">
        <v>7</v>
      </c>
      <c r="AQ4" s="32">
        <v>796.79</v>
      </c>
      <c r="AS4" s="35" t="s">
        <v>13016</v>
      </c>
      <c r="AT4" s="62">
        <v>1</v>
      </c>
      <c r="AU4" s="32">
        <v>115.28999999999999</v>
      </c>
      <c r="AW4" s="35" t="s">
        <v>13030</v>
      </c>
      <c r="AX4" s="32">
        <v>525.63</v>
      </c>
      <c r="AZ4" s="35" t="s">
        <v>13030</v>
      </c>
      <c r="BA4" s="32">
        <v>653.75999999999988</v>
      </c>
      <c r="BC4" s="32">
        <v>1700.3500000000004</v>
      </c>
      <c r="BF4" s="32">
        <v>1480.1100000000001</v>
      </c>
      <c r="BI4" s="35" t="s">
        <v>29</v>
      </c>
      <c r="BJ4" s="32">
        <v>2039.8200000000002</v>
      </c>
      <c r="BL4"/>
      <c r="BM4"/>
      <c r="BN4"/>
      <c r="BO4"/>
      <c r="BP4"/>
      <c r="BT4" s="35" t="s">
        <v>13111</v>
      </c>
      <c r="BX4" s="35" t="s">
        <v>43</v>
      </c>
      <c r="BY4" s="32">
        <v>163.98</v>
      </c>
      <c r="BZ4" s="32"/>
      <c r="CB4" s="59" t="s">
        <v>12955</v>
      </c>
      <c r="CG4" s="59"/>
      <c r="CH4" s="133"/>
      <c r="CI4" s="61"/>
      <c r="CJ4" s="125"/>
    </row>
    <row r="5" spans="1:88" x14ac:dyDescent="0.25">
      <c r="E5" s="48" t="s">
        <v>21</v>
      </c>
      <c r="F5" s="49">
        <f>M4</f>
        <v>3180.4599999999991</v>
      </c>
      <c r="G5" s="50">
        <f>F5/F7</f>
        <v>1</v>
      </c>
      <c r="H5" s="51">
        <f>1-G5</f>
        <v>0</v>
      </c>
      <c r="AE5" s="34">
        <v>45689</v>
      </c>
      <c r="AF5" s="32">
        <v>348.56</v>
      </c>
      <c r="AH5" s="35" t="s">
        <v>18</v>
      </c>
      <c r="AI5" s="32">
        <v>2705.7400000000002</v>
      </c>
      <c r="AK5" s="35" t="s">
        <v>38</v>
      </c>
      <c r="AL5" s="62">
        <v>2</v>
      </c>
      <c r="AM5" s="32">
        <v>54.72</v>
      </c>
      <c r="AO5" s="35" t="s">
        <v>108</v>
      </c>
      <c r="AP5" s="62">
        <v>2</v>
      </c>
      <c r="AQ5" s="32">
        <v>132.47999999999999</v>
      </c>
      <c r="AS5" s="35" t="s">
        <v>49</v>
      </c>
      <c r="AT5" s="62">
        <v>1</v>
      </c>
      <c r="AU5" s="32">
        <v>157.32</v>
      </c>
      <c r="AW5" s="35" t="s">
        <v>13031</v>
      </c>
      <c r="AX5" s="32">
        <v>798.7600000000001</v>
      </c>
      <c r="AZ5" s="35" t="s">
        <v>13031</v>
      </c>
      <c r="BA5" s="32">
        <v>717.06</v>
      </c>
      <c r="BI5" s="35" t="s">
        <v>12955</v>
      </c>
      <c r="BJ5" s="32">
        <v>3180.46</v>
      </c>
      <c r="BL5" s="60" t="s">
        <v>6</v>
      </c>
      <c r="BM5" s="60" t="s">
        <v>9</v>
      </c>
      <c r="BN5" s="60" t="s">
        <v>12945</v>
      </c>
      <c r="BO5" s="60" t="s">
        <v>136</v>
      </c>
      <c r="BP5" s="60" t="s">
        <v>3</v>
      </c>
      <c r="BQ5" s="59" t="s">
        <v>13102</v>
      </c>
      <c r="BR5" s="59" t="s">
        <v>13101</v>
      </c>
      <c r="BT5" s="35" t="s">
        <v>13113</v>
      </c>
      <c r="BX5" s="35" t="s">
        <v>35</v>
      </c>
      <c r="BY5" s="32">
        <v>160.44</v>
      </c>
      <c r="BZ5" s="32"/>
      <c r="CB5"/>
      <c r="CC5"/>
      <c r="CD5"/>
      <c r="CE5"/>
      <c r="CF5"/>
      <c r="CJ5" s="125"/>
    </row>
    <row r="6" spans="1:88" x14ac:dyDescent="0.25">
      <c r="E6" s="48" t="s">
        <v>12943</v>
      </c>
      <c r="F6" s="49">
        <f>P4</f>
        <v>0</v>
      </c>
      <c r="G6" s="50">
        <f>F6/F7</f>
        <v>0</v>
      </c>
      <c r="H6" s="51">
        <f>1-G6</f>
        <v>1</v>
      </c>
      <c r="AE6" s="34">
        <v>45690</v>
      </c>
      <c r="AF6" s="32">
        <v>103.14000000000001</v>
      </c>
      <c r="AH6" s="35" t="s">
        <v>12955</v>
      </c>
      <c r="AI6" s="32">
        <v>3180.4600000000005</v>
      </c>
      <c r="AK6" s="35" t="s">
        <v>14</v>
      </c>
      <c r="AL6" s="62">
        <v>2</v>
      </c>
      <c r="AM6" s="32">
        <v>168.81</v>
      </c>
      <c r="AO6" s="35" t="s">
        <v>132</v>
      </c>
      <c r="AP6" s="62">
        <v>2</v>
      </c>
      <c r="AQ6" s="32">
        <v>10</v>
      </c>
      <c r="AS6" s="35" t="s">
        <v>12955</v>
      </c>
      <c r="AT6" s="62">
        <v>2</v>
      </c>
      <c r="AU6" s="32">
        <v>272.61</v>
      </c>
      <c r="AW6" s="35" t="s">
        <v>13029</v>
      </c>
      <c r="AX6" s="32">
        <v>375.96</v>
      </c>
      <c r="AZ6" s="35" t="s">
        <v>13029</v>
      </c>
      <c r="BA6" s="32">
        <v>101.75999999999999</v>
      </c>
      <c r="BL6" s="59" t="s">
        <v>17</v>
      </c>
      <c r="BM6" s="59" t="s">
        <v>17</v>
      </c>
      <c r="BN6" s="59" t="s">
        <v>19</v>
      </c>
      <c r="BO6" s="59">
        <v>242006</v>
      </c>
      <c r="BP6" s="59" t="s">
        <v>16</v>
      </c>
      <c r="BQ6" s="133">
        <v>1</v>
      </c>
      <c r="BR6" s="61">
        <v>103.97</v>
      </c>
      <c r="BT6" s="35" t="s">
        <v>12955</v>
      </c>
      <c r="BX6" s="35" t="s">
        <v>12894</v>
      </c>
      <c r="BY6" s="32">
        <v>157.32</v>
      </c>
      <c r="BZ6" s="32"/>
      <c r="CB6"/>
      <c r="CC6"/>
      <c r="CD6"/>
      <c r="CE6"/>
      <c r="CF6"/>
      <c r="CJ6" s="125"/>
    </row>
    <row r="7" spans="1:88" x14ac:dyDescent="0.25">
      <c r="E7" s="48"/>
      <c r="F7" s="49">
        <f>SUM(F4:F6)</f>
        <v>3180.4599999999991</v>
      </c>
      <c r="G7" s="48"/>
      <c r="H7" s="48"/>
      <c r="AE7" s="34">
        <v>45691</v>
      </c>
      <c r="AF7" s="32">
        <v>721.06999999999994</v>
      </c>
      <c r="AK7" s="35" t="s">
        <v>67</v>
      </c>
      <c r="AL7" s="62">
        <v>2</v>
      </c>
      <c r="AM7" s="32">
        <v>128.54</v>
      </c>
      <c r="AO7" s="35" t="s">
        <v>87</v>
      </c>
      <c r="AP7" s="62">
        <v>2</v>
      </c>
      <c r="AQ7" s="32">
        <v>28.07</v>
      </c>
      <c r="AT7"/>
      <c r="AW7" s="35" t="s">
        <v>12955</v>
      </c>
      <c r="AX7" s="32">
        <v>1700.3500000000001</v>
      </c>
      <c r="AZ7" s="35" t="s">
        <v>13033</v>
      </c>
      <c r="BA7" s="32">
        <v>7.53</v>
      </c>
      <c r="BL7" s="59" t="s">
        <v>17</v>
      </c>
      <c r="BM7" s="59" t="s">
        <v>17</v>
      </c>
      <c r="BN7" s="59" t="s">
        <v>19</v>
      </c>
      <c r="BO7" s="59">
        <v>243288</v>
      </c>
      <c r="BP7" s="59" t="s">
        <v>133</v>
      </c>
      <c r="BQ7" s="133">
        <v>3</v>
      </c>
      <c r="BR7" s="61">
        <v>83.91</v>
      </c>
      <c r="BX7" s="35" t="s">
        <v>27</v>
      </c>
      <c r="BY7" s="32">
        <v>145.44</v>
      </c>
      <c r="BZ7" s="32"/>
      <c r="CB7"/>
      <c r="CC7"/>
      <c r="CD7"/>
      <c r="CE7"/>
      <c r="CF7"/>
      <c r="CJ7" s="125"/>
    </row>
    <row r="8" spans="1:88" x14ac:dyDescent="0.25">
      <c r="AE8" s="34">
        <v>45693</v>
      </c>
      <c r="AF8" s="32">
        <v>160.44</v>
      </c>
      <c r="AK8" s="35" t="s">
        <v>63</v>
      </c>
      <c r="AL8" s="62">
        <v>1</v>
      </c>
      <c r="AM8" s="32">
        <v>12.9</v>
      </c>
      <c r="AO8" s="35" t="s">
        <v>98</v>
      </c>
      <c r="AP8" s="62">
        <v>1</v>
      </c>
      <c r="AQ8" s="32">
        <v>115.28999999999999</v>
      </c>
      <c r="AT8"/>
      <c r="AZ8" s="35" t="s">
        <v>12955</v>
      </c>
      <c r="BA8" s="32">
        <v>1480.1099999999997</v>
      </c>
      <c r="BL8" s="59" t="s">
        <v>17</v>
      </c>
      <c r="BM8" s="59" t="s">
        <v>17</v>
      </c>
      <c r="BN8" s="59" t="s">
        <v>19</v>
      </c>
      <c r="BO8" s="59">
        <v>343322</v>
      </c>
      <c r="BP8" s="59" t="s">
        <v>22</v>
      </c>
      <c r="BQ8" s="133">
        <v>12</v>
      </c>
      <c r="BR8" s="61">
        <v>121.19999999999999</v>
      </c>
      <c r="BX8" s="35" t="s">
        <v>108</v>
      </c>
      <c r="BY8" s="32">
        <v>132.47999999999999</v>
      </c>
      <c r="BZ8" s="32"/>
      <c r="CB8"/>
      <c r="CC8"/>
      <c r="CD8"/>
      <c r="CE8"/>
      <c r="CF8"/>
      <c r="CJ8" s="125"/>
    </row>
    <row r="9" spans="1:88" x14ac:dyDescent="0.25">
      <c r="AE9" s="34">
        <v>45694</v>
      </c>
      <c r="AF9" s="32">
        <v>39.6</v>
      </c>
      <c r="AK9" s="35" t="s">
        <v>35</v>
      </c>
      <c r="AL9" s="62">
        <v>1</v>
      </c>
      <c r="AM9" s="32">
        <v>160.44</v>
      </c>
      <c r="AO9" s="35" t="s">
        <v>12897</v>
      </c>
      <c r="AP9" s="62">
        <v>1</v>
      </c>
      <c r="AQ9" s="32">
        <v>2.71</v>
      </c>
      <c r="AT9"/>
      <c r="BL9" s="59" t="s">
        <v>17</v>
      </c>
      <c r="BM9" s="59" t="s">
        <v>17</v>
      </c>
      <c r="BN9" s="59" t="s">
        <v>19</v>
      </c>
      <c r="BO9" s="59">
        <v>355869</v>
      </c>
      <c r="BP9" s="59" t="s">
        <v>34</v>
      </c>
      <c r="BQ9" s="133">
        <v>12</v>
      </c>
      <c r="BR9" s="61">
        <v>160.44</v>
      </c>
      <c r="BX9" s="35" t="s">
        <v>67</v>
      </c>
      <c r="BY9" s="32">
        <v>128.54</v>
      </c>
      <c r="BZ9" s="32"/>
      <c r="CB9"/>
      <c r="CC9"/>
      <c r="CD9"/>
      <c r="CE9"/>
      <c r="CF9"/>
    </row>
    <row r="10" spans="1:88" x14ac:dyDescent="0.25">
      <c r="A10" t="s">
        <v>13114</v>
      </c>
      <c r="B10" s="70" t="s">
        <v>12948</v>
      </c>
      <c r="C10" s="63" t="s">
        <v>13107</v>
      </c>
      <c r="D10" s="64" t="s">
        <v>13108</v>
      </c>
      <c r="E10" s="64" t="s">
        <v>13109</v>
      </c>
      <c r="F10" s="64" t="s">
        <v>13112</v>
      </c>
      <c r="J10" s="72" t="s">
        <v>13115</v>
      </c>
      <c r="K10" s="73">
        <f>IFERROR(VLOOKUP(BV1,A:D,4,0),"-")</f>
        <v>45703</v>
      </c>
      <c r="AE10" s="34">
        <v>45696</v>
      </c>
      <c r="AF10" s="32">
        <v>15.12</v>
      </c>
      <c r="AK10" s="35" t="s">
        <v>12894</v>
      </c>
      <c r="AL10" s="62">
        <v>1</v>
      </c>
      <c r="AM10" s="32">
        <v>157.32</v>
      </c>
      <c r="AO10" s="35" t="s">
        <v>113</v>
      </c>
      <c r="AP10" s="62">
        <v>1</v>
      </c>
      <c r="AQ10" s="32">
        <v>40.799999999999997</v>
      </c>
      <c r="AT10"/>
      <c r="BL10" s="59" t="s">
        <v>17</v>
      </c>
      <c r="BM10" s="59" t="s">
        <v>17</v>
      </c>
      <c r="BN10" s="59" t="s">
        <v>19</v>
      </c>
      <c r="BO10" s="59">
        <v>396381</v>
      </c>
      <c r="BP10" s="59" t="s">
        <v>37</v>
      </c>
      <c r="BQ10" s="133">
        <v>10</v>
      </c>
      <c r="BR10" s="61">
        <v>39.6</v>
      </c>
      <c r="BX10" s="35" t="s">
        <v>98</v>
      </c>
      <c r="BY10" s="32">
        <v>115.28999999999999</v>
      </c>
      <c r="BZ10" s="32"/>
      <c r="CB10"/>
      <c r="CC10"/>
      <c r="CD10"/>
      <c r="CE10"/>
      <c r="CF10"/>
    </row>
    <row r="11" spans="1:88" x14ac:dyDescent="0.25">
      <c r="A11" t="str">
        <f>TB!$B11&amp;TB!$C11</f>
        <v>1. ENERO1ra QUINCENA</v>
      </c>
      <c r="B11" s="65" t="s">
        <v>13322</v>
      </c>
      <c r="C11" s="65" t="s">
        <v>13113</v>
      </c>
      <c r="D11" s="67">
        <v>45658</v>
      </c>
      <c r="E11" s="67">
        <v>45671</v>
      </c>
      <c r="F11" s="66">
        <f>TB!$E11-TB!$D11</f>
        <v>13</v>
      </c>
      <c r="J11" s="72" t="s">
        <v>13117</v>
      </c>
      <c r="K11" s="73">
        <f>IFERROR(VLOOKUP(BV1,A:E,5,0),"-")</f>
        <v>45716</v>
      </c>
      <c r="AE11" s="34">
        <v>45699</v>
      </c>
      <c r="AF11" s="32">
        <v>157.32</v>
      </c>
      <c r="AK11" s="35" t="s">
        <v>121</v>
      </c>
      <c r="AL11" s="62">
        <v>1</v>
      </c>
      <c r="AM11" s="32">
        <v>51.54</v>
      </c>
      <c r="AO11" s="35" t="s">
        <v>12955</v>
      </c>
      <c r="AP11" s="62">
        <v>16</v>
      </c>
      <c r="AQ11" s="32">
        <v>1126.1399999999999</v>
      </c>
      <c r="AT11"/>
      <c r="BL11" s="59" t="s">
        <v>17</v>
      </c>
      <c r="BM11" s="59" t="s">
        <v>17</v>
      </c>
      <c r="BN11" s="59" t="s">
        <v>19</v>
      </c>
      <c r="BO11" s="59">
        <v>485926</v>
      </c>
      <c r="BP11" s="59" t="s">
        <v>64</v>
      </c>
      <c r="BQ11" s="133">
        <v>12</v>
      </c>
      <c r="BR11" s="61">
        <v>116.39999999999999</v>
      </c>
      <c r="BX11" s="35" t="s">
        <v>78</v>
      </c>
      <c r="BY11" s="32">
        <v>103.14000000000001</v>
      </c>
      <c r="BZ11" s="32"/>
      <c r="CB11"/>
      <c r="CC11"/>
      <c r="CD11"/>
      <c r="CE11"/>
      <c r="CF11"/>
    </row>
    <row r="12" spans="1:88" x14ac:dyDescent="0.25">
      <c r="A12" t="str">
        <f>TB!$B12&amp;TB!$C12</f>
        <v>1. ENERO2da QUINCENA</v>
      </c>
      <c r="B12" s="65" t="s">
        <v>13322</v>
      </c>
      <c r="C12" s="65" t="s">
        <v>13111</v>
      </c>
      <c r="D12" s="67">
        <v>45672</v>
      </c>
      <c r="E12" s="67">
        <v>45686</v>
      </c>
      <c r="F12" s="66">
        <f>TB!$E12-TB!$D12</f>
        <v>14</v>
      </c>
      <c r="J12" s="72" t="s">
        <v>13116</v>
      </c>
      <c r="K12" s="48">
        <f>IFERROR(K11-K10,"-")</f>
        <v>13</v>
      </c>
      <c r="AE12" s="34">
        <v>45700</v>
      </c>
      <c r="AF12" s="32">
        <v>7.53</v>
      </c>
      <c r="AK12" s="35" t="s">
        <v>104</v>
      </c>
      <c r="AL12" s="62">
        <v>1</v>
      </c>
      <c r="AM12" s="32">
        <v>57.989999999999995</v>
      </c>
      <c r="AQ12"/>
      <c r="AT12"/>
      <c r="BL12" s="59" t="s">
        <v>17</v>
      </c>
      <c r="BM12" s="59" t="s">
        <v>17</v>
      </c>
      <c r="BN12" s="59" t="s">
        <v>19</v>
      </c>
      <c r="BO12" s="59">
        <v>786927</v>
      </c>
      <c r="BP12" s="59" t="s">
        <v>120</v>
      </c>
      <c r="BQ12" s="133">
        <v>6</v>
      </c>
      <c r="BR12" s="61">
        <v>51.54</v>
      </c>
      <c r="BX12" s="35" t="s">
        <v>55</v>
      </c>
      <c r="BY12" s="32">
        <v>91.44</v>
      </c>
      <c r="BZ12" s="32"/>
      <c r="CB12"/>
      <c r="CC12"/>
      <c r="CD12"/>
      <c r="CE12"/>
      <c r="CF12"/>
    </row>
    <row r="13" spans="1:88" x14ac:dyDescent="0.25">
      <c r="A13" t="str">
        <f>TB!$B13&amp;TB!$C13</f>
        <v>2. FEBRERO1ra QUINCENA</v>
      </c>
      <c r="B13" s="65" t="s">
        <v>13323</v>
      </c>
      <c r="C13" s="65" t="s">
        <v>13113</v>
      </c>
      <c r="D13" s="67">
        <v>45687</v>
      </c>
      <c r="E13" s="67">
        <v>45702</v>
      </c>
      <c r="F13" s="66">
        <f>TB!$E13-TB!$D13</f>
        <v>15</v>
      </c>
      <c r="AE13" s="34">
        <v>45703</v>
      </c>
      <c r="AF13" s="32">
        <v>173.27999999999997</v>
      </c>
      <c r="AK13" s="35" t="s">
        <v>123</v>
      </c>
      <c r="AL13" s="62">
        <v>1</v>
      </c>
      <c r="AM13" s="32">
        <v>72.36</v>
      </c>
      <c r="AQ13"/>
      <c r="AT13"/>
      <c r="BL13" s="59" t="s">
        <v>17</v>
      </c>
      <c r="BM13" s="59" t="s">
        <v>17</v>
      </c>
      <c r="BN13" s="59" t="s">
        <v>19</v>
      </c>
      <c r="BO13" s="59">
        <v>889644</v>
      </c>
      <c r="BP13" s="59" t="s">
        <v>131</v>
      </c>
      <c r="BQ13" s="133">
        <v>1</v>
      </c>
      <c r="BR13" s="61">
        <v>9.24</v>
      </c>
      <c r="BX13" s="35" t="s">
        <v>123</v>
      </c>
      <c r="BY13" s="32">
        <v>72.36</v>
      </c>
      <c r="BZ13" s="32"/>
      <c r="CB13"/>
      <c r="CC13"/>
      <c r="CD13"/>
      <c r="CE13"/>
      <c r="CF13"/>
    </row>
    <row r="14" spans="1:88" x14ac:dyDescent="0.25">
      <c r="A14" t="str">
        <f>TB!$B14&amp;TB!$C14</f>
        <v>2. FEBRERO2da QUINCENA</v>
      </c>
      <c r="B14" s="68" t="s">
        <v>13323</v>
      </c>
      <c r="C14" s="68" t="s">
        <v>13111</v>
      </c>
      <c r="D14" s="67">
        <v>45703</v>
      </c>
      <c r="E14" s="67">
        <v>45716</v>
      </c>
      <c r="F14" s="69">
        <f>TB!$E14-TB!$D14</f>
        <v>13</v>
      </c>
      <c r="AE14" s="34">
        <v>45705</v>
      </c>
      <c r="AF14" s="32">
        <v>459.46000000000004</v>
      </c>
      <c r="AK14" s="35" t="s">
        <v>57</v>
      </c>
      <c r="AL14" s="62">
        <v>1</v>
      </c>
      <c r="AM14" s="32">
        <v>45.150000000000006</v>
      </c>
      <c r="AQ14"/>
      <c r="AT14"/>
      <c r="BL14" s="59" t="s">
        <v>17</v>
      </c>
      <c r="BM14" s="59" t="s">
        <v>17</v>
      </c>
      <c r="BN14" s="59" t="s">
        <v>19</v>
      </c>
      <c r="BO14" s="59">
        <v>892487</v>
      </c>
      <c r="BP14" s="59" t="s">
        <v>112</v>
      </c>
      <c r="BQ14" s="133">
        <v>12</v>
      </c>
      <c r="BR14" s="61">
        <v>40.799999999999997</v>
      </c>
      <c r="BX14" s="35" t="s">
        <v>104</v>
      </c>
      <c r="BY14" s="32">
        <v>57.989999999999995</v>
      </c>
      <c r="BZ14" s="32"/>
      <c r="CB14"/>
      <c r="CC14"/>
      <c r="CD14"/>
      <c r="CE14"/>
      <c r="CF14"/>
    </row>
    <row r="15" spans="1:88" x14ac:dyDescent="0.25">
      <c r="A15" t="str">
        <f>TB!$B15&amp;TB!$C15</f>
        <v>3. MARZO1ra QUINCENA</v>
      </c>
      <c r="B15" s="65" t="s">
        <v>13324</v>
      </c>
      <c r="C15" s="65" t="s">
        <v>13113</v>
      </c>
      <c r="D15" s="67">
        <v>45717</v>
      </c>
      <c r="E15" s="67">
        <v>45730</v>
      </c>
      <c r="F15" s="66">
        <f>TB!$E15-TB!$D15</f>
        <v>13</v>
      </c>
      <c r="AE15" s="34">
        <v>45708</v>
      </c>
      <c r="AF15" s="32">
        <v>93.149999999999991</v>
      </c>
      <c r="AK15" s="35" t="s">
        <v>27</v>
      </c>
      <c r="AL15" s="62">
        <v>1</v>
      </c>
      <c r="AM15" s="32">
        <v>145.44</v>
      </c>
      <c r="AQ15"/>
      <c r="BL15" s="59" t="s">
        <v>17</v>
      </c>
      <c r="BM15" s="59" t="s">
        <v>17</v>
      </c>
      <c r="BN15" s="59" t="s">
        <v>19</v>
      </c>
      <c r="BO15" s="59">
        <v>929115</v>
      </c>
      <c r="BP15" s="59" t="s">
        <v>66</v>
      </c>
      <c r="BQ15" s="133">
        <v>12</v>
      </c>
      <c r="BR15" s="61">
        <v>94.56</v>
      </c>
      <c r="BX15" s="35" t="s">
        <v>38</v>
      </c>
      <c r="BY15" s="32">
        <v>54.72</v>
      </c>
      <c r="BZ15" s="32"/>
      <c r="CB15"/>
      <c r="CC15"/>
      <c r="CD15"/>
      <c r="CE15"/>
      <c r="CF15"/>
    </row>
    <row r="16" spans="1:88" x14ac:dyDescent="0.25">
      <c r="A16" t="str">
        <f>TB!$B16&amp;TB!$C16</f>
        <v>3. MARZO2da QUINCENA</v>
      </c>
      <c r="B16" s="76" t="s">
        <v>13324</v>
      </c>
      <c r="C16" s="68" t="s">
        <v>13111</v>
      </c>
      <c r="D16" s="67">
        <v>45731</v>
      </c>
      <c r="E16" s="67">
        <f ca="1">TODAY()</f>
        <v>45798</v>
      </c>
      <c r="F16">
        <f ca="1">TB!$E16-TB!$D16</f>
        <v>67</v>
      </c>
      <c r="AE16" s="34">
        <v>45709</v>
      </c>
      <c r="AF16" s="32">
        <v>26.46</v>
      </c>
      <c r="AK16" s="35" t="s">
        <v>59</v>
      </c>
      <c r="AL16" s="62">
        <v>1</v>
      </c>
      <c r="AM16" s="32">
        <v>38.880000000000003</v>
      </c>
      <c r="AQ16"/>
      <c r="BL16" s="59" t="s">
        <v>17</v>
      </c>
      <c r="BM16" s="59" t="s">
        <v>17</v>
      </c>
      <c r="BN16" s="59" t="s">
        <v>19</v>
      </c>
      <c r="BO16" s="59">
        <v>968970</v>
      </c>
      <c r="BP16" s="59" t="s">
        <v>75</v>
      </c>
      <c r="BQ16" s="133">
        <v>18</v>
      </c>
      <c r="BR16" s="61">
        <v>163.98</v>
      </c>
      <c r="BX16" s="35" t="s">
        <v>13124</v>
      </c>
      <c r="BY16" s="32">
        <v>51.75</v>
      </c>
      <c r="BZ16" s="32"/>
      <c r="CB16"/>
      <c r="CC16"/>
      <c r="CD16"/>
      <c r="CE16"/>
      <c r="CF16"/>
    </row>
    <row r="17" spans="1:84" x14ac:dyDescent="0.25">
      <c r="A17" t="str">
        <f>TB!$B17&amp;TB!$C17</f>
        <v>4. ABRIL1ra QUINCENA</v>
      </c>
      <c r="B17" s="77" t="s">
        <v>13325</v>
      </c>
      <c r="C17" s="65" t="s">
        <v>13113</v>
      </c>
      <c r="D17" s="67">
        <v>45748</v>
      </c>
      <c r="E17" s="67">
        <v>45761</v>
      </c>
      <c r="F17" s="79">
        <f>TB!$E17-TB!$D17</f>
        <v>13</v>
      </c>
      <c r="AE17" s="34">
        <v>45710</v>
      </c>
      <c r="AF17" s="32">
        <v>33.979999999999997</v>
      </c>
      <c r="AK17" s="35" t="s">
        <v>82</v>
      </c>
      <c r="AL17" s="62">
        <v>1</v>
      </c>
      <c r="AM17" s="32">
        <v>170.88</v>
      </c>
      <c r="AQ17"/>
      <c r="BL17" s="59" t="s">
        <v>17</v>
      </c>
      <c r="BM17" s="59" t="s">
        <v>17</v>
      </c>
      <c r="BN17" s="59" t="s">
        <v>19</v>
      </c>
      <c r="BO17" s="59">
        <v>1009409</v>
      </c>
      <c r="BP17" s="59" t="s">
        <v>69</v>
      </c>
      <c r="BQ17" s="133">
        <v>1</v>
      </c>
      <c r="BR17" s="61">
        <v>15.12</v>
      </c>
      <c r="BX17" s="35" t="s">
        <v>121</v>
      </c>
      <c r="BY17" s="32">
        <v>51.54</v>
      </c>
      <c r="BZ17" s="32"/>
      <c r="CB17"/>
      <c r="CC17"/>
      <c r="CD17"/>
      <c r="CE17"/>
      <c r="CF17"/>
    </row>
    <row r="18" spans="1:84" x14ac:dyDescent="0.25">
      <c r="A18" t="str">
        <f>TB!$B18&amp;TB!$C18</f>
        <v>4. ABRIL2da QUINCENA</v>
      </c>
      <c r="B18" s="77" t="s">
        <v>13325</v>
      </c>
      <c r="C18" s="68" t="s">
        <v>13111</v>
      </c>
      <c r="D18" s="78">
        <v>45762</v>
      </c>
      <c r="E18" s="78">
        <v>45775</v>
      </c>
      <c r="F18" s="79">
        <f>TB!$E18-TB!$D18</f>
        <v>13</v>
      </c>
      <c r="AE18" s="34">
        <v>45712</v>
      </c>
      <c r="AF18" s="32">
        <v>10.08</v>
      </c>
      <c r="AK18" s="35" t="s">
        <v>43</v>
      </c>
      <c r="AL18" s="62">
        <v>1</v>
      </c>
      <c r="AM18" s="32">
        <v>163.98</v>
      </c>
      <c r="AQ18"/>
      <c r="BL18" s="59" t="s">
        <v>17</v>
      </c>
      <c r="BM18" s="59" t="s">
        <v>17</v>
      </c>
      <c r="BN18" s="59" t="s">
        <v>19</v>
      </c>
      <c r="BO18" s="59">
        <v>1033106</v>
      </c>
      <c r="BP18" s="59" t="s">
        <v>77</v>
      </c>
      <c r="BQ18" s="133">
        <v>18</v>
      </c>
      <c r="BR18" s="61">
        <v>103.14000000000001</v>
      </c>
      <c r="BX18" s="35" t="s">
        <v>57</v>
      </c>
      <c r="BY18" s="32">
        <v>45.150000000000006</v>
      </c>
      <c r="BZ18" s="32"/>
      <c r="CB18"/>
      <c r="CC18"/>
      <c r="CD18"/>
      <c r="CE18"/>
      <c r="CF18"/>
    </row>
    <row r="19" spans="1:84" x14ac:dyDescent="0.25">
      <c r="A19" t="str">
        <f>TB!$B19&amp;TB!$C19</f>
        <v>5. MAYO1ra QUINCENA</v>
      </c>
      <c r="B19" s="65" t="s">
        <v>13389</v>
      </c>
      <c r="C19" s="65" t="s">
        <v>13113</v>
      </c>
      <c r="D19" s="67">
        <v>45778</v>
      </c>
      <c r="E19" s="67">
        <f ca="1">TODAY()</f>
        <v>45798</v>
      </c>
      <c r="F19" s="66">
        <f ca="1">TB!$E19-TB!$D19</f>
        <v>20</v>
      </c>
      <c r="AE19" s="34">
        <v>45713</v>
      </c>
      <c r="AF19" s="32">
        <v>294.19</v>
      </c>
      <c r="AK19" s="35" t="s">
        <v>78</v>
      </c>
      <c r="AL19" s="62">
        <v>1</v>
      </c>
      <c r="AM19" s="32">
        <v>103.14000000000001</v>
      </c>
      <c r="AQ19"/>
      <c r="BL19" s="59" t="s">
        <v>17</v>
      </c>
      <c r="BM19" s="59" t="s">
        <v>17</v>
      </c>
      <c r="BN19" s="59" t="s">
        <v>19</v>
      </c>
      <c r="BO19" s="59">
        <v>396035004</v>
      </c>
      <c r="BP19" s="59" t="s">
        <v>115</v>
      </c>
      <c r="BQ19" s="133">
        <v>24</v>
      </c>
      <c r="BR19" s="61">
        <v>66.239999999999995</v>
      </c>
      <c r="BX19" s="35" t="s">
        <v>113</v>
      </c>
      <c r="BY19" s="32">
        <v>40.799999999999997</v>
      </c>
      <c r="BZ19" s="32"/>
      <c r="CB19"/>
      <c r="CC19"/>
      <c r="CD19"/>
      <c r="CE19"/>
      <c r="CF19"/>
    </row>
    <row r="20" spans="1:84" x14ac:dyDescent="0.25">
      <c r="AE20" s="34">
        <v>45714</v>
      </c>
      <c r="AF20" s="32">
        <v>171.12</v>
      </c>
      <c r="AK20" s="35" t="s">
        <v>13121</v>
      </c>
      <c r="AL20" s="62">
        <v>1</v>
      </c>
      <c r="AM20" s="32">
        <v>171.12</v>
      </c>
      <c r="AQ20"/>
      <c r="BL20" s="59" t="s">
        <v>17</v>
      </c>
      <c r="BM20" s="59" t="s">
        <v>17</v>
      </c>
      <c r="BN20" s="59" t="s">
        <v>19</v>
      </c>
      <c r="BO20" s="59">
        <v>700198001</v>
      </c>
      <c r="BP20" s="59" t="s">
        <v>80</v>
      </c>
      <c r="BQ20" s="133">
        <v>12</v>
      </c>
      <c r="BR20" s="61">
        <v>145.44</v>
      </c>
      <c r="BX20" s="35" t="s">
        <v>59</v>
      </c>
      <c r="BY20" s="32">
        <v>38.880000000000003</v>
      </c>
      <c r="BZ20" s="32"/>
      <c r="CB20"/>
      <c r="CC20"/>
      <c r="CD20"/>
      <c r="CE20"/>
      <c r="CF20"/>
    </row>
    <row r="21" spans="1:84" x14ac:dyDescent="0.25">
      <c r="AE21" s="34" t="s">
        <v>12955</v>
      </c>
      <c r="AF21" s="32">
        <v>3180.4599999999996</v>
      </c>
      <c r="AK21" s="35" t="s">
        <v>53</v>
      </c>
      <c r="AL21" s="62">
        <v>1</v>
      </c>
      <c r="AM21" s="32">
        <v>12.56</v>
      </c>
      <c r="AQ21"/>
      <c r="BL21" s="59" t="s">
        <v>17</v>
      </c>
      <c r="BM21" s="59" t="s">
        <v>17</v>
      </c>
      <c r="BN21" s="59" t="s">
        <v>19</v>
      </c>
      <c r="BO21" s="59">
        <v>753538006</v>
      </c>
      <c r="BP21" s="59" t="s">
        <v>81</v>
      </c>
      <c r="BQ21" s="133">
        <v>24</v>
      </c>
      <c r="BR21" s="61">
        <v>170.88</v>
      </c>
      <c r="BX21" s="35" t="s">
        <v>87</v>
      </c>
      <c r="BY21" s="32">
        <v>28.07</v>
      </c>
      <c r="BZ21" s="32"/>
      <c r="CB21"/>
      <c r="CC21"/>
      <c r="CD21"/>
      <c r="CE21"/>
      <c r="CF21"/>
    </row>
    <row r="22" spans="1:84" x14ac:dyDescent="0.25">
      <c r="AK22" s="35" t="s">
        <v>90</v>
      </c>
      <c r="AL22" s="62">
        <v>1</v>
      </c>
      <c r="AM22" s="32">
        <v>4.49</v>
      </c>
      <c r="BL22" s="59" t="s">
        <v>17</v>
      </c>
      <c r="BM22" s="59" t="s">
        <v>17</v>
      </c>
      <c r="BN22" s="59" t="s">
        <v>19</v>
      </c>
      <c r="BO22" s="59">
        <v>1024863002</v>
      </c>
      <c r="BP22" s="59" t="s">
        <v>89</v>
      </c>
      <c r="BQ22" s="133">
        <v>1</v>
      </c>
      <c r="BR22" s="61">
        <v>4.49</v>
      </c>
      <c r="BX22" s="35" t="s">
        <v>63</v>
      </c>
      <c r="BY22" s="32">
        <v>12.9</v>
      </c>
      <c r="BZ22" s="32"/>
      <c r="CB22"/>
      <c r="CC22"/>
      <c r="CD22"/>
      <c r="CE22"/>
      <c r="CF22"/>
    </row>
    <row r="23" spans="1:84" x14ac:dyDescent="0.25">
      <c r="AK23" s="35" t="s">
        <v>12955</v>
      </c>
      <c r="AL23" s="62">
        <v>23</v>
      </c>
      <c r="AM23" s="32">
        <v>1811.6999999999998</v>
      </c>
      <c r="BL23" s="59" t="s">
        <v>17</v>
      </c>
      <c r="BM23" s="59" t="s">
        <v>17</v>
      </c>
      <c r="BN23" s="59" t="s">
        <v>19</v>
      </c>
      <c r="BO23" s="59">
        <v>324677</v>
      </c>
      <c r="BP23" s="59" t="s">
        <v>1576</v>
      </c>
      <c r="BQ23" s="133">
        <v>1</v>
      </c>
      <c r="BR23" s="61">
        <v>33.979999999999997</v>
      </c>
      <c r="BX23" s="35" t="s">
        <v>53</v>
      </c>
      <c r="BY23" s="32">
        <v>12.56</v>
      </c>
      <c r="BZ23" s="32"/>
      <c r="CB23"/>
      <c r="CC23"/>
      <c r="CD23"/>
      <c r="CE23"/>
      <c r="CF23"/>
    </row>
    <row r="24" spans="1:84" x14ac:dyDescent="0.25">
      <c r="AM24"/>
      <c r="BL24" s="59" t="s">
        <v>17</v>
      </c>
      <c r="BM24" s="59" t="s">
        <v>17</v>
      </c>
      <c r="BN24" s="59" t="s">
        <v>19</v>
      </c>
      <c r="BO24" s="59">
        <v>373210</v>
      </c>
      <c r="BP24" s="59" t="s">
        <v>1961</v>
      </c>
      <c r="BQ24" s="133">
        <v>1</v>
      </c>
      <c r="BR24" s="61">
        <v>2.71</v>
      </c>
      <c r="BX24" s="35" t="s">
        <v>132</v>
      </c>
      <c r="BY24" s="32">
        <v>10</v>
      </c>
      <c r="CB24"/>
      <c r="CC24"/>
      <c r="CD24"/>
      <c r="CE24"/>
      <c r="CF24"/>
    </row>
    <row r="25" spans="1:84" x14ac:dyDescent="0.25">
      <c r="AM25"/>
      <c r="BL25" s="59" t="s">
        <v>17</v>
      </c>
      <c r="BM25" s="59" t="s">
        <v>17</v>
      </c>
      <c r="BN25" s="59" t="s">
        <v>13124</v>
      </c>
      <c r="BO25" s="59">
        <v>754391</v>
      </c>
      <c r="BP25" s="59" t="s">
        <v>134</v>
      </c>
      <c r="BQ25" s="133">
        <v>24</v>
      </c>
      <c r="BR25" s="61">
        <v>120.96000000000001</v>
      </c>
      <c r="BX25" s="35" t="s">
        <v>90</v>
      </c>
      <c r="BY25" s="32">
        <v>4.49</v>
      </c>
      <c r="CB25"/>
      <c r="CC25"/>
      <c r="CD25"/>
      <c r="CE25"/>
      <c r="CF25"/>
    </row>
    <row r="26" spans="1:84" x14ac:dyDescent="0.25">
      <c r="AM26"/>
      <c r="BL26" s="59" t="s">
        <v>17</v>
      </c>
      <c r="BM26" s="59" t="s">
        <v>17</v>
      </c>
      <c r="BN26" s="59" t="s">
        <v>13124</v>
      </c>
      <c r="BO26" s="59">
        <v>182247</v>
      </c>
      <c r="BP26" s="59" t="s">
        <v>1231</v>
      </c>
      <c r="BQ26" s="133">
        <v>1</v>
      </c>
      <c r="BR26" s="61">
        <v>46.75</v>
      </c>
      <c r="BX26" s="35" t="s">
        <v>12897</v>
      </c>
      <c r="BY26" s="32">
        <v>2.71</v>
      </c>
      <c r="CB26"/>
      <c r="CC26"/>
      <c r="CD26"/>
      <c r="CE26"/>
      <c r="CF26"/>
    </row>
    <row r="27" spans="1:84" x14ac:dyDescent="0.25">
      <c r="AM27"/>
      <c r="BL27" s="59" t="s">
        <v>17</v>
      </c>
      <c r="BM27" s="59" t="s">
        <v>17</v>
      </c>
      <c r="BN27" s="59" t="s">
        <v>13124</v>
      </c>
      <c r="BO27" s="59">
        <v>996299</v>
      </c>
      <c r="BP27" s="59" t="s">
        <v>8136</v>
      </c>
      <c r="BQ27" s="133">
        <v>1</v>
      </c>
      <c r="BR27" s="61">
        <v>5</v>
      </c>
      <c r="BX27" s="35" t="s">
        <v>12955</v>
      </c>
      <c r="BY27" s="32">
        <v>2023.99</v>
      </c>
      <c r="CB27"/>
      <c r="CC27"/>
      <c r="CD27"/>
      <c r="CE27"/>
      <c r="CF27"/>
    </row>
    <row r="28" spans="1:84" x14ac:dyDescent="0.25">
      <c r="AM28"/>
      <c r="BL28" s="59" t="s">
        <v>25</v>
      </c>
      <c r="BM28" s="59" t="s">
        <v>25</v>
      </c>
      <c r="BN28" s="59" t="s">
        <v>19</v>
      </c>
      <c r="BO28" s="59">
        <v>4763</v>
      </c>
      <c r="BP28" s="59" t="s">
        <v>767</v>
      </c>
      <c r="BQ28" s="133">
        <v>1</v>
      </c>
      <c r="BR28" s="61">
        <v>0.76</v>
      </c>
      <c r="CB28"/>
      <c r="CC28"/>
      <c r="CD28"/>
      <c r="CE28"/>
      <c r="CF28"/>
    </row>
    <row r="29" spans="1:84" x14ac:dyDescent="0.25">
      <c r="AM29"/>
      <c r="BL29" s="59" t="s">
        <v>25</v>
      </c>
      <c r="BM29" s="59" t="s">
        <v>25</v>
      </c>
      <c r="BN29" s="59" t="s">
        <v>19</v>
      </c>
      <c r="BO29" s="59">
        <v>62649</v>
      </c>
      <c r="BP29" s="59" t="s">
        <v>32</v>
      </c>
      <c r="BQ29" s="133">
        <v>1</v>
      </c>
      <c r="BR29" s="61">
        <v>29.81</v>
      </c>
      <c r="CB29"/>
      <c r="CC29"/>
      <c r="CD29"/>
      <c r="CE29"/>
      <c r="CF29"/>
    </row>
    <row r="30" spans="1:84" x14ac:dyDescent="0.25">
      <c r="AM30"/>
      <c r="BL30" s="59" t="s">
        <v>25</v>
      </c>
      <c r="BM30" s="59" t="s">
        <v>25</v>
      </c>
      <c r="BN30" s="59" t="s">
        <v>19</v>
      </c>
      <c r="BO30" s="59">
        <v>134526</v>
      </c>
      <c r="BP30" s="59" t="s">
        <v>51</v>
      </c>
      <c r="BQ30" s="133">
        <v>1</v>
      </c>
      <c r="BR30" s="61">
        <v>12.56</v>
      </c>
      <c r="CB30"/>
      <c r="CC30"/>
      <c r="CD30"/>
      <c r="CE30"/>
      <c r="CF30"/>
    </row>
    <row r="31" spans="1:84" x14ac:dyDescent="0.25">
      <c r="AM31"/>
      <c r="BL31" s="59" t="s">
        <v>25</v>
      </c>
      <c r="BM31" s="59" t="s">
        <v>25</v>
      </c>
      <c r="BN31" s="59" t="s">
        <v>19</v>
      </c>
      <c r="BO31" s="59">
        <v>453712</v>
      </c>
      <c r="BP31" s="59" t="s">
        <v>54</v>
      </c>
      <c r="BQ31" s="133">
        <v>1</v>
      </c>
      <c r="BR31" s="61">
        <v>7.53</v>
      </c>
      <c r="CB31"/>
      <c r="CC31"/>
      <c r="CD31"/>
      <c r="CE31"/>
      <c r="CF31"/>
    </row>
    <row r="32" spans="1:84" x14ac:dyDescent="0.25">
      <c r="AM32"/>
      <c r="BL32" s="59" t="s">
        <v>25</v>
      </c>
      <c r="BM32" s="59" t="s">
        <v>25</v>
      </c>
      <c r="BN32" s="59" t="s">
        <v>19</v>
      </c>
      <c r="BO32" s="59">
        <v>454506</v>
      </c>
      <c r="BP32" s="59" t="s">
        <v>122</v>
      </c>
      <c r="BQ32" s="133">
        <v>12</v>
      </c>
      <c r="BR32" s="61">
        <v>72.36</v>
      </c>
      <c r="CB32"/>
      <c r="CC32"/>
      <c r="CD32"/>
      <c r="CE32"/>
      <c r="CF32"/>
    </row>
    <row r="33" spans="43:70" customFormat="1" x14ac:dyDescent="0.25">
      <c r="AQ33" s="62"/>
      <c r="AT33" s="62"/>
      <c r="BL33" s="59" t="s">
        <v>25</v>
      </c>
      <c r="BM33" s="59" t="s">
        <v>25</v>
      </c>
      <c r="BN33" s="59" t="s">
        <v>19</v>
      </c>
      <c r="BO33" s="59">
        <v>533997</v>
      </c>
      <c r="BP33" s="59" t="s">
        <v>56</v>
      </c>
      <c r="BQ33" s="133">
        <v>3</v>
      </c>
      <c r="BR33" s="61">
        <v>45.150000000000006</v>
      </c>
    </row>
    <row r="34" spans="43:70" customFormat="1" x14ac:dyDescent="0.25">
      <c r="AQ34" s="62"/>
      <c r="AT34" s="62"/>
      <c r="BL34" s="59" t="s">
        <v>25</v>
      </c>
      <c r="BM34" s="59" t="s">
        <v>25</v>
      </c>
      <c r="BN34" s="59" t="s">
        <v>19</v>
      </c>
      <c r="BO34" s="59">
        <v>754391</v>
      </c>
      <c r="BP34" s="59" t="s">
        <v>134</v>
      </c>
      <c r="BQ34" s="133">
        <v>24</v>
      </c>
      <c r="BR34" s="61">
        <v>120.96000000000001</v>
      </c>
    </row>
    <row r="35" spans="43:70" customFormat="1" x14ac:dyDescent="0.25">
      <c r="AQ35" s="62"/>
      <c r="AT35" s="62"/>
      <c r="BL35" s="59" t="s">
        <v>25</v>
      </c>
      <c r="BM35" s="59" t="s">
        <v>25</v>
      </c>
      <c r="BN35" s="59" t="s">
        <v>19</v>
      </c>
      <c r="BO35" s="59">
        <v>886904</v>
      </c>
      <c r="BP35" s="59" t="s">
        <v>23</v>
      </c>
      <c r="BQ35" s="133">
        <v>6</v>
      </c>
      <c r="BR35" s="61">
        <v>38.880000000000003</v>
      </c>
    </row>
    <row r="36" spans="43:70" customFormat="1" x14ac:dyDescent="0.25">
      <c r="AQ36" s="62"/>
      <c r="AT36" s="62"/>
      <c r="BL36" s="59" t="s">
        <v>25</v>
      </c>
      <c r="BM36" s="59" t="s">
        <v>25</v>
      </c>
      <c r="BN36" s="59" t="s">
        <v>19</v>
      </c>
      <c r="BO36" s="59">
        <v>891733</v>
      </c>
      <c r="BP36" s="59" t="s">
        <v>5796</v>
      </c>
      <c r="BQ36" s="133">
        <v>1</v>
      </c>
      <c r="BR36" s="61">
        <v>22.99</v>
      </c>
    </row>
    <row r="37" spans="43:70" customFormat="1" x14ac:dyDescent="0.25">
      <c r="AQ37" s="62"/>
      <c r="AT37" s="62"/>
      <c r="BL37" s="59" t="s">
        <v>25</v>
      </c>
      <c r="BM37" s="59" t="s">
        <v>25</v>
      </c>
      <c r="BN37" s="59" t="s">
        <v>19</v>
      </c>
      <c r="BO37" s="59">
        <v>1023462</v>
      </c>
      <c r="BP37" s="59" t="s">
        <v>61</v>
      </c>
      <c r="BQ37" s="133">
        <v>1</v>
      </c>
      <c r="BR37" s="61">
        <v>57.01</v>
      </c>
    </row>
    <row r="38" spans="43:70" customFormat="1" x14ac:dyDescent="0.25">
      <c r="AQ38" s="62"/>
      <c r="AT38" s="62"/>
      <c r="BL38" s="59" t="s">
        <v>25</v>
      </c>
      <c r="BM38" s="59" t="s">
        <v>25</v>
      </c>
      <c r="BN38" s="59" t="s">
        <v>19</v>
      </c>
      <c r="BO38" s="59">
        <v>3863001</v>
      </c>
      <c r="BP38" s="59" t="s">
        <v>62</v>
      </c>
      <c r="BQ38" s="133">
        <v>1</v>
      </c>
      <c r="BR38" s="61">
        <v>12.9</v>
      </c>
    </row>
    <row r="39" spans="43:70" customFormat="1" x14ac:dyDescent="0.25">
      <c r="AQ39" s="62"/>
      <c r="AT39" s="62"/>
      <c r="BL39" s="59" t="s">
        <v>25</v>
      </c>
      <c r="BM39" s="59" t="s">
        <v>25</v>
      </c>
      <c r="BN39" s="59" t="s">
        <v>19</v>
      </c>
      <c r="BO39" s="59">
        <v>130674001</v>
      </c>
      <c r="BP39" s="59" t="s">
        <v>103</v>
      </c>
      <c r="BQ39" s="133">
        <v>3</v>
      </c>
      <c r="BR39" s="61">
        <v>57.989999999999995</v>
      </c>
    </row>
    <row r="40" spans="43:70" customFormat="1" x14ac:dyDescent="0.25">
      <c r="AQ40" s="62"/>
      <c r="AT40" s="62"/>
      <c r="BL40" s="59" t="s">
        <v>25</v>
      </c>
      <c r="BM40" s="59" t="s">
        <v>25</v>
      </c>
      <c r="BN40" s="59" t="s">
        <v>19</v>
      </c>
      <c r="BO40" s="59">
        <v>396035007</v>
      </c>
      <c r="BP40" s="59" t="s">
        <v>116</v>
      </c>
      <c r="BQ40" s="133">
        <v>24</v>
      </c>
      <c r="BR40" s="61">
        <v>66.239999999999995</v>
      </c>
    </row>
    <row r="41" spans="43:70" customFormat="1" x14ac:dyDescent="0.25">
      <c r="AQ41" s="62"/>
      <c r="AT41" s="62"/>
      <c r="BL41" s="59" t="s">
        <v>25</v>
      </c>
      <c r="BM41" s="59" t="s">
        <v>25</v>
      </c>
      <c r="BN41" s="59" t="s">
        <v>19</v>
      </c>
      <c r="BO41" s="59">
        <v>752676001</v>
      </c>
      <c r="BP41" s="59" t="s">
        <v>105</v>
      </c>
      <c r="BQ41" s="133">
        <v>3</v>
      </c>
      <c r="BR41" s="61">
        <v>139.41</v>
      </c>
    </row>
    <row r="42" spans="43:70" customFormat="1" x14ac:dyDescent="0.25">
      <c r="AQ42" s="62"/>
      <c r="AT42" s="62"/>
      <c r="BL42" s="59" t="s">
        <v>25</v>
      </c>
      <c r="BM42" s="59" t="s">
        <v>25</v>
      </c>
      <c r="BN42" s="59" t="s">
        <v>19</v>
      </c>
      <c r="BO42" s="59">
        <v>373674</v>
      </c>
      <c r="BP42" s="59" t="s">
        <v>2013</v>
      </c>
      <c r="BQ42" s="133">
        <v>1</v>
      </c>
      <c r="BR42" s="61">
        <v>5.08</v>
      </c>
    </row>
    <row r="43" spans="43:70" customFormat="1" x14ac:dyDescent="0.25">
      <c r="AQ43" s="62"/>
      <c r="AT43" s="62"/>
      <c r="BL43" s="59" t="s">
        <v>25</v>
      </c>
      <c r="BM43" s="59" t="s">
        <v>25</v>
      </c>
      <c r="BN43" s="59" t="s">
        <v>19</v>
      </c>
      <c r="BO43" s="59">
        <v>531948</v>
      </c>
      <c r="BP43" s="59" t="s">
        <v>2965</v>
      </c>
      <c r="BQ43" s="133">
        <v>24</v>
      </c>
      <c r="BR43" s="61">
        <v>247.44</v>
      </c>
    </row>
    <row r="44" spans="43:70" customFormat="1" x14ac:dyDescent="0.25">
      <c r="AQ44" s="62"/>
      <c r="AT44" s="62"/>
      <c r="BL44" s="59" t="s">
        <v>25</v>
      </c>
      <c r="BM44" s="59" t="s">
        <v>25</v>
      </c>
      <c r="BN44" s="59" t="s">
        <v>19</v>
      </c>
      <c r="BO44" s="59">
        <v>333396</v>
      </c>
      <c r="BP44" s="59" t="s">
        <v>1621</v>
      </c>
      <c r="BQ44" s="133">
        <v>24</v>
      </c>
      <c r="BR44" s="61">
        <v>171.12</v>
      </c>
    </row>
    <row r="45" spans="43:70" customFormat="1" x14ac:dyDescent="0.25">
      <c r="AQ45" s="62"/>
      <c r="AT45" s="62"/>
      <c r="BL45" s="59" t="s">
        <v>25</v>
      </c>
      <c r="BM45" s="59" t="s">
        <v>25</v>
      </c>
      <c r="BN45" s="59" t="s">
        <v>19</v>
      </c>
      <c r="BO45" s="59">
        <v>4724</v>
      </c>
      <c r="BP45" s="59" t="s">
        <v>717</v>
      </c>
      <c r="BQ45" s="133">
        <v>1</v>
      </c>
      <c r="BR45" s="61">
        <v>1.3</v>
      </c>
    </row>
    <row r="46" spans="43:70" customFormat="1" x14ac:dyDescent="0.25">
      <c r="AQ46" s="62"/>
      <c r="AT46" s="62"/>
      <c r="BL46" s="59" t="s">
        <v>25</v>
      </c>
      <c r="BM46" s="59" t="s">
        <v>25</v>
      </c>
      <c r="BN46" s="59" t="s">
        <v>19</v>
      </c>
      <c r="BO46" s="59">
        <v>4694</v>
      </c>
      <c r="BP46" s="59" t="s">
        <v>706</v>
      </c>
      <c r="BQ46" s="133">
        <v>1</v>
      </c>
      <c r="BR46" s="61">
        <v>2.61</v>
      </c>
    </row>
    <row r="47" spans="43:70" customFormat="1" x14ac:dyDescent="0.25">
      <c r="AQ47" s="62"/>
      <c r="AT47" s="62"/>
      <c r="BL47" s="59" t="s">
        <v>25</v>
      </c>
      <c r="BM47" s="59" t="s">
        <v>25</v>
      </c>
      <c r="BN47" s="59" t="s">
        <v>19</v>
      </c>
      <c r="BO47" s="59">
        <v>4262</v>
      </c>
      <c r="BP47" s="59" t="s">
        <v>466</v>
      </c>
      <c r="BQ47" s="133">
        <v>30</v>
      </c>
      <c r="BR47" s="61">
        <v>66</v>
      </c>
    </row>
    <row r="48" spans="43:70" customFormat="1" x14ac:dyDescent="0.25">
      <c r="AQ48" s="62"/>
      <c r="AT48" s="62"/>
      <c r="BL48" s="59" t="s">
        <v>25</v>
      </c>
      <c r="BM48" s="59" t="s">
        <v>25</v>
      </c>
      <c r="BN48" s="59" t="s">
        <v>13088</v>
      </c>
      <c r="BO48" s="59">
        <v>124941</v>
      </c>
      <c r="BP48" s="59" t="s">
        <v>47</v>
      </c>
      <c r="BQ48" s="133">
        <v>3</v>
      </c>
      <c r="BR48" s="61">
        <v>157.32</v>
      </c>
    </row>
    <row r="49" spans="39:84" x14ac:dyDescent="0.25">
      <c r="AM49"/>
      <c r="BL49" s="59" t="s">
        <v>25</v>
      </c>
      <c r="BM49" s="59" t="s">
        <v>25</v>
      </c>
      <c r="BN49" s="59" t="s">
        <v>13088</v>
      </c>
      <c r="BO49" s="59">
        <v>768476</v>
      </c>
      <c r="BP49" s="59" t="s">
        <v>4652</v>
      </c>
      <c r="BQ49" s="133">
        <v>3</v>
      </c>
      <c r="BR49" s="61">
        <v>115.28999999999999</v>
      </c>
      <c r="CB49"/>
      <c r="CC49"/>
      <c r="CD49"/>
      <c r="CE49"/>
      <c r="CF49"/>
    </row>
    <row r="50" spans="39:84" x14ac:dyDescent="0.25">
      <c r="AM50"/>
      <c r="BL50" s="59" t="s">
        <v>25</v>
      </c>
      <c r="BM50" s="59" t="s">
        <v>25</v>
      </c>
      <c r="BN50" s="59" t="s">
        <v>13137</v>
      </c>
      <c r="BO50" s="59">
        <v>137964</v>
      </c>
      <c r="BP50" s="59" t="s">
        <v>1123</v>
      </c>
      <c r="BQ50" s="133">
        <v>10</v>
      </c>
      <c r="BR50" s="61">
        <v>29.4</v>
      </c>
      <c r="CB50"/>
      <c r="CC50"/>
      <c r="CD50"/>
      <c r="CE50"/>
      <c r="CF50"/>
    </row>
    <row r="51" spans="39:84" x14ac:dyDescent="0.25">
      <c r="AM51"/>
      <c r="BL51" s="59" t="s">
        <v>12955</v>
      </c>
      <c r="BQ51" s="133">
        <v>386</v>
      </c>
      <c r="BR51" s="61">
        <v>3180.46</v>
      </c>
      <c r="CB51"/>
      <c r="CC51"/>
      <c r="CD51"/>
      <c r="CE51"/>
      <c r="CF51"/>
    </row>
    <row r="52" spans="39:84" x14ac:dyDescent="0.25">
      <c r="AM52"/>
      <c r="BL52"/>
      <c r="BM52"/>
      <c r="BN52"/>
      <c r="BO52"/>
      <c r="BP52"/>
      <c r="CB52"/>
      <c r="CC52"/>
      <c r="CD52"/>
      <c r="CE52"/>
      <c r="CF52"/>
    </row>
    <row r="53" spans="39:84" x14ac:dyDescent="0.25">
      <c r="AM53"/>
      <c r="BL53"/>
      <c r="BM53"/>
      <c r="BN53"/>
      <c r="BO53"/>
      <c r="BP53"/>
      <c r="CB53"/>
      <c r="CC53"/>
      <c r="CD53"/>
      <c r="CE53"/>
      <c r="CF53"/>
    </row>
    <row r="54" spans="39:84" x14ac:dyDescent="0.25">
      <c r="AM54"/>
      <c r="BL54"/>
      <c r="BM54"/>
      <c r="BN54"/>
      <c r="BO54"/>
      <c r="BP54"/>
      <c r="CB54"/>
      <c r="CC54"/>
      <c r="CD54"/>
      <c r="CE54"/>
      <c r="CF54"/>
    </row>
    <row r="55" spans="39:84" x14ac:dyDescent="0.25">
      <c r="BL55"/>
      <c r="BM55"/>
      <c r="BN55"/>
      <c r="BO55"/>
      <c r="BP55"/>
      <c r="CB55"/>
      <c r="CC55"/>
      <c r="CD55"/>
      <c r="CE55"/>
      <c r="CF55"/>
    </row>
    <row r="56" spans="39:84" x14ac:dyDescent="0.25">
      <c r="BL56"/>
      <c r="BM56"/>
      <c r="BN56"/>
      <c r="BO56"/>
      <c r="BP56"/>
      <c r="CB56"/>
      <c r="CC56"/>
      <c r="CD56"/>
      <c r="CE56"/>
      <c r="CF56"/>
    </row>
    <row r="57" spans="39:84" x14ac:dyDescent="0.25">
      <c r="BL57"/>
      <c r="BM57"/>
      <c r="BN57"/>
      <c r="BO57"/>
      <c r="BP57"/>
      <c r="CB57"/>
      <c r="CC57"/>
      <c r="CD57"/>
      <c r="CE57"/>
      <c r="CF57"/>
    </row>
    <row r="58" spans="39:84" x14ac:dyDescent="0.25">
      <c r="BL58"/>
      <c r="BM58"/>
      <c r="BN58"/>
      <c r="BO58"/>
      <c r="BP58"/>
      <c r="CB58"/>
      <c r="CC58"/>
      <c r="CD58"/>
      <c r="CE58"/>
      <c r="CF58"/>
    </row>
    <row r="59" spans="39:84" x14ac:dyDescent="0.25">
      <c r="BL59"/>
      <c r="BM59"/>
      <c r="BN59"/>
      <c r="BO59"/>
      <c r="BP59"/>
      <c r="CB59"/>
      <c r="CC59"/>
      <c r="CD59"/>
      <c r="CE59"/>
      <c r="CF59"/>
    </row>
    <row r="60" spans="39:84" x14ac:dyDescent="0.25">
      <c r="BL60"/>
      <c r="BM60"/>
      <c r="BN60"/>
      <c r="BO60"/>
      <c r="BP60"/>
      <c r="CB60"/>
      <c r="CC60"/>
      <c r="CD60"/>
      <c r="CE60"/>
      <c r="CF60"/>
    </row>
    <row r="61" spans="39:84" x14ac:dyDescent="0.25">
      <c r="BL61"/>
      <c r="BM61"/>
      <c r="BN61"/>
      <c r="BO61"/>
      <c r="BP61"/>
      <c r="CB61"/>
      <c r="CC61"/>
      <c r="CD61"/>
      <c r="CE61"/>
      <c r="CF61"/>
    </row>
    <row r="62" spans="39:84" x14ac:dyDescent="0.25">
      <c r="BL62"/>
      <c r="BM62"/>
      <c r="BN62"/>
      <c r="BO62"/>
      <c r="BP62"/>
      <c r="CB62"/>
      <c r="CC62"/>
      <c r="CD62"/>
      <c r="CE62"/>
      <c r="CF62"/>
    </row>
    <row r="63" spans="39:84" x14ac:dyDescent="0.25">
      <c r="BL63"/>
      <c r="BM63"/>
      <c r="BN63"/>
      <c r="BO63"/>
      <c r="BP63"/>
      <c r="CB63"/>
      <c r="CC63"/>
      <c r="CD63"/>
      <c r="CE63"/>
      <c r="CF63"/>
    </row>
    <row r="64" spans="39:84" x14ac:dyDescent="0.25">
      <c r="BL64"/>
      <c r="BM64"/>
      <c r="BN64"/>
      <c r="BO64"/>
      <c r="BP64"/>
      <c r="CB64"/>
      <c r="CC64"/>
      <c r="CD64"/>
      <c r="CE64"/>
      <c r="CF64"/>
    </row>
    <row r="65" spans="64:84" x14ac:dyDescent="0.25">
      <c r="BL65"/>
      <c r="BM65"/>
      <c r="BN65"/>
      <c r="BO65"/>
      <c r="BP65"/>
      <c r="CB65"/>
      <c r="CC65"/>
      <c r="CD65"/>
      <c r="CE65"/>
      <c r="CF65"/>
    </row>
    <row r="66" spans="64:84" x14ac:dyDescent="0.25">
      <c r="BL66"/>
      <c r="BM66"/>
      <c r="BN66"/>
      <c r="BO66"/>
      <c r="BP66"/>
      <c r="CB66"/>
      <c r="CC66"/>
      <c r="CD66"/>
      <c r="CE66"/>
      <c r="CF66"/>
    </row>
    <row r="67" spans="64:84" x14ac:dyDescent="0.25">
      <c r="BL67"/>
      <c r="BM67"/>
      <c r="BN67"/>
      <c r="BO67"/>
      <c r="BP67"/>
      <c r="CB67"/>
      <c r="CC67"/>
      <c r="CD67"/>
      <c r="CE67"/>
      <c r="CF67"/>
    </row>
    <row r="68" spans="64:84" x14ac:dyDescent="0.25">
      <c r="BL68"/>
      <c r="BM68"/>
      <c r="BN68"/>
      <c r="BO68"/>
      <c r="BP68"/>
      <c r="CB68"/>
      <c r="CC68"/>
      <c r="CD68"/>
      <c r="CE68"/>
      <c r="CF68"/>
    </row>
    <row r="69" spans="64:84" x14ac:dyDescent="0.25">
      <c r="BL69"/>
      <c r="BM69"/>
      <c r="BN69"/>
      <c r="BO69"/>
      <c r="BP69"/>
      <c r="CB69"/>
      <c r="CC69"/>
      <c r="CD69"/>
      <c r="CE69"/>
      <c r="CF69"/>
    </row>
    <row r="70" spans="64:84" x14ac:dyDescent="0.25">
      <c r="BL70"/>
      <c r="BM70"/>
      <c r="BN70"/>
      <c r="BO70"/>
      <c r="BP70"/>
      <c r="CB70"/>
      <c r="CC70"/>
      <c r="CD70"/>
      <c r="CE70"/>
      <c r="CF70"/>
    </row>
    <row r="71" spans="64:84" x14ac:dyDescent="0.25">
      <c r="BL71"/>
      <c r="BM71"/>
      <c r="BN71"/>
      <c r="BO71"/>
      <c r="BP71"/>
      <c r="CB71"/>
      <c r="CC71"/>
      <c r="CD71"/>
      <c r="CE71"/>
      <c r="CF71"/>
    </row>
    <row r="72" spans="64:84" x14ac:dyDescent="0.25">
      <c r="BL72"/>
      <c r="BM72"/>
      <c r="BN72"/>
      <c r="BO72"/>
      <c r="BP72"/>
      <c r="CB72"/>
      <c r="CC72"/>
      <c r="CD72"/>
      <c r="CE72"/>
      <c r="CF72"/>
    </row>
    <row r="73" spans="64:84" x14ac:dyDescent="0.25">
      <c r="BL73"/>
      <c r="BM73"/>
      <c r="BN73"/>
      <c r="BO73"/>
      <c r="BP73"/>
      <c r="CB73"/>
      <c r="CC73"/>
      <c r="CD73"/>
      <c r="CE73"/>
      <c r="CF73"/>
    </row>
    <row r="74" spans="64:84" x14ac:dyDescent="0.25">
      <c r="BL74"/>
      <c r="BM74"/>
      <c r="BN74"/>
      <c r="BO74"/>
      <c r="BP74"/>
      <c r="CB74"/>
      <c r="CC74"/>
      <c r="CD74"/>
      <c r="CE74"/>
      <c r="CF74"/>
    </row>
    <row r="75" spans="64:84" x14ac:dyDescent="0.25">
      <c r="BL75"/>
      <c r="BM75"/>
      <c r="BN75"/>
      <c r="BO75"/>
      <c r="BP75"/>
      <c r="CB75"/>
      <c r="CC75"/>
      <c r="CD75"/>
      <c r="CE75"/>
      <c r="CF75"/>
    </row>
    <row r="76" spans="64:84" x14ac:dyDescent="0.25">
      <c r="BL76"/>
      <c r="BM76"/>
      <c r="BN76"/>
      <c r="BO76"/>
      <c r="BP76"/>
      <c r="CB76"/>
      <c r="CC76"/>
      <c r="CD76"/>
      <c r="CE76"/>
      <c r="CF76"/>
    </row>
    <row r="77" spans="64:84" x14ac:dyDescent="0.25">
      <c r="BL77"/>
      <c r="BM77"/>
      <c r="BN77"/>
      <c r="BO77"/>
      <c r="BP77"/>
      <c r="CB77"/>
      <c r="CC77"/>
      <c r="CD77"/>
      <c r="CE77"/>
      <c r="CF77"/>
    </row>
    <row r="78" spans="64:84" x14ac:dyDescent="0.25">
      <c r="BL78"/>
      <c r="BM78"/>
      <c r="BN78"/>
      <c r="BO78"/>
      <c r="BP78"/>
      <c r="CB78"/>
      <c r="CC78"/>
      <c r="CD78"/>
      <c r="CE78"/>
      <c r="CF78"/>
    </row>
    <row r="79" spans="64:84" x14ac:dyDescent="0.25">
      <c r="BL79"/>
      <c r="BM79"/>
      <c r="BN79"/>
      <c r="BO79"/>
      <c r="BP79"/>
      <c r="CB79"/>
      <c r="CC79"/>
      <c r="CD79"/>
      <c r="CE79"/>
      <c r="CF79"/>
    </row>
    <row r="80" spans="64:84" x14ac:dyDescent="0.25">
      <c r="BL80"/>
      <c r="BM80"/>
      <c r="BN80"/>
      <c r="BO80"/>
      <c r="BP80"/>
      <c r="CB80"/>
      <c r="CC80"/>
      <c r="CD80"/>
      <c r="CE80"/>
      <c r="CF80"/>
    </row>
    <row r="81" spans="64:84" x14ac:dyDescent="0.25">
      <c r="BL81"/>
      <c r="BM81"/>
      <c r="BN81"/>
      <c r="BO81"/>
      <c r="BP81"/>
      <c r="CB81"/>
      <c r="CC81"/>
      <c r="CD81"/>
      <c r="CE81"/>
      <c r="CF81"/>
    </row>
    <row r="82" spans="64:84" x14ac:dyDescent="0.25">
      <c r="BL82"/>
      <c r="BM82"/>
      <c r="BN82"/>
      <c r="BO82"/>
      <c r="BP82"/>
      <c r="CB82"/>
      <c r="CC82"/>
      <c r="CD82"/>
      <c r="CE82"/>
      <c r="CF82"/>
    </row>
    <row r="83" spans="64:84" x14ac:dyDescent="0.25">
      <c r="BL83"/>
      <c r="BM83"/>
      <c r="BN83"/>
      <c r="BO83"/>
      <c r="BP83"/>
      <c r="CB83"/>
      <c r="CC83"/>
      <c r="CD83"/>
      <c r="CE83"/>
      <c r="CF83"/>
    </row>
    <row r="84" spans="64:84" x14ac:dyDescent="0.25">
      <c r="BL84"/>
      <c r="BM84"/>
      <c r="BN84"/>
      <c r="BO84"/>
      <c r="BP84"/>
      <c r="CB84"/>
      <c r="CC84"/>
      <c r="CD84"/>
      <c r="CE84"/>
      <c r="CF84"/>
    </row>
    <row r="85" spans="64:84" x14ac:dyDescent="0.25">
      <c r="BL85"/>
      <c r="BM85"/>
      <c r="BN85"/>
      <c r="BO85"/>
      <c r="BP85"/>
      <c r="CB85"/>
      <c r="CC85"/>
      <c r="CD85"/>
      <c r="CE85"/>
      <c r="CF85"/>
    </row>
    <row r="86" spans="64:84" x14ac:dyDescent="0.25">
      <c r="BL86"/>
      <c r="BM86"/>
      <c r="BN86"/>
      <c r="BO86"/>
      <c r="BP86"/>
      <c r="CB86"/>
      <c r="CC86"/>
      <c r="CD86"/>
      <c r="CE86"/>
      <c r="CF86"/>
    </row>
    <row r="87" spans="64:84" x14ac:dyDescent="0.25">
      <c r="BL87"/>
      <c r="BM87"/>
      <c r="BN87"/>
      <c r="BO87"/>
      <c r="BP87"/>
      <c r="CB87"/>
      <c r="CC87"/>
      <c r="CD87"/>
      <c r="CE87"/>
      <c r="CF87"/>
    </row>
    <row r="88" spans="64:84" x14ac:dyDescent="0.25">
      <c r="BL88"/>
      <c r="BM88"/>
      <c r="BN88"/>
      <c r="BO88"/>
      <c r="BP88"/>
      <c r="CB88"/>
      <c r="CC88"/>
      <c r="CD88"/>
      <c r="CE88"/>
      <c r="CF88"/>
    </row>
    <row r="89" spans="64:84" x14ac:dyDescent="0.25">
      <c r="BL89"/>
      <c r="BM89"/>
      <c r="BN89"/>
      <c r="BO89"/>
      <c r="BP89"/>
      <c r="CB89"/>
      <c r="CC89"/>
      <c r="CD89"/>
      <c r="CE89"/>
      <c r="CF89"/>
    </row>
    <row r="90" spans="64:84" x14ac:dyDescent="0.25">
      <c r="BL90"/>
      <c r="BM90"/>
      <c r="BN90"/>
      <c r="BO90"/>
      <c r="BP90"/>
      <c r="CB90"/>
      <c r="CC90"/>
      <c r="CD90"/>
      <c r="CE90"/>
      <c r="CF90"/>
    </row>
    <row r="91" spans="64:84" x14ac:dyDescent="0.25">
      <c r="BL91"/>
      <c r="BM91"/>
      <c r="BN91"/>
      <c r="BO91"/>
      <c r="BP91"/>
      <c r="CB91"/>
      <c r="CC91"/>
      <c r="CD91"/>
      <c r="CE91"/>
      <c r="CF91"/>
    </row>
    <row r="92" spans="64:84" x14ac:dyDescent="0.25">
      <c r="BL92"/>
      <c r="BM92"/>
      <c r="BN92"/>
      <c r="BO92"/>
      <c r="BP92"/>
      <c r="CB92"/>
      <c r="CC92"/>
      <c r="CD92"/>
      <c r="CE92"/>
      <c r="CF92"/>
    </row>
    <row r="93" spans="64:84" x14ac:dyDescent="0.25">
      <c r="BL93"/>
      <c r="BM93"/>
      <c r="BN93"/>
      <c r="BO93"/>
      <c r="BP93"/>
      <c r="CB93"/>
      <c r="CC93"/>
      <c r="CD93"/>
      <c r="CE93"/>
      <c r="CF93"/>
    </row>
    <row r="94" spans="64:84" x14ac:dyDescent="0.25">
      <c r="BL94"/>
      <c r="BM94"/>
      <c r="BN94"/>
      <c r="BO94"/>
      <c r="BP94"/>
      <c r="CB94"/>
      <c r="CC94"/>
      <c r="CD94"/>
      <c r="CE94"/>
      <c r="CF94"/>
    </row>
    <row r="95" spans="64:84" x14ac:dyDescent="0.25">
      <c r="BL95"/>
      <c r="BM95"/>
      <c r="BN95"/>
      <c r="BO95"/>
      <c r="BP95"/>
      <c r="CB95"/>
      <c r="CC95"/>
      <c r="CD95"/>
      <c r="CE95"/>
      <c r="CF95"/>
    </row>
    <row r="96" spans="64:84" x14ac:dyDescent="0.25">
      <c r="BL96"/>
      <c r="BM96"/>
      <c r="BN96"/>
      <c r="BO96"/>
      <c r="BP96"/>
      <c r="CB96"/>
      <c r="CC96"/>
      <c r="CD96"/>
      <c r="CE96"/>
      <c r="CF96"/>
    </row>
    <row r="97" spans="64:84" x14ac:dyDescent="0.25">
      <c r="BL97"/>
      <c r="BM97"/>
      <c r="BN97"/>
      <c r="BO97"/>
      <c r="BP97"/>
      <c r="CB97"/>
      <c r="CC97"/>
      <c r="CD97"/>
      <c r="CE97"/>
      <c r="CF97"/>
    </row>
    <row r="98" spans="64:84" x14ac:dyDescent="0.25">
      <c r="BL98"/>
      <c r="BM98"/>
      <c r="BN98"/>
      <c r="BO98"/>
      <c r="BP98"/>
      <c r="CB98"/>
      <c r="CC98"/>
      <c r="CD98"/>
      <c r="CE98"/>
      <c r="CF98"/>
    </row>
    <row r="99" spans="64:84" x14ac:dyDescent="0.25">
      <c r="BL99"/>
      <c r="BM99"/>
      <c r="BN99"/>
      <c r="BO99"/>
      <c r="BP99"/>
      <c r="CB99"/>
      <c r="CC99"/>
      <c r="CD99"/>
      <c r="CE99"/>
      <c r="CF99"/>
    </row>
    <row r="100" spans="64:84" x14ac:dyDescent="0.25">
      <c r="BL100"/>
      <c r="BM100"/>
      <c r="BN100"/>
      <c r="BO100"/>
      <c r="BP100"/>
      <c r="CB100"/>
      <c r="CC100"/>
      <c r="CD100"/>
      <c r="CE100"/>
      <c r="CF100"/>
    </row>
    <row r="101" spans="64:84" x14ac:dyDescent="0.25">
      <c r="BL101"/>
      <c r="BM101"/>
      <c r="BN101"/>
      <c r="BO101"/>
      <c r="BP101"/>
      <c r="CB101"/>
      <c r="CC101"/>
      <c r="CD101"/>
      <c r="CE101"/>
      <c r="CF101"/>
    </row>
    <row r="102" spans="64:84" x14ac:dyDescent="0.25">
      <c r="BL102"/>
      <c r="BM102"/>
      <c r="BN102"/>
      <c r="BO102"/>
      <c r="BP102"/>
      <c r="CB102"/>
      <c r="CC102"/>
      <c r="CD102"/>
      <c r="CE102"/>
      <c r="CF102"/>
    </row>
    <row r="103" spans="64:84" x14ac:dyDescent="0.25">
      <c r="BL103"/>
      <c r="BM103"/>
      <c r="BN103"/>
      <c r="BO103"/>
      <c r="BP103"/>
      <c r="CB103"/>
      <c r="CC103"/>
      <c r="CD103"/>
      <c r="CE103"/>
      <c r="CF103"/>
    </row>
    <row r="104" spans="64:84" x14ac:dyDescent="0.25">
      <c r="BL104"/>
      <c r="BM104"/>
      <c r="BN104"/>
      <c r="BO104"/>
      <c r="BP104"/>
      <c r="CB104"/>
      <c r="CC104"/>
      <c r="CD104"/>
      <c r="CE104"/>
      <c r="CF104"/>
    </row>
    <row r="105" spans="64:84" x14ac:dyDescent="0.25">
      <c r="BL105"/>
      <c r="BM105"/>
      <c r="BN105"/>
      <c r="BO105"/>
      <c r="BP105"/>
      <c r="CB105"/>
      <c r="CC105"/>
      <c r="CD105"/>
      <c r="CE105"/>
      <c r="CF105"/>
    </row>
    <row r="106" spans="64:84" x14ac:dyDescent="0.25">
      <c r="BL106"/>
      <c r="BM106"/>
      <c r="BN106"/>
      <c r="BO106"/>
      <c r="BP106"/>
      <c r="CB106"/>
      <c r="CC106"/>
      <c r="CD106"/>
      <c r="CE106"/>
      <c r="CF106"/>
    </row>
    <row r="107" spans="64:84" x14ac:dyDescent="0.25">
      <c r="BL107"/>
      <c r="BM107"/>
      <c r="BN107"/>
      <c r="BO107"/>
      <c r="BP107"/>
      <c r="CB107"/>
      <c r="CC107"/>
      <c r="CD107"/>
      <c r="CE107"/>
      <c r="CF107"/>
    </row>
    <row r="108" spans="64:84" x14ac:dyDescent="0.25">
      <c r="BL108"/>
      <c r="BM108"/>
      <c r="BN108"/>
      <c r="BO108"/>
      <c r="BP108"/>
      <c r="CB108"/>
      <c r="CC108"/>
      <c r="CD108"/>
      <c r="CE108"/>
      <c r="CF108"/>
    </row>
    <row r="109" spans="64:84" x14ac:dyDescent="0.25">
      <c r="BL109"/>
      <c r="BM109"/>
      <c r="BN109"/>
      <c r="BO109"/>
      <c r="BP109"/>
      <c r="CB109"/>
      <c r="CC109"/>
      <c r="CD109"/>
      <c r="CE109"/>
      <c r="CF109"/>
    </row>
    <row r="110" spans="64:84" x14ac:dyDescent="0.25">
      <c r="BL110"/>
      <c r="BM110"/>
      <c r="BN110"/>
      <c r="BO110"/>
      <c r="BP110"/>
      <c r="CB110"/>
      <c r="CC110"/>
      <c r="CD110"/>
      <c r="CE110"/>
      <c r="CF110"/>
    </row>
    <row r="111" spans="64:84" x14ac:dyDescent="0.25">
      <c r="BL111"/>
      <c r="BM111"/>
      <c r="BN111"/>
      <c r="BO111"/>
      <c r="BP111"/>
      <c r="CB111"/>
      <c r="CC111"/>
      <c r="CD111"/>
      <c r="CE111"/>
      <c r="CF111"/>
    </row>
    <row r="112" spans="64:84" x14ac:dyDescent="0.25">
      <c r="BL112"/>
      <c r="BM112"/>
      <c r="BN112"/>
      <c r="BO112"/>
      <c r="BP112"/>
      <c r="CB112"/>
      <c r="CC112"/>
      <c r="CD112"/>
      <c r="CE112"/>
      <c r="CF112"/>
    </row>
    <row r="113" spans="64:84" x14ac:dyDescent="0.25">
      <c r="BL113"/>
      <c r="BM113"/>
      <c r="BN113"/>
      <c r="BO113"/>
      <c r="BP113"/>
      <c r="CB113"/>
      <c r="CC113"/>
      <c r="CD113"/>
      <c r="CE113"/>
      <c r="CF113"/>
    </row>
    <row r="114" spans="64:84" x14ac:dyDescent="0.25">
      <c r="BL114"/>
      <c r="BM114"/>
      <c r="BN114"/>
      <c r="BO114"/>
      <c r="BP114"/>
      <c r="CB114"/>
      <c r="CC114"/>
      <c r="CD114"/>
      <c r="CE114"/>
      <c r="CF114"/>
    </row>
    <row r="115" spans="64:84" x14ac:dyDescent="0.25">
      <c r="BL115"/>
      <c r="BM115"/>
      <c r="BN115"/>
      <c r="BO115"/>
      <c r="BP115"/>
      <c r="CB115"/>
      <c r="CC115"/>
      <c r="CD115"/>
      <c r="CE115"/>
      <c r="CF115"/>
    </row>
    <row r="116" spans="64:84" x14ac:dyDescent="0.25">
      <c r="BL116"/>
      <c r="BM116"/>
      <c r="BN116"/>
      <c r="BO116"/>
      <c r="BP116"/>
      <c r="CB116"/>
      <c r="CC116"/>
      <c r="CD116"/>
      <c r="CE116"/>
      <c r="CF116"/>
    </row>
    <row r="117" spans="64:84" x14ac:dyDescent="0.25">
      <c r="BL117"/>
      <c r="BM117"/>
      <c r="BN117"/>
      <c r="BO117"/>
      <c r="BP117"/>
      <c r="CB117"/>
      <c r="CC117"/>
      <c r="CD117"/>
      <c r="CE117"/>
      <c r="CF117"/>
    </row>
    <row r="118" spans="64:84" x14ac:dyDescent="0.25">
      <c r="BL118"/>
      <c r="BM118"/>
      <c r="BN118"/>
      <c r="BO118"/>
      <c r="BP118"/>
      <c r="CB118"/>
      <c r="CC118"/>
      <c r="CD118"/>
      <c r="CE118"/>
      <c r="CF118"/>
    </row>
    <row r="119" spans="64:84" x14ac:dyDescent="0.25">
      <c r="BL119"/>
      <c r="BM119"/>
      <c r="BN119"/>
      <c r="BO119"/>
      <c r="BP119"/>
      <c r="CB119"/>
      <c r="CC119"/>
      <c r="CD119"/>
      <c r="CE119"/>
      <c r="CF119"/>
    </row>
    <row r="120" spans="64:84" x14ac:dyDescent="0.25">
      <c r="BL120"/>
      <c r="BM120"/>
      <c r="BN120"/>
      <c r="BO120"/>
      <c r="BP120"/>
      <c r="CB120"/>
      <c r="CC120"/>
      <c r="CD120"/>
      <c r="CE120"/>
      <c r="CF120"/>
    </row>
    <row r="121" spans="64:84" x14ac:dyDescent="0.25">
      <c r="BL121"/>
      <c r="BM121"/>
      <c r="BN121"/>
      <c r="BO121"/>
      <c r="BP121"/>
      <c r="CB121"/>
      <c r="CC121"/>
      <c r="CD121"/>
      <c r="CE121"/>
      <c r="CF121"/>
    </row>
    <row r="122" spans="64:84" x14ac:dyDescent="0.25">
      <c r="BL122"/>
      <c r="BM122"/>
      <c r="BN122"/>
      <c r="BO122"/>
      <c r="BP122"/>
      <c r="CB122"/>
      <c r="CC122"/>
      <c r="CD122"/>
      <c r="CE122"/>
      <c r="CF122"/>
    </row>
    <row r="123" spans="64:84" x14ac:dyDescent="0.25">
      <c r="BL123"/>
      <c r="BM123"/>
      <c r="BN123"/>
      <c r="BO123"/>
      <c r="BP123"/>
      <c r="CB123"/>
      <c r="CC123"/>
      <c r="CD123"/>
      <c r="CE123"/>
      <c r="CF123"/>
    </row>
    <row r="124" spans="64:84" x14ac:dyDescent="0.25">
      <c r="BL124"/>
      <c r="BM124"/>
      <c r="BN124"/>
      <c r="BO124"/>
      <c r="BP124"/>
      <c r="CB124"/>
      <c r="CC124"/>
      <c r="CD124"/>
      <c r="CE124"/>
      <c r="CF124"/>
    </row>
    <row r="125" spans="64:84" x14ac:dyDescent="0.25">
      <c r="BL125"/>
      <c r="BM125"/>
      <c r="BN125"/>
      <c r="BO125"/>
      <c r="BP125"/>
      <c r="CB125"/>
      <c r="CC125"/>
      <c r="CD125"/>
      <c r="CE125"/>
      <c r="CF125"/>
    </row>
    <row r="126" spans="64:84" x14ac:dyDescent="0.25">
      <c r="BL126"/>
      <c r="BM126"/>
      <c r="BN126"/>
      <c r="BO126"/>
      <c r="BP126"/>
      <c r="CB126"/>
      <c r="CC126"/>
      <c r="CD126"/>
      <c r="CE126"/>
      <c r="CF126"/>
    </row>
    <row r="127" spans="64:84" x14ac:dyDescent="0.25">
      <c r="BL127"/>
      <c r="BM127"/>
      <c r="BN127"/>
      <c r="BO127"/>
      <c r="BP127"/>
      <c r="CB127"/>
      <c r="CC127"/>
      <c r="CD127"/>
      <c r="CE127"/>
      <c r="CF127"/>
    </row>
    <row r="128" spans="64:84" x14ac:dyDescent="0.25">
      <c r="BL128"/>
      <c r="BM128"/>
      <c r="BN128"/>
      <c r="BO128"/>
      <c r="BP128"/>
      <c r="CB128"/>
      <c r="CC128"/>
      <c r="CD128"/>
      <c r="CE128"/>
      <c r="CF128"/>
    </row>
    <row r="129" spans="64:84" x14ac:dyDescent="0.25">
      <c r="BL129"/>
      <c r="BM129"/>
      <c r="BN129"/>
      <c r="BO129"/>
      <c r="BP129"/>
      <c r="CB129"/>
      <c r="CC129"/>
      <c r="CD129"/>
      <c r="CE129"/>
      <c r="CF129"/>
    </row>
    <row r="130" spans="64:84" x14ac:dyDescent="0.25">
      <c r="BL130"/>
      <c r="BM130"/>
      <c r="BN130"/>
      <c r="BO130"/>
      <c r="BP130"/>
      <c r="CB130"/>
      <c r="CC130"/>
      <c r="CD130"/>
      <c r="CE130"/>
      <c r="CF130"/>
    </row>
    <row r="131" spans="64:84" x14ac:dyDescent="0.25">
      <c r="BL131"/>
      <c r="BM131"/>
      <c r="BN131"/>
      <c r="BO131"/>
      <c r="BP131"/>
      <c r="CB131"/>
      <c r="CC131"/>
      <c r="CD131"/>
      <c r="CE131"/>
      <c r="CF131"/>
    </row>
    <row r="132" spans="64:84" x14ac:dyDescent="0.25">
      <c r="BL132"/>
      <c r="BM132"/>
      <c r="BN132"/>
      <c r="BO132"/>
      <c r="BP132"/>
      <c r="CB132"/>
      <c r="CC132"/>
      <c r="CD132"/>
      <c r="CE132"/>
      <c r="CF132"/>
    </row>
    <row r="133" spans="64:84" x14ac:dyDescent="0.25">
      <c r="BL133"/>
      <c r="BM133"/>
      <c r="BN133"/>
      <c r="BO133"/>
      <c r="BP133"/>
      <c r="CB133"/>
      <c r="CC133"/>
      <c r="CD133"/>
      <c r="CE133"/>
      <c r="CF133"/>
    </row>
    <row r="134" spans="64:84" x14ac:dyDescent="0.25">
      <c r="BL134"/>
      <c r="BM134"/>
      <c r="BN134"/>
      <c r="BO134"/>
      <c r="BP134"/>
      <c r="CB134"/>
      <c r="CC134"/>
      <c r="CD134"/>
      <c r="CE134"/>
      <c r="CF134"/>
    </row>
    <row r="135" spans="64:84" x14ac:dyDescent="0.25">
      <c r="BL135"/>
      <c r="BM135"/>
      <c r="BN135"/>
      <c r="BO135"/>
      <c r="BP135"/>
      <c r="CB135"/>
      <c r="CC135"/>
      <c r="CD135"/>
      <c r="CE135"/>
      <c r="CF135"/>
    </row>
    <row r="136" spans="64:84" x14ac:dyDescent="0.25">
      <c r="BL136"/>
      <c r="BM136"/>
      <c r="BN136"/>
      <c r="BO136"/>
      <c r="BP136"/>
      <c r="CB136"/>
      <c r="CC136"/>
      <c r="CD136"/>
      <c r="CE136"/>
      <c r="CF136"/>
    </row>
    <row r="137" spans="64:84" x14ac:dyDescent="0.25">
      <c r="BL137"/>
      <c r="BM137"/>
      <c r="BN137"/>
      <c r="BO137"/>
      <c r="BP137"/>
      <c r="CB137"/>
      <c r="CC137"/>
      <c r="CD137"/>
      <c r="CE137"/>
      <c r="CF137"/>
    </row>
    <row r="138" spans="64:84" x14ac:dyDescent="0.25">
      <c r="BL138"/>
      <c r="BM138"/>
      <c r="BN138"/>
      <c r="BO138"/>
      <c r="BP138"/>
      <c r="CB138"/>
      <c r="CC138"/>
      <c r="CD138"/>
      <c r="CE138"/>
      <c r="CF138"/>
    </row>
    <row r="139" spans="64:84" x14ac:dyDescent="0.25">
      <c r="BL139"/>
      <c r="BM139"/>
      <c r="BN139"/>
      <c r="BO139"/>
      <c r="BP139"/>
      <c r="CB139"/>
      <c r="CC139"/>
      <c r="CD139"/>
      <c r="CE139"/>
      <c r="CF139"/>
    </row>
    <row r="140" spans="64:84" x14ac:dyDescent="0.25">
      <c r="BL140"/>
      <c r="BM140"/>
      <c r="BN140"/>
      <c r="BO140"/>
      <c r="BP140"/>
      <c r="CB140"/>
      <c r="CC140"/>
      <c r="CD140"/>
      <c r="CE140"/>
      <c r="CF140"/>
    </row>
    <row r="141" spans="64:84" x14ac:dyDescent="0.25">
      <c r="BL141"/>
      <c r="BM141"/>
      <c r="BN141"/>
      <c r="BO141"/>
      <c r="BP141"/>
      <c r="CB141"/>
      <c r="CC141"/>
      <c r="CD141"/>
      <c r="CE141"/>
      <c r="CF141"/>
    </row>
    <row r="142" spans="64:84" x14ac:dyDescent="0.25">
      <c r="BL142"/>
      <c r="BM142"/>
      <c r="BN142"/>
      <c r="BO142"/>
      <c r="BP142"/>
      <c r="CB142"/>
      <c r="CC142"/>
      <c r="CD142"/>
      <c r="CE142"/>
      <c r="CF142"/>
    </row>
    <row r="143" spans="64:84" x14ac:dyDescent="0.25">
      <c r="BL143"/>
      <c r="BM143"/>
      <c r="BN143"/>
      <c r="BO143"/>
      <c r="BP143"/>
      <c r="CB143"/>
      <c r="CC143"/>
      <c r="CD143"/>
      <c r="CE143"/>
      <c r="CF143"/>
    </row>
    <row r="144" spans="64:84" x14ac:dyDescent="0.25">
      <c r="BL144"/>
      <c r="BM144"/>
      <c r="BN144"/>
      <c r="BO144"/>
      <c r="BP144"/>
      <c r="CB144"/>
      <c r="CC144"/>
      <c r="CD144"/>
      <c r="CE144"/>
      <c r="CF144"/>
    </row>
    <row r="145" spans="64:84" x14ac:dyDescent="0.25">
      <c r="BL145"/>
      <c r="BM145"/>
      <c r="BN145"/>
      <c r="BO145"/>
      <c r="BP145"/>
      <c r="CB145"/>
      <c r="CC145"/>
      <c r="CD145"/>
      <c r="CE145"/>
      <c r="CF145"/>
    </row>
    <row r="146" spans="64:84" x14ac:dyDescent="0.25">
      <c r="BL146"/>
      <c r="BM146"/>
      <c r="BN146"/>
      <c r="BO146"/>
      <c r="BP146"/>
      <c r="CB146"/>
      <c r="CC146"/>
      <c r="CD146"/>
      <c r="CE146"/>
      <c r="CF146"/>
    </row>
    <row r="147" spans="64:84" x14ac:dyDescent="0.25">
      <c r="BL147"/>
      <c r="BM147"/>
      <c r="BN147"/>
      <c r="BO147"/>
      <c r="BP147"/>
      <c r="CB147"/>
      <c r="CC147"/>
      <c r="CD147"/>
      <c r="CE147"/>
      <c r="CF147"/>
    </row>
    <row r="148" spans="64:84" x14ac:dyDescent="0.25">
      <c r="BL148"/>
      <c r="BM148"/>
      <c r="BN148"/>
      <c r="BO148"/>
      <c r="BP148"/>
      <c r="CB148"/>
      <c r="CC148"/>
      <c r="CD148"/>
      <c r="CE148"/>
      <c r="CF148"/>
    </row>
    <row r="149" spans="64:84" x14ac:dyDescent="0.25">
      <c r="BL149"/>
      <c r="BM149"/>
      <c r="BN149"/>
      <c r="BO149"/>
      <c r="BP149"/>
      <c r="CB149"/>
      <c r="CC149"/>
      <c r="CD149"/>
      <c r="CE149"/>
      <c r="CF149"/>
    </row>
    <row r="150" spans="64:84" x14ac:dyDescent="0.25">
      <c r="BL150"/>
      <c r="BM150"/>
      <c r="BN150"/>
      <c r="BO150"/>
      <c r="BP150"/>
      <c r="CB150"/>
      <c r="CC150"/>
      <c r="CD150"/>
      <c r="CE150"/>
      <c r="CF150"/>
    </row>
    <row r="151" spans="64:84" x14ac:dyDescent="0.25">
      <c r="BL151"/>
      <c r="BM151"/>
      <c r="BN151"/>
      <c r="BO151"/>
      <c r="BP151"/>
      <c r="CB151"/>
      <c r="CC151"/>
      <c r="CD151"/>
      <c r="CE151"/>
      <c r="CF151"/>
    </row>
    <row r="152" spans="64:84" x14ac:dyDescent="0.25">
      <c r="BL152"/>
      <c r="BM152"/>
      <c r="BN152"/>
      <c r="BO152"/>
      <c r="BP152"/>
      <c r="CB152"/>
      <c r="CC152"/>
      <c r="CD152"/>
      <c r="CE152"/>
      <c r="CF152"/>
    </row>
    <row r="153" spans="64:84" x14ac:dyDescent="0.25">
      <c r="BL153"/>
      <c r="BM153"/>
      <c r="BN153"/>
      <c r="BO153"/>
      <c r="BP153"/>
      <c r="CB153"/>
      <c r="CC153"/>
      <c r="CD153"/>
      <c r="CE153"/>
      <c r="CF153"/>
    </row>
    <row r="154" spans="64:84" x14ac:dyDescent="0.25">
      <c r="BL154"/>
      <c r="BM154"/>
      <c r="BN154"/>
      <c r="BO154"/>
      <c r="BP154"/>
      <c r="CB154"/>
      <c r="CC154"/>
      <c r="CD154"/>
      <c r="CE154"/>
      <c r="CF154"/>
    </row>
    <row r="155" spans="64:84" x14ac:dyDescent="0.25">
      <c r="BL155"/>
      <c r="BM155"/>
      <c r="BN155"/>
      <c r="BO155"/>
      <c r="BP155"/>
      <c r="CB155"/>
      <c r="CC155"/>
      <c r="CD155"/>
      <c r="CE155"/>
      <c r="CF155"/>
    </row>
    <row r="156" spans="64:84" x14ac:dyDescent="0.25">
      <c r="BL156"/>
      <c r="BM156"/>
      <c r="BN156"/>
      <c r="BO156"/>
      <c r="BP156"/>
      <c r="CB156"/>
      <c r="CC156"/>
      <c r="CD156"/>
      <c r="CE156"/>
      <c r="CF156"/>
    </row>
    <row r="157" spans="64:84" x14ac:dyDescent="0.25">
      <c r="BL157"/>
      <c r="BM157"/>
      <c r="BN157"/>
      <c r="BO157"/>
      <c r="BP157"/>
      <c r="CB157"/>
      <c r="CC157"/>
      <c r="CD157"/>
      <c r="CE157"/>
      <c r="CF157"/>
    </row>
    <row r="158" spans="64:84" x14ac:dyDescent="0.25">
      <c r="BL158"/>
      <c r="BM158"/>
      <c r="BN158"/>
      <c r="BO158"/>
      <c r="BP158"/>
      <c r="CB158"/>
      <c r="CC158"/>
      <c r="CD158"/>
      <c r="CE158"/>
      <c r="CF158"/>
    </row>
    <row r="159" spans="64:84" x14ac:dyDescent="0.25">
      <c r="BL159"/>
      <c r="BM159"/>
      <c r="BN159"/>
      <c r="BO159"/>
      <c r="BP159"/>
      <c r="CB159"/>
      <c r="CC159"/>
      <c r="CD159"/>
      <c r="CE159"/>
      <c r="CF159"/>
    </row>
    <row r="160" spans="64:84" x14ac:dyDescent="0.25">
      <c r="BL160"/>
      <c r="BM160"/>
      <c r="BN160"/>
      <c r="BO160"/>
      <c r="BP160"/>
      <c r="CB160"/>
      <c r="CC160"/>
      <c r="CD160"/>
      <c r="CE160"/>
      <c r="CF160"/>
    </row>
    <row r="161" spans="64:84" x14ac:dyDescent="0.25">
      <c r="BL161"/>
      <c r="BM161"/>
      <c r="BN161"/>
      <c r="BO161"/>
      <c r="BP161"/>
      <c r="CB161"/>
      <c r="CC161"/>
      <c r="CD161"/>
      <c r="CE161"/>
      <c r="CF161"/>
    </row>
    <row r="162" spans="64:84" x14ac:dyDescent="0.25">
      <c r="BL162"/>
      <c r="BM162"/>
      <c r="BN162"/>
      <c r="BO162"/>
      <c r="BP162"/>
      <c r="CB162"/>
      <c r="CC162"/>
      <c r="CD162"/>
      <c r="CE162"/>
      <c r="CF162"/>
    </row>
    <row r="163" spans="64:84" x14ac:dyDescent="0.25">
      <c r="BL163"/>
      <c r="BM163"/>
      <c r="BN163"/>
      <c r="BO163"/>
      <c r="BP163"/>
      <c r="CB163"/>
      <c r="CC163"/>
      <c r="CD163"/>
      <c r="CE163"/>
      <c r="CF163"/>
    </row>
    <row r="164" spans="64:84" x14ac:dyDescent="0.25">
      <c r="BL164"/>
      <c r="BM164"/>
      <c r="BN164"/>
      <c r="BO164"/>
      <c r="BP164"/>
      <c r="CB164"/>
      <c r="CC164"/>
      <c r="CD164"/>
      <c r="CE164"/>
      <c r="CF164"/>
    </row>
    <row r="165" spans="64:84" x14ac:dyDescent="0.25">
      <c r="BL165"/>
      <c r="BM165"/>
      <c r="BN165"/>
      <c r="BO165"/>
      <c r="BP165"/>
      <c r="CB165"/>
      <c r="CC165"/>
      <c r="CD165"/>
      <c r="CE165"/>
      <c r="CF165"/>
    </row>
    <row r="166" spans="64:84" x14ac:dyDescent="0.25">
      <c r="BL166"/>
      <c r="BM166"/>
      <c r="BN166"/>
      <c r="BO166"/>
      <c r="BP166"/>
      <c r="CB166"/>
      <c r="CC166"/>
      <c r="CD166"/>
      <c r="CE166"/>
      <c r="CF166"/>
    </row>
    <row r="167" spans="64:84" x14ac:dyDescent="0.25">
      <c r="BL167"/>
      <c r="BM167"/>
      <c r="BN167"/>
      <c r="BO167"/>
      <c r="BP167"/>
      <c r="CB167"/>
      <c r="CC167"/>
      <c r="CD167"/>
      <c r="CE167"/>
      <c r="CF167"/>
    </row>
    <row r="168" spans="64:84" x14ac:dyDescent="0.25">
      <c r="BL168"/>
      <c r="BM168"/>
      <c r="BN168"/>
      <c r="BO168"/>
      <c r="BP168"/>
      <c r="CB168"/>
      <c r="CC168"/>
      <c r="CD168"/>
      <c r="CE168"/>
      <c r="CF168"/>
    </row>
    <row r="169" spans="64:84" x14ac:dyDescent="0.25">
      <c r="BL169"/>
      <c r="BM169"/>
      <c r="BN169"/>
      <c r="BO169"/>
      <c r="BP169"/>
      <c r="CB169"/>
      <c r="CC169"/>
      <c r="CD169"/>
      <c r="CE169"/>
      <c r="CF169"/>
    </row>
    <row r="170" spans="64:84" x14ac:dyDescent="0.25">
      <c r="BL170"/>
      <c r="BM170"/>
      <c r="BN170"/>
      <c r="BO170"/>
      <c r="BP170"/>
      <c r="CB170"/>
      <c r="CC170"/>
      <c r="CD170"/>
      <c r="CE170"/>
      <c r="CF170"/>
    </row>
    <row r="171" spans="64:84" x14ac:dyDescent="0.25">
      <c r="BL171"/>
      <c r="BM171"/>
      <c r="BN171"/>
      <c r="BO171"/>
      <c r="BP171"/>
      <c r="CB171"/>
      <c r="CC171"/>
      <c r="CD171"/>
      <c r="CE171"/>
      <c r="CF171"/>
    </row>
    <row r="172" spans="64:84" x14ac:dyDescent="0.25">
      <c r="BL172"/>
      <c r="BM172"/>
      <c r="BN172"/>
      <c r="BO172"/>
      <c r="BP172"/>
      <c r="CB172"/>
      <c r="CC172"/>
      <c r="CD172"/>
      <c r="CE172"/>
      <c r="CF172"/>
    </row>
    <row r="173" spans="64:84" x14ac:dyDescent="0.25">
      <c r="BL173"/>
      <c r="BM173"/>
      <c r="BN173"/>
      <c r="BO173"/>
      <c r="BP173"/>
      <c r="CB173"/>
      <c r="CC173"/>
      <c r="CD173"/>
      <c r="CE173"/>
      <c r="CF173"/>
    </row>
    <row r="174" spans="64:84" x14ac:dyDescent="0.25">
      <c r="BL174"/>
      <c r="BM174"/>
      <c r="BN174"/>
      <c r="BO174"/>
      <c r="BP174"/>
      <c r="CB174"/>
      <c r="CC174"/>
      <c r="CD174"/>
      <c r="CE174"/>
      <c r="CF174"/>
    </row>
    <row r="175" spans="64:84" x14ac:dyDescent="0.25">
      <c r="BL175"/>
      <c r="BM175"/>
      <c r="BN175"/>
      <c r="BO175"/>
      <c r="BP175"/>
      <c r="CB175"/>
      <c r="CC175"/>
      <c r="CD175"/>
      <c r="CE175"/>
      <c r="CF175"/>
    </row>
    <row r="176" spans="64:84" x14ac:dyDescent="0.25">
      <c r="BL176"/>
      <c r="BM176"/>
      <c r="BN176"/>
      <c r="BO176"/>
      <c r="BP176"/>
      <c r="CB176"/>
      <c r="CC176"/>
      <c r="CD176"/>
      <c r="CE176"/>
      <c r="CF176"/>
    </row>
    <row r="177" spans="64:84" x14ac:dyDescent="0.25">
      <c r="BL177"/>
      <c r="BM177"/>
      <c r="BN177"/>
      <c r="BO177"/>
      <c r="BP177"/>
      <c r="CB177"/>
      <c r="CC177"/>
      <c r="CD177"/>
      <c r="CE177"/>
      <c r="CF177"/>
    </row>
    <row r="178" spans="64:84" x14ac:dyDescent="0.25">
      <c r="BL178"/>
      <c r="BM178"/>
      <c r="BN178"/>
      <c r="BO178"/>
      <c r="BP178"/>
      <c r="CB178"/>
      <c r="CC178"/>
      <c r="CD178"/>
      <c r="CE178"/>
      <c r="CF178"/>
    </row>
    <row r="179" spans="64:84" x14ac:dyDescent="0.25">
      <c r="BL179"/>
      <c r="BM179"/>
      <c r="BN179"/>
      <c r="BO179"/>
      <c r="BP179"/>
      <c r="CB179"/>
      <c r="CC179"/>
      <c r="CD179"/>
      <c r="CE179"/>
      <c r="CF179"/>
    </row>
    <row r="180" spans="64:84" x14ac:dyDescent="0.25">
      <c r="BL180"/>
      <c r="BM180"/>
      <c r="BN180"/>
      <c r="BO180"/>
      <c r="BP180"/>
      <c r="CB180"/>
      <c r="CC180"/>
      <c r="CD180"/>
      <c r="CE180"/>
      <c r="CF180"/>
    </row>
    <row r="181" spans="64:84" x14ac:dyDescent="0.25">
      <c r="BL181"/>
      <c r="BM181"/>
      <c r="BN181"/>
      <c r="BO181"/>
      <c r="BP181"/>
      <c r="CB181"/>
      <c r="CC181"/>
      <c r="CD181"/>
      <c r="CE181"/>
      <c r="CF181"/>
    </row>
    <row r="182" spans="64:84" x14ac:dyDescent="0.25">
      <c r="BL182"/>
      <c r="BM182"/>
      <c r="BN182"/>
      <c r="BO182"/>
      <c r="BP182"/>
      <c r="CB182"/>
      <c r="CC182"/>
      <c r="CD182"/>
      <c r="CE182"/>
      <c r="CF182"/>
    </row>
    <row r="183" spans="64:84" x14ac:dyDescent="0.25">
      <c r="BL183"/>
      <c r="BM183"/>
      <c r="BN183"/>
      <c r="BO183"/>
      <c r="BP183"/>
      <c r="CB183"/>
      <c r="CC183"/>
      <c r="CD183"/>
      <c r="CE183"/>
      <c r="CF183"/>
    </row>
    <row r="184" spans="64:84" x14ac:dyDescent="0.25">
      <c r="BL184"/>
      <c r="BM184"/>
      <c r="BN184"/>
      <c r="BO184"/>
      <c r="BP184"/>
      <c r="CB184"/>
      <c r="CC184"/>
      <c r="CD184"/>
      <c r="CE184"/>
      <c r="CF184"/>
    </row>
    <row r="185" spans="64:84" x14ac:dyDescent="0.25">
      <c r="BL185"/>
      <c r="BM185"/>
      <c r="BN185"/>
      <c r="BO185"/>
      <c r="BP185"/>
      <c r="CB185"/>
      <c r="CC185"/>
      <c r="CD185"/>
      <c r="CE185"/>
      <c r="CF185"/>
    </row>
    <row r="186" spans="64:84" x14ac:dyDescent="0.25">
      <c r="BL186"/>
      <c r="BM186"/>
      <c r="BN186"/>
      <c r="BO186"/>
      <c r="BP186"/>
      <c r="CB186"/>
      <c r="CC186"/>
      <c r="CD186"/>
      <c r="CE186"/>
      <c r="CF186"/>
    </row>
    <row r="187" spans="64:84" x14ac:dyDescent="0.25">
      <c r="BL187"/>
      <c r="BM187"/>
      <c r="BN187"/>
      <c r="BO187"/>
      <c r="BP187"/>
      <c r="CB187"/>
      <c r="CC187"/>
      <c r="CD187"/>
      <c r="CE187"/>
      <c r="CF187"/>
    </row>
    <row r="188" spans="64:84" x14ac:dyDescent="0.25">
      <c r="BL188"/>
      <c r="BM188"/>
      <c r="BN188"/>
      <c r="BO188"/>
      <c r="BP188"/>
      <c r="CB188"/>
      <c r="CC188"/>
      <c r="CD188"/>
      <c r="CE188"/>
      <c r="CF188"/>
    </row>
    <row r="189" spans="64:84" x14ac:dyDescent="0.25">
      <c r="BL189"/>
      <c r="BM189"/>
      <c r="BN189"/>
      <c r="BO189"/>
      <c r="BP189"/>
      <c r="CB189"/>
      <c r="CC189"/>
      <c r="CD189"/>
      <c r="CE189"/>
      <c r="CF189"/>
    </row>
    <row r="190" spans="64:84" x14ac:dyDescent="0.25">
      <c r="BL190"/>
      <c r="BM190"/>
      <c r="BN190"/>
      <c r="BO190"/>
      <c r="BP190"/>
      <c r="CB190"/>
      <c r="CC190"/>
      <c r="CD190"/>
      <c r="CE190"/>
      <c r="CF190"/>
    </row>
    <row r="191" spans="64:84" x14ac:dyDescent="0.25">
      <c r="BL191"/>
      <c r="BM191"/>
      <c r="BN191"/>
      <c r="BO191"/>
      <c r="BP191"/>
      <c r="CB191"/>
      <c r="CC191"/>
      <c r="CD191"/>
      <c r="CE191"/>
      <c r="CF191"/>
    </row>
    <row r="192" spans="64:84" x14ac:dyDescent="0.25">
      <c r="BL192"/>
      <c r="BM192"/>
      <c r="BN192"/>
      <c r="BO192"/>
      <c r="BP192"/>
      <c r="CB192"/>
      <c r="CC192"/>
      <c r="CD192"/>
      <c r="CE192"/>
      <c r="CF192"/>
    </row>
    <row r="193" spans="64:84" x14ac:dyDescent="0.25">
      <c r="BL193"/>
      <c r="BM193"/>
      <c r="BN193"/>
      <c r="BO193"/>
      <c r="BP193"/>
      <c r="CB193"/>
      <c r="CC193"/>
      <c r="CD193"/>
      <c r="CE193"/>
      <c r="CF193"/>
    </row>
    <row r="194" spans="64:84" x14ac:dyDescent="0.25">
      <c r="BL194"/>
      <c r="BM194"/>
      <c r="BN194"/>
      <c r="BO194"/>
      <c r="BP194"/>
      <c r="CB194"/>
      <c r="CC194"/>
      <c r="CD194"/>
      <c r="CE194"/>
      <c r="CF194"/>
    </row>
    <row r="195" spans="64:84" x14ac:dyDescent="0.25">
      <c r="BL195"/>
      <c r="BM195"/>
      <c r="BN195"/>
      <c r="BO195"/>
      <c r="BP195"/>
      <c r="CB195"/>
      <c r="CC195"/>
      <c r="CD195"/>
      <c r="CE195"/>
      <c r="CF195"/>
    </row>
    <row r="196" spans="64:84" x14ac:dyDescent="0.25">
      <c r="BL196"/>
      <c r="BM196"/>
      <c r="BN196"/>
      <c r="BO196"/>
      <c r="BP196"/>
      <c r="CB196"/>
      <c r="CC196"/>
      <c r="CD196"/>
      <c r="CE196"/>
      <c r="CF196"/>
    </row>
    <row r="197" spans="64:84" x14ac:dyDescent="0.25">
      <c r="BL197"/>
      <c r="BM197"/>
      <c r="BN197"/>
      <c r="BO197"/>
      <c r="BP197"/>
      <c r="CB197"/>
      <c r="CC197"/>
      <c r="CD197"/>
      <c r="CE197"/>
      <c r="CF197"/>
    </row>
    <row r="198" spans="64:84" x14ac:dyDescent="0.25">
      <c r="BL198"/>
      <c r="BM198"/>
      <c r="BN198"/>
      <c r="BO198"/>
      <c r="BP198"/>
      <c r="CB198"/>
      <c r="CC198"/>
      <c r="CD198"/>
      <c r="CE198"/>
      <c r="CF198"/>
    </row>
    <row r="199" spans="64:84" x14ac:dyDescent="0.25">
      <c r="BL199"/>
      <c r="BM199"/>
      <c r="BN199"/>
      <c r="BO199"/>
      <c r="BP199"/>
      <c r="CB199"/>
      <c r="CC199"/>
      <c r="CD199"/>
      <c r="CE199"/>
      <c r="CF199"/>
    </row>
    <row r="200" spans="64:84" x14ac:dyDescent="0.25">
      <c r="BL200"/>
      <c r="BM200"/>
      <c r="BN200"/>
      <c r="BO200"/>
      <c r="BP200"/>
      <c r="CB200"/>
      <c r="CC200"/>
      <c r="CD200"/>
      <c r="CE200"/>
      <c r="CF200"/>
    </row>
    <row r="201" spans="64:84" x14ac:dyDescent="0.25">
      <c r="BL201"/>
      <c r="BM201"/>
      <c r="BN201"/>
      <c r="BO201"/>
      <c r="BP201"/>
      <c r="CB201"/>
      <c r="CC201"/>
      <c r="CD201"/>
      <c r="CE201"/>
      <c r="CF201"/>
    </row>
    <row r="202" spans="64:84" x14ac:dyDescent="0.25">
      <c r="BL202"/>
      <c r="BM202"/>
      <c r="BN202"/>
      <c r="BO202"/>
      <c r="BP202"/>
      <c r="CB202"/>
      <c r="CC202"/>
      <c r="CD202"/>
      <c r="CE202"/>
      <c r="CF202"/>
    </row>
    <row r="203" spans="64:84" x14ac:dyDescent="0.25">
      <c r="BL203"/>
      <c r="BM203"/>
      <c r="BN203"/>
      <c r="BO203"/>
      <c r="BP203"/>
      <c r="CB203"/>
      <c r="CC203"/>
      <c r="CD203"/>
      <c r="CE203"/>
      <c r="CF203"/>
    </row>
    <row r="204" spans="64:84" x14ac:dyDescent="0.25">
      <c r="BL204"/>
      <c r="BM204"/>
      <c r="BN204"/>
      <c r="BO204"/>
      <c r="BP204"/>
      <c r="CB204"/>
      <c r="CC204"/>
      <c r="CD204"/>
      <c r="CE204"/>
      <c r="CF204"/>
    </row>
    <row r="205" spans="64:84" x14ac:dyDescent="0.25">
      <c r="BL205"/>
      <c r="BM205"/>
      <c r="BN205"/>
      <c r="BO205"/>
      <c r="BP205"/>
      <c r="CB205"/>
      <c r="CC205"/>
      <c r="CD205"/>
      <c r="CE205"/>
      <c r="CF205"/>
    </row>
    <row r="206" spans="64:84" x14ac:dyDescent="0.25">
      <c r="BL206"/>
      <c r="BM206"/>
      <c r="BN206"/>
      <c r="BO206"/>
      <c r="BP206"/>
      <c r="CB206"/>
      <c r="CC206"/>
      <c r="CD206"/>
      <c r="CE206"/>
      <c r="CF206"/>
    </row>
    <row r="207" spans="64:84" x14ac:dyDescent="0.25">
      <c r="BL207"/>
      <c r="BM207"/>
      <c r="BN207"/>
      <c r="BO207"/>
      <c r="BP207"/>
      <c r="CB207"/>
      <c r="CC207"/>
      <c r="CD207"/>
      <c r="CE207"/>
      <c r="CF207"/>
    </row>
    <row r="208" spans="64:84" x14ac:dyDescent="0.25">
      <c r="BL208"/>
      <c r="BM208"/>
      <c r="BN208"/>
      <c r="BO208"/>
      <c r="BP208"/>
      <c r="CB208"/>
      <c r="CC208"/>
      <c r="CD208"/>
      <c r="CE208"/>
      <c r="CF208"/>
    </row>
    <row r="209" spans="64:84" x14ac:dyDescent="0.25">
      <c r="BL209"/>
      <c r="BM209"/>
      <c r="BN209"/>
      <c r="BO209"/>
      <c r="BP209"/>
      <c r="CB209"/>
      <c r="CC209"/>
      <c r="CD209"/>
      <c r="CE209"/>
      <c r="CF209"/>
    </row>
    <row r="210" spans="64:84" x14ac:dyDescent="0.25">
      <c r="BL210"/>
      <c r="BM210"/>
      <c r="BN210"/>
      <c r="BO210"/>
      <c r="BP210"/>
      <c r="CB210"/>
      <c r="CC210"/>
      <c r="CD210"/>
      <c r="CE210"/>
      <c r="CF210"/>
    </row>
    <row r="211" spans="64:84" x14ac:dyDescent="0.25">
      <c r="BL211"/>
      <c r="BM211"/>
      <c r="BN211"/>
      <c r="BO211"/>
      <c r="BP211"/>
      <c r="CB211"/>
      <c r="CC211"/>
      <c r="CD211"/>
      <c r="CE211"/>
      <c r="CF211"/>
    </row>
    <row r="212" spans="64:84" x14ac:dyDescent="0.25">
      <c r="BL212"/>
      <c r="BM212"/>
      <c r="BN212"/>
      <c r="BO212"/>
      <c r="BP212"/>
      <c r="CB212"/>
      <c r="CC212"/>
      <c r="CD212"/>
      <c r="CE212"/>
      <c r="CF212"/>
    </row>
    <row r="213" spans="64:84" x14ac:dyDescent="0.25">
      <c r="BL213"/>
      <c r="BM213"/>
      <c r="BN213"/>
      <c r="BO213"/>
      <c r="BP213"/>
      <c r="CB213"/>
      <c r="CC213"/>
      <c r="CD213"/>
      <c r="CE213"/>
      <c r="CF213"/>
    </row>
    <row r="214" spans="64:84" x14ac:dyDescent="0.25">
      <c r="BL214"/>
      <c r="BM214"/>
      <c r="BN214"/>
      <c r="BO214"/>
      <c r="BP214"/>
      <c r="CB214"/>
      <c r="CC214"/>
      <c r="CD214"/>
      <c r="CE214"/>
      <c r="CF214"/>
    </row>
    <row r="215" spans="64:84" x14ac:dyDescent="0.25">
      <c r="BL215"/>
      <c r="BM215"/>
      <c r="BN215"/>
      <c r="BO215"/>
      <c r="BP215"/>
      <c r="CB215"/>
      <c r="CC215"/>
      <c r="CD215"/>
      <c r="CE215"/>
      <c r="CF215"/>
    </row>
    <row r="216" spans="64:84" x14ac:dyDescent="0.25">
      <c r="BL216"/>
      <c r="BM216"/>
      <c r="BN216"/>
      <c r="BO216"/>
      <c r="BP216"/>
      <c r="CB216"/>
      <c r="CC216"/>
      <c r="CD216"/>
      <c r="CE216"/>
      <c r="CF216"/>
    </row>
    <row r="217" spans="64:84" x14ac:dyDescent="0.25">
      <c r="BL217"/>
      <c r="BM217"/>
      <c r="BN217"/>
      <c r="BO217"/>
      <c r="BP217"/>
      <c r="CB217"/>
      <c r="CC217"/>
      <c r="CD217"/>
      <c r="CE217"/>
      <c r="CF217"/>
    </row>
    <row r="218" spans="64:84" x14ac:dyDescent="0.25">
      <c r="BL218"/>
      <c r="BM218"/>
      <c r="BN218"/>
      <c r="BO218"/>
      <c r="BP218"/>
      <c r="CB218"/>
      <c r="CC218"/>
      <c r="CD218"/>
      <c r="CE218"/>
      <c r="CF218"/>
    </row>
    <row r="219" spans="64:84" x14ac:dyDescent="0.25">
      <c r="BL219"/>
      <c r="BM219"/>
      <c r="BN219"/>
      <c r="BO219"/>
      <c r="BP219"/>
      <c r="CB219"/>
      <c r="CC219"/>
      <c r="CD219"/>
      <c r="CE219"/>
      <c r="CF219"/>
    </row>
    <row r="220" spans="64:84" x14ac:dyDescent="0.25">
      <c r="BL220"/>
      <c r="BM220"/>
      <c r="BN220"/>
      <c r="BO220"/>
      <c r="BP220"/>
      <c r="CB220"/>
      <c r="CC220"/>
      <c r="CD220"/>
      <c r="CE220"/>
      <c r="CF220"/>
    </row>
    <row r="221" spans="64:84" x14ac:dyDescent="0.25">
      <c r="BL221"/>
      <c r="BM221"/>
      <c r="BN221"/>
      <c r="BO221"/>
      <c r="BP221"/>
      <c r="CB221"/>
      <c r="CC221"/>
      <c r="CD221"/>
      <c r="CE221"/>
      <c r="CF221"/>
    </row>
    <row r="222" spans="64:84" x14ac:dyDescent="0.25">
      <c r="BL222"/>
      <c r="BM222"/>
      <c r="BN222"/>
      <c r="BO222"/>
      <c r="BP222"/>
      <c r="CB222"/>
      <c r="CC222"/>
      <c r="CD222"/>
      <c r="CE222"/>
      <c r="CF222"/>
    </row>
    <row r="223" spans="64:84" x14ac:dyDescent="0.25">
      <c r="BL223"/>
      <c r="BM223"/>
      <c r="BN223"/>
      <c r="BO223"/>
      <c r="BP223"/>
      <c r="CB223"/>
      <c r="CC223"/>
      <c r="CD223"/>
      <c r="CE223"/>
      <c r="CF223"/>
    </row>
    <row r="224" spans="64:84" x14ac:dyDescent="0.25">
      <c r="BL224"/>
      <c r="BM224"/>
      <c r="BN224"/>
      <c r="BO224"/>
      <c r="BP224"/>
      <c r="CB224"/>
      <c r="CC224"/>
      <c r="CD224"/>
      <c r="CE224"/>
      <c r="CF224"/>
    </row>
    <row r="225" spans="64:84" x14ac:dyDescent="0.25">
      <c r="BL225"/>
      <c r="BM225"/>
      <c r="BN225"/>
      <c r="BO225"/>
      <c r="BP225"/>
      <c r="CB225"/>
      <c r="CC225"/>
      <c r="CD225"/>
      <c r="CE225"/>
      <c r="CF225"/>
    </row>
    <row r="226" spans="64:84" x14ac:dyDescent="0.25">
      <c r="BL226"/>
      <c r="BM226"/>
      <c r="BN226"/>
      <c r="BO226"/>
      <c r="BP226"/>
      <c r="CB226"/>
      <c r="CC226"/>
      <c r="CD226"/>
      <c r="CE226"/>
      <c r="CF226"/>
    </row>
    <row r="227" spans="64:84" x14ac:dyDescent="0.25">
      <c r="BL227"/>
      <c r="BM227"/>
      <c r="BN227"/>
      <c r="BO227"/>
      <c r="BP227"/>
      <c r="CB227"/>
      <c r="CC227"/>
      <c r="CD227"/>
      <c r="CE227"/>
      <c r="CF227"/>
    </row>
    <row r="228" spans="64:84" x14ac:dyDescent="0.25">
      <c r="BL228"/>
      <c r="BM228"/>
      <c r="BN228"/>
      <c r="BO228"/>
      <c r="BP228"/>
      <c r="CB228"/>
      <c r="CC228"/>
      <c r="CD228"/>
      <c r="CE228"/>
      <c r="CF228"/>
    </row>
    <row r="229" spans="64:84" x14ac:dyDescent="0.25">
      <c r="BL229"/>
      <c r="BM229"/>
      <c r="BN229"/>
      <c r="BO229"/>
      <c r="BP229"/>
      <c r="CB229"/>
      <c r="CC229"/>
      <c r="CD229"/>
      <c r="CE229"/>
      <c r="CF229"/>
    </row>
    <row r="230" spans="64:84" x14ac:dyDescent="0.25">
      <c r="BL230"/>
      <c r="BM230"/>
      <c r="BN230"/>
      <c r="BO230"/>
      <c r="BP230"/>
      <c r="CB230"/>
      <c r="CC230"/>
      <c r="CD230"/>
      <c r="CE230"/>
      <c r="CF230"/>
    </row>
    <row r="231" spans="64:84" x14ac:dyDescent="0.25">
      <c r="BL231"/>
      <c r="BM231"/>
      <c r="BN231"/>
      <c r="BO231"/>
      <c r="BP231"/>
      <c r="CB231"/>
      <c r="CC231"/>
      <c r="CD231"/>
      <c r="CE231"/>
      <c r="CF231"/>
    </row>
    <row r="232" spans="64:84" x14ac:dyDescent="0.25">
      <c r="BL232"/>
      <c r="BM232"/>
      <c r="BN232"/>
      <c r="BO232"/>
      <c r="BP232"/>
      <c r="CB232"/>
      <c r="CC232"/>
      <c r="CD232"/>
      <c r="CE232"/>
      <c r="CF232"/>
    </row>
    <row r="233" spans="64:84" x14ac:dyDescent="0.25">
      <c r="BL233"/>
      <c r="BM233"/>
      <c r="BN233"/>
      <c r="BO233"/>
      <c r="BP233"/>
      <c r="CB233"/>
      <c r="CC233"/>
      <c r="CD233"/>
      <c r="CE233"/>
      <c r="CF233"/>
    </row>
    <row r="234" spans="64:84" x14ac:dyDescent="0.25">
      <c r="BL234"/>
      <c r="BM234"/>
      <c r="BN234"/>
      <c r="BO234"/>
      <c r="BP234"/>
      <c r="CB234"/>
      <c r="CC234"/>
      <c r="CD234"/>
      <c r="CE234"/>
      <c r="CF234"/>
    </row>
    <row r="235" spans="64:84" x14ac:dyDescent="0.25">
      <c r="BL235"/>
      <c r="BM235"/>
      <c r="BN235"/>
      <c r="BO235"/>
      <c r="BP235"/>
      <c r="CB235"/>
      <c r="CC235"/>
      <c r="CD235"/>
      <c r="CE235"/>
      <c r="CF235"/>
    </row>
    <row r="236" spans="64:84" x14ac:dyDescent="0.25">
      <c r="BL236"/>
      <c r="BM236"/>
      <c r="BN236"/>
      <c r="BO236"/>
      <c r="BP236"/>
      <c r="CB236"/>
      <c r="CC236"/>
      <c r="CD236"/>
      <c r="CE236"/>
      <c r="CF236"/>
    </row>
    <row r="237" spans="64:84" x14ac:dyDescent="0.25">
      <c r="BL237"/>
      <c r="BM237"/>
      <c r="BN237"/>
      <c r="BO237"/>
      <c r="BP237"/>
      <c r="CB237"/>
      <c r="CC237"/>
      <c r="CD237"/>
      <c r="CE237"/>
      <c r="CF237"/>
    </row>
    <row r="238" spans="64:84" x14ac:dyDescent="0.25">
      <c r="BL238"/>
      <c r="BM238"/>
      <c r="BN238"/>
      <c r="BO238"/>
      <c r="BP238"/>
      <c r="CB238"/>
      <c r="CC238"/>
      <c r="CD238"/>
      <c r="CE238"/>
      <c r="CF238"/>
    </row>
    <row r="239" spans="64:84" x14ac:dyDescent="0.25">
      <c r="BL239"/>
      <c r="BM239"/>
      <c r="BN239"/>
      <c r="BO239"/>
      <c r="BP239"/>
      <c r="CB239"/>
      <c r="CC239"/>
      <c r="CD239"/>
      <c r="CE239"/>
      <c r="CF239"/>
    </row>
    <row r="240" spans="64:84" x14ac:dyDescent="0.25">
      <c r="BL240"/>
      <c r="BM240"/>
      <c r="BN240"/>
      <c r="BO240"/>
      <c r="BP240"/>
      <c r="CB240"/>
      <c r="CC240"/>
      <c r="CD240"/>
      <c r="CE240"/>
      <c r="CF240"/>
    </row>
    <row r="241" spans="64:84" x14ac:dyDescent="0.25">
      <c r="BL241"/>
      <c r="BM241"/>
      <c r="BN241"/>
      <c r="BO241"/>
      <c r="BP241"/>
      <c r="CB241"/>
      <c r="CC241"/>
      <c r="CD241"/>
      <c r="CE241"/>
      <c r="CF241"/>
    </row>
    <row r="242" spans="64:84" x14ac:dyDescent="0.25">
      <c r="BL242"/>
      <c r="BM242"/>
      <c r="BN242"/>
      <c r="BO242"/>
      <c r="BP242"/>
      <c r="CB242"/>
      <c r="CC242"/>
      <c r="CD242"/>
      <c r="CE242"/>
      <c r="CF242"/>
    </row>
    <row r="243" spans="64:84" x14ac:dyDescent="0.25">
      <c r="BL243"/>
      <c r="BM243"/>
      <c r="BN243"/>
      <c r="BO243"/>
      <c r="BP243"/>
      <c r="CB243"/>
      <c r="CC243"/>
      <c r="CD243"/>
      <c r="CE243"/>
      <c r="CF243"/>
    </row>
    <row r="244" spans="64:84" x14ac:dyDescent="0.25">
      <c r="BL244"/>
      <c r="BM244"/>
      <c r="BN244"/>
      <c r="BO244"/>
      <c r="BP244"/>
      <c r="CB244"/>
      <c r="CC244"/>
      <c r="CD244"/>
      <c r="CE244"/>
      <c r="CF244"/>
    </row>
    <row r="245" spans="64:84" x14ac:dyDescent="0.25">
      <c r="BL245"/>
      <c r="BM245"/>
      <c r="BN245"/>
      <c r="BO245"/>
      <c r="BP245"/>
      <c r="CB245"/>
      <c r="CC245"/>
      <c r="CD245"/>
      <c r="CE245"/>
      <c r="CF245"/>
    </row>
    <row r="246" spans="64:84" x14ac:dyDescent="0.25">
      <c r="BL246"/>
      <c r="BM246"/>
      <c r="BN246"/>
      <c r="BO246"/>
      <c r="BP246"/>
      <c r="CB246"/>
      <c r="CC246"/>
      <c r="CD246"/>
      <c r="CE246"/>
      <c r="CF246"/>
    </row>
    <row r="247" spans="64:84" x14ac:dyDescent="0.25">
      <c r="BL247"/>
      <c r="BM247"/>
      <c r="BN247"/>
      <c r="BO247"/>
      <c r="BP247"/>
      <c r="CB247"/>
      <c r="CC247"/>
      <c r="CD247"/>
      <c r="CE247"/>
      <c r="CF247"/>
    </row>
    <row r="248" spans="64:84" x14ac:dyDescent="0.25">
      <c r="BL248"/>
      <c r="BM248"/>
      <c r="BN248"/>
      <c r="BO248"/>
      <c r="BP248"/>
      <c r="CB248"/>
      <c r="CC248"/>
      <c r="CD248"/>
      <c r="CE248"/>
      <c r="CF248"/>
    </row>
    <row r="249" spans="64:84" x14ac:dyDescent="0.25">
      <c r="BL249"/>
      <c r="BM249"/>
      <c r="BN249"/>
      <c r="BO249"/>
      <c r="BP249"/>
      <c r="CB249"/>
      <c r="CC249"/>
      <c r="CD249"/>
      <c r="CE249"/>
      <c r="CF249"/>
    </row>
    <row r="250" spans="64:84" x14ac:dyDescent="0.25">
      <c r="BL250"/>
      <c r="BM250"/>
      <c r="BN250"/>
      <c r="BO250"/>
      <c r="BP250"/>
      <c r="CB250"/>
      <c r="CC250"/>
      <c r="CD250"/>
      <c r="CE250"/>
      <c r="CF250"/>
    </row>
    <row r="251" spans="64:84" x14ac:dyDescent="0.25">
      <c r="BL251"/>
      <c r="BM251"/>
      <c r="BN251"/>
      <c r="BO251"/>
      <c r="BP251"/>
      <c r="CB251"/>
      <c r="CC251"/>
      <c r="CD251"/>
      <c r="CE251"/>
      <c r="CF251"/>
    </row>
    <row r="252" spans="64:84" x14ac:dyDescent="0.25">
      <c r="BL252"/>
      <c r="BM252"/>
      <c r="BN252"/>
      <c r="BO252"/>
      <c r="BP252"/>
      <c r="CB252"/>
      <c r="CC252"/>
      <c r="CD252"/>
      <c r="CE252"/>
      <c r="CF252"/>
    </row>
    <row r="253" spans="64:84" x14ac:dyDescent="0.25">
      <c r="BL253"/>
      <c r="BM253"/>
      <c r="BN253"/>
      <c r="BO253"/>
      <c r="BP253"/>
      <c r="CB253"/>
      <c r="CC253"/>
      <c r="CD253"/>
      <c r="CE253"/>
      <c r="CF253"/>
    </row>
    <row r="254" spans="64:84" x14ac:dyDescent="0.25">
      <c r="BL254"/>
      <c r="BM254"/>
      <c r="BN254"/>
      <c r="BO254"/>
      <c r="BP254"/>
      <c r="CB254"/>
      <c r="CC254"/>
      <c r="CD254"/>
      <c r="CE254"/>
      <c r="CF254"/>
    </row>
    <row r="255" spans="64:84" x14ac:dyDescent="0.25">
      <c r="BL255"/>
      <c r="BM255"/>
      <c r="BN255"/>
      <c r="BO255"/>
      <c r="BP255"/>
      <c r="CB255"/>
      <c r="CC255"/>
      <c r="CD255"/>
      <c r="CE255"/>
      <c r="CF255"/>
    </row>
    <row r="256" spans="64:84" x14ac:dyDescent="0.25">
      <c r="BL256"/>
      <c r="BM256"/>
      <c r="BN256"/>
      <c r="BO256"/>
      <c r="BP256"/>
      <c r="CB256"/>
      <c r="CC256"/>
      <c r="CD256"/>
      <c r="CE256"/>
      <c r="CF256"/>
    </row>
    <row r="257" spans="64:84" x14ac:dyDescent="0.25">
      <c r="BL257"/>
      <c r="BM257"/>
      <c r="BN257"/>
      <c r="BO257"/>
      <c r="BP257"/>
      <c r="CB257"/>
      <c r="CC257"/>
      <c r="CD257"/>
      <c r="CE257"/>
      <c r="CF257"/>
    </row>
    <row r="258" spans="64:84" x14ac:dyDescent="0.25">
      <c r="BL258"/>
      <c r="BM258"/>
      <c r="BN258"/>
      <c r="BO258"/>
      <c r="BP258"/>
      <c r="CB258"/>
      <c r="CC258"/>
      <c r="CD258"/>
      <c r="CE258"/>
      <c r="CF258"/>
    </row>
    <row r="259" spans="64:84" x14ac:dyDescent="0.25">
      <c r="BL259"/>
      <c r="BM259"/>
      <c r="BN259"/>
      <c r="BO259"/>
      <c r="BP259"/>
      <c r="CB259"/>
      <c r="CC259"/>
      <c r="CD259"/>
      <c r="CE259"/>
      <c r="CF259"/>
    </row>
    <row r="260" spans="64:84" x14ac:dyDescent="0.25">
      <c r="BL260"/>
      <c r="BM260"/>
      <c r="BN260"/>
      <c r="BO260"/>
      <c r="BP260"/>
      <c r="CB260"/>
      <c r="CC260"/>
      <c r="CD260"/>
      <c r="CE260"/>
      <c r="CF260"/>
    </row>
    <row r="261" spans="64:84" x14ac:dyDescent="0.25">
      <c r="BL261"/>
      <c r="BM261"/>
      <c r="BN261"/>
      <c r="BO261"/>
      <c r="BP261"/>
      <c r="CB261"/>
      <c r="CC261"/>
      <c r="CD261"/>
      <c r="CE261"/>
      <c r="CF261"/>
    </row>
    <row r="262" spans="64:84" x14ac:dyDescent="0.25">
      <c r="BL262"/>
      <c r="BM262"/>
      <c r="BN262"/>
      <c r="BO262"/>
      <c r="BP262"/>
      <c r="CB262"/>
      <c r="CC262"/>
      <c r="CD262"/>
      <c r="CE262"/>
      <c r="CF262"/>
    </row>
    <row r="263" spans="64:84" x14ac:dyDescent="0.25">
      <c r="BL263"/>
      <c r="BM263"/>
      <c r="BN263"/>
      <c r="BO263"/>
      <c r="BP263"/>
      <c r="CB263"/>
      <c r="CC263"/>
      <c r="CD263"/>
      <c r="CE263"/>
      <c r="CF263"/>
    </row>
    <row r="264" spans="64:84" x14ac:dyDescent="0.25">
      <c r="BL264"/>
      <c r="BM264"/>
      <c r="BN264"/>
      <c r="BO264"/>
      <c r="BP264"/>
      <c r="CB264"/>
      <c r="CC264"/>
      <c r="CD264"/>
      <c r="CE264"/>
      <c r="CF264"/>
    </row>
    <row r="265" spans="64:84" x14ac:dyDescent="0.25">
      <c r="BL265"/>
      <c r="BM265"/>
      <c r="BN265"/>
      <c r="BO265"/>
      <c r="BP265"/>
      <c r="CB265"/>
      <c r="CC265"/>
      <c r="CD265"/>
      <c r="CE265"/>
      <c r="CF265"/>
    </row>
    <row r="266" spans="64:84" x14ac:dyDescent="0.25">
      <c r="BL266"/>
      <c r="BM266"/>
      <c r="BN266"/>
      <c r="BO266"/>
      <c r="BP266"/>
      <c r="CB266"/>
      <c r="CC266"/>
      <c r="CD266"/>
      <c r="CE266"/>
      <c r="CF266"/>
    </row>
    <row r="267" spans="64:84" x14ac:dyDescent="0.25">
      <c r="BL267"/>
      <c r="BM267"/>
      <c r="BN267"/>
      <c r="BO267"/>
      <c r="BP267"/>
      <c r="CB267"/>
      <c r="CC267"/>
      <c r="CD267"/>
      <c r="CE267"/>
      <c r="CF267"/>
    </row>
    <row r="268" spans="64:84" x14ac:dyDescent="0.25">
      <c r="BL268"/>
      <c r="BM268"/>
      <c r="BN268"/>
      <c r="BO268"/>
      <c r="BP268"/>
      <c r="CB268"/>
      <c r="CC268"/>
      <c r="CD268"/>
      <c r="CE268"/>
      <c r="CF268"/>
    </row>
    <row r="269" spans="64:84" x14ac:dyDescent="0.25">
      <c r="BL269"/>
      <c r="BM269"/>
      <c r="BN269"/>
      <c r="BO269"/>
      <c r="BP269"/>
      <c r="CB269"/>
      <c r="CC269"/>
      <c r="CD269"/>
      <c r="CE269"/>
      <c r="CF269"/>
    </row>
    <row r="270" spans="64:84" x14ac:dyDescent="0.25">
      <c r="BL270"/>
      <c r="BM270"/>
      <c r="BN270"/>
      <c r="BO270"/>
      <c r="BP270"/>
      <c r="CB270"/>
      <c r="CC270"/>
      <c r="CD270"/>
      <c r="CE270"/>
      <c r="CF270"/>
    </row>
    <row r="271" spans="64:84" x14ac:dyDescent="0.25">
      <c r="BL271"/>
      <c r="BM271"/>
      <c r="BN271"/>
      <c r="BO271"/>
      <c r="BP271"/>
      <c r="CB271"/>
      <c r="CC271"/>
      <c r="CD271"/>
      <c r="CE271"/>
      <c r="CF271"/>
    </row>
    <row r="272" spans="64:84" x14ac:dyDescent="0.25">
      <c r="BL272"/>
      <c r="BM272"/>
      <c r="BN272"/>
      <c r="BO272"/>
      <c r="BP272"/>
      <c r="CB272"/>
      <c r="CC272"/>
      <c r="CD272"/>
      <c r="CE272"/>
      <c r="CF272"/>
    </row>
    <row r="273" spans="64:84" x14ac:dyDescent="0.25">
      <c r="BL273"/>
      <c r="BM273"/>
      <c r="BN273"/>
      <c r="BO273"/>
      <c r="BP273"/>
      <c r="CB273"/>
      <c r="CC273"/>
      <c r="CD273"/>
      <c r="CE273"/>
      <c r="CF273"/>
    </row>
    <row r="274" spans="64:84" x14ac:dyDescent="0.25">
      <c r="BL274"/>
      <c r="BM274"/>
      <c r="BN274"/>
      <c r="BO274"/>
      <c r="BP274"/>
      <c r="CB274"/>
      <c r="CC274"/>
      <c r="CD274"/>
      <c r="CE274"/>
      <c r="CF274"/>
    </row>
    <row r="275" spans="64:84" x14ac:dyDescent="0.25">
      <c r="BL275"/>
      <c r="BM275"/>
      <c r="BN275"/>
      <c r="BO275"/>
      <c r="BP275"/>
      <c r="CB275"/>
      <c r="CC275"/>
      <c r="CD275"/>
      <c r="CE275"/>
      <c r="CF275"/>
    </row>
    <row r="276" spans="64:84" x14ac:dyDescent="0.25">
      <c r="BL276"/>
      <c r="BM276"/>
      <c r="BN276"/>
      <c r="BO276"/>
      <c r="BP276"/>
      <c r="CB276"/>
      <c r="CC276"/>
      <c r="CD276"/>
      <c r="CE276"/>
      <c r="CF276"/>
    </row>
    <row r="277" spans="64:84" x14ac:dyDescent="0.25">
      <c r="BL277"/>
      <c r="BM277"/>
      <c r="BN277"/>
      <c r="BO277"/>
      <c r="BP277"/>
      <c r="CB277"/>
      <c r="CC277"/>
      <c r="CD277"/>
      <c r="CE277"/>
      <c r="CF277"/>
    </row>
    <row r="278" spans="64:84" x14ac:dyDescent="0.25">
      <c r="BL278"/>
      <c r="BM278"/>
      <c r="BN278"/>
      <c r="BO278"/>
      <c r="BP278"/>
      <c r="CB278"/>
      <c r="CC278"/>
      <c r="CD278"/>
      <c r="CE278"/>
      <c r="CF278"/>
    </row>
    <row r="279" spans="64:84" x14ac:dyDescent="0.25">
      <c r="BL279"/>
      <c r="BM279"/>
      <c r="BN279"/>
      <c r="BO279"/>
      <c r="BP279"/>
      <c r="CB279"/>
      <c r="CC279"/>
      <c r="CD279"/>
      <c r="CE279"/>
      <c r="CF279"/>
    </row>
    <row r="280" spans="64:84" x14ac:dyDescent="0.25">
      <c r="BL280"/>
      <c r="BM280"/>
      <c r="BN280"/>
      <c r="BO280"/>
      <c r="BP280"/>
      <c r="CB280"/>
      <c r="CC280"/>
      <c r="CD280"/>
      <c r="CE280"/>
      <c r="CF280"/>
    </row>
    <row r="281" spans="64:84" x14ac:dyDescent="0.25">
      <c r="BL281"/>
      <c r="BM281"/>
      <c r="BN281"/>
      <c r="BO281"/>
      <c r="BP281"/>
      <c r="CB281"/>
      <c r="CC281"/>
      <c r="CD281"/>
      <c r="CE281"/>
      <c r="CF281"/>
    </row>
    <row r="282" spans="64:84" x14ac:dyDescent="0.25">
      <c r="BL282"/>
      <c r="BM282"/>
      <c r="BN282"/>
      <c r="BO282"/>
      <c r="BP282"/>
      <c r="CB282"/>
      <c r="CC282"/>
      <c r="CD282"/>
      <c r="CE282"/>
      <c r="CF282"/>
    </row>
    <row r="283" spans="64:84" x14ac:dyDescent="0.25">
      <c r="BL283"/>
      <c r="BM283"/>
      <c r="BN283"/>
      <c r="BO283"/>
      <c r="BP283"/>
      <c r="CB283"/>
      <c r="CC283"/>
      <c r="CD283"/>
      <c r="CE283"/>
      <c r="CF283"/>
    </row>
    <row r="284" spans="64:84" x14ac:dyDescent="0.25">
      <c r="BL284"/>
      <c r="BM284"/>
      <c r="BN284"/>
      <c r="BO284"/>
      <c r="BP284"/>
      <c r="CB284"/>
      <c r="CC284"/>
      <c r="CD284"/>
      <c r="CE284"/>
      <c r="CF284"/>
    </row>
    <row r="285" spans="64:84" x14ac:dyDescent="0.25">
      <c r="BL285"/>
      <c r="BM285"/>
      <c r="BN285"/>
      <c r="BO285"/>
      <c r="BP285"/>
      <c r="CB285"/>
      <c r="CC285"/>
      <c r="CD285"/>
      <c r="CE285"/>
      <c r="CF285"/>
    </row>
    <row r="286" spans="64:84" x14ac:dyDescent="0.25">
      <c r="BL286"/>
      <c r="BM286"/>
      <c r="BN286"/>
      <c r="BO286"/>
      <c r="BP286"/>
      <c r="CB286"/>
      <c r="CC286"/>
      <c r="CD286"/>
      <c r="CE286"/>
      <c r="CF286"/>
    </row>
    <row r="287" spans="64:84" x14ac:dyDescent="0.25">
      <c r="BL287"/>
      <c r="BM287"/>
      <c r="BN287"/>
      <c r="BO287"/>
      <c r="BP287"/>
      <c r="CB287"/>
      <c r="CC287"/>
      <c r="CD287"/>
      <c r="CE287"/>
      <c r="CF287"/>
    </row>
    <row r="288" spans="64:84" x14ac:dyDescent="0.25">
      <c r="BL288"/>
      <c r="BM288"/>
      <c r="BN288"/>
      <c r="BO288"/>
      <c r="BP288"/>
      <c r="CB288"/>
      <c r="CC288"/>
      <c r="CD288"/>
      <c r="CE288"/>
      <c r="CF288"/>
    </row>
    <row r="289" spans="64:84" x14ac:dyDescent="0.25">
      <c r="BL289"/>
      <c r="BM289"/>
      <c r="BN289"/>
      <c r="BO289"/>
      <c r="BP289"/>
      <c r="CB289"/>
      <c r="CC289"/>
      <c r="CD289"/>
      <c r="CE289"/>
      <c r="CF289"/>
    </row>
    <row r="290" spans="64:84" x14ac:dyDescent="0.25">
      <c r="BL290"/>
      <c r="BM290"/>
      <c r="BN290"/>
      <c r="BO290"/>
      <c r="BP290"/>
      <c r="CB290"/>
      <c r="CC290"/>
      <c r="CD290"/>
      <c r="CE290"/>
      <c r="CF290"/>
    </row>
    <row r="291" spans="64:84" x14ac:dyDescent="0.25">
      <c r="BL291"/>
      <c r="BM291"/>
      <c r="BN291"/>
      <c r="BO291"/>
      <c r="BP291"/>
      <c r="CB291"/>
      <c r="CC291"/>
      <c r="CD291"/>
      <c r="CE291"/>
      <c r="CF291"/>
    </row>
    <row r="292" spans="64:84" x14ac:dyDescent="0.25">
      <c r="BL292"/>
      <c r="BM292"/>
      <c r="BN292"/>
      <c r="BO292"/>
      <c r="BP292"/>
      <c r="CB292"/>
      <c r="CC292"/>
      <c r="CD292"/>
      <c r="CE292"/>
      <c r="CF292"/>
    </row>
    <row r="293" spans="64:84" x14ac:dyDescent="0.25">
      <c r="BL293"/>
      <c r="BM293"/>
      <c r="BN293"/>
      <c r="BO293"/>
      <c r="BP293"/>
      <c r="CB293"/>
      <c r="CC293"/>
      <c r="CD293"/>
      <c r="CE293"/>
      <c r="CF293"/>
    </row>
    <row r="294" spans="64:84" x14ac:dyDescent="0.25">
      <c r="BL294"/>
      <c r="BM294"/>
      <c r="BN294"/>
      <c r="BO294"/>
      <c r="BP294"/>
      <c r="CB294"/>
      <c r="CC294"/>
      <c r="CD294"/>
      <c r="CE294"/>
      <c r="CF294"/>
    </row>
    <row r="295" spans="64:84" x14ac:dyDescent="0.25">
      <c r="BL295"/>
      <c r="BM295"/>
      <c r="BN295"/>
      <c r="BO295"/>
      <c r="BP295"/>
      <c r="CB295"/>
      <c r="CC295"/>
      <c r="CD295"/>
      <c r="CE295"/>
      <c r="CF295"/>
    </row>
    <row r="296" spans="64:84" x14ac:dyDescent="0.25">
      <c r="BL296"/>
      <c r="BM296"/>
      <c r="BN296"/>
      <c r="BO296"/>
      <c r="BP296"/>
      <c r="CB296"/>
      <c r="CC296"/>
      <c r="CD296"/>
      <c r="CE296"/>
      <c r="CF296"/>
    </row>
    <row r="297" spans="64:84" x14ac:dyDescent="0.25">
      <c r="BL297"/>
      <c r="BM297"/>
      <c r="BN297"/>
      <c r="BO297"/>
      <c r="BP297"/>
      <c r="CB297"/>
      <c r="CC297"/>
      <c r="CD297"/>
      <c r="CE297"/>
      <c r="CF297"/>
    </row>
    <row r="298" spans="64:84" x14ac:dyDescent="0.25">
      <c r="BL298"/>
      <c r="BM298"/>
      <c r="BN298"/>
      <c r="BO298"/>
      <c r="BP298"/>
      <c r="CB298"/>
      <c r="CC298"/>
      <c r="CD298"/>
      <c r="CE298"/>
      <c r="CF298"/>
    </row>
    <row r="299" spans="64:84" x14ac:dyDescent="0.25">
      <c r="BL299"/>
      <c r="BM299"/>
      <c r="BN299"/>
      <c r="BO299"/>
      <c r="BP299"/>
      <c r="CB299"/>
      <c r="CC299"/>
      <c r="CD299"/>
      <c r="CE299"/>
      <c r="CF299"/>
    </row>
    <row r="300" spans="64:84" x14ac:dyDescent="0.25">
      <c r="BL300"/>
      <c r="BM300"/>
      <c r="BN300"/>
      <c r="BO300"/>
      <c r="BP300"/>
      <c r="CB300"/>
      <c r="CC300"/>
      <c r="CD300"/>
      <c r="CE300"/>
      <c r="CF300"/>
    </row>
    <row r="301" spans="64:84" x14ac:dyDescent="0.25">
      <c r="BL301"/>
      <c r="BM301"/>
      <c r="BN301"/>
      <c r="BO301"/>
      <c r="BP301"/>
      <c r="CB301"/>
      <c r="CC301"/>
      <c r="CD301"/>
      <c r="CE301"/>
      <c r="CF301"/>
    </row>
    <row r="302" spans="64:84" x14ac:dyDescent="0.25">
      <c r="BL302"/>
      <c r="BM302"/>
      <c r="BN302"/>
      <c r="BO302"/>
      <c r="BP302"/>
      <c r="CB302"/>
      <c r="CC302"/>
      <c r="CD302"/>
      <c r="CE302"/>
      <c r="CF302"/>
    </row>
    <row r="303" spans="64:84" x14ac:dyDescent="0.25">
      <c r="BL303"/>
      <c r="BM303"/>
      <c r="BN303"/>
      <c r="BO303"/>
      <c r="BP303"/>
      <c r="CB303"/>
      <c r="CC303"/>
      <c r="CD303"/>
      <c r="CE303"/>
      <c r="CF303"/>
    </row>
    <row r="304" spans="64:84" x14ac:dyDescent="0.25">
      <c r="BL304"/>
      <c r="BM304"/>
      <c r="BN304"/>
      <c r="BO304"/>
      <c r="BP304"/>
      <c r="CB304"/>
      <c r="CC304"/>
      <c r="CD304"/>
      <c r="CE304"/>
      <c r="CF304"/>
    </row>
    <row r="305" spans="64:84" x14ac:dyDescent="0.25">
      <c r="BL305"/>
      <c r="BM305"/>
      <c r="BN305"/>
      <c r="BO305"/>
      <c r="BP305"/>
      <c r="CB305"/>
      <c r="CC305"/>
      <c r="CD305"/>
      <c r="CE305"/>
      <c r="CF305"/>
    </row>
    <row r="306" spans="64:84" x14ac:dyDescent="0.25">
      <c r="BL306"/>
      <c r="BM306"/>
      <c r="BN306"/>
      <c r="BO306"/>
      <c r="BP306"/>
      <c r="CB306"/>
      <c r="CC306"/>
      <c r="CD306"/>
      <c r="CE306"/>
      <c r="CF306"/>
    </row>
    <row r="307" spans="64:84" x14ac:dyDescent="0.25">
      <c r="BL307"/>
      <c r="BM307"/>
      <c r="BN307"/>
      <c r="BO307"/>
      <c r="BP307"/>
      <c r="CB307"/>
      <c r="CC307"/>
      <c r="CD307"/>
      <c r="CE307"/>
      <c r="CF307"/>
    </row>
    <row r="308" spans="64:84" x14ac:dyDescent="0.25">
      <c r="BL308"/>
      <c r="BM308"/>
      <c r="BN308"/>
      <c r="BO308"/>
      <c r="BP308"/>
      <c r="CB308"/>
      <c r="CC308"/>
      <c r="CD308"/>
      <c r="CE308"/>
      <c r="CF308"/>
    </row>
    <row r="309" spans="64:84" x14ac:dyDescent="0.25">
      <c r="BL309"/>
      <c r="BM309"/>
      <c r="BN309"/>
      <c r="BO309"/>
      <c r="BP309"/>
      <c r="CB309"/>
      <c r="CC309"/>
      <c r="CD309"/>
      <c r="CE309"/>
      <c r="CF309"/>
    </row>
    <row r="310" spans="64:84" x14ac:dyDescent="0.25">
      <c r="BL310"/>
      <c r="BM310"/>
      <c r="BN310"/>
      <c r="BO310"/>
      <c r="BP310"/>
      <c r="CB310"/>
      <c r="CC310"/>
      <c r="CD310"/>
      <c r="CE310"/>
      <c r="CF310"/>
    </row>
    <row r="311" spans="64:84" x14ac:dyDescent="0.25">
      <c r="BL311"/>
      <c r="BM311"/>
      <c r="BN311"/>
      <c r="BO311"/>
      <c r="BP311"/>
      <c r="CB311"/>
      <c r="CC311"/>
      <c r="CD311"/>
      <c r="CE311"/>
      <c r="CF311"/>
    </row>
    <row r="312" spans="64:84" x14ac:dyDescent="0.25">
      <c r="BL312"/>
      <c r="BM312"/>
      <c r="BN312"/>
      <c r="BO312"/>
      <c r="BP312"/>
      <c r="CB312"/>
      <c r="CC312"/>
      <c r="CD312"/>
      <c r="CE312"/>
      <c r="CF312"/>
    </row>
    <row r="313" spans="64:84" x14ac:dyDescent="0.25">
      <c r="BL313"/>
      <c r="BM313"/>
      <c r="BN313"/>
      <c r="BO313"/>
      <c r="BP313"/>
      <c r="CB313"/>
      <c r="CC313"/>
      <c r="CD313"/>
      <c r="CE313"/>
      <c r="CF313"/>
    </row>
    <row r="314" spans="64:84" x14ac:dyDescent="0.25">
      <c r="BL314"/>
      <c r="BM314"/>
      <c r="BN314"/>
      <c r="BO314"/>
      <c r="BP314"/>
      <c r="CB314"/>
      <c r="CC314"/>
      <c r="CD314"/>
      <c r="CE314"/>
      <c r="CF314"/>
    </row>
    <row r="315" spans="64:84" x14ac:dyDescent="0.25">
      <c r="CB315"/>
      <c r="CC315"/>
      <c r="CD315"/>
      <c r="CE315"/>
      <c r="CF315"/>
    </row>
    <row r="316" spans="64:84" x14ac:dyDescent="0.25">
      <c r="CB316"/>
      <c r="CC316"/>
      <c r="CD316"/>
      <c r="CE316"/>
      <c r="CF316"/>
    </row>
    <row r="317" spans="64:84" x14ac:dyDescent="0.25">
      <c r="CB317"/>
      <c r="CC317"/>
      <c r="CD317"/>
      <c r="CE317"/>
      <c r="CF317"/>
    </row>
    <row r="318" spans="64:84" x14ac:dyDescent="0.25">
      <c r="CB318"/>
      <c r="CC318"/>
      <c r="CD318"/>
      <c r="CE318"/>
      <c r="CF318"/>
    </row>
    <row r="319" spans="64:84" x14ac:dyDescent="0.25">
      <c r="CB319"/>
      <c r="CC319"/>
      <c r="CD319"/>
      <c r="CE319"/>
      <c r="CF319"/>
    </row>
    <row r="320" spans="64:84" x14ac:dyDescent="0.25">
      <c r="CB320"/>
      <c r="CC320"/>
      <c r="CD320"/>
      <c r="CE320"/>
      <c r="CF320"/>
    </row>
    <row r="321" spans="80:84" x14ac:dyDescent="0.25">
      <c r="CB321"/>
      <c r="CC321"/>
      <c r="CD321"/>
      <c r="CE321"/>
      <c r="CF321"/>
    </row>
    <row r="322" spans="80:84" x14ac:dyDescent="0.25">
      <c r="CB322"/>
      <c r="CC322"/>
      <c r="CD322"/>
      <c r="CE322"/>
      <c r="CF322"/>
    </row>
    <row r="323" spans="80:84" x14ac:dyDescent="0.25">
      <c r="CB323"/>
      <c r="CC323"/>
      <c r="CD323"/>
      <c r="CE323"/>
      <c r="CF323"/>
    </row>
    <row r="324" spans="80:84" x14ac:dyDescent="0.25">
      <c r="CB324"/>
      <c r="CC324"/>
      <c r="CD324"/>
      <c r="CE324"/>
      <c r="CF324"/>
    </row>
    <row r="325" spans="80:84" x14ac:dyDescent="0.25">
      <c r="CB325"/>
      <c r="CC325"/>
      <c r="CD325"/>
      <c r="CE325"/>
      <c r="CF325"/>
    </row>
    <row r="326" spans="80:84" x14ac:dyDescent="0.25">
      <c r="CB326"/>
      <c r="CC326"/>
      <c r="CD326"/>
      <c r="CE326"/>
      <c r="CF326"/>
    </row>
    <row r="327" spans="80:84" x14ac:dyDescent="0.25">
      <c r="CB327"/>
      <c r="CC327"/>
      <c r="CD327"/>
      <c r="CE327"/>
      <c r="CF327"/>
    </row>
    <row r="328" spans="80:84" x14ac:dyDescent="0.25">
      <c r="CB328"/>
      <c r="CC328"/>
      <c r="CD328"/>
      <c r="CE328"/>
      <c r="CF328"/>
    </row>
    <row r="329" spans="80:84" x14ac:dyDescent="0.25">
      <c r="CB329"/>
      <c r="CC329"/>
      <c r="CD329"/>
      <c r="CE329"/>
      <c r="CF329"/>
    </row>
    <row r="330" spans="80:84" x14ac:dyDescent="0.25">
      <c r="CB330"/>
      <c r="CC330"/>
      <c r="CD330"/>
      <c r="CE330"/>
      <c r="CF330"/>
    </row>
    <row r="331" spans="80:84" x14ac:dyDescent="0.25">
      <c r="CB331"/>
      <c r="CC331"/>
      <c r="CD331"/>
      <c r="CE331"/>
      <c r="CF331"/>
    </row>
    <row r="332" spans="80:84" x14ac:dyDescent="0.25">
      <c r="CB332"/>
      <c r="CC332"/>
      <c r="CD332"/>
      <c r="CE332"/>
      <c r="CF332"/>
    </row>
    <row r="333" spans="80:84" x14ac:dyDescent="0.25">
      <c r="CB333"/>
      <c r="CC333"/>
      <c r="CD333"/>
      <c r="CE333"/>
      <c r="CF333"/>
    </row>
    <row r="334" spans="80:84" x14ac:dyDescent="0.25">
      <c r="CB334"/>
      <c r="CC334"/>
      <c r="CD334"/>
      <c r="CE334"/>
      <c r="CF334"/>
    </row>
    <row r="335" spans="80:84" x14ac:dyDescent="0.25">
      <c r="CB335"/>
      <c r="CC335"/>
      <c r="CD335"/>
      <c r="CE335"/>
      <c r="CF335"/>
    </row>
    <row r="336" spans="80:84" x14ac:dyDescent="0.25">
      <c r="CB336"/>
      <c r="CC336"/>
      <c r="CD336"/>
      <c r="CE336"/>
      <c r="CF336"/>
    </row>
    <row r="337" spans="80:84" x14ac:dyDescent="0.25">
      <c r="CB337"/>
      <c r="CC337"/>
      <c r="CD337"/>
      <c r="CE337"/>
      <c r="CF337"/>
    </row>
    <row r="338" spans="80:84" x14ac:dyDescent="0.25">
      <c r="CB338"/>
      <c r="CC338"/>
      <c r="CD338"/>
      <c r="CE338"/>
      <c r="CF338"/>
    </row>
    <row r="339" spans="80:84" x14ac:dyDescent="0.25">
      <c r="CB339"/>
      <c r="CC339"/>
      <c r="CD339"/>
      <c r="CE339"/>
      <c r="CF339"/>
    </row>
    <row r="340" spans="80:84" x14ac:dyDescent="0.25">
      <c r="CB340"/>
      <c r="CC340"/>
      <c r="CD340"/>
      <c r="CE340"/>
      <c r="CF340"/>
    </row>
    <row r="341" spans="80:84" x14ac:dyDescent="0.25">
      <c r="CB341"/>
      <c r="CC341"/>
      <c r="CD341"/>
      <c r="CE341"/>
      <c r="CF341"/>
    </row>
    <row r="342" spans="80:84" x14ac:dyDescent="0.25">
      <c r="CB342"/>
      <c r="CC342"/>
      <c r="CD342"/>
      <c r="CE342"/>
      <c r="CF342"/>
    </row>
    <row r="343" spans="80:84" x14ac:dyDescent="0.25">
      <c r="CB343"/>
      <c r="CC343"/>
      <c r="CD343"/>
      <c r="CE343"/>
      <c r="CF343"/>
    </row>
    <row r="344" spans="80:84" x14ac:dyDescent="0.25">
      <c r="CB344"/>
      <c r="CC344"/>
      <c r="CD344"/>
      <c r="CE344"/>
      <c r="CF344"/>
    </row>
    <row r="345" spans="80:84" x14ac:dyDescent="0.25">
      <c r="CB345"/>
      <c r="CC345"/>
      <c r="CD345"/>
      <c r="CE345"/>
      <c r="CF345"/>
    </row>
    <row r="346" spans="80:84" x14ac:dyDescent="0.25">
      <c r="CB346"/>
      <c r="CC346"/>
      <c r="CD346"/>
      <c r="CE346"/>
      <c r="CF346"/>
    </row>
    <row r="347" spans="80:84" x14ac:dyDescent="0.25">
      <c r="CB347"/>
      <c r="CC347"/>
      <c r="CD347"/>
      <c r="CE347"/>
      <c r="CF347"/>
    </row>
    <row r="348" spans="80:84" x14ac:dyDescent="0.25">
      <c r="CB348"/>
      <c r="CC348"/>
      <c r="CD348"/>
      <c r="CE348"/>
      <c r="CF348"/>
    </row>
    <row r="349" spans="80:84" x14ac:dyDescent="0.25">
      <c r="CB349"/>
      <c r="CC349"/>
      <c r="CD349"/>
      <c r="CE349"/>
      <c r="CF349"/>
    </row>
    <row r="350" spans="80:84" x14ac:dyDescent="0.25">
      <c r="CB350"/>
      <c r="CC350"/>
      <c r="CD350"/>
      <c r="CE350"/>
      <c r="CF350"/>
    </row>
    <row r="351" spans="80:84" x14ac:dyDescent="0.25">
      <c r="CB351"/>
      <c r="CC351"/>
      <c r="CD351"/>
      <c r="CE351"/>
      <c r="CF351"/>
    </row>
    <row r="352" spans="80:84" x14ac:dyDescent="0.25">
      <c r="CB352"/>
      <c r="CC352"/>
      <c r="CD352"/>
      <c r="CE352"/>
      <c r="CF352"/>
    </row>
    <row r="353" spans="80:84" x14ac:dyDescent="0.25">
      <c r="CB353"/>
      <c r="CC353"/>
      <c r="CD353"/>
      <c r="CE353"/>
      <c r="CF353"/>
    </row>
    <row r="354" spans="80:84" x14ac:dyDescent="0.25">
      <c r="CB354"/>
      <c r="CC354"/>
      <c r="CD354"/>
      <c r="CE354"/>
      <c r="CF354"/>
    </row>
    <row r="355" spans="80:84" x14ac:dyDescent="0.25">
      <c r="CB355"/>
      <c r="CC355"/>
      <c r="CD355"/>
      <c r="CE355"/>
      <c r="CF355"/>
    </row>
    <row r="356" spans="80:84" x14ac:dyDescent="0.25">
      <c r="CB356"/>
      <c r="CC356"/>
      <c r="CD356"/>
      <c r="CE356"/>
      <c r="CF356"/>
    </row>
    <row r="357" spans="80:84" x14ac:dyDescent="0.25">
      <c r="CB357"/>
      <c r="CC357"/>
      <c r="CD357"/>
      <c r="CE357"/>
      <c r="CF357"/>
    </row>
    <row r="358" spans="80:84" x14ac:dyDescent="0.25">
      <c r="CB358"/>
      <c r="CC358"/>
      <c r="CD358"/>
      <c r="CE358"/>
      <c r="CF358"/>
    </row>
    <row r="359" spans="80:84" x14ac:dyDescent="0.25">
      <c r="CB359"/>
      <c r="CC359"/>
      <c r="CD359"/>
      <c r="CE359"/>
      <c r="CF359"/>
    </row>
    <row r="360" spans="80:84" x14ac:dyDescent="0.25">
      <c r="CB360"/>
      <c r="CC360"/>
      <c r="CD360"/>
      <c r="CE360"/>
      <c r="CF360"/>
    </row>
    <row r="361" spans="80:84" x14ac:dyDescent="0.25">
      <c r="CB361"/>
      <c r="CC361"/>
      <c r="CD361"/>
      <c r="CE361"/>
      <c r="CF361"/>
    </row>
    <row r="362" spans="80:84" x14ac:dyDescent="0.25">
      <c r="CB362"/>
      <c r="CC362"/>
      <c r="CD362"/>
      <c r="CE362"/>
      <c r="CF362"/>
    </row>
    <row r="363" spans="80:84" x14ac:dyDescent="0.25">
      <c r="CB363"/>
      <c r="CC363"/>
      <c r="CD363"/>
      <c r="CE363"/>
      <c r="CF363"/>
    </row>
    <row r="364" spans="80:84" x14ac:dyDescent="0.25">
      <c r="CB364"/>
      <c r="CC364"/>
      <c r="CD364"/>
      <c r="CE364"/>
      <c r="CF364"/>
    </row>
    <row r="365" spans="80:84" x14ac:dyDescent="0.25">
      <c r="CB365"/>
      <c r="CC365"/>
      <c r="CD365"/>
      <c r="CE365"/>
      <c r="CF365"/>
    </row>
    <row r="366" spans="80:84" x14ac:dyDescent="0.25">
      <c r="CB366"/>
      <c r="CC366"/>
      <c r="CD366"/>
      <c r="CE366"/>
      <c r="CF366"/>
    </row>
    <row r="367" spans="80:84" x14ac:dyDescent="0.25">
      <c r="CB367"/>
      <c r="CC367"/>
      <c r="CD367"/>
      <c r="CE367"/>
      <c r="CF367"/>
    </row>
    <row r="368" spans="80:84" x14ac:dyDescent="0.25">
      <c r="CB368"/>
      <c r="CC368"/>
      <c r="CD368"/>
      <c r="CE368"/>
      <c r="CF368"/>
    </row>
    <row r="369" spans="80:84" x14ac:dyDescent="0.25">
      <c r="CB369"/>
      <c r="CC369"/>
      <c r="CD369"/>
      <c r="CE369"/>
      <c r="CF369"/>
    </row>
    <row r="370" spans="80:84" x14ac:dyDescent="0.25">
      <c r="CB370"/>
      <c r="CC370"/>
      <c r="CD370"/>
      <c r="CE370"/>
      <c r="CF370"/>
    </row>
    <row r="371" spans="80:84" x14ac:dyDescent="0.25">
      <c r="CB371"/>
      <c r="CC371"/>
      <c r="CD371"/>
      <c r="CE371"/>
      <c r="CF371"/>
    </row>
    <row r="372" spans="80:84" x14ac:dyDescent="0.25">
      <c r="CB372"/>
      <c r="CC372"/>
      <c r="CD372"/>
      <c r="CE372"/>
      <c r="CF372"/>
    </row>
    <row r="373" spans="80:84" x14ac:dyDescent="0.25">
      <c r="CB373"/>
      <c r="CC373"/>
      <c r="CD373"/>
      <c r="CE373"/>
      <c r="CF373"/>
    </row>
    <row r="374" spans="80:84" x14ac:dyDescent="0.25">
      <c r="CB374"/>
      <c r="CC374"/>
      <c r="CD374"/>
      <c r="CE374"/>
      <c r="CF374"/>
    </row>
    <row r="375" spans="80:84" x14ac:dyDescent="0.25">
      <c r="CB375"/>
      <c r="CC375"/>
      <c r="CD375"/>
      <c r="CE375"/>
      <c r="CF375"/>
    </row>
    <row r="376" spans="80:84" x14ac:dyDescent="0.25">
      <c r="CB376"/>
      <c r="CC376"/>
      <c r="CD376"/>
      <c r="CE376"/>
      <c r="CF376"/>
    </row>
    <row r="377" spans="80:84" x14ac:dyDescent="0.25">
      <c r="CB377"/>
      <c r="CC377"/>
      <c r="CD377"/>
      <c r="CE377"/>
      <c r="CF377"/>
    </row>
    <row r="378" spans="80:84" x14ac:dyDescent="0.25">
      <c r="CB378"/>
      <c r="CC378"/>
      <c r="CD378"/>
      <c r="CE378"/>
      <c r="CF378"/>
    </row>
    <row r="379" spans="80:84" x14ac:dyDescent="0.25">
      <c r="CB379"/>
      <c r="CC379"/>
      <c r="CD379"/>
      <c r="CE379"/>
      <c r="CF379"/>
    </row>
    <row r="380" spans="80:84" x14ac:dyDescent="0.25">
      <c r="CB380"/>
      <c r="CC380"/>
      <c r="CD380"/>
      <c r="CE380"/>
      <c r="CF380"/>
    </row>
    <row r="381" spans="80:84" x14ac:dyDescent="0.25">
      <c r="CB381"/>
      <c r="CC381"/>
      <c r="CD381"/>
      <c r="CE381"/>
      <c r="CF381"/>
    </row>
    <row r="382" spans="80:84" x14ac:dyDescent="0.25">
      <c r="CB382"/>
      <c r="CC382"/>
      <c r="CD382"/>
      <c r="CE382"/>
      <c r="CF382"/>
    </row>
    <row r="383" spans="80:84" x14ac:dyDescent="0.25">
      <c r="CB383"/>
      <c r="CC383"/>
      <c r="CD383"/>
      <c r="CE383"/>
      <c r="CF383"/>
    </row>
    <row r="384" spans="80:84" x14ac:dyDescent="0.25">
      <c r="CB384"/>
      <c r="CC384"/>
      <c r="CD384"/>
      <c r="CE384"/>
      <c r="CF384"/>
    </row>
    <row r="385" spans="80:84" x14ac:dyDescent="0.25">
      <c r="CB385"/>
      <c r="CC385"/>
      <c r="CD385"/>
      <c r="CE385"/>
      <c r="CF385"/>
    </row>
    <row r="386" spans="80:84" x14ac:dyDescent="0.25">
      <c r="CB386"/>
      <c r="CC386"/>
      <c r="CD386"/>
      <c r="CE386"/>
      <c r="CF386"/>
    </row>
    <row r="387" spans="80:84" x14ac:dyDescent="0.25">
      <c r="CB387"/>
      <c r="CC387"/>
      <c r="CD387"/>
      <c r="CE387"/>
      <c r="CF387"/>
    </row>
    <row r="388" spans="80:84" x14ac:dyDescent="0.25">
      <c r="CB388"/>
      <c r="CC388"/>
      <c r="CD388"/>
      <c r="CE388"/>
      <c r="CF388"/>
    </row>
    <row r="389" spans="80:84" x14ac:dyDescent="0.25">
      <c r="CB389"/>
      <c r="CC389"/>
      <c r="CD389"/>
      <c r="CE389"/>
      <c r="CF389"/>
    </row>
    <row r="390" spans="80:84" x14ac:dyDescent="0.25">
      <c r="CB390"/>
      <c r="CC390"/>
      <c r="CD390"/>
      <c r="CE390"/>
      <c r="CF390"/>
    </row>
    <row r="391" spans="80:84" x14ac:dyDescent="0.25">
      <c r="CB391"/>
      <c r="CC391"/>
      <c r="CD391"/>
      <c r="CE391"/>
      <c r="CF391"/>
    </row>
    <row r="392" spans="80:84" x14ac:dyDescent="0.25">
      <c r="CB392"/>
      <c r="CC392"/>
      <c r="CD392"/>
      <c r="CE392"/>
      <c r="CF392"/>
    </row>
    <row r="393" spans="80:84" x14ac:dyDescent="0.25">
      <c r="CB393"/>
      <c r="CC393"/>
      <c r="CD393"/>
      <c r="CE393"/>
      <c r="CF393"/>
    </row>
    <row r="394" spans="80:84" x14ac:dyDescent="0.25">
      <c r="CB394"/>
      <c r="CC394"/>
      <c r="CD394"/>
      <c r="CE394"/>
      <c r="CF394"/>
    </row>
    <row r="395" spans="80:84" x14ac:dyDescent="0.25">
      <c r="CB395"/>
      <c r="CC395"/>
      <c r="CD395"/>
      <c r="CE395"/>
      <c r="CF395"/>
    </row>
    <row r="396" spans="80:84" x14ac:dyDescent="0.25">
      <c r="CB396"/>
      <c r="CC396"/>
      <c r="CD396"/>
      <c r="CE396"/>
      <c r="CF396"/>
    </row>
    <row r="397" spans="80:84" x14ac:dyDescent="0.25">
      <c r="CB397"/>
      <c r="CC397"/>
      <c r="CD397"/>
      <c r="CE397"/>
      <c r="CF397"/>
    </row>
    <row r="398" spans="80:84" x14ac:dyDescent="0.25">
      <c r="CB398"/>
      <c r="CC398"/>
      <c r="CD398"/>
      <c r="CE398"/>
      <c r="CF398"/>
    </row>
    <row r="399" spans="80:84" x14ac:dyDescent="0.25">
      <c r="CB399"/>
      <c r="CC399"/>
      <c r="CD399"/>
      <c r="CE399"/>
      <c r="CF399"/>
    </row>
    <row r="400" spans="80:84" x14ac:dyDescent="0.25">
      <c r="CB400"/>
      <c r="CC400"/>
      <c r="CD400"/>
      <c r="CE400"/>
      <c r="CF400"/>
    </row>
    <row r="401" spans="80:84" x14ac:dyDescent="0.25">
      <c r="CB401"/>
      <c r="CC401"/>
      <c r="CD401"/>
      <c r="CE401"/>
      <c r="CF401"/>
    </row>
    <row r="402" spans="80:84" x14ac:dyDescent="0.25">
      <c r="CB402"/>
      <c r="CC402"/>
      <c r="CD402"/>
      <c r="CE402"/>
      <c r="CF402"/>
    </row>
    <row r="403" spans="80:84" x14ac:dyDescent="0.25">
      <c r="CB403"/>
      <c r="CC403"/>
      <c r="CD403"/>
      <c r="CE403"/>
      <c r="CF403"/>
    </row>
    <row r="404" spans="80:84" x14ac:dyDescent="0.25">
      <c r="CB404"/>
      <c r="CC404"/>
      <c r="CD404"/>
      <c r="CE404"/>
      <c r="CF404"/>
    </row>
    <row r="405" spans="80:84" x14ac:dyDescent="0.25">
      <c r="CB405"/>
      <c r="CC405"/>
      <c r="CD405"/>
      <c r="CE405"/>
      <c r="CF405"/>
    </row>
    <row r="406" spans="80:84" x14ac:dyDescent="0.25">
      <c r="CB406"/>
      <c r="CC406"/>
      <c r="CD406"/>
      <c r="CE406"/>
      <c r="CF406"/>
    </row>
    <row r="407" spans="80:84" x14ac:dyDescent="0.25">
      <c r="CB407"/>
      <c r="CC407"/>
      <c r="CD407"/>
      <c r="CE407"/>
      <c r="CF407"/>
    </row>
    <row r="408" spans="80:84" x14ac:dyDescent="0.25">
      <c r="CB408"/>
      <c r="CC408"/>
      <c r="CD408"/>
      <c r="CE408"/>
      <c r="CF408"/>
    </row>
    <row r="409" spans="80:84" x14ac:dyDescent="0.25">
      <c r="CB409"/>
      <c r="CC409"/>
      <c r="CD409"/>
      <c r="CE409"/>
      <c r="CF409"/>
    </row>
    <row r="410" spans="80:84" x14ac:dyDescent="0.25">
      <c r="CB410"/>
      <c r="CC410"/>
      <c r="CD410"/>
      <c r="CE410"/>
      <c r="CF410"/>
    </row>
    <row r="411" spans="80:84" x14ac:dyDescent="0.25">
      <c r="CB411"/>
      <c r="CC411"/>
      <c r="CD411"/>
      <c r="CE411"/>
      <c r="CF411"/>
    </row>
    <row r="412" spans="80:84" x14ac:dyDescent="0.25">
      <c r="CB412"/>
      <c r="CC412"/>
      <c r="CD412"/>
      <c r="CE412"/>
      <c r="CF412"/>
    </row>
    <row r="413" spans="80:84" x14ac:dyDescent="0.25">
      <c r="CB413"/>
      <c r="CC413"/>
      <c r="CD413"/>
      <c r="CE413"/>
      <c r="CF413"/>
    </row>
    <row r="414" spans="80:84" x14ac:dyDescent="0.25">
      <c r="CB414"/>
      <c r="CC414"/>
      <c r="CD414"/>
      <c r="CE414"/>
      <c r="CF414"/>
    </row>
    <row r="415" spans="80:84" x14ac:dyDescent="0.25">
      <c r="CB415"/>
      <c r="CC415"/>
      <c r="CD415"/>
      <c r="CE415"/>
      <c r="CF415"/>
    </row>
    <row r="416" spans="80:84" x14ac:dyDescent="0.25">
      <c r="CB416"/>
      <c r="CC416"/>
      <c r="CD416"/>
      <c r="CE416"/>
      <c r="CF416"/>
    </row>
    <row r="417" spans="80:84" x14ac:dyDescent="0.25">
      <c r="CB417"/>
      <c r="CC417"/>
      <c r="CD417"/>
      <c r="CE417"/>
      <c r="CF417"/>
    </row>
    <row r="418" spans="80:84" x14ac:dyDescent="0.25">
      <c r="CB418"/>
      <c r="CC418"/>
      <c r="CD418"/>
      <c r="CE418"/>
      <c r="CF418"/>
    </row>
    <row r="419" spans="80:84" x14ac:dyDescent="0.25">
      <c r="CB419"/>
      <c r="CC419"/>
      <c r="CD419"/>
      <c r="CE419"/>
      <c r="CF419"/>
    </row>
    <row r="420" spans="80:84" x14ac:dyDescent="0.25">
      <c r="CB420"/>
      <c r="CC420"/>
      <c r="CD420"/>
      <c r="CE420"/>
      <c r="CF420"/>
    </row>
    <row r="421" spans="80:84" x14ac:dyDescent="0.25">
      <c r="CB421"/>
      <c r="CC421"/>
      <c r="CD421"/>
      <c r="CE421"/>
      <c r="CF421"/>
    </row>
    <row r="422" spans="80:84" x14ac:dyDescent="0.25">
      <c r="CB422"/>
      <c r="CC422"/>
      <c r="CD422"/>
      <c r="CE422"/>
      <c r="CF422"/>
    </row>
    <row r="423" spans="80:84" x14ac:dyDescent="0.25">
      <c r="CB423"/>
      <c r="CC423"/>
      <c r="CD423"/>
      <c r="CE423"/>
      <c r="CF423"/>
    </row>
    <row r="424" spans="80:84" x14ac:dyDescent="0.25">
      <c r="CB424"/>
      <c r="CC424"/>
      <c r="CD424"/>
      <c r="CE424"/>
      <c r="CF424"/>
    </row>
    <row r="425" spans="80:84" x14ac:dyDescent="0.25">
      <c r="CB425"/>
      <c r="CC425"/>
      <c r="CD425"/>
      <c r="CE425"/>
      <c r="CF425"/>
    </row>
    <row r="426" spans="80:84" x14ac:dyDescent="0.25">
      <c r="CB426"/>
      <c r="CC426"/>
      <c r="CD426"/>
      <c r="CE426"/>
      <c r="CF426"/>
    </row>
  </sheetData>
  <mergeCells count="2">
    <mergeCell ref="CA2:CJ2"/>
    <mergeCell ref="CJ3:CJ8"/>
  </mergeCells>
  <pageMargins left="0.7" right="0.7" top="0.75" bottom="0.75" header="0.3" footer="0.3"/>
  <pageSetup paperSize="9" orientation="portrait" r:id="rId22"/>
  <tableParts count="1">
    <tablePart r:id="rId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Y465"/>
  <sheetViews>
    <sheetView topLeftCell="K1" zoomScale="85" zoomScaleNormal="85" workbookViewId="0">
      <pane ySplit="1" topLeftCell="A238" activePane="bottomLeft" state="frozen"/>
      <selection pane="bottomLeft" activeCell="A6" sqref="A6"/>
    </sheetView>
  </sheetViews>
  <sheetFormatPr baseColWidth="10" defaultRowHeight="15" x14ac:dyDescent="0.25"/>
  <cols>
    <col min="1" max="1" width="7.85546875" style="1" bestFit="1" customWidth="1"/>
    <col min="2" max="2" width="9.5703125" style="1" bestFit="1" customWidth="1"/>
    <col min="3" max="3" width="12.5703125" style="1" bestFit="1" customWidth="1"/>
    <col min="4" max="4" width="9.5703125" style="1" bestFit="1" customWidth="1"/>
    <col min="5" max="5" width="38.140625" style="1" bestFit="1" customWidth="1"/>
    <col min="6" max="6" width="8.5703125" style="1" bestFit="1" customWidth="1"/>
    <col min="7" max="7" width="17.7109375" style="1" bestFit="1" customWidth="1"/>
    <col min="8" max="8" width="8.85546875" style="1" customWidth="1"/>
    <col min="9" max="9" width="13.28515625" style="1" customWidth="1"/>
    <col min="10" max="10" width="9.5703125" style="1" customWidth="1"/>
    <col min="11" max="11" width="12.85546875" style="1" bestFit="1" customWidth="1"/>
    <col min="12" max="12" width="13.85546875" style="1" customWidth="1"/>
    <col min="13" max="13" width="17.140625" style="1" customWidth="1"/>
    <col min="14" max="14" width="26.85546875" style="1" customWidth="1"/>
    <col min="15" max="15" width="52.28515625" style="1" customWidth="1"/>
    <col min="16" max="16" width="12.28515625" style="1" bestFit="1" customWidth="1"/>
    <col min="17" max="17" width="8" bestFit="1" customWidth="1"/>
    <col min="18" max="18" width="14.42578125" style="1" bestFit="1" customWidth="1"/>
    <col min="19" max="19" width="17.5703125" style="1" bestFit="1" customWidth="1"/>
    <col min="20" max="20" width="13.85546875" style="1" bestFit="1" customWidth="1"/>
    <col min="21" max="21" width="19.42578125" style="1" bestFit="1" customWidth="1"/>
    <col min="22" max="22" width="24.28515625" style="1" bestFit="1" customWidth="1"/>
    <col min="23" max="23" width="8.85546875" style="1" bestFit="1" customWidth="1"/>
    <col min="24" max="24" width="11.42578125" style="1" bestFit="1" customWidth="1"/>
    <col min="25" max="25" width="12.140625" style="1" bestFit="1" customWidth="1"/>
    <col min="26" max="26" width="12.28515625" style="1" bestFit="1" customWidth="1"/>
    <col min="27" max="16384" width="11.42578125" style="1"/>
  </cols>
  <sheetData>
    <row r="1" spans="1:25" s="6" customFormat="1" ht="24" x14ac:dyDescent="0.25">
      <c r="A1" s="3" t="s">
        <v>0</v>
      </c>
      <c r="B1" s="4" t="s">
        <v>2</v>
      </c>
      <c r="C1" s="4" t="s">
        <v>1</v>
      </c>
      <c r="D1" s="4" t="s">
        <v>136</v>
      </c>
      <c r="E1" s="4" t="s">
        <v>3</v>
      </c>
      <c r="F1" s="4" t="s">
        <v>4</v>
      </c>
      <c r="G1" s="4" t="s">
        <v>5</v>
      </c>
      <c r="H1" s="4" t="s">
        <v>6</v>
      </c>
      <c r="I1" s="74" t="s">
        <v>13138</v>
      </c>
      <c r="J1" s="7" t="s">
        <v>8</v>
      </c>
      <c r="K1" s="8" t="s">
        <v>7</v>
      </c>
      <c r="L1" s="8" t="s">
        <v>137</v>
      </c>
      <c r="M1" s="8" t="s">
        <v>138</v>
      </c>
      <c r="N1" s="8" t="s">
        <v>10</v>
      </c>
      <c r="O1" s="8" t="s">
        <v>11</v>
      </c>
      <c r="P1" s="8" t="s">
        <v>9</v>
      </c>
      <c r="Q1" s="8" t="s">
        <v>12944</v>
      </c>
      <c r="R1" s="4" t="s">
        <v>12945</v>
      </c>
      <c r="S1" s="4" t="s">
        <v>12946</v>
      </c>
      <c r="T1" s="4" t="s">
        <v>12959</v>
      </c>
      <c r="U1" s="5" t="s">
        <v>12947</v>
      </c>
      <c r="V1" s="5" t="s">
        <v>13085</v>
      </c>
      <c r="W1" s="5" t="s">
        <v>12948</v>
      </c>
      <c r="X1" s="5" t="s">
        <v>13</v>
      </c>
      <c r="Y1" s="5" t="s">
        <v>13110</v>
      </c>
    </row>
    <row r="2" spans="1:25" ht="12" customHeight="1" x14ac:dyDescent="0.25">
      <c r="A2" s="46">
        <v>45652</v>
      </c>
      <c r="B2" s="2" t="s">
        <v>15</v>
      </c>
      <c r="C2" s="2" t="s">
        <v>15</v>
      </c>
      <c r="D2" s="2">
        <v>127798</v>
      </c>
      <c r="E2" s="2" t="s">
        <v>1104</v>
      </c>
      <c r="F2" s="2">
        <v>12</v>
      </c>
      <c r="G2" s="2" t="s">
        <v>12990</v>
      </c>
      <c r="H2" s="2" t="s">
        <v>17</v>
      </c>
      <c r="I2" s="75" t="s">
        <v>15</v>
      </c>
      <c r="J2" s="9" t="s">
        <v>15</v>
      </c>
      <c r="K2" s="10" t="s">
        <v>15</v>
      </c>
      <c r="L2" s="10" t="s">
        <v>12928</v>
      </c>
      <c r="M2" s="10" t="s">
        <v>15</v>
      </c>
      <c r="N2" s="10" t="s">
        <v>18</v>
      </c>
      <c r="O2" s="10" t="s">
        <v>13020</v>
      </c>
      <c r="P2" s="10" t="s">
        <v>28</v>
      </c>
      <c r="Q2" s="2" t="s">
        <v>29</v>
      </c>
      <c r="R2" s="27" t="str">
        <f>VLOOKUP(Tabla1[[#This Row],[DETALLE ]],DATOS!L:M,2,0)</f>
        <v>PICKING</v>
      </c>
      <c r="S2" s="41" t="str">
        <f>IFERROR(IFERROR(VLOOKUP(Tabla1[[#This Row],[USUARIO PICKING ERROR]],DATOS!H:J,3,0),VLOOKUP(Tabla1[[#This Row],[USUARIO FILTRO ERROR]],DATOS!O:P,2,0)),"-")</f>
        <v>DANIEL PEREZ</v>
      </c>
      <c r="T2" s="27" t="str">
        <f>UPPER(VLOOKUP(Tabla1[[#This Row],[CODIGO]],DATOS!A:E,5,0))</f>
        <v>FLUJO CONTINUO</v>
      </c>
      <c r="U2" s="31">
        <f>(Tabla1[[#This Row],[CANTIDAD]])*(VLOOKUP(Tabla1[[#This Row],[CODIGO]],DATOS!A:D,4,0))</f>
        <v>124.32</v>
      </c>
      <c r="V2" s="31" t="str">
        <f>VLOOKUP(Tabla1[[#This Row],[CODIGO]],DATOS!A:C,3,0)</f>
        <v>ABARROTES BEBIBLES</v>
      </c>
      <c r="W2" s="31" t="s">
        <v>13322</v>
      </c>
      <c r="X2" s="28" t="s">
        <v>13086</v>
      </c>
      <c r="Y2" s="28" t="s">
        <v>13113</v>
      </c>
    </row>
    <row r="3" spans="1:25" ht="12" customHeight="1" x14ac:dyDescent="0.25">
      <c r="A3" s="46">
        <v>45652</v>
      </c>
      <c r="B3" s="2" t="s">
        <v>15</v>
      </c>
      <c r="C3" s="2" t="s">
        <v>15</v>
      </c>
      <c r="D3" s="2">
        <v>523657</v>
      </c>
      <c r="E3" s="2" t="s">
        <v>2585</v>
      </c>
      <c r="F3" s="2">
        <v>3</v>
      </c>
      <c r="G3" s="2" t="s">
        <v>12990</v>
      </c>
      <c r="H3" s="2" t="s">
        <v>17</v>
      </c>
      <c r="I3" s="75" t="s">
        <v>15</v>
      </c>
      <c r="J3" s="9" t="s">
        <v>15</v>
      </c>
      <c r="K3" s="10" t="s">
        <v>15</v>
      </c>
      <c r="L3" s="10" t="s">
        <v>12925</v>
      </c>
      <c r="M3" s="10" t="s">
        <v>15</v>
      </c>
      <c r="N3" s="10" t="s">
        <v>18</v>
      </c>
      <c r="O3" s="10" t="s">
        <v>13020</v>
      </c>
      <c r="P3" s="10" t="s">
        <v>28</v>
      </c>
      <c r="Q3" s="2" t="s">
        <v>29</v>
      </c>
      <c r="R3" s="27" t="str">
        <f>VLOOKUP(Tabla1[[#This Row],[DETALLE ]],DATOS!L:M,2,0)</f>
        <v>PICKING</v>
      </c>
      <c r="S3" s="41" t="str">
        <f>IFERROR(IFERROR(VLOOKUP(Tabla1[[#This Row],[USUARIO PICKING ERROR]],DATOS!H:J,3,0),VLOOKUP(Tabla1[[#This Row],[USUARIO FILTRO ERROR]],DATOS!O:P,2,0)),"-")</f>
        <v>BENJAMIN LIZARBE</v>
      </c>
      <c r="T3" s="27" t="str">
        <f>UPPER(VLOOKUP(Tabla1[[#This Row],[CODIGO]],DATOS!A:E,5,0))</f>
        <v>FLUJO CONTINUO</v>
      </c>
      <c r="U3" s="31">
        <f>(Tabla1[[#This Row],[CANTIDAD]])*(VLOOKUP(Tabla1[[#This Row],[CODIGO]],DATOS!A:D,4,0))</f>
        <v>281.21999999999997</v>
      </c>
      <c r="V3" s="31" t="str">
        <f>VLOOKUP(Tabla1[[#This Row],[CODIGO]],DATOS!A:C,3,0)</f>
        <v>ABARROTES BEBIBLES</v>
      </c>
      <c r="W3" s="31" t="s">
        <v>13322</v>
      </c>
      <c r="X3" s="28" t="s">
        <v>13086</v>
      </c>
      <c r="Y3" s="28" t="s">
        <v>13113</v>
      </c>
    </row>
    <row r="4" spans="1:25" ht="12" customHeight="1" x14ac:dyDescent="0.25">
      <c r="A4" s="46">
        <v>45652</v>
      </c>
      <c r="B4" s="2" t="s">
        <v>15</v>
      </c>
      <c r="C4" s="2" t="s">
        <v>15</v>
      </c>
      <c r="D4" s="2">
        <v>482702001</v>
      </c>
      <c r="E4" s="2" t="s">
        <v>9729</v>
      </c>
      <c r="F4" s="2">
        <v>1</v>
      </c>
      <c r="G4" s="2" t="s">
        <v>12990</v>
      </c>
      <c r="H4" s="2" t="s">
        <v>17</v>
      </c>
      <c r="I4" s="75" t="s">
        <v>15</v>
      </c>
      <c r="J4" s="9" t="s">
        <v>15</v>
      </c>
      <c r="K4" s="10" t="s">
        <v>15</v>
      </c>
      <c r="L4" s="10" t="s">
        <v>12927</v>
      </c>
      <c r="M4" s="10" t="s">
        <v>15</v>
      </c>
      <c r="N4" s="10" t="s">
        <v>18</v>
      </c>
      <c r="O4" s="10" t="s">
        <v>13020</v>
      </c>
      <c r="P4" s="10" t="s">
        <v>28</v>
      </c>
      <c r="Q4" s="2" t="s">
        <v>39</v>
      </c>
      <c r="R4" s="27" t="str">
        <f>VLOOKUP(Tabla1[[#This Row],[DETALLE ]],DATOS!L:M,2,0)</f>
        <v>PICKING</v>
      </c>
      <c r="S4" s="41" t="str">
        <f>IFERROR(IFERROR(VLOOKUP(Tabla1[[#This Row],[USUARIO PICKING ERROR]],DATOS!H:J,3,0),VLOOKUP(Tabla1[[#This Row],[USUARIO FILTRO ERROR]],DATOS!O:P,2,0)),"-")</f>
        <v>DAVID PIÑAN</v>
      </c>
      <c r="T4" s="27" t="str">
        <f>UPPER(VLOOKUP(Tabla1[[#This Row],[CODIGO]],DATOS!A:E,5,0))</f>
        <v>FLUJO CONTINUO</v>
      </c>
      <c r="U4" s="31">
        <f>(Tabla1[[#This Row],[CANTIDAD]])*(VLOOKUP(Tabla1[[#This Row],[CODIGO]],DATOS!A:D,4,0))</f>
        <v>76.42</v>
      </c>
      <c r="V4" s="31" t="str">
        <f>VLOOKUP(Tabla1[[#This Row],[CODIGO]],DATOS!A:C,3,0)</f>
        <v>ABARROTES BEBIBLES</v>
      </c>
      <c r="W4" s="31" t="s">
        <v>13322</v>
      </c>
      <c r="X4" s="28" t="s">
        <v>13086</v>
      </c>
      <c r="Y4" s="28" t="s">
        <v>13113</v>
      </c>
    </row>
    <row r="5" spans="1:25" ht="12" customHeight="1" x14ac:dyDescent="0.25">
      <c r="A5" s="46">
        <v>45656</v>
      </c>
      <c r="B5" s="2" t="s">
        <v>130</v>
      </c>
      <c r="C5" s="2">
        <v>7620860406</v>
      </c>
      <c r="D5" s="2">
        <v>475300</v>
      </c>
      <c r="E5" s="2" t="s">
        <v>179</v>
      </c>
      <c r="F5" s="2">
        <v>1</v>
      </c>
      <c r="G5" s="2" t="s">
        <v>12990</v>
      </c>
      <c r="H5" s="2" t="s">
        <v>17</v>
      </c>
      <c r="I5" s="75" t="s">
        <v>15</v>
      </c>
      <c r="J5" s="9" t="s">
        <v>12970</v>
      </c>
      <c r="K5" s="10">
        <v>7620860204</v>
      </c>
      <c r="L5" s="10" t="s">
        <v>57</v>
      </c>
      <c r="M5" s="10" t="s">
        <v>15</v>
      </c>
      <c r="N5" s="10" t="s">
        <v>18</v>
      </c>
      <c r="O5" s="10" t="s">
        <v>13020</v>
      </c>
      <c r="P5" s="10" t="s">
        <v>28</v>
      </c>
      <c r="Q5" s="2" t="s">
        <v>39</v>
      </c>
      <c r="R5" s="27" t="str">
        <f>VLOOKUP(Tabla1[[#This Row],[DETALLE ]],DATOS!L:M,2,0)</f>
        <v>PICKING</v>
      </c>
      <c r="S5" s="41" t="str">
        <f>IFERROR(IFERROR(VLOOKUP(Tabla1[[#This Row],[USUARIO PICKING ERROR]],DATOS!H:J,3,0),VLOOKUP(Tabla1[[#This Row],[USUARIO FILTRO ERROR]],DATOS!O:P,2,0)),"-")</f>
        <v>DAVID PIÑAN</v>
      </c>
      <c r="T5" s="27" t="str">
        <f>UPPER(VLOOKUP(Tabla1[[#This Row],[CODIGO]],DATOS!A:E,5,0))</f>
        <v>FLUJO CONTINUO</v>
      </c>
      <c r="U5" s="31">
        <f>(Tabla1[[#This Row],[CANTIDAD]])*(VLOOKUP(Tabla1[[#This Row],[CODIGO]],DATOS!A:D,4,0))</f>
        <v>82.38</v>
      </c>
      <c r="V5" s="31" t="str">
        <f>VLOOKUP(Tabla1[[#This Row],[CODIGO]],DATOS!A:C,3,0)</f>
        <v>ABARROTES BEBIBLES</v>
      </c>
      <c r="W5" s="31" t="s">
        <v>13322</v>
      </c>
      <c r="X5" s="28" t="s">
        <v>13086</v>
      </c>
      <c r="Y5" s="28" t="s">
        <v>13113</v>
      </c>
    </row>
    <row r="6" spans="1:25" ht="12" customHeight="1" x14ac:dyDescent="0.25">
      <c r="A6" s="46">
        <v>45656</v>
      </c>
      <c r="B6" s="2" t="s">
        <v>106</v>
      </c>
      <c r="C6" s="2">
        <v>7620854821</v>
      </c>
      <c r="D6" s="2">
        <v>12821</v>
      </c>
      <c r="E6" s="2" t="s">
        <v>605</v>
      </c>
      <c r="F6" s="2">
        <v>1</v>
      </c>
      <c r="G6" s="2" t="s">
        <v>12990</v>
      </c>
      <c r="H6" s="2" t="s">
        <v>17</v>
      </c>
      <c r="I6" s="75" t="s">
        <v>15</v>
      </c>
      <c r="J6" s="9" t="s">
        <v>106</v>
      </c>
      <c r="K6" s="10">
        <v>7620854821</v>
      </c>
      <c r="L6" s="10" t="s">
        <v>15</v>
      </c>
      <c r="M6" s="10" t="s">
        <v>101</v>
      </c>
      <c r="N6" s="10" t="s">
        <v>12957</v>
      </c>
      <c r="O6" s="10" t="s">
        <v>13100</v>
      </c>
      <c r="P6" s="10" t="s">
        <v>28</v>
      </c>
      <c r="Q6" s="2" t="s">
        <v>39</v>
      </c>
      <c r="R6" s="27" t="str">
        <f>VLOOKUP(Tabla1[[#This Row],[DETALLE ]],DATOS!L:M,2,0)</f>
        <v>FILTRO</v>
      </c>
      <c r="S6" s="41" t="str">
        <f>IFERROR(IFERROR(VLOOKUP(Tabla1[[#This Row],[USUARIO PICKING ERROR]],DATOS!H:J,3,0),VLOOKUP(Tabla1[[#This Row],[USUARIO FILTRO ERROR]],DATOS!O:P,2,0)),"-")</f>
        <v>DAVID PIÑAN</v>
      </c>
      <c r="T6" s="27" t="str">
        <f>UPPER(VLOOKUP(Tabla1[[#This Row],[CODIGO]],DATOS!A:E,5,0))</f>
        <v>FLUJO CONTINUO</v>
      </c>
      <c r="U6" s="31">
        <f>(Tabla1[[#This Row],[CANTIDAD]])*(VLOOKUP(Tabla1[[#This Row],[CODIGO]],DATOS!A:D,4,0))</f>
        <v>48.57</v>
      </c>
      <c r="V6" s="31" t="str">
        <f>VLOOKUP(Tabla1[[#This Row],[CODIGO]],DATOS!A:C,3,0)</f>
        <v>ABARROTES BEBIBLES</v>
      </c>
      <c r="W6" s="31" t="s">
        <v>13322</v>
      </c>
      <c r="X6" s="28" t="s">
        <v>13086</v>
      </c>
      <c r="Y6" s="28" t="s">
        <v>13113</v>
      </c>
    </row>
    <row r="7" spans="1:25" ht="12" customHeight="1" x14ac:dyDescent="0.25">
      <c r="A7" s="46">
        <v>45656</v>
      </c>
      <c r="B7" s="2" t="s">
        <v>106</v>
      </c>
      <c r="C7" s="2">
        <v>7620854821</v>
      </c>
      <c r="D7" s="2">
        <v>115457</v>
      </c>
      <c r="E7" s="2" t="s">
        <v>1072</v>
      </c>
      <c r="F7" s="2">
        <v>5</v>
      </c>
      <c r="G7" s="2" t="s">
        <v>12990</v>
      </c>
      <c r="H7" s="2" t="s">
        <v>17</v>
      </c>
      <c r="I7" s="75" t="s">
        <v>15</v>
      </c>
      <c r="J7" s="9" t="s">
        <v>106</v>
      </c>
      <c r="K7" s="10">
        <v>7620854821</v>
      </c>
      <c r="L7" s="10" t="s">
        <v>15</v>
      </c>
      <c r="M7" s="10" t="s">
        <v>101</v>
      </c>
      <c r="N7" s="10" t="s">
        <v>12957</v>
      </c>
      <c r="O7" s="10" t="s">
        <v>13100</v>
      </c>
      <c r="P7" s="10" t="s">
        <v>28</v>
      </c>
      <c r="Q7" s="2" t="s">
        <v>39</v>
      </c>
      <c r="R7" s="27" t="str">
        <f>VLOOKUP(Tabla1[[#This Row],[DETALLE ]],DATOS!L:M,2,0)</f>
        <v>FILTRO</v>
      </c>
      <c r="S7" s="41" t="str">
        <f>IFERROR(IFERROR(VLOOKUP(Tabla1[[#This Row],[USUARIO PICKING ERROR]],DATOS!H:J,3,0),VLOOKUP(Tabla1[[#This Row],[USUARIO FILTRO ERROR]],DATOS!O:P,2,0)),"-")</f>
        <v>DAVID PIÑAN</v>
      </c>
      <c r="T7" s="27" t="str">
        <f>UPPER(VLOOKUP(Tabla1[[#This Row],[CODIGO]],DATOS!A:E,5,0))</f>
        <v>FLUJO CONTINUO</v>
      </c>
      <c r="U7" s="31">
        <f>(Tabla1[[#This Row],[CANTIDAD]])*(VLOOKUP(Tabla1[[#This Row],[CODIGO]],DATOS!A:D,4,0))</f>
        <v>329.95</v>
      </c>
      <c r="V7" s="31" t="str">
        <f>VLOOKUP(Tabla1[[#This Row],[CODIGO]],DATOS!A:C,3,0)</f>
        <v>ABARROTES BEBIBLES</v>
      </c>
      <c r="W7" s="31" t="s">
        <v>13322</v>
      </c>
      <c r="X7" s="28" t="s">
        <v>13086</v>
      </c>
      <c r="Y7" s="28" t="s">
        <v>13113</v>
      </c>
    </row>
    <row r="8" spans="1:25" ht="12" customHeight="1" x14ac:dyDescent="0.25">
      <c r="A8" s="46">
        <v>45656</v>
      </c>
      <c r="B8" s="2" t="s">
        <v>106</v>
      </c>
      <c r="C8" s="2">
        <v>7620854821</v>
      </c>
      <c r="D8" s="2">
        <v>700017</v>
      </c>
      <c r="E8" s="2" t="s">
        <v>3153</v>
      </c>
      <c r="F8" s="2">
        <v>6</v>
      </c>
      <c r="G8" s="2" t="s">
        <v>12990</v>
      </c>
      <c r="H8" s="2" t="s">
        <v>17</v>
      </c>
      <c r="I8" s="75" t="s">
        <v>15</v>
      </c>
      <c r="J8" s="9" t="s">
        <v>106</v>
      </c>
      <c r="K8" s="10">
        <v>7620854821</v>
      </c>
      <c r="L8" s="10" t="s">
        <v>15</v>
      </c>
      <c r="M8" s="10" t="s">
        <v>101</v>
      </c>
      <c r="N8" s="10" t="s">
        <v>12957</v>
      </c>
      <c r="O8" s="10" t="s">
        <v>13100</v>
      </c>
      <c r="P8" s="10" t="s">
        <v>28</v>
      </c>
      <c r="Q8" s="2" t="s">
        <v>39</v>
      </c>
      <c r="R8" s="27" t="str">
        <f>VLOOKUP(Tabla1[[#This Row],[DETALLE ]],DATOS!L:M,2,0)</f>
        <v>FILTRO</v>
      </c>
      <c r="S8" s="41" t="str">
        <f>IFERROR(IFERROR(VLOOKUP(Tabla1[[#This Row],[USUARIO PICKING ERROR]],DATOS!H:J,3,0),VLOOKUP(Tabla1[[#This Row],[USUARIO FILTRO ERROR]],DATOS!O:P,2,0)),"-")</f>
        <v>DAVID PIÑAN</v>
      </c>
      <c r="T8" s="27" t="str">
        <f>UPPER(VLOOKUP(Tabla1[[#This Row],[CODIGO]],DATOS!A:E,5,0))</f>
        <v>FLUJO CONTINUO</v>
      </c>
      <c r="U8" s="31">
        <f>(Tabla1[[#This Row],[CANTIDAD]])*(VLOOKUP(Tabla1[[#This Row],[CODIGO]],DATOS!A:D,4,0))</f>
        <v>249.71999999999997</v>
      </c>
      <c r="V8" s="31" t="str">
        <f>VLOOKUP(Tabla1[[#This Row],[CODIGO]],DATOS!A:C,3,0)</f>
        <v>ABARROTES BEBIBLES</v>
      </c>
      <c r="W8" s="31" t="s">
        <v>13322</v>
      </c>
      <c r="X8" s="28" t="s">
        <v>13086</v>
      </c>
      <c r="Y8" s="28" t="s">
        <v>13113</v>
      </c>
    </row>
    <row r="9" spans="1:25" ht="12" customHeight="1" x14ac:dyDescent="0.25">
      <c r="A9" s="46">
        <v>45656</v>
      </c>
      <c r="B9" s="2" t="s">
        <v>12970</v>
      </c>
      <c r="C9" s="2">
        <v>7620860203</v>
      </c>
      <c r="D9" s="2">
        <v>1009410</v>
      </c>
      <c r="E9" s="2" t="s">
        <v>8643</v>
      </c>
      <c r="F9" s="2">
        <v>1</v>
      </c>
      <c r="G9" s="2" t="s">
        <v>12990</v>
      </c>
      <c r="H9" s="2" t="s">
        <v>25</v>
      </c>
      <c r="I9" s="75" t="s">
        <v>15</v>
      </c>
      <c r="J9" s="9" t="s">
        <v>15</v>
      </c>
      <c r="K9" s="10" t="s">
        <v>15</v>
      </c>
      <c r="L9" s="10" t="s">
        <v>12892</v>
      </c>
      <c r="M9" s="10" t="s">
        <v>15</v>
      </c>
      <c r="N9" s="10" t="s">
        <v>18</v>
      </c>
      <c r="O9" s="10" t="s">
        <v>13093</v>
      </c>
      <c r="P9" s="10" t="s">
        <v>28</v>
      </c>
      <c r="Q9" s="2" t="s">
        <v>29</v>
      </c>
      <c r="R9" s="27" t="str">
        <f>VLOOKUP(Tabla1[[#This Row],[DETALLE ]],DATOS!L:M,2,0)</f>
        <v>PICKING</v>
      </c>
      <c r="S9" s="41" t="str">
        <f>IFERROR(IFERROR(VLOOKUP(Tabla1[[#This Row],[USUARIO PICKING ERROR]],DATOS!H:J,3,0),VLOOKUP(Tabla1[[#This Row],[USUARIO FILTRO ERROR]],DATOS!O:P,2,0)),"-")</f>
        <v>BENJAMIN LIZARBE</v>
      </c>
      <c r="T9" s="27" t="str">
        <f>UPPER(VLOOKUP(Tabla1[[#This Row],[CODIGO]],DATOS!A:E,5,0))</f>
        <v>FLUJO CONTINUO</v>
      </c>
      <c r="U9" s="31">
        <f>(Tabla1[[#This Row],[CANTIDAD]])*(VLOOKUP(Tabla1[[#This Row],[CODIGO]],DATOS!A:D,4,0))</f>
        <v>28.81</v>
      </c>
      <c r="V9" s="31" t="str">
        <f>VLOOKUP(Tabla1[[#This Row],[CODIGO]],DATOS!A:C,3,0)</f>
        <v>ABARROTES BEBIBLES</v>
      </c>
      <c r="W9" s="31" t="s">
        <v>13322</v>
      </c>
      <c r="X9" s="28" t="s">
        <v>13086</v>
      </c>
      <c r="Y9" s="28" t="s">
        <v>13113</v>
      </c>
    </row>
    <row r="10" spans="1:25" ht="12" customHeight="1" x14ac:dyDescent="0.25">
      <c r="A10" s="46">
        <v>45657</v>
      </c>
      <c r="B10" s="2" t="s">
        <v>15</v>
      </c>
      <c r="C10" s="2">
        <v>7620859096</v>
      </c>
      <c r="D10" s="2">
        <v>337637</v>
      </c>
      <c r="E10" s="2" t="s">
        <v>1627</v>
      </c>
      <c r="F10" s="2">
        <v>2</v>
      </c>
      <c r="G10" s="2" t="s">
        <v>101</v>
      </c>
      <c r="H10" s="2" t="s">
        <v>17</v>
      </c>
      <c r="I10" s="75" t="s">
        <v>12940</v>
      </c>
      <c r="J10" s="9" t="s">
        <v>12974</v>
      </c>
      <c r="K10" s="10">
        <v>7620860524</v>
      </c>
      <c r="L10" s="10" t="s">
        <v>12931</v>
      </c>
      <c r="M10" s="10" t="s">
        <v>15</v>
      </c>
      <c r="N10" s="10" t="s">
        <v>18</v>
      </c>
      <c r="O10" s="10" t="s">
        <v>13020</v>
      </c>
      <c r="P10" s="10" t="s">
        <v>28</v>
      </c>
      <c r="Q10" s="2" t="s">
        <v>29</v>
      </c>
      <c r="R10" s="27" t="str">
        <f>VLOOKUP(Tabla1[[#This Row],[DETALLE ]],DATOS!L:M,2,0)</f>
        <v>PICKING</v>
      </c>
      <c r="S10" s="41" t="str">
        <f>IFERROR(IFERROR(VLOOKUP(Tabla1[[#This Row],[USUARIO PICKING ERROR]],DATOS!H:J,3,0),VLOOKUP(Tabla1[[#This Row],[USUARIO FILTRO ERROR]],DATOS!O:P,2,0)),"-")</f>
        <v>BENJAMIN LIZARBE</v>
      </c>
      <c r="T10" s="27" t="str">
        <f>UPPER(VLOOKUP(Tabla1[[#This Row],[CODIGO]],DATOS!A:E,5,0))</f>
        <v>FLUJO CONTINUO</v>
      </c>
      <c r="U10" s="31">
        <f>(Tabla1[[#This Row],[CANTIDAD]])*(VLOOKUP(Tabla1[[#This Row],[CODIGO]],DATOS!A:D,4,0))</f>
        <v>159.82</v>
      </c>
      <c r="V10" s="31" t="str">
        <f>VLOOKUP(Tabla1[[#This Row],[CODIGO]],DATOS!A:C,3,0)</f>
        <v>ABARROTES BEBIBLES</v>
      </c>
      <c r="W10" s="31" t="s">
        <v>13322</v>
      </c>
      <c r="X10" s="28" t="s">
        <v>13086</v>
      </c>
      <c r="Y10" s="28" t="s">
        <v>13113</v>
      </c>
    </row>
    <row r="11" spans="1:25" ht="12" customHeight="1" x14ac:dyDescent="0.25">
      <c r="A11" s="46">
        <v>45657</v>
      </c>
      <c r="B11" s="2" t="s">
        <v>130</v>
      </c>
      <c r="C11" s="2">
        <v>7620860407</v>
      </c>
      <c r="D11" s="2">
        <v>48291002</v>
      </c>
      <c r="E11" s="2" t="s">
        <v>8952</v>
      </c>
      <c r="F11" s="2">
        <v>4</v>
      </c>
      <c r="G11" s="2" t="s">
        <v>12990</v>
      </c>
      <c r="H11" s="2" t="s">
        <v>25</v>
      </c>
      <c r="I11" s="75" t="s">
        <v>15</v>
      </c>
      <c r="J11" s="9" t="s">
        <v>74</v>
      </c>
      <c r="K11" s="10">
        <v>7620858694</v>
      </c>
      <c r="L11" s="10" t="s">
        <v>98</v>
      </c>
      <c r="M11" s="10" t="s">
        <v>15</v>
      </c>
      <c r="N11" s="10" t="s">
        <v>18</v>
      </c>
      <c r="O11" s="10" t="s">
        <v>13093</v>
      </c>
      <c r="P11" s="10" t="s">
        <v>28</v>
      </c>
      <c r="Q11" s="2" t="s">
        <v>29</v>
      </c>
      <c r="R11" s="27" t="str">
        <f>VLOOKUP(Tabla1[[#This Row],[DETALLE ]],DATOS!L:M,2,0)</f>
        <v>PICKING</v>
      </c>
      <c r="S11" s="41" t="str">
        <f>IFERROR(IFERROR(VLOOKUP(Tabla1[[#This Row],[USUARIO PICKING ERROR]],DATOS!H:J,3,0),VLOOKUP(Tabla1[[#This Row],[USUARIO FILTRO ERROR]],DATOS!O:P,2,0)),"-")</f>
        <v>BENJAMIN LIZARBE</v>
      </c>
      <c r="T11" s="27" t="str">
        <f>UPPER(VLOOKUP(Tabla1[[#This Row],[CODIGO]],DATOS!A:E,5,0))</f>
        <v>FLUJO CONTINUO</v>
      </c>
      <c r="U11" s="31">
        <f>(Tabla1[[#This Row],[CANTIDAD]])*(VLOOKUP(Tabla1[[#This Row],[CODIGO]],DATOS!A:D,4,0))</f>
        <v>100.04</v>
      </c>
      <c r="V11" s="31" t="str">
        <f>VLOOKUP(Tabla1[[#This Row],[CODIGO]],DATOS!A:C,3,0)</f>
        <v>ABARROTES BEBIBLES</v>
      </c>
      <c r="W11" s="31" t="s">
        <v>13322</v>
      </c>
      <c r="X11" s="28" t="s">
        <v>13086</v>
      </c>
      <c r="Y11" s="28" t="s">
        <v>13113</v>
      </c>
    </row>
    <row r="12" spans="1:25" ht="12" customHeight="1" x14ac:dyDescent="0.25">
      <c r="A12" s="46">
        <v>45657</v>
      </c>
      <c r="B12" s="2" t="s">
        <v>92</v>
      </c>
      <c r="C12" s="2">
        <v>7620854343</v>
      </c>
      <c r="D12" s="2">
        <v>564435</v>
      </c>
      <c r="E12" s="2" t="s">
        <v>3000</v>
      </c>
      <c r="F12" s="2">
        <v>6</v>
      </c>
      <c r="G12" s="2" t="s">
        <v>12990</v>
      </c>
      <c r="H12" s="2" t="s">
        <v>25</v>
      </c>
      <c r="I12" s="75" t="s">
        <v>15</v>
      </c>
      <c r="J12" s="9" t="s">
        <v>12963</v>
      </c>
      <c r="K12" s="10">
        <v>7620854786</v>
      </c>
      <c r="L12" s="10" t="s">
        <v>12888</v>
      </c>
      <c r="M12" s="10" t="s">
        <v>15</v>
      </c>
      <c r="N12" s="10" t="s">
        <v>18</v>
      </c>
      <c r="O12" s="10" t="s">
        <v>13093</v>
      </c>
      <c r="P12" s="10" t="s">
        <v>28</v>
      </c>
      <c r="Q12" s="2" t="s">
        <v>29</v>
      </c>
      <c r="R12" s="27" t="str">
        <f>VLOOKUP(Tabla1[[#This Row],[DETALLE ]],DATOS!L:M,2,0)</f>
        <v>PICKING</v>
      </c>
      <c r="S12" s="41" t="str">
        <f>IFERROR(IFERROR(VLOOKUP(Tabla1[[#This Row],[USUARIO PICKING ERROR]],DATOS!H:J,3,0),VLOOKUP(Tabla1[[#This Row],[USUARIO FILTRO ERROR]],DATOS!O:P,2,0)),"-")</f>
        <v>BENJAMIN LIZARBE</v>
      </c>
      <c r="T12" s="27" t="str">
        <f>UPPER(VLOOKUP(Tabla1[[#This Row],[CODIGO]],DATOS!A:E,5,0))</f>
        <v>FLUJO CONTINUO</v>
      </c>
      <c r="U12" s="31">
        <f>(Tabla1[[#This Row],[CANTIDAD]])*(VLOOKUP(Tabla1[[#This Row],[CODIGO]],DATOS!A:D,4,0))</f>
        <v>207.06</v>
      </c>
      <c r="V12" s="31" t="str">
        <f>VLOOKUP(Tabla1[[#This Row],[CODIGO]],DATOS!A:C,3,0)</f>
        <v>ABARROTES BEBIBLES</v>
      </c>
      <c r="W12" s="31" t="s">
        <v>13322</v>
      </c>
      <c r="X12" s="28" t="s">
        <v>13086</v>
      </c>
      <c r="Y12" s="28" t="s">
        <v>13113</v>
      </c>
    </row>
    <row r="13" spans="1:25" ht="12" customHeight="1" x14ac:dyDescent="0.25">
      <c r="A13" s="46">
        <v>45659</v>
      </c>
      <c r="B13" s="2" t="s">
        <v>15</v>
      </c>
      <c r="C13" s="2" t="s">
        <v>15</v>
      </c>
      <c r="D13" s="2">
        <v>523657</v>
      </c>
      <c r="E13" s="2" t="s">
        <v>2585</v>
      </c>
      <c r="F13" s="2">
        <v>3</v>
      </c>
      <c r="G13" s="2" t="s">
        <v>12990</v>
      </c>
      <c r="H13" s="2" t="s">
        <v>17</v>
      </c>
      <c r="I13" s="75" t="s">
        <v>15</v>
      </c>
      <c r="J13" s="9" t="s">
        <v>15</v>
      </c>
      <c r="K13" s="10" t="s">
        <v>15</v>
      </c>
      <c r="L13" s="10" t="s">
        <v>98</v>
      </c>
      <c r="M13" s="10" t="s">
        <v>15</v>
      </c>
      <c r="N13" s="10" t="s">
        <v>18</v>
      </c>
      <c r="O13" s="10" t="s">
        <v>13020</v>
      </c>
      <c r="P13" s="10" t="s">
        <v>17</v>
      </c>
      <c r="Q13" s="2" t="s">
        <v>29</v>
      </c>
      <c r="R13" s="27" t="str">
        <f>VLOOKUP(Tabla1[[#This Row],[DETALLE ]],DATOS!L:M,2,0)</f>
        <v>PICKING</v>
      </c>
      <c r="S13" s="41" t="str">
        <f>IFERROR(IFERROR(VLOOKUP(Tabla1[[#This Row],[USUARIO PICKING ERROR]],DATOS!H:J,3,0),VLOOKUP(Tabla1[[#This Row],[USUARIO FILTRO ERROR]],DATOS!O:P,2,0)),"-")</f>
        <v>BENJAMIN LIZARBE</v>
      </c>
      <c r="T13" s="27" t="str">
        <f>UPPER(VLOOKUP(Tabla1[[#This Row],[CODIGO]],DATOS!A:E,5,0))</f>
        <v>FLUJO CONTINUO</v>
      </c>
      <c r="U13" s="31">
        <f>(Tabla1[[#This Row],[CANTIDAD]])*(VLOOKUP(Tabla1[[#This Row],[CODIGO]],DATOS!A:D,4,0))</f>
        <v>281.21999999999997</v>
      </c>
      <c r="V13" s="31" t="str">
        <f>VLOOKUP(Tabla1[[#This Row],[CODIGO]],DATOS!A:C,3,0)</f>
        <v>ABARROTES BEBIBLES</v>
      </c>
      <c r="W13" s="31" t="s">
        <v>13322</v>
      </c>
      <c r="X13" s="28" t="s">
        <v>21</v>
      </c>
      <c r="Y13" s="28" t="s">
        <v>13113</v>
      </c>
    </row>
    <row r="14" spans="1:25" ht="12" customHeight="1" x14ac:dyDescent="0.25">
      <c r="A14" s="46">
        <v>45659</v>
      </c>
      <c r="B14" s="2" t="s">
        <v>12971</v>
      </c>
      <c r="C14" s="2">
        <v>7620779496</v>
      </c>
      <c r="D14" s="2">
        <v>407813</v>
      </c>
      <c r="E14" s="2" t="s">
        <v>1897</v>
      </c>
      <c r="F14" s="2">
        <v>6</v>
      </c>
      <c r="G14" s="2" t="s">
        <v>12990</v>
      </c>
      <c r="H14" s="2" t="s">
        <v>25</v>
      </c>
      <c r="I14" s="75" t="s">
        <v>15</v>
      </c>
      <c r="J14" s="9" t="s">
        <v>13000</v>
      </c>
      <c r="K14" s="10">
        <v>7620855001</v>
      </c>
      <c r="L14" s="10" t="s">
        <v>12932</v>
      </c>
      <c r="M14" s="10" t="s">
        <v>15</v>
      </c>
      <c r="N14" s="10" t="s">
        <v>18</v>
      </c>
      <c r="O14" s="10" t="s">
        <v>13093</v>
      </c>
      <c r="P14" s="10" t="s">
        <v>28</v>
      </c>
      <c r="Q14" s="2" t="s">
        <v>29</v>
      </c>
      <c r="R14" s="27" t="str">
        <f>VLOOKUP(Tabla1[[#This Row],[DETALLE ]],DATOS!L:M,2,0)</f>
        <v>PICKING</v>
      </c>
      <c r="S14" s="41" t="str">
        <f>IFERROR(IFERROR(VLOOKUP(Tabla1[[#This Row],[USUARIO PICKING ERROR]],DATOS!H:J,3,0),VLOOKUP(Tabla1[[#This Row],[USUARIO FILTRO ERROR]],DATOS!O:P,2,0)),"-")</f>
        <v>BENJAMIN LIZARBE</v>
      </c>
      <c r="T14" s="27" t="str">
        <f>UPPER(VLOOKUP(Tabla1[[#This Row],[CODIGO]],DATOS!A:E,5,0))</f>
        <v>FLUJO CONTINUO</v>
      </c>
      <c r="U14" s="31">
        <f>(Tabla1[[#This Row],[CANTIDAD]])*(VLOOKUP(Tabla1[[#This Row],[CODIGO]],DATOS!A:D,4,0))</f>
        <v>354.36</v>
      </c>
      <c r="V14" s="31" t="str">
        <f>VLOOKUP(Tabla1[[#This Row],[CODIGO]],DATOS!A:C,3,0)</f>
        <v>ABARROTES BEBIBLES</v>
      </c>
      <c r="W14" s="31" t="s">
        <v>13322</v>
      </c>
      <c r="X14" s="28" t="s">
        <v>13086</v>
      </c>
      <c r="Y14" s="28" t="s">
        <v>13113</v>
      </c>
    </row>
    <row r="15" spans="1:25" ht="12" customHeight="1" x14ac:dyDescent="0.25">
      <c r="A15" s="46">
        <v>45659</v>
      </c>
      <c r="B15" s="2" t="s">
        <v>106</v>
      </c>
      <c r="C15" s="2">
        <v>7620854820</v>
      </c>
      <c r="D15" s="2">
        <v>1017402</v>
      </c>
      <c r="E15" s="2" t="s">
        <v>10572</v>
      </c>
      <c r="F15" s="2">
        <v>4</v>
      </c>
      <c r="G15" s="2" t="s">
        <v>12990</v>
      </c>
      <c r="H15" s="2" t="s">
        <v>25</v>
      </c>
      <c r="I15" s="75" t="s">
        <v>15</v>
      </c>
      <c r="J15" s="9" t="s">
        <v>13001</v>
      </c>
      <c r="K15" s="10">
        <v>7620859529</v>
      </c>
      <c r="L15" s="10" t="s">
        <v>12930</v>
      </c>
      <c r="M15" s="10" t="s">
        <v>15</v>
      </c>
      <c r="N15" s="10" t="s">
        <v>18</v>
      </c>
      <c r="O15" s="10" t="s">
        <v>13093</v>
      </c>
      <c r="P15" s="10" t="s">
        <v>28</v>
      </c>
      <c r="Q15" s="2" t="s">
        <v>29</v>
      </c>
      <c r="R15" s="27" t="str">
        <f>VLOOKUP(Tabla1[[#This Row],[DETALLE ]],DATOS!L:M,2,0)</f>
        <v>PICKING</v>
      </c>
      <c r="S15" s="41" t="str">
        <f>IFERROR(IFERROR(VLOOKUP(Tabla1[[#This Row],[USUARIO PICKING ERROR]],DATOS!H:J,3,0),VLOOKUP(Tabla1[[#This Row],[USUARIO FILTRO ERROR]],DATOS!O:P,2,0)),"-")</f>
        <v>BENJAMIN LIZARBE</v>
      </c>
      <c r="T15" s="27" t="str">
        <f>UPPER(VLOOKUP(Tabla1[[#This Row],[CODIGO]],DATOS!A:E,5,0))</f>
        <v>FLUJO CONTINUO</v>
      </c>
      <c r="U15" s="31">
        <f>(Tabla1[[#This Row],[CANTIDAD]])*(VLOOKUP(Tabla1[[#This Row],[CODIGO]],DATOS!A:D,4,0))</f>
        <v>108.24</v>
      </c>
      <c r="V15" s="31" t="str">
        <f>VLOOKUP(Tabla1[[#This Row],[CODIGO]],DATOS!A:C,3,0)</f>
        <v>ABARROTES BEBIBLES</v>
      </c>
      <c r="W15" s="31" t="s">
        <v>13322</v>
      </c>
      <c r="X15" s="28" t="s">
        <v>13086</v>
      </c>
      <c r="Y15" s="28" t="s">
        <v>13113</v>
      </c>
    </row>
    <row r="16" spans="1:25" ht="12" customHeight="1" x14ac:dyDescent="0.25">
      <c r="A16" s="46">
        <v>45659</v>
      </c>
      <c r="B16" s="2" t="s">
        <v>36</v>
      </c>
      <c r="C16" s="2">
        <v>7620859906</v>
      </c>
      <c r="D16" s="2">
        <v>703779</v>
      </c>
      <c r="E16" s="2" t="s">
        <v>3228</v>
      </c>
      <c r="F16" s="2">
        <v>1</v>
      </c>
      <c r="G16" s="2" t="s">
        <v>12990</v>
      </c>
      <c r="H16" s="2" t="s">
        <v>25</v>
      </c>
      <c r="I16" s="75" t="s">
        <v>15</v>
      </c>
      <c r="J16" s="9" t="s">
        <v>102</v>
      </c>
      <c r="K16" s="10">
        <v>7620858336</v>
      </c>
      <c r="L16" s="10" t="s">
        <v>12928</v>
      </c>
      <c r="M16" s="10" t="s">
        <v>15</v>
      </c>
      <c r="N16" s="10" t="s">
        <v>18</v>
      </c>
      <c r="O16" s="10" t="s">
        <v>13093</v>
      </c>
      <c r="P16" s="10" t="s">
        <v>28</v>
      </c>
      <c r="Q16" s="2" t="s">
        <v>29</v>
      </c>
      <c r="R16" s="27" t="str">
        <f>VLOOKUP(Tabla1[[#This Row],[DETALLE ]],DATOS!L:M,2,0)</f>
        <v>PICKING</v>
      </c>
      <c r="S16" s="41" t="str">
        <f>IFERROR(IFERROR(VLOOKUP(Tabla1[[#This Row],[USUARIO PICKING ERROR]],DATOS!H:J,3,0),VLOOKUP(Tabla1[[#This Row],[USUARIO FILTRO ERROR]],DATOS!O:P,2,0)),"-")</f>
        <v>DANIEL PEREZ</v>
      </c>
      <c r="T16" s="27" t="str">
        <f>UPPER(VLOOKUP(Tabla1[[#This Row],[CODIGO]],DATOS!A:E,5,0))</f>
        <v>FLUJO CONTINUO</v>
      </c>
      <c r="U16" s="31">
        <f>(Tabla1[[#This Row],[CANTIDAD]])*(VLOOKUP(Tabla1[[#This Row],[CODIGO]],DATOS!A:D,4,0))</f>
        <v>20.88</v>
      </c>
      <c r="V16" s="31" t="str">
        <f>VLOOKUP(Tabla1[[#This Row],[CODIGO]],DATOS!A:C,3,0)</f>
        <v>ABARROTES BEBIBLES</v>
      </c>
      <c r="W16" s="31" t="s">
        <v>13322</v>
      </c>
      <c r="X16" s="28" t="s">
        <v>13086</v>
      </c>
      <c r="Y16" s="28" t="s">
        <v>13113</v>
      </c>
    </row>
    <row r="17" spans="1:25" ht="12" customHeight="1" x14ac:dyDescent="0.25">
      <c r="A17" s="46">
        <v>45659</v>
      </c>
      <c r="B17" s="2" t="s">
        <v>106</v>
      </c>
      <c r="C17" s="2">
        <v>7620854820</v>
      </c>
      <c r="D17" s="2">
        <v>1017403</v>
      </c>
      <c r="E17" s="2" t="s">
        <v>10573</v>
      </c>
      <c r="F17" s="2">
        <v>4</v>
      </c>
      <c r="G17" s="2" t="s">
        <v>12990</v>
      </c>
      <c r="H17" s="2" t="s">
        <v>17</v>
      </c>
      <c r="I17" s="75" t="s">
        <v>15</v>
      </c>
      <c r="J17" s="9" t="s">
        <v>13001</v>
      </c>
      <c r="K17" s="10">
        <v>7620859529</v>
      </c>
      <c r="L17" s="10" t="s">
        <v>12930</v>
      </c>
      <c r="M17" s="10" t="s">
        <v>15</v>
      </c>
      <c r="N17" s="10" t="s">
        <v>18</v>
      </c>
      <c r="O17" s="10" t="s">
        <v>13020</v>
      </c>
      <c r="P17" s="10" t="s">
        <v>28</v>
      </c>
      <c r="Q17" s="2" t="s">
        <v>29</v>
      </c>
      <c r="R17" s="27" t="str">
        <f>VLOOKUP(Tabla1[[#This Row],[DETALLE ]],DATOS!L:M,2,0)</f>
        <v>PICKING</v>
      </c>
      <c r="S17" s="41" t="str">
        <f>IFERROR(IFERROR(VLOOKUP(Tabla1[[#This Row],[USUARIO PICKING ERROR]],DATOS!H:J,3,0),VLOOKUP(Tabla1[[#This Row],[USUARIO FILTRO ERROR]],DATOS!O:P,2,0)),"-")</f>
        <v>BENJAMIN LIZARBE</v>
      </c>
      <c r="T17" s="27" t="str">
        <f>UPPER(VLOOKUP(Tabla1[[#This Row],[CODIGO]],DATOS!A:E,5,0))</f>
        <v>FLUJO CONTINUO</v>
      </c>
      <c r="U17" s="31">
        <f>(Tabla1[[#This Row],[CANTIDAD]])*(VLOOKUP(Tabla1[[#This Row],[CODIGO]],DATOS!A:D,4,0))</f>
        <v>108.24</v>
      </c>
      <c r="V17" s="31" t="str">
        <f>VLOOKUP(Tabla1[[#This Row],[CODIGO]],DATOS!A:C,3,0)</f>
        <v>ABARROTES BEBIBLES</v>
      </c>
      <c r="W17" s="31" t="s">
        <v>13322</v>
      </c>
      <c r="X17" s="28" t="s">
        <v>13086</v>
      </c>
      <c r="Y17" s="28" t="s">
        <v>13113</v>
      </c>
    </row>
    <row r="18" spans="1:25" ht="12" customHeight="1" x14ac:dyDescent="0.25">
      <c r="A18" s="46">
        <v>45659</v>
      </c>
      <c r="B18" s="2" t="s">
        <v>12972</v>
      </c>
      <c r="C18" s="2">
        <v>7620859330</v>
      </c>
      <c r="D18" s="2">
        <v>48291002</v>
      </c>
      <c r="E18" s="2" t="s">
        <v>8952</v>
      </c>
      <c r="F18" s="2">
        <v>4</v>
      </c>
      <c r="G18" s="2" t="s">
        <v>12909</v>
      </c>
      <c r="H18" s="2" t="s">
        <v>25</v>
      </c>
      <c r="I18" s="75" t="s">
        <v>12940</v>
      </c>
      <c r="J18" s="9" t="s">
        <v>118</v>
      </c>
      <c r="K18" s="10">
        <v>7620860193</v>
      </c>
      <c r="L18" s="10" t="s">
        <v>98</v>
      </c>
      <c r="M18" s="10" t="s">
        <v>15</v>
      </c>
      <c r="N18" s="10" t="s">
        <v>18</v>
      </c>
      <c r="O18" s="10" t="s">
        <v>13093</v>
      </c>
      <c r="P18" s="10" t="s">
        <v>28</v>
      </c>
      <c r="Q18" s="2" t="s">
        <v>29</v>
      </c>
      <c r="R18" s="27" t="str">
        <f>VLOOKUP(Tabla1[[#This Row],[DETALLE ]],DATOS!L:M,2,0)</f>
        <v>PICKING</v>
      </c>
      <c r="S18" s="41" t="str">
        <f>IFERROR(IFERROR(VLOOKUP(Tabla1[[#This Row],[USUARIO PICKING ERROR]],DATOS!H:J,3,0),VLOOKUP(Tabla1[[#This Row],[USUARIO FILTRO ERROR]],DATOS!O:P,2,0)),"-")</f>
        <v>BENJAMIN LIZARBE</v>
      </c>
      <c r="T18" s="27" t="str">
        <f>UPPER(VLOOKUP(Tabla1[[#This Row],[CODIGO]],DATOS!A:E,5,0))</f>
        <v>FLUJO CONTINUO</v>
      </c>
      <c r="U18" s="31">
        <f>(Tabla1[[#This Row],[CANTIDAD]])*(VLOOKUP(Tabla1[[#This Row],[CODIGO]],DATOS!A:D,4,0))</f>
        <v>100.04</v>
      </c>
      <c r="V18" s="31" t="str">
        <f>VLOOKUP(Tabla1[[#This Row],[CODIGO]],DATOS!A:C,3,0)</f>
        <v>ABARROTES BEBIBLES</v>
      </c>
      <c r="W18" s="31" t="s">
        <v>13322</v>
      </c>
      <c r="X18" s="28" t="s">
        <v>13086</v>
      </c>
      <c r="Y18" s="28" t="s">
        <v>13113</v>
      </c>
    </row>
    <row r="19" spans="1:25" ht="12" customHeight="1" x14ac:dyDescent="0.25">
      <c r="A19" s="46">
        <v>45659</v>
      </c>
      <c r="B19" s="2" t="s">
        <v>15</v>
      </c>
      <c r="C19" s="2" t="s">
        <v>15</v>
      </c>
      <c r="D19" s="2">
        <v>1023462</v>
      </c>
      <c r="E19" s="2" t="s">
        <v>61</v>
      </c>
      <c r="F19" s="2">
        <v>1</v>
      </c>
      <c r="G19" s="2" t="s">
        <v>12990</v>
      </c>
      <c r="H19" s="2" t="s">
        <v>17</v>
      </c>
      <c r="I19" s="75" t="s">
        <v>15</v>
      </c>
      <c r="J19" s="9" t="s">
        <v>15</v>
      </c>
      <c r="K19" s="10" t="s">
        <v>15</v>
      </c>
      <c r="L19" s="10" t="s">
        <v>132</v>
      </c>
      <c r="M19" s="10" t="s">
        <v>15</v>
      </c>
      <c r="N19" s="10" t="s">
        <v>18</v>
      </c>
      <c r="O19" s="10" t="s">
        <v>13021</v>
      </c>
      <c r="P19" s="10" t="s">
        <v>17</v>
      </c>
      <c r="Q19" s="2" t="s">
        <v>29</v>
      </c>
      <c r="R19" s="27" t="str">
        <f>VLOOKUP(Tabla1[[#This Row],[DETALLE ]],DATOS!L:M,2,0)</f>
        <v>PICKING</v>
      </c>
      <c r="S19" s="41" t="str">
        <f>IFERROR(IFERROR(VLOOKUP(Tabla1[[#This Row],[USUARIO PICKING ERROR]],DATOS!H:J,3,0),VLOOKUP(Tabla1[[#This Row],[USUARIO FILTRO ERROR]],DATOS!O:P,2,0)),"-")</f>
        <v>BENJAMIN LIZARBE</v>
      </c>
      <c r="T19" s="27" t="str">
        <f>UPPER(VLOOKUP(Tabla1[[#This Row],[CODIGO]],DATOS!A:E,5,0))</f>
        <v>ALMACENADO</v>
      </c>
      <c r="U19" s="31">
        <f>(Tabla1[[#This Row],[CANTIDAD]])*(VLOOKUP(Tabla1[[#This Row],[CODIGO]],DATOS!A:D,4,0))</f>
        <v>57.01</v>
      </c>
      <c r="V19" s="31" t="str">
        <f>VLOOKUP(Tabla1[[#This Row],[CODIGO]],DATOS!A:C,3,0)</f>
        <v>ABARROTES BEBIBLES</v>
      </c>
      <c r="W19" s="31" t="s">
        <v>13322</v>
      </c>
      <c r="X19" s="28" t="s">
        <v>21</v>
      </c>
      <c r="Y19" s="28" t="s">
        <v>13113</v>
      </c>
    </row>
    <row r="20" spans="1:25" ht="12" customHeight="1" x14ac:dyDescent="0.25">
      <c r="A20" s="46">
        <v>45659</v>
      </c>
      <c r="B20" s="2" t="s">
        <v>15</v>
      </c>
      <c r="C20" s="2" t="s">
        <v>15</v>
      </c>
      <c r="D20" s="2">
        <v>1029171</v>
      </c>
      <c r="E20" s="2" t="s">
        <v>12691</v>
      </c>
      <c r="F20" s="2">
        <v>2</v>
      </c>
      <c r="G20" s="2" t="s">
        <v>12990</v>
      </c>
      <c r="H20" s="2" t="s">
        <v>17</v>
      </c>
      <c r="I20" s="75" t="s">
        <v>15</v>
      </c>
      <c r="J20" s="9" t="s">
        <v>15</v>
      </c>
      <c r="K20" s="10" t="s">
        <v>15</v>
      </c>
      <c r="L20" s="10" t="s">
        <v>12902</v>
      </c>
      <c r="M20" s="10" t="s">
        <v>15</v>
      </c>
      <c r="N20" s="10" t="s">
        <v>18</v>
      </c>
      <c r="O20" s="10" t="s">
        <v>13021</v>
      </c>
      <c r="P20" s="10" t="s">
        <v>17</v>
      </c>
      <c r="Q20" s="2" t="s">
        <v>29</v>
      </c>
      <c r="R20" s="27" t="str">
        <f>VLOOKUP(Tabla1[[#This Row],[DETALLE ]],DATOS!L:M,2,0)</f>
        <v>PICKING</v>
      </c>
      <c r="S20" s="41" t="str">
        <f>IFERROR(IFERROR(VLOOKUP(Tabla1[[#This Row],[USUARIO PICKING ERROR]],DATOS!H:J,3,0),VLOOKUP(Tabla1[[#This Row],[USUARIO FILTRO ERROR]],DATOS!O:P,2,0)),"-")</f>
        <v>BENJAMIN LIZARBE</v>
      </c>
      <c r="T20" s="27" t="str">
        <f>UPPER(VLOOKUP(Tabla1[[#This Row],[CODIGO]],DATOS!A:E,5,0))</f>
        <v>ALMACENADO</v>
      </c>
      <c r="U20" s="31">
        <f>(Tabla1[[#This Row],[CANTIDAD]])*(VLOOKUP(Tabla1[[#This Row],[CODIGO]],DATOS!A:D,4,0))</f>
        <v>21.46</v>
      </c>
      <c r="V20" s="31" t="str">
        <f>VLOOKUP(Tabla1[[#This Row],[CODIGO]],DATOS!A:C,3,0)</f>
        <v>ABARROTES COMESTIBLES</v>
      </c>
      <c r="W20" s="31" t="s">
        <v>13322</v>
      </c>
      <c r="X20" s="28" t="s">
        <v>21</v>
      </c>
      <c r="Y20" s="28" t="s">
        <v>13113</v>
      </c>
    </row>
    <row r="21" spans="1:25" ht="12" customHeight="1" x14ac:dyDescent="0.25">
      <c r="A21" s="46">
        <v>45659</v>
      </c>
      <c r="B21" s="2" t="s">
        <v>15</v>
      </c>
      <c r="C21" s="2" t="s">
        <v>15</v>
      </c>
      <c r="D21" s="2">
        <v>768743002</v>
      </c>
      <c r="E21" s="2" t="s">
        <v>237</v>
      </c>
      <c r="F21" s="2">
        <v>1</v>
      </c>
      <c r="G21" s="2" t="s">
        <v>12990</v>
      </c>
      <c r="H21" s="2" t="s">
        <v>17</v>
      </c>
      <c r="I21" s="75" t="s">
        <v>15</v>
      </c>
      <c r="J21" s="9" t="s">
        <v>15</v>
      </c>
      <c r="K21" s="10" t="s">
        <v>15</v>
      </c>
      <c r="L21" s="10" t="s">
        <v>12917</v>
      </c>
      <c r="M21" s="10" t="s">
        <v>15</v>
      </c>
      <c r="N21" s="10" t="s">
        <v>18</v>
      </c>
      <c r="O21" s="10" t="s">
        <v>13021</v>
      </c>
      <c r="P21" s="10" t="s">
        <v>17</v>
      </c>
      <c r="Q21" s="2" t="s">
        <v>29</v>
      </c>
      <c r="R21" s="27" t="str">
        <f>VLOOKUP(Tabla1[[#This Row],[DETALLE ]],DATOS!L:M,2,0)</f>
        <v>PICKING</v>
      </c>
      <c r="S21" s="41" t="str">
        <f>IFERROR(IFERROR(VLOOKUP(Tabla1[[#This Row],[USUARIO PICKING ERROR]],DATOS!H:J,3,0),VLOOKUP(Tabla1[[#This Row],[USUARIO FILTRO ERROR]],DATOS!O:P,2,0)),"-")</f>
        <v>BENJAMIN LIZARBE</v>
      </c>
      <c r="T21" s="27" t="str">
        <f>UPPER(VLOOKUP(Tabla1[[#This Row],[CODIGO]],DATOS!A:E,5,0))</f>
        <v>ALMACENADO</v>
      </c>
      <c r="U21" s="31">
        <f>(Tabla1[[#This Row],[CANTIDAD]])*(VLOOKUP(Tabla1[[#This Row],[CODIGO]],DATOS!A:D,4,0))</f>
        <v>36.96</v>
      </c>
      <c r="V21" s="31" t="str">
        <f>VLOOKUP(Tabla1[[#This Row],[CODIGO]],DATOS!A:C,3,0)</f>
        <v>ABARROTES BEBIBLES</v>
      </c>
      <c r="W21" s="31" t="s">
        <v>13322</v>
      </c>
      <c r="X21" s="28" t="s">
        <v>21</v>
      </c>
      <c r="Y21" s="28" t="s">
        <v>13113</v>
      </c>
    </row>
    <row r="22" spans="1:25" ht="12" customHeight="1" x14ac:dyDescent="0.25">
      <c r="A22" s="46">
        <v>45659</v>
      </c>
      <c r="B22" s="2" t="s">
        <v>118</v>
      </c>
      <c r="C22" s="2">
        <v>7600321739</v>
      </c>
      <c r="D22" s="2">
        <v>70841001</v>
      </c>
      <c r="E22" s="2" t="s">
        <v>9570</v>
      </c>
      <c r="F22" s="2">
        <v>24</v>
      </c>
      <c r="G22" s="2" t="s">
        <v>12990</v>
      </c>
      <c r="H22" s="2" t="s">
        <v>17</v>
      </c>
      <c r="I22" s="75" t="s">
        <v>15</v>
      </c>
      <c r="J22" s="9" t="s">
        <v>15</v>
      </c>
      <c r="K22" s="10" t="s">
        <v>15</v>
      </c>
      <c r="L22" s="10" t="s">
        <v>98</v>
      </c>
      <c r="M22" s="10" t="s">
        <v>15</v>
      </c>
      <c r="N22" s="10" t="s">
        <v>18</v>
      </c>
      <c r="O22" s="10" t="s">
        <v>13021</v>
      </c>
      <c r="P22" s="10" t="s">
        <v>28</v>
      </c>
      <c r="Q22" s="2" t="s">
        <v>29</v>
      </c>
      <c r="R22" s="27" t="str">
        <f>VLOOKUP(Tabla1[[#This Row],[DETALLE ]],DATOS!L:M,2,0)</f>
        <v>PICKING</v>
      </c>
      <c r="S22" s="41" t="str">
        <f>IFERROR(IFERROR(VLOOKUP(Tabla1[[#This Row],[USUARIO PICKING ERROR]],DATOS!H:J,3,0),VLOOKUP(Tabla1[[#This Row],[USUARIO FILTRO ERROR]],DATOS!O:P,2,0)),"-")</f>
        <v>BENJAMIN LIZARBE</v>
      </c>
      <c r="T22" s="27" t="str">
        <f>UPPER(VLOOKUP(Tabla1[[#This Row],[CODIGO]],DATOS!A:E,5,0))</f>
        <v>ALMACENADO</v>
      </c>
      <c r="U22" s="31">
        <f>(Tabla1[[#This Row],[CANTIDAD]])*(VLOOKUP(Tabla1[[#This Row],[CODIGO]],DATOS!A:D,4,0))</f>
        <v>61.44</v>
      </c>
      <c r="V22" s="31" t="str">
        <f>VLOOKUP(Tabla1[[#This Row],[CODIGO]],DATOS!A:C,3,0)</f>
        <v>ABARROTES COMESTIBLES</v>
      </c>
      <c r="W22" s="31" t="s">
        <v>13322</v>
      </c>
      <c r="X22" s="28" t="s">
        <v>13086</v>
      </c>
      <c r="Y22" s="28" t="s">
        <v>13113</v>
      </c>
    </row>
    <row r="23" spans="1:25" ht="12" customHeight="1" x14ac:dyDescent="0.25">
      <c r="A23" s="46">
        <v>45660</v>
      </c>
      <c r="B23" s="2" t="s">
        <v>12973</v>
      </c>
      <c r="C23" s="2">
        <v>7620854820</v>
      </c>
      <c r="D23" s="2">
        <v>1017403</v>
      </c>
      <c r="E23" s="2" t="s">
        <v>10573</v>
      </c>
      <c r="F23" s="2">
        <v>4</v>
      </c>
      <c r="G23" s="2" t="s">
        <v>12990</v>
      </c>
      <c r="H23" s="2" t="s">
        <v>17</v>
      </c>
      <c r="I23" s="75" t="s">
        <v>15</v>
      </c>
      <c r="J23" s="9" t="s">
        <v>15</v>
      </c>
      <c r="K23" s="10" t="s">
        <v>15</v>
      </c>
      <c r="L23" s="10" t="s">
        <v>12930</v>
      </c>
      <c r="M23" s="10" t="s">
        <v>15</v>
      </c>
      <c r="N23" s="10" t="s">
        <v>18</v>
      </c>
      <c r="O23" s="10" t="s">
        <v>13020</v>
      </c>
      <c r="P23" s="10" t="s">
        <v>28</v>
      </c>
      <c r="Q23" s="2" t="s">
        <v>29</v>
      </c>
      <c r="R23" s="27" t="str">
        <f>VLOOKUP(Tabla1[[#This Row],[DETALLE ]],DATOS!L:M,2,0)</f>
        <v>PICKING</v>
      </c>
      <c r="S23" s="41" t="str">
        <f>IFERROR(IFERROR(VLOOKUP(Tabla1[[#This Row],[USUARIO PICKING ERROR]],DATOS!H:J,3,0),VLOOKUP(Tabla1[[#This Row],[USUARIO FILTRO ERROR]],DATOS!O:P,2,0)),"-")</f>
        <v>BENJAMIN LIZARBE</v>
      </c>
      <c r="T23" s="27" t="str">
        <f>UPPER(VLOOKUP(Tabla1[[#This Row],[CODIGO]],DATOS!A:E,5,0))</f>
        <v>FLUJO CONTINUO</v>
      </c>
      <c r="U23" s="31">
        <f>(Tabla1[[#This Row],[CANTIDAD]])*(VLOOKUP(Tabla1[[#This Row],[CODIGO]],DATOS!A:D,4,0))</f>
        <v>108.24</v>
      </c>
      <c r="V23" s="31" t="str">
        <f>VLOOKUP(Tabla1[[#This Row],[CODIGO]],DATOS!A:C,3,0)</f>
        <v>ABARROTES BEBIBLES</v>
      </c>
      <c r="W23" s="31" t="s">
        <v>13322</v>
      </c>
      <c r="X23" s="28" t="s">
        <v>13086</v>
      </c>
      <c r="Y23" s="28" t="s">
        <v>13113</v>
      </c>
    </row>
    <row r="24" spans="1:25" ht="12" customHeight="1" x14ac:dyDescent="0.25">
      <c r="A24" s="46">
        <v>45660</v>
      </c>
      <c r="B24" s="2" t="s">
        <v>12974</v>
      </c>
      <c r="C24" s="2">
        <v>7620860524</v>
      </c>
      <c r="D24" s="2">
        <v>546579</v>
      </c>
      <c r="E24" s="2" t="s">
        <v>2822</v>
      </c>
      <c r="F24" s="2">
        <v>24</v>
      </c>
      <c r="G24" s="2" t="s">
        <v>12991</v>
      </c>
      <c r="H24" s="2" t="s">
        <v>17</v>
      </c>
      <c r="I24" s="75" t="s">
        <v>12940</v>
      </c>
      <c r="J24" s="9" t="s">
        <v>13000</v>
      </c>
      <c r="K24" s="10">
        <v>7620855000</v>
      </c>
      <c r="L24" s="10" t="s">
        <v>84</v>
      </c>
      <c r="M24" s="10" t="s">
        <v>15</v>
      </c>
      <c r="N24" s="10" t="s">
        <v>18</v>
      </c>
      <c r="O24" s="10" t="s">
        <v>13020</v>
      </c>
      <c r="P24" s="10" t="s">
        <v>28</v>
      </c>
      <c r="Q24" s="2" t="s">
        <v>39</v>
      </c>
      <c r="R24" s="27" t="str">
        <f>VLOOKUP(Tabla1[[#This Row],[DETALLE ]],DATOS!L:M,2,0)</f>
        <v>PICKING</v>
      </c>
      <c r="S24" s="41" t="str">
        <f>IFERROR(IFERROR(VLOOKUP(Tabla1[[#This Row],[USUARIO PICKING ERROR]],DATOS!H:J,3,0),VLOOKUP(Tabla1[[#This Row],[USUARIO FILTRO ERROR]],DATOS!O:P,2,0)),"-")</f>
        <v>DAVID PIÑAN</v>
      </c>
      <c r="T24" s="27" t="str">
        <f>UPPER(VLOOKUP(Tabla1[[#This Row],[CODIGO]],DATOS!A:E,5,0))</f>
        <v>FLUJO CONTINUO</v>
      </c>
      <c r="U24" s="31">
        <f>(Tabla1[[#This Row],[CANTIDAD]])*(VLOOKUP(Tabla1[[#This Row],[CODIGO]],DATOS!A:D,4,0))</f>
        <v>106.80000000000001</v>
      </c>
      <c r="V24" s="31" t="str">
        <f>VLOOKUP(Tabla1[[#This Row],[CODIGO]],DATOS!A:C,3,0)</f>
        <v>ABARROTES BEBIBLES</v>
      </c>
      <c r="W24" s="31" t="s">
        <v>13322</v>
      </c>
      <c r="X24" s="28" t="s">
        <v>13086</v>
      </c>
      <c r="Y24" s="28" t="s">
        <v>13113</v>
      </c>
    </row>
    <row r="25" spans="1:25" ht="12" customHeight="1" x14ac:dyDescent="0.25">
      <c r="A25" s="46">
        <v>45660</v>
      </c>
      <c r="B25" s="2" t="s">
        <v>12975</v>
      </c>
      <c r="C25" s="2">
        <v>7620859273</v>
      </c>
      <c r="D25" s="2">
        <v>1027578</v>
      </c>
      <c r="E25" s="2" t="s">
        <v>12544</v>
      </c>
      <c r="F25" s="2">
        <v>5</v>
      </c>
      <c r="G25" s="2" t="s">
        <v>101</v>
      </c>
      <c r="H25" s="2" t="s">
        <v>17</v>
      </c>
      <c r="I25" s="75" t="s">
        <v>12940</v>
      </c>
      <c r="J25" s="9" t="s">
        <v>13002</v>
      </c>
      <c r="K25" s="10">
        <v>7620820988</v>
      </c>
      <c r="L25" s="10" t="s">
        <v>12929</v>
      </c>
      <c r="M25" s="10" t="s">
        <v>15</v>
      </c>
      <c r="N25" s="10" t="s">
        <v>18</v>
      </c>
      <c r="O25" s="10" t="s">
        <v>13020</v>
      </c>
      <c r="P25" s="10" t="s">
        <v>28</v>
      </c>
      <c r="Q25" s="2" t="s">
        <v>29</v>
      </c>
      <c r="R25" s="27" t="str">
        <f>VLOOKUP(Tabla1[[#This Row],[DETALLE ]],DATOS!L:M,2,0)</f>
        <v>PICKING</v>
      </c>
      <c r="S25" s="41" t="str">
        <f>IFERROR(IFERROR(VLOOKUP(Tabla1[[#This Row],[USUARIO PICKING ERROR]],DATOS!H:J,3,0),VLOOKUP(Tabla1[[#This Row],[USUARIO FILTRO ERROR]],DATOS!O:P,2,0)),"-")</f>
        <v>BENJAMIN LIZARBE</v>
      </c>
      <c r="T25" s="27" t="str">
        <f>UPPER(VLOOKUP(Tabla1[[#This Row],[CODIGO]],DATOS!A:E,5,0))</f>
        <v>FLUJO CONTINUO</v>
      </c>
      <c r="U25" s="31">
        <f>(Tabla1[[#This Row],[CANTIDAD]])*(VLOOKUP(Tabla1[[#This Row],[CODIGO]],DATOS!A:D,4,0))</f>
        <v>174.5</v>
      </c>
      <c r="V25" s="31" t="str">
        <f>VLOOKUP(Tabla1[[#This Row],[CODIGO]],DATOS!A:C,3,0)</f>
        <v>ABARROTES BEBIBLES</v>
      </c>
      <c r="W25" s="31" t="s">
        <v>13322</v>
      </c>
      <c r="X25" s="28" t="s">
        <v>13086</v>
      </c>
      <c r="Y25" s="28" t="s">
        <v>13113</v>
      </c>
    </row>
    <row r="26" spans="1:25" ht="12" customHeight="1" x14ac:dyDescent="0.25">
      <c r="A26" s="46">
        <v>45660</v>
      </c>
      <c r="B26" s="2" t="s">
        <v>12975</v>
      </c>
      <c r="C26" s="2">
        <v>7620859273</v>
      </c>
      <c r="D26" s="2">
        <v>189549</v>
      </c>
      <c r="E26" s="2" t="s">
        <v>1254</v>
      </c>
      <c r="F26" s="2">
        <v>6</v>
      </c>
      <c r="G26" s="2" t="s">
        <v>101</v>
      </c>
      <c r="H26" s="2" t="s">
        <v>17</v>
      </c>
      <c r="I26" s="75" t="s">
        <v>12940</v>
      </c>
      <c r="J26" s="9" t="s">
        <v>12975</v>
      </c>
      <c r="K26" s="10">
        <v>7620859273</v>
      </c>
      <c r="L26" s="10" t="s">
        <v>12929</v>
      </c>
      <c r="M26" s="10" t="s">
        <v>15</v>
      </c>
      <c r="N26" s="10" t="s">
        <v>18</v>
      </c>
      <c r="O26" s="10" t="s">
        <v>13020</v>
      </c>
      <c r="P26" s="10" t="s">
        <v>28</v>
      </c>
      <c r="Q26" s="2" t="s">
        <v>29</v>
      </c>
      <c r="R26" s="27" t="str">
        <f>VLOOKUP(Tabla1[[#This Row],[DETALLE ]],DATOS!L:M,2,0)</f>
        <v>PICKING</v>
      </c>
      <c r="S26" s="41" t="str">
        <f>IFERROR(IFERROR(VLOOKUP(Tabla1[[#This Row],[USUARIO PICKING ERROR]],DATOS!H:J,3,0),VLOOKUP(Tabla1[[#This Row],[USUARIO FILTRO ERROR]],DATOS!O:P,2,0)),"-")</f>
        <v>BENJAMIN LIZARBE</v>
      </c>
      <c r="T26" s="27" t="str">
        <f>UPPER(VLOOKUP(Tabla1[[#This Row],[CODIGO]],DATOS!A:E,5,0))</f>
        <v>FLUJO CONTINUO</v>
      </c>
      <c r="U26" s="31">
        <f>(Tabla1[[#This Row],[CANTIDAD]])*(VLOOKUP(Tabla1[[#This Row],[CODIGO]],DATOS!A:D,4,0))</f>
        <v>124.92</v>
      </c>
      <c r="V26" s="31" t="str">
        <f>VLOOKUP(Tabla1[[#This Row],[CODIGO]],DATOS!A:C,3,0)</f>
        <v>ABARROTES BEBIBLES</v>
      </c>
      <c r="W26" s="31" t="s">
        <v>13322</v>
      </c>
      <c r="X26" s="28" t="s">
        <v>13086</v>
      </c>
      <c r="Y26" s="28" t="s">
        <v>13113</v>
      </c>
    </row>
    <row r="27" spans="1:25" ht="12" customHeight="1" x14ac:dyDescent="0.25">
      <c r="A27" s="46">
        <v>45660</v>
      </c>
      <c r="B27" s="2" t="s">
        <v>102</v>
      </c>
      <c r="C27" s="2">
        <v>7620858336</v>
      </c>
      <c r="D27" s="2">
        <v>703779</v>
      </c>
      <c r="E27" s="2" t="s">
        <v>3228</v>
      </c>
      <c r="F27" s="2">
        <v>2</v>
      </c>
      <c r="G27" s="2" t="s">
        <v>12991</v>
      </c>
      <c r="H27" s="2" t="s">
        <v>17</v>
      </c>
      <c r="I27" s="75" t="s">
        <v>12940</v>
      </c>
      <c r="J27" s="9" t="s">
        <v>15</v>
      </c>
      <c r="K27" s="10" t="s">
        <v>15</v>
      </c>
      <c r="L27" s="10" t="s">
        <v>12891</v>
      </c>
      <c r="M27" s="10" t="s">
        <v>15</v>
      </c>
      <c r="N27" s="10" t="s">
        <v>18</v>
      </c>
      <c r="O27" s="10" t="s">
        <v>13020</v>
      </c>
      <c r="P27" s="10" t="s">
        <v>17</v>
      </c>
      <c r="Q27" s="2" t="s">
        <v>29</v>
      </c>
      <c r="R27" s="27" t="str">
        <f>VLOOKUP(Tabla1[[#This Row],[DETALLE ]],DATOS!L:M,2,0)</f>
        <v>PICKING</v>
      </c>
      <c r="S27" s="41" t="str">
        <f>IFERROR(IFERROR(VLOOKUP(Tabla1[[#This Row],[USUARIO PICKING ERROR]],DATOS!H:J,3,0),VLOOKUP(Tabla1[[#This Row],[USUARIO FILTRO ERROR]],DATOS!O:P,2,0)),"-")</f>
        <v>BENJAMIN LIZARBE</v>
      </c>
      <c r="T27" s="27" t="str">
        <f>UPPER(VLOOKUP(Tabla1[[#This Row],[CODIGO]],DATOS!A:E,5,0))</f>
        <v>FLUJO CONTINUO</v>
      </c>
      <c r="U27" s="31">
        <f>(Tabla1[[#This Row],[CANTIDAD]])*(VLOOKUP(Tabla1[[#This Row],[CODIGO]],DATOS!A:D,4,0))</f>
        <v>41.76</v>
      </c>
      <c r="V27" s="31" t="str">
        <f>VLOOKUP(Tabla1[[#This Row],[CODIGO]],DATOS!A:C,3,0)</f>
        <v>ABARROTES BEBIBLES</v>
      </c>
      <c r="W27" s="31" t="s">
        <v>13322</v>
      </c>
      <c r="X27" s="28" t="s">
        <v>21</v>
      </c>
      <c r="Y27" s="28" t="s">
        <v>13113</v>
      </c>
    </row>
    <row r="28" spans="1:25" ht="12" customHeight="1" x14ac:dyDescent="0.25">
      <c r="A28" s="46">
        <v>45660</v>
      </c>
      <c r="B28" s="2" t="s">
        <v>102</v>
      </c>
      <c r="C28" s="2">
        <v>7620858336</v>
      </c>
      <c r="D28" s="2">
        <v>1009409</v>
      </c>
      <c r="E28" s="2" t="s">
        <v>69</v>
      </c>
      <c r="F28" s="2">
        <v>1</v>
      </c>
      <c r="G28" s="2" t="s">
        <v>12991</v>
      </c>
      <c r="H28" s="2" t="s">
        <v>17</v>
      </c>
      <c r="I28" s="75" t="s">
        <v>12940</v>
      </c>
      <c r="J28" s="9" t="s">
        <v>15</v>
      </c>
      <c r="K28" s="10" t="s">
        <v>15</v>
      </c>
      <c r="L28" s="10" t="s">
        <v>12891</v>
      </c>
      <c r="M28" s="10" t="s">
        <v>15</v>
      </c>
      <c r="N28" s="10" t="s">
        <v>18</v>
      </c>
      <c r="O28" s="10" t="s">
        <v>13020</v>
      </c>
      <c r="P28" s="10" t="s">
        <v>17</v>
      </c>
      <c r="Q28" s="2" t="s">
        <v>29</v>
      </c>
      <c r="R28" s="27" t="str">
        <f>VLOOKUP(Tabla1[[#This Row],[DETALLE ]],DATOS!L:M,2,0)</f>
        <v>PICKING</v>
      </c>
      <c r="S28" s="41" t="str">
        <f>IFERROR(IFERROR(VLOOKUP(Tabla1[[#This Row],[USUARIO PICKING ERROR]],DATOS!H:J,3,0),VLOOKUP(Tabla1[[#This Row],[USUARIO FILTRO ERROR]],DATOS!O:P,2,0)),"-")</f>
        <v>BENJAMIN LIZARBE</v>
      </c>
      <c r="T28" s="27" t="str">
        <f>UPPER(VLOOKUP(Tabla1[[#This Row],[CODIGO]],DATOS!A:E,5,0))</f>
        <v>FLUJO CONTINUO</v>
      </c>
      <c r="U28" s="31">
        <f>(Tabla1[[#This Row],[CANTIDAD]])*(VLOOKUP(Tabla1[[#This Row],[CODIGO]],DATOS!A:D,4,0))</f>
        <v>15.12</v>
      </c>
      <c r="V28" s="31" t="str">
        <f>VLOOKUP(Tabla1[[#This Row],[CODIGO]],DATOS!A:C,3,0)</f>
        <v>ABARROTES BEBIBLES</v>
      </c>
      <c r="W28" s="31" t="s">
        <v>13322</v>
      </c>
      <c r="X28" s="28" t="s">
        <v>21</v>
      </c>
      <c r="Y28" s="28" t="s">
        <v>13113</v>
      </c>
    </row>
    <row r="29" spans="1:25" ht="12" customHeight="1" x14ac:dyDescent="0.25">
      <c r="A29" s="46">
        <v>45660</v>
      </c>
      <c r="B29" s="2" t="s">
        <v>118</v>
      </c>
      <c r="C29" s="2">
        <v>7620860193</v>
      </c>
      <c r="D29" s="2">
        <v>48291002</v>
      </c>
      <c r="E29" s="2" t="s">
        <v>8952</v>
      </c>
      <c r="F29" s="2">
        <v>4</v>
      </c>
      <c r="G29" s="2" t="s">
        <v>101</v>
      </c>
      <c r="H29" s="2" t="s">
        <v>25</v>
      </c>
      <c r="I29" s="75" t="s">
        <v>12940</v>
      </c>
      <c r="J29" s="9" t="s">
        <v>13000</v>
      </c>
      <c r="K29" s="10">
        <v>7620855000</v>
      </c>
      <c r="L29" s="10" t="s">
        <v>84</v>
      </c>
      <c r="M29" s="10" t="s">
        <v>15</v>
      </c>
      <c r="N29" s="10" t="s">
        <v>18</v>
      </c>
      <c r="O29" s="10" t="s">
        <v>13093</v>
      </c>
      <c r="P29" s="10" t="s">
        <v>28</v>
      </c>
      <c r="Q29" s="2" t="s">
        <v>39</v>
      </c>
      <c r="R29" s="27" t="str">
        <f>VLOOKUP(Tabla1[[#This Row],[DETALLE ]],DATOS!L:M,2,0)</f>
        <v>PICKING</v>
      </c>
      <c r="S29" s="41" t="str">
        <f>IFERROR(IFERROR(VLOOKUP(Tabla1[[#This Row],[USUARIO PICKING ERROR]],DATOS!H:J,3,0),VLOOKUP(Tabla1[[#This Row],[USUARIO FILTRO ERROR]],DATOS!O:P,2,0)),"-")</f>
        <v>DAVID PIÑAN</v>
      </c>
      <c r="T29" s="27" t="str">
        <f>UPPER(VLOOKUP(Tabla1[[#This Row],[CODIGO]],DATOS!A:E,5,0))</f>
        <v>FLUJO CONTINUO</v>
      </c>
      <c r="U29" s="31">
        <f>(Tabla1[[#This Row],[CANTIDAD]])*(VLOOKUP(Tabla1[[#This Row],[CODIGO]],DATOS!A:D,4,0))</f>
        <v>100.04</v>
      </c>
      <c r="V29" s="31" t="str">
        <f>VLOOKUP(Tabla1[[#This Row],[CODIGO]],DATOS!A:C,3,0)</f>
        <v>ABARROTES BEBIBLES</v>
      </c>
      <c r="W29" s="31" t="s">
        <v>13322</v>
      </c>
      <c r="X29" s="28" t="s">
        <v>13086</v>
      </c>
      <c r="Y29" s="28" t="s">
        <v>13113</v>
      </c>
    </row>
    <row r="30" spans="1:25" ht="12" customHeight="1" x14ac:dyDescent="0.25">
      <c r="A30" s="46">
        <v>45660</v>
      </c>
      <c r="B30" s="2" t="s">
        <v>12974</v>
      </c>
      <c r="C30" s="2">
        <v>7620860524</v>
      </c>
      <c r="D30" s="2">
        <v>984571</v>
      </c>
      <c r="E30" s="2" t="s">
        <v>7524</v>
      </c>
      <c r="F30" s="2">
        <v>24</v>
      </c>
      <c r="G30" s="2" t="s">
        <v>12991</v>
      </c>
      <c r="H30" s="2" t="s">
        <v>25</v>
      </c>
      <c r="I30" s="75" t="s">
        <v>12940</v>
      </c>
      <c r="J30" s="9" t="s">
        <v>15</v>
      </c>
      <c r="K30" s="10" t="s">
        <v>15</v>
      </c>
      <c r="L30" s="10" t="s">
        <v>84</v>
      </c>
      <c r="M30" s="10" t="s">
        <v>15</v>
      </c>
      <c r="N30" s="10" t="s">
        <v>18</v>
      </c>
      <c r="O30" s="10" t="s">
        <v>13093</v>
      </c>
      <c r="P30" s="10" t="s">
        <v>28</v>
      </c>
      <c r="Q30" s="2" t="s">
        <v>39</v>
      </c>
      <c r="R30" s="27" t="str">
        <f>VLOOKUP(Tabla1[[#This Row],[DETALLE ]],DATOS!L:M,2,0)</f>
        <v>PICKING</v>
      </c>
      <c r="S30" s="41" t="str">
        <f>IFERROR(IFERROR(VLOOKUP(Tabla1[[#This Row],[USUARIO PICKING ERROR]],DATOS!H:J,3,0),VLOOKUP(Tabla1[[#This Row],[USUARIO FILTRO ERROR]],DATOS!O:P,2,0)),"-")</f>
        <v>DAVID PIÑAN</v>
      </c>
      <c r="T30" s="27" t="str">
        <f>UPPER(VLOOKUP(Tabla1[[#This Row],[CODIGO]],DATOS!A:E,5,0))</f>
        <v>FLUJO CONTINUO</v>
      </c>
      <c r="U30" s="31">
        <f>(Tabla1[[#This Row],[CANTIDAD]])*(VLOOKUP(Tabla1[[#This Row],[CODIGO]],DATOS!A:D,4,0))</f>
        <v>120.96000000000001</v>
      </c>
      <c r="V30" s="31" t="str">
        <f>VLOOKUP(Tabla1[[#This Row],[CODIGO]],DATOS!A:C,3,0)</f>
        <v>ABARROTES BEBIBLES</v>
      </c>
      <c r="W30" s="31" t="s">
        <v>13322</v>
      </c>
      <c r="X30" s="28" t="s">
        <v>13086</v>
      </c>
      <c r="Y30" s="28" t="s">
        <v>13113</v>
      </c>
    </row>
    <row r="31" spans="1:25" ht="12" customHeight="1" x14ac:dyDescent="0.25">
      <c r="A31" s="46">
        <v>45660</v>
      </c>
      <c r="B31" s="2" t="s">
        <v>15</v>
      </c>
      <c r="C31" s="2" t="s">
        <v>15</v>
      </c>
      <c r="D31" s="2">
        <v>983944</v>
      </c>
      <c r="E31" s="2" t="s">
        <v>7502</v>
      </c>
      <c r="F31" s="2">
        <v>6</v>
      </c>
      <c r="G31" s="2" t="s">
        <v>12990</v>
      </c>
      <c r="H31" s="2" t="s">
        <v>25</v>
      </c>
      <c r="I31" s="75" t="s">
        <v>15</v>
      </c>
      <c r="J31" s="9" t="s">
        <v>15</v>
      </c>
      <c r="K31" s="10" t="s">
        <v>15</v>
      </c>
      <c r="L31" s="10" t="s">
        <v>12933</v>
      </c>
      <c r="M31" s="10" t="s">
        <v>15</v>
      </c>
      <c r="N31" s="10" t="s">
        <v>18</v>
      </c>
      <c r="O31" s="10" t="s">
        <v>13093</v>
      </c>
      <c r="P31" s="10" t="s">
        <v>28</v>
      </c>
      <c r="Q31" s="2" t="s">
        <v>29</v>
      </c>
      <c r="R31" s="27" t="str">
        <f>VLOOKUP(Tabla1[[#This Row],[DETALLE ]],DATOS!L:M,2,0)</f>
        <v>PICKING</v>
      </c>
      <c r="S31" s="41" t="str">
        <f>IFERROR(IFERROR(VLOOKUP(Tabla1[[#This Row],[USUARIO PICKING ERROR]],DATOS!H:J,3,0),VLOOKUP(Tabla1[[#This Row],[USUARIO FILTRO ERROR]],DATOS!O:P,2,0)),"-")</f>
        <v>BENJAMIN LIZARBE</v>
      </c>
      <c r="T31" s="27" t="str">
        <f>UPPER(VLOOKUP(Tabla1[[#This Row],[CODIGO]],DATOS!A:E,5,0))</f>
        <v>FLUJO CONTINUO</v>
      </c>
      <c r="U31" s="31">
        <f>(Tabla1[[#This Row],[CANTIDAD]])*(VLOOKUP(Tabla1[[#This Row],[CODIGO]],DATOS!A:D,4,0))</f>
        <v>366.9</v>
      </c>
      <c r="V31" s="31" t="str">
        <f>VLOOKUP(Tabla1[[#This Row],[CODIGO]],DATOS!A:C,3,0)</f>
        <v>ABARROTES BEBIBLES</v>
      </c>
      <c r="W31" s="31" t="s">
        <v>13322</v>
      </c>
      <c r="X31" s="28" t="s">
        <v>13086</v>
      </c>
      <c r="Y31" s="28" t="s">
        <v>13113</v>
      </c>
    </row>
    <row r="32" spans="1:25" ht="12" customHeight="1" x14ac:dyDescent="0.25">
      <c r="A32" s="46">
        <v>45660</v>
      </c>
      <c r="B32" s="2" t="s">
        <v>74</v>
      </c>
      <c r="C32" s="2">
        <v>7620858694</v>
      </c>
      <c r="D32" s="2">
        <v>383353</v>
      </c>
      <c r="E32" s="2" t="s">
        <v>1821</v>
      </c>
      <c r="F32" s="2">
        <v>36</v>
      </c>
      <c r="G32" s="2" t="s">
        <v>12992</v>
      </c>
      <c r="H32" s="2" t="s">
        <v>25</v>
      </c>
      <c r="I32" s="75" t="s">
        <v>12940</v>
      </c>
      <c r="J32" s="9" t="s">
        <v>106</v>
      </c>
      <c r="K32" s="10">
        <v>7620854812</v>
      </c>
      <c r="L32" s="10" t="s">
        <v>12911</v>
      </c>
      <c r="M32" s="10" t="s">
        <v>15</v>
      </c>
      <c r="N32" s="10" t="s">
        <v>18</v>
      </c>
      <c r="O32" s="10" t="s">
        <v>13093</v>
      </c>
      <c r="P32" s="10" t="s">
        <v>28</v>
      </c>
      <c r="Q32" s="2" t="s">
        <v>39</v>
      </c>
      <c r="R32" s="27" t="str">
        <f>VLOOKUP(Tabla1[[#This Row],[DETALLE ]],DATOS!L:M,2,0)</f>
        <v>PICKING</v>
      </c>
      <c r="S32" s="41" t="str">
        <f>IFERROR(IFERROR(VLOOKUP(Tabla1[[#This Row],[USUARIO PICKING ERROR]],DATOS!H:J,3,0),VLOOKUP(Tabla1[[#This Row],[USUARIO FILTRO ERROR]],DATOS!O:P,2,0)),"-")</f>
        <v>DAVID PIÑAN</v>
      </c>
      <c r="T32" s="27" t="str">
        <f>UPPER(VLOOKUP(Tabla1[[#This Row],[CODIGO]],DATOS!A:E,5,0))</f>
        <v>FLUJO CONTINUO</v>
      </c>
      <c r="U32" s="31">
        <f>(Tabla1[[#This Row],[CANTIDAD]])*(VLOOKUP(Tabla1[[#This Row],[CODIGO]],DATOS!A:D,4,0))</f>
        <v>191.16</v>
      </c>
      <c r="V32" s="31" t="str">
        <f>VLOOKUP(Tabla1[[#This Row],[CODIGO]],DATOS!A:C,3,0)</f>
        <v>ABARROTES BEBIBLES</v>
      </c>
      <c r="W32" s="31" t="s">
        <v>13322</v>
      </c>
      <c r="X32" s="28" t="s">
        <v>13086</v>
      </c>
      <c r="Y32" s="28" t="s">
        <v>13113</v>
      </c>
    </row>
    <row r="33" spans="1:25" ht="12" customHeight="1" x14ac:dyDescent="0.25">
      <c r="A33" s="46">
        <v>45660</v>
      </c>
      <c r="B33" s="2" t="s">
        <v>15</v>
      </c>
      <c r="C33" s="2" t="s">
        <v>15</v>
      </c>
      <c r="D33" s="2">
        <v>1009738</v>
      </c>
      <c r="E33" s="2" t="s">
        <v>10655</v>
      </c>
      <c r="F33" s="2">
        <v>2</v>
      </c>
      <c r="G33" s="2" t="s">
        <v>12990</v>
      </c>
      <c r="H33" s="2" t="s">
        <v>17</v>
      </c>
      <c r="I33" s="75" t="s">
        <v>15</v>
      </c>
      <c r="J33" s="9" t="s">
        <v>15</v>
      </c>
      <c r="K33" s="10" t="s">
        <v>15</v>
      </c>
      <c r="L33" s="10" t="s">
        <v>12934</v>
      </c>
      <c r="M33" s="10" t="s">
        <v>15</v>
      </c>
      <c r="N33" s="10" t="s">
        <v>18</v>
      </c>
      <c r="O33" s="10" t="s">
        <v>13020</v>
      </c>
      <c r="P33" s="10" t="s">
        <v>17</v>
      </c>
      <c r="Q33" s="2" t="s">
        <v>29</v>
      </c>
      <c r="R33" s="27" t="str">
        <f>VLOOKUP(Tabla1[[#This Row],[DETALLE ]],DATOS!L:M,2,0)</f>
        <v>PICKING</v>
      </c>
      <c r="S33" s="41" t="str">
        <f>IFERROR(IFERROR(VLOOKUP(Tabla1[[#This Row],[USUARIO PICKING ERROR]],DATOS!H:J,3,0),VLOOKUP(Tabla1[[#This Row],[USUARIO FILTRO ERROR]],DATOS!O:P,2,0)),"-")</f>
        <v>BENJAMIN LIZARBE</v>
      </c>
      <c r="T33" s="27" t="str">
        <f>UPPER(VLOOKUP(Tabla1[[#This Row],[CODIGO]],DATOS!A:E,5,0))</f>
        <v>FLUJO CONTINUO</v>
      </c>
      <c r="U33" s="31">
        <f>(Tabla1[[#This Row],[CANTIDAD]])*(VLOOKUP(Tabla1[[#This Row],[CODIGO]],DATOS!A:D,4,0))</f>
        <v>77.52</v>
      </c>
      <c r="V33" s="31" t="str">
        <f>VLOOKUP(Tabla1[[#This Row],[CODIGO]],DATOS!A:C,3,0)</f>
        <v>ABARROTES NO COMESTIBLES</v>
      </c>
      <c r="W33" s="31" t="s">
        <v>13322</v>
      </c>
      <c r="X33" s="28" t="s">
        <v>21</v>
      </c>
      <c r="Y33" s="28" t="s">
        <v>13113</v>
      </c>
    </row>
    <row r="34" spans="1:25" ht="12" customHeight="1" x14ac:dyDescent="0.25">
      <c r="A34" s="46">
        <v>45660</v>
      </c>
      <c r="B34" s="2" t="s">
        <v>15</v>
      </c>
      <c r="C34" s="2" t="s">
        <v>15</v>
      </c>
      <c r="D34" s="2">
        <v>1019409</v>
      </c>
      <c r="E34" s="2" t="s">
        <v>10614</v>
      </c>
      <c r="F34" s="2">
        <v>1</v>
      </c>
      <c r="G34" s="2" t="s">
        <v>12990</v>
      </c>
      <c r="H34" s="2" t="s">
        <v>17</v>
      </c>
      <c r="I34" s="75" t="s">
        <v>15</v>
      </c>
      <c r="J34" s="9" t="s">
        <v>15</v>
      </c>
      <c r="K34" s="10" t="s">
        <v>15</v>
      </c>
      <c r="L34" s="10" t="s">
        <v>12935</v>
      </c>
      <c r="M34" s="10" t="s">
        <v>15</v>
      </c>
      <c r="N34" s="10" t="s">
        <v>18</v>
      </c>
      <c r="O34" s="10" t="s">
        <v>13020</v>
      </c>
      <c r="P34" s="10" t="s">
        <v>17</v>
      </c>
      <c r="Q34" s="2" t="s">
        <v>29</v>
      </c>
      <c r="R34" s="27" t="str">
        <f>VLOOKUP(Tabla1[[#This Row],[DETALLE ]],DATOS!L:M,2,0)</f>
        <v>PICKING</v>
      </c>
      <c r="S34" s="41" t="str">
        <f>IFERROR(IFERROR(VLOOKUP(Tabla1[[#This Row],[USUARIO PICKING ERROR]],DATOS!H:J,3,0),VLOOKUP(Tabla1[[#This Row],[USUARIO FILTRO ERROR]],DATOS!O:P,2,0)),"-")</f>
        <v>BENJAMIN LIZARBE</v>
      </c>
      <c r="T34" s="27" t="str">
        <f>UPPER(VLOOKUP(Tabla1[[#This Row],[CODIGO]],DATOS!A:E,5,0))</f>
        <v>FLUJO CONTINUO</v>
      </c>
      <c r="U34" s="31">
        <f>(Tabla1[[#This Row],[CANTIDAD]])*(VLOOKUP(Tabla1[[#This Row],[CODIGO]],DATOS!A:D,4,0))</f>
        <v>38.92</v>
      </c>
      <c r="V34" s="31" t="str">
        <f>VLOOKUP(Tabla1[[#This Row],[CODIGO]],DATOS!A:C,3,0)</f>
        <v>ABARROTES BEBIBLES</v>
      </c>
      <c r="W34" s="31" t="s">
        <v>13322</v>
      </c>
      <c r="X34" s="28" t="s">
        <v>21</v>
      </c>
      <c r="Y34" s="28" t="s">
        <v>13113</v>
      </c>
    </row>
    <row r="35" spans="1:25" ht="12" customHeight="1" x14ac:dyDescent="0.25">
      <c r="A35" s="46">
        <v>45660</v>
      </c>
      <c r="B35" s="2" t="s">
        <v>12976</v>
      </c>
      <c r="C35" s="2">
        <v>7600322420</v>
      </c>
      <c r="D35" s="2">
        <v>938023004</v>
      </c>
      <c r="E35" s="2" t="s">
        <v>10703</v>
      </c>
      <c r="F35" s="2">
        <v>6</v>
      </c>
      <c r="G35" s="2" t="s">
        <v>12990</v>
      </c>
      <c r="H35" s="2" t="s">
        <v>25</v>
      </c>
      <c r="I35" s="75" t="s">
        <v>15</v>
      </c>
      <c r="J35" s="9" t="s">
        <v>15</v>
      </c>
      <c r="K35" s="10" t="s">
        <v>15</v>
      </c>
      <c r="L35" s="10" t="s">
        <v>12900</v>
      </c>
      <c r="M35" s="10" t="s">
        <v>15</v>
      </c>
      <c r="N35" s="10" t="s">
        <v>18</v>
      </c>
      <c r="O35" s="10" t="s">
        <v>13098</v>
      </c>
      <c r="P35" s="10" t="s">
        <v>28</v>
      </c>
      <c r="Q35" s="2" t="s">
        <v>29</v>
      </c>
      <c r="R35" s="27" t="str">
        <f>VLOOKUP(Tabla1[[#This Row],[DETALLE ]],DATOS!L:M,2,0)</f>
        <v>PICKING</v>
      </c>
      <c r="S35" s="41" t="str">
        <f>IFERROR(IFERROR(VLOOKUP(Tabla1[[#This Row],[USUARIO PICKING ERROR]],DATOS!H:J,3,0),VLOOKUP(Tabla1[[#This Row],[USUARIO FILTRO ERROR]],DATOS!O:P,2,0)),"-")</f>
        <v>BENJAMIN LIZARBE</v>
      </c>
      <c r="T35" s="27" t="str">
        <f>UPPER(VLOOKUP(Tabla1[[#This Row],[CODIGO]],DATOS!A:E,5,0))</f>
        <v>ALMACENADO</v>
      </c>
      <c r="U35" s="31">
        <f>(Tabla1[[#This Row],[CANTIDAD]])*(VLOOKUP(Tabla1[[#This Row],[CODIGO]],DATOS!A:D,4,0))</f>
        <v>118.80000000000001</v>
      </c>
      <c r="V35" s="31" t="str">
        <f>VLOOKUP(Tabla1[[#This Row],[CODIGO]],DATOS!A:C,3,0)</f>
        <v>ABARROTES COMESTIBLES</v>
      </c>
      <c r="W35" s="31" t="s">
        <v>13322</v>
      </c>
      <c r="X35" s="28" t="s">
        <v>13086</v>
      </c>
      <c r="Y35" s="28" t="s">
        <v>13113</v>
      </c>
    </row>
    <row r="36" spans="1:25" ht="12" customHeight="1" x14ac:dyDescent="0.25">
      <c r="A36" s="46">
        <v>45660</v>
      </c>
      <c r="B36" s="2" t="s">
        <v>68</v>
      </c>
      <c r="C36" s="2">
        <v>7600322413</v>
      </c>
      <c r="D36" s="2">
        <v>929009</v>
      </c>
      <c r="E36" s="2" t="s">
        <v>196</v>
      </c>
      <c r="F36" s="2">
        <v>1</v>
      </c>
      <c r="G36" s="2" t="s">
        <v>12990</v>
      </c>
      <c r="H36" s="2" t="s">
        <v>17</v>
      </c>
      <c r="I36" s="75" t="s">
        <v>15</v>
      </c>
      <c r="J36" s="9" t="s">
        <v>15</v>
      </c>
      <c r="K36" s="10" t="s">
        <v>15</v>
      </c>
      <c r="L36" s="10" t="s">
        <v>132</v>
      </c>
      <c r="M36" s="10" t="s">
        <v>15</v>
      </c>
      <c r="N36" s="10" t="s">
        <v>18</v>
      </c>
      <c r="O36" s="10" t="s">
        <v>13021</v>
      </c>
      <c r="P36" s="10" t="s">
        <v>28</v>
      </c>
      <c r="Q36" s="2" t="s">
        <v>29</v>
      </c>
      <c r="R36" s="27" t="str">
        <f>VLOOKUP(Tabla1[[#This Row],[DETALLE ]],DATOS!L:M,2,0)</f>
        <v>PICKING</v>
      </c>
      <c r="S36" s="41" t="str">
        <f>IFERROR(IFERROR(VLOOKUP(Tabla1[[#This Row],[USUARIO PICKING ERROR]],DATOS!H:J,3,0),VLOOKUP(Tabla1[[#This Row],[USUARIO FILTRO ERROR]],DATOS!O:P,2,0)),"-")</f>
        <v>BENJAMIN LIZARBE</v>
      </c>
      <c r="T36" s="27" t="str">
        <f>UPPER(VLOOKUP(Tabla1[[#This Row],[CODIGO]],DATOS!A:E,5,0))</f>
        <v>ALMACENADO</v>
      </c>
      <c r="U36" s="31">
        <f>(Tabla1[[#This Row],[CANTIDAD]])*(VLOOKUP(Tabla1[[#This Row],[CODIGO]],DATOS!A:D,4,0))</f>
        <v>164.41</v>
      </c>
      <c r="V36" s="31" t="str">
        <f>VLOOKUP(Tabla1[[#This Row],[CODIGO]],DATOS!A:C,3,0)</f>
        <v>ABARROTES BEBIBLES</v>
      </c>
      <c r="W36" s="31" t="s">
        <v>13322</v>
      </c>
      <c r="X36" s="28" t="s">
        <v>13086</v>
      </c>
      <c r="Y36" s="28" t="s">
        <v>13113</v>
      </c>
    </row>
    <row r="37" spans="1:25" ht="12" customHeight="1" x14ac:dyDescent="0.25">
      <c r="A37" s="46">
        <v>45661</v>
      </c>
      <c r="B37" s="2" t="s">
        <v>12977</v>
      </c>
      <c r="C37" s="2">
        <v>7620848494</v>
      </c>
      <c r="D37" s="2">
        <v>4352</v>
      </c>
      <c r="E37" s="2" t="s">
        <v>540</v>
      </c>
      <c r="F37" s="2">
        <v>12</v>
      </c>
      <c r="G37" s="2" t="s">
        <v>101</v>
      </c>
      <c r="H37" s="2" t="s">
        <v>17</v>
      </c>
      <c r="I37" s="75" t="s">
        <v>12940</v>
      </c>
      <c r="J37" s="9" t="s">
        <v>15</v>
      </c>
      <c r="K37" s="10" t="s">
        <v>15</v>
      </c>
      <c r="L37" s="10" t="s">
        <v>12900</v>
      </c>
      <c r="M37" s="10" t="s">
        <v>15</v>
      </c>
      <c r="N37" s="10" t="s">
        <v>18</v>
      </c>
      <c r="O37" s="10" t="s">
        <v>13021</v>
      </c>
      <c r="P37" s="10" t="s">
        <v>28</v>
      </c>
      <c r="Q37" s="2" t="s">
        <v>29</v>
      </c>
      <c r="R37" s="27" t="str">
        <f>VLOOKUP(Tabla1[[#This Row],[DETALLE ]],DATOS!L:M,2,0)</f>
        <v>PICKING</v>
      </c>
      <c r="S37" s="41" t="str">
        <f>IFERROR(IFERROR(VLOOKUP(Tabla1[[#This Row],[USUARIO PICKING ERROR]],DATOS!H:J,3,0),VLOOKUP(Tabla1[[#This Row],[USUARIO FILTRO ERROR]],DATOS!O:P,2,0)),"-")</f>
        <v>BENJAMIN LIZARBE</v>
      </c>
      <c r="T37" s="27" t="str">
        <f>UPPER(VLOOKUP(Tabla1[[#This Row],[CODIGO]],DATOS!A:E,5,0))</f>
        <v>ALMACENADO</v>
      </c>
      <c r="U37" s="31">
        <f>(Tabla1[[#This Row],[CANTIDAD]])*(VLOOKUP(Tabla1[[#This Row],[CODIGO]],DATOS!A:D,4,0))</f>
        <v>36</v>
      </c>
      <c r="V37" s="31" t="str">
        <f>VLOOKUP(Tabla1[[#This Row],[CODIGO]],DATOS!A:C,3,0)</f>
        <v>ABARROTES COMESTIBLES</v>
      </c>
      <c r="W37" s="31" t="s">
        <v>13322</v>
      </c>
      <c r="X37" s="28" t="s">
        <v>13086</v>
      </c>
      <c r="Y37" s="28" t="s">
        <v>13113</v>
      </c>
    </row>
    <row r="38" spans="1:25" ht="12" customHeight="1" x14ac:dyDescent="0.25">
      <c r="A38" s="46">
        <v>45661</v>
      </c>
      <c r="B38" s="2" t="s">
        <v>48</v>
      </c>
      <c r="C38" s="2">
        <v>7620858296</v>
      </c>
      <c r="D38" s="2">
        <v>270402</v>
      </c>
      <c r="E38" s="2" t="s">
        <v>1506</v>
      </c>
      <c r="F38" s="2">
        <v>1</v>
      </c>
      <c r="G38" s="2" t="s">
        <v>101</v>
      </c>
      <c r="H38" s="2" t="s">
        <v>17</v>
      </c>
      <c r="I38" s="75" t="s">
        <v>12940</v>
      </c>
      <c r="J38" s="9" t="s">
        <v>48</v>
      </c>
      <c r="K38" s="10">
        <v>7620858296</v>
      </c>
      <c r="L38" s="10" t="s">
        <v>15</v>
      </c>
      <c r="M38" s="10" t="s">
        <v>101</v>
      </c>
      <c r="N38" s="10" t="s">
        <v>12957</v>
      </c>
      <c r="O38" s="10" t="s">
        <v>13100</v>
      </c>
      <c r="P38" s="10" t="s">
        <v>28</v>
      </c>
      <c r="Q38" s="2" t="s">
        <v>39</v>
      </c>
      <c r="R38" s="27" t="str">
        <f>VLOOKUP(Tabla1[[#This Row],[DETALLE ]],DATOS!L:M,2,0)</f>
        <v>FILTRO</v>
      </c>
      <c r="S38" s="41" t="str">
        <f>IFERROR(IFERROR(VLOOKUP(Tabla1[[#This Row],[USUARIO PICKING ERROR]],DATOS!H:J,3,0),VLOOKUP(Tabla1[[#This Row],[USUARIO FILTRO ERROR]],DATOS!O:P,2,0)),"-")</f>
        <v>DAVID PIÑAN</v>
      </c>
      <c r="T38" s="27" t="str">
        <f>UPPER(VLOOKUP(Tabla1[[#This Row],[CODIGO]],DATOS!A:E,5,0))</f>
        <v>FLUJO CONTINUO</v>
      </c>
      <c r="U38" s="31">
        <f>(Tabla1[[#This Row],[CANTIDAD]])*(VLOOKUP(Tabla1[[#This Row],[CODIGO]],DATOS!A:D,4,0))</f>
        <v>28.06</v>
      </c>
      <c r="V38" s="31" t="str">
        <f>VLOOKUP(Tabla1[[#This Row],[CODIGO]],DATOS!A:C,3,0)</f>
        <v>ABARROTES BEBIBLES</v>
      </c>
      <c r="W38" s="31" t="s">
        <v>13322</v>
      </c>
      <c r="X38" s="28" t="s">
        <v>13086</v>
      </c>
      <c r="Y38" s="28" t="s">
        <v>13113</v>
      </c>
    </row>
    <row r="39" spans="1:25" ht="12" customHeight="1" x14ac:dyDescent="0.25">
      <c r="A39" s="46">
        <v>45661</v>
      </c>
      <c r="B39" s="2" t="s">
        <v>48</v>
      </c>
      <c r="C39" s="2">
        <v>7620858296</v>
      </c>
      <c r="D39" s="2">
        <v>396035005</v>
      </c>
      <c r="E39" s="2" t="s">
        <v>9712</v>
      </c>
      <c r="F39" s="2">
        <v>12</v>
      </c>
      <c r="G39" s="2" t="s">
        <v>101</v>
      </c>
      <c r="H39" s="2" t="s">
        <v>17</v>
      </c>
      <c r="I39" s="75" t="s">
        <v>12940</v>
      </c>
      <c r="J39" s="9" t="s">
        <v>48</v>
      </c>
      <c r="K39" s="10">
        <v>7620858296</v>
      </c>
      <c r="L39" s="10" t="s">
        <v>13096</v>
      </c>
      <c r="M39" s="10" t="s">
        <v>15</v>
      </c>
      <c r="N39" s="10" t="s">
        <v>18</v>
      </c>
      <c r="O39" s="10" t="s">
        <v>13095</v>
      </c>
      <c r="P39" s="10" t="s">
        <v>28</v>
      </c>
      <c r="Q39" s="2" t="s">
        <v>39</v>
      </c>
      <c r="R39" s="27" t="str">
        <f>VLOOKUP(Tabla1[[#This Row],[DETALLE ]],DATOS!L:M,2,0)</f>
        <v>PICKING</v>
      </c>
      <c r="S39" s="41" t="str">
        <f>IFERROR(IFERROR(VLOOKUP(Tabla1[[#This Row],[USUARIO PICKING ERROR]],DATOS!H:J,3,0),VLOOKUP(Tabla1[[#This Row],[USUARIO FILTRO ERROR]],DATOS!O:P,2,0)),"-")</f>
        <v>BENJAMIN LIZARBE</v>
      </c>
      <c r="T39" s="27" t="str">
        <f>UPPER(VLOOKUP(Tabla1[[#This Row],[CODIGO]],DATOS!A:E,5,0))</f>
        <v>ALMACENADO</v>
      </c>
      <c r="U39" s="31">
        <f>(Tabla1[[#This Row],[CANTIDAD]])*(VLOOKUP(Tabla1[[#This Row],[CODIGO]],DATOS!A:D,4,0))</f>
        <v>33.119999999999997</v>
      </c>
      <c r="V39" s="31" t="str">
        <f>VLOOKUP(Tabla1[[#This Row],[CODIGO]],DATOS!A:C,3,0)</f>
        <v>ABARROTES COMESTIBLES</v>
      </c>
      <c r="W39" s="31" t="s">
        <v>13322</v>
      </c>
      <c r="X39" s="28" t="s">
        <v>13086</v>
      </c>
      <c r="Y39" s="28" t="s">
        <v>13113</v>
      </c>
    </row>
    <row r="40" spans="1:25" ht="12" customHeight="1" x14ac:dyDescent="0.25">
      <c r="A40" s="46">
        <v>45661</v>
      </c>
      <c r="B40" s="2" t="s">
        <v>12978</v>
      </c>
      <c r="C40" s="2">
        <v>7620854569</v>
      </c>
      <c r="D40" s="2">
        <v>3730</v>
      </c>
      <c r="E40" s="2" t="s">
        <v>97</v>
      </c>
      <c r="F40" s="2">
        <v>12</v>
      </c>
      <c r="G40" s="2" t="s">
        <v>101</v>
      </c>
      <c r="H40" s="2" t="s">
        <v>17</v>
      </c>
      <c r="I40" s="75" t="s">
        <v>12940</v>
      </c>
      <c r="J40" s="9" t="s">
        <v>12980</v>
      </c>
      <c r="K40" s="10">
        <v>7620854687</v>
      </c>
      <c r="L40" s="10" t="s">
        <v>84</v>
      </c>
      <c r="M40" s="10" t="s">
        <v>15</v>
      </c>
      <c r="N40" s="10" t="s">
        <v>18</v>
      </c>
      <c r="O40" s="10" t="s">
        <v>13020</v>
      </c>
      <c r="P40" s="10" t="s">
        <v>28</v>
      </c>
      <c r="Q40" s="2" t="s">
        <v>39</v>
      </c>
      <c r="R40" s="27" t="str">
        <f>VLOOKUP(Tabla1[[#This Row],[DETALLE ]],DATOS!L:M,2,0)</f>
        <v>PICKING</v>
      </c>
      <c r="S40" s="41" t="str">
        <f>IFERROR(IFERROR(VLOOKUP(Tabla1[[#This Row],[USUARIO PICKING ERROR]],DATOS!H:J,3,0),VLOOKUP(Tabla1[[#This Row],[USUARIO FILTRO ERROR]],DATOS!O:P,2,0)),"-")</f>
        <v>DAVID PIÑAN</v>
      </c>
      <c r="T40" s="27" t="str">
        <f>UPPER(VLOOKUP(Tabla1[[#This Row],[CODIGO]],DATOS!A:E,5,0))</f>
        <v>FLUJO CONTINUO</v>
      </c>
      <c r="U40" s="31">
        <f>(Tabla1[[#This Row],[CANTIDAD]])*(VLOOKUP(Tabla1[[#This Row],[CODIGO]],DATOS!A:D,4,0))</f>
        <v>171.60000000000002</v>
      </c>
      <c r="V40" s="31" t="str">
        <f>VLOOKUP(Tabla1[[#This Row],[CODIGO]],DATOS!A:C,3,0)</f>
        <v>ABARROTES BEBIBLES</v>
      </c>
      <c r="W40" s="31" t="s">
        <v>13322</v>
      </c>
      <c r="X40" s="28" t="s">
        <v>13086</v>
      </c>
      <c r="Y40" s="28" t="s">
        <v>13113</v>
      </c>
    </row>
    <row r="41" spans="1:25" ht="12" customHeight="1" x14ac:dyDescent="0.25">
      <c r="A41" s="46">
        <v>45661</v>
      </c>
      <c r="B41" s="2" t="s">
        <v>88</v>
      </c>
      <c r="C41" s="2">
        <v>7620859606</v>
      </c>
      <c r="D41" s="2">
        <v>200123</v>
      </c>
      <c r="E41" s="2" t="s">
        <v>1307</v>
      </c>
      <c r="F41" s="2">
        <v>5</v>
      </c>
      <c r="G41" s="2" t="s">
        <v>101</v>
      </c>
      <c r="H41" s="2" t="s">
        <v>17</v>
      </c>
      <c r="I41" s="75" t="s">
        <v>12940</v>
      </c>
      <c r="J41" s="9" t="s">
        <v>88</v>
      </c>
      <c r="K41" s="10">
        <v>7620859606</v>
      </c>
      <c r="L41" s="10" t="s">
        <v>15</v>
      </c>
      <c r="M41" s="10" t="s">
        <v>101</v>
      </c>
      <c r="N41" s="10" t="s">
        <v>12957</v>
      </c>
      <c r="O41" s="10" t="s">
        <v>13100</v>
      </c>
      <c r="P41" s="10" t="s">
        <v>28</v>
      </c>
      <c r="Q41" s="2" t="s">
        <v>39</v>
      </c>
      <c r="R41" s="27" t="str">
        <f>VLOOKUP(Tabla1[[#This Row],[DETALLE ]],DATOS!L:M,2,0)</f>
        <v>FILTRO</v>
      </c>
      <c r="S41" s="41" t="str">
        <f>IFERROR(IFERROR(VLOOKUP(Tabla1[[#This Row],[USUARIO PICKING ERROR]],DATOS!H:J,3,0),VLOOKUP(Tabla1[[#This Row],[USUARIO FILTRO ERROR]],DATOS!O:P,2,0)),"-")</f>
        <v>DAVID PIÑAN</v>
      </c>
      <c r="T41" s="27" t="str">
        <f>UPPER(VLOOKUP(Tabla1[[#This Row],[CODIGO]],DATOS!A:E,5,0))</f>
        <v>FLUJO CONTINUO</v>
      </c>
      <c r="U41" s="31">
        <f>(Tabla1[[#This Row],[CANTIDAD]])*(VLOOKUP(Tabla1[[#This Row],[CODIGO]],DATOS!A:D,4,0))</f>
        <v>341.85</v>
      </c>
      <c r="V41" s="31" t="str">
        <f>VLOOKUP(Tabla1[[#This Row],[CODIGO]],DATOS!A:C,3,0)</f>
        <v>ABARROTES BEBIBLES</v>
      </c>
      <c r="W41" s="31" t="s">
        <v>13322</v>
      </c>
      <c r="X41" s="28" t="s">
        <v>13086</v>
      </c>
      <c r="Y41" s="28" t="s">
        <v>13113</v>
      </c>
    </row>
    <row r="42" spans="1:25" ht="12" customHeight="1" x14ac:dyDescent="0.25">
      <c r="A42" s="46">
        <v>45661</v>
      </c>
      <c r="B42" s="2" t="s">
        <v>88</v>
      </c>
      <c r="C42" s="2">
        <v>7620859606</v>
      </c>
      <c r="D42" s="2">
        <v>430418</v>
      </c>
      <c r="E42" s="2" t="s">
        <v>2037</v>
      </c>
      <c r="F42" s="2">
        <v>1</v>
      </c>
      <c r="G42" s="2" t="s">
        <v>101</v>
      </c>
      <c r="H42" s="2" t="s">
        <v>17</v>
      </c>
      <c r="I42" s="75" t="s">
        <v>12940</v>
      </c>
      <c r="J42" s="9" t="s">
        <v>88</v>
      </c>
      <c r="K42" s="10">
        <v>7620859606</v>
      </c>
      <c r="L42" s="10" t="s">
        <v>15</v>
      </c>
      <c r="M42" s="10" t="s">
        <v>101</v>
      </c>
      <c r="N42" s="10" t="s">
        <v>12957</v>
      </c>
      <c r="O42" s="10" t="s">
        <v>13100</v>
      </c>
      <c r="P42" s="10" t="s">
        <v>28</v>
      </c>
      <c r="Q42" s="2" t="s">
        <v>39</v>
      </c>
      <c r="R42" s="27" t="str">
        <f>VLOOKUP(Tabla1[[#This Row],[DETALLE ]],DATOS!L:M,2,0)</f>
        <v>FILTRO</v>
      </c>
      <c r="S42" s="41" t="str">
        <f>IFERROR(IFERROR(VLOOKUP(Tabla1[[#This Row],[USUARIO PICKING ERROR]],DATOS!H:J,3,0),VLOOKUP(Tabla1[[#This Row],[USUARIO FILTRO ERROR]],DATOS!O:P,2,0)),"-")</f>
        <v>DAVID PIÑAN</v>
      </c>
      <c r="T42" s="27" t="str">
        <f>UPPER(VLOOKUP(Tabla1[[#This Row],[CODIGO]],DATOS!A:E,5,0))</f>
        <v>FLUJO CONTINUO</v>
      </c>
      <c r="U42" s="31">
        <f>(Tabla1[[#This Row],[CANTIDAD]])*(VLOOKUP(Tabla1[[#This Row],[CODIGO]],DATOS!A:D,4,0))</f>
        <v>46.77</v>
      </c>
      <c r="V42" s="31" t="str">
        <f>VLOOKUP(Tabla1[[#This Row],[CODIGO]],DATOS!A:C,3,0)</f>
        <v>ABARROTES BEBIBLES</v>
      </c>
      <c r="W42" s="31" t="s">
        <v>13322</v>
      </c>
      <c r="X42" s="28" t="s">
        <v>13086</v>
      </c>
      <c r="Y42" s="28" t="s">
        <v>13113</v>
      </c>
    </row>
    <row r="43" spans="1:25" ht="12" customHeight="1" x14ac:dyDescent="0.25">
      <c r="A43" s="46">
        <v>45661</v>
      </c>
      <c r="B43" s="2" t="s">
        <v>88</v>
      </c>
      <c r="C43" s="2">
        <v>7620859606</v>
      </c>
      <c r="D43" s="2">
        <v>733478001</v>
      </c>
      <c r="E43" s="2" t="s">
        <v>10060</v>
      </c>
      <c r="F43" s="2">
        <v>1</v>
      </c>
      <c r="G43" s="2" t="s">
        <v>101</v>
      </c>
      <c r="H43" s="2" t="s">
        <v>17</v>
      </c>
      <c r="I43" s="75" t="s">
        <v>12940</v>
      </c>
      <c r="J43" s="9" t="s">
        <v>88</v>
      </c>
      <c r="K43" s="10">
        <v>7620859606</v>
      </c>
      <c r="L43" s="10" t="s">
        <v>15</v>
      </c>
      <c r="M43" s="10" t="s">
        <v>101</v>
      </c>
      <c r="N43" s="10" t="s">
        <v>12957</v>
      </c>
      <c r="O43" s="10" t="s">
        <v>13100</v>
      </c>
      <c r="P43" s="10" t="s">
        <v>28</v>
      </c>
      <c r="Q43" s="2" t="s">
        <v>39</v>
      </c>
      <c r="R43" s="27" t="str">
        <f>VLOOKUP(Tabla1[[#This Row],[DETALLE ]],DATOS!L:M,2,0)</f>
        <v>FILTRO</v>
      </c>
      <c r="S43" s="41" t="str">
        <f>IFERROR(IFERROR(VLOOKUP(Tabla1[[#This Row],[USUARIO PICKING ERROR]],DATOS!H:J,3,0),VLOOKUP(Tabla1[[#This Row],[USUARIO FILTRO ERROR]],DATOS!O:P,2,0)),"-")</f>
        <v>DAVID PIÑAN</v>
      </c>
      <c r="T43" s="27" t="str">
        <f>UPPER(VLOOKUP(Tabla1[[#This Row],[CODIGO]],DATOS!A:E,5,0))</f>
        <v>FLUJO CONTINUO</v>
      </c>
      <c r="U43" s="31">
        <f>(Tabla1[[#This Row],[CANTIDAD]])*(VLOOKUP(Tabla1[[#This Row],[CODIGO]],DATOS!A:D,4,0))</f>
        <v>64.760000000000005</v>
      </c>
      <c r="V43" s="31" t="str">
        <f>VLOOKUP(Tabla1[[#This Row],[CODIGO]],DATOS!A:C,3,0)</f>
        <v>ABARROTES BEBIBLES</v>
      </c>
      <c r="W43" s="31" t="s">
        <v>13322</v>
      </c>
      <c r="X43" s="28" t="s">
        <v>13086</v>
      </c>
      <c r="Y43" s="28" t="s">
        <v>13113</v>
      </c>
    </row>
    <row r="44" spans="1:25" ht="12" customHeight="1" x14ac:dyDescent="0.25">
      <c r="A44" s="46">
        <v>45661</v>
      </c>
      <c r="B44" s="2" t="s">
        <v>12979</v>
      </c>
      <c r="C44" s="2">
        <v>7640097023</v>
      </c>
      <c r="D44" s="2">
        <v>1019409</v>
      </c>
      <c r="E44" s="2" t="s">
        <v>10614</v>
      </c>
      <c r="F44" s="2">
        <v>1</v>
      </c>
      <c r="G44" s="2" t="s">
        <v>12990</v>
      </c>
      <c r="H44" s="2" t="s">
        <v>17</v>
      </c>
      <c r="I44" s="75" t="s">
        <v>15</v>
      </c>
      <c r="J44" s="9" t="s">
        <v>15</v>
      </c>
      <c r="K44" s="10" t="s">
        <v>15</v>
      </c>
      <c r="L44" s="10" t="s">
        <v>12888</v>
      </c>
      <c r="M44" s="10" t="s">
        <v>15</v>
      </c>
      <c r="N44" s="10" t="s">
        <v>18</v>
      </c>
      <c r="O44" s="10" t="s">
        <v>13020</v>
      </c>
      <c r="P44" s="10" t="s">
        <v>28</v>
      </c>
      <c r="Q44" s="2" t="s">
        <v>29</v>
      </c>
      <c r="R44" s="27" t="str">
        <f>VLOOKUP(Tabla1[[#This Row],[DETALLE ]],DATOS!L:M,2,0)</f>
        <v>PICKING</v>
      </c>
      <c r="S44" s="41" t="str">
        <f>IFERROR(IFERROR(VLOOKUP(Tabla1[[#This Row],[USUARIO PICKING ERROR]],DATOS!H:J,3,0),VLOOKUP(Tabla1[[#This Row],[USUARIO FILTRO ERROR]],DATOS!O:P,2,0)),"-")</f>
        <v>BENJAMIN LIZARBE</v>
      </c>
      <c r="T44" s="27" t="str">
        <f>UPPER(VLOOKUP(Tabla1[[#This Row],[CODIGO]],DATOS!A:E,5,0))</f>
        <v>FLUJO CONTINUO</v>
      </c>
      <c r="U44" s="31">
        <f>(Tabla1[[#This Row],[CANTIDAD]])*(VLOOKUP(Tabla1[[#This Row],[CODIGO]],DATOS!A:D,4,0))</f>
        <v>38.92</v>
      </c>
      <c r="V44" s="31" t="str">
        <f>VLOOKUP(Tabla1[[#This Row],[CODIGO]],DATOS!A:C,3,0)</f>
        <v>ABARROTES BEBIBLES</v>
      </c>
      <c r="W44" s="31" t="s">
        <v>13322</v>
      </c>
      <c r="X44" s="28" t="s">
        <v>13086</v>
      </c>
      <c r="Y44" s="28" t="s">
        <v>13113</v>
      </c>
    </row>
    <row r="45" spans="1:25" ht="12" customHeight="1" x14ac:dyDescent="0.25">
      <c r="A45" s="46">
        <v>45661</v>
      </c>
      <c r="B45" s="2" t="s">
        <v>15</v>
      </c>
      <c r="C45" s="2" t="s">
        <v>15</v>
      </c>
      <c r="D45" s="2">
        <v>727725</v>
      </c>
      <c r="E45" s="2" t="s">
        <v>3508</v>
      </c>
      <c r="F45" s="2">
        <v>12</v>
      </c>
      <c r="G45" s="2" t="s">
        <v>12990</v>
      </c>
      <c r="H45" s="2" t="s">
        <v>25</v>
      </c>
      <c r="I45" s="75" t="s">
        <v>15</v>
      </c>
      <c r="J45" s="9" t="s">
        <v>15</v>
      </c>
      <c r="K45" s="10" t="s">
        <v>15</v>
      </c>
      <c r="L45" s="10" t="s">
        <v>12889</v>
      </c>
      <c r="M45" s="10" t="s">
        <v>15</v>
      </c>
      <c r="N45" s="10" t="s">
        <v>18</v>
      </c>
      <c r="O45" s="10" t="s">
        <v>13093</v>
      </c>
      <c r="P45" s="10" t="s">
        <v>28</v>
      </c>
      <c r="Q45" s="2" t="s">
        <v>29</v>
      </c>
      <c r="R45" s="27" t="str">
        <f>VLOOKUP(Tabla1[[#This Row],[DETALLE ]],DATOS!L:M,2,0)</f>
        <v>PICKING</v>
      </c>
      <c r="S45" s="41" t="str">
        <f>IFERROR(IFERROR(VLOOKUP(Tabla1[[#This Row],[USUARIO PICKING ERROR]],DATOS!H:J,3,0),VLOOKUP(Tabla1[[#This Row],[USUARIO FILTRO ERROR]],DATOS!O:P,2,0)),"-")</f>
        <v>BENJAMIN LIZARBE</v>
      </c>
      <c r="T45" s="27" t="str">
        <f>UPPER(VLOOKUP(Tabla1[[#This Row],[CODIGO]],DATOS!A:E,5,0))</f>
        <v>FLUJO CONTINUO</v>
      </c>
      <c r="U45" s="31">
        <f>(Tabla1[[#This Row],[CANTIDAD]])*(VLOOKUP(Tabla1[[#This Row],[CODIGO]],DATOS!A:D,4,0))</f>
        <v>666.24</v>
      </c>
      <c r="V45" s="31" t="str">
        <f>VLOOKUP(Tabla1[[#This Row],[CODIGO]],DATOS!A:C,3,0)</f>
        <v>ABARROTES BEBIBLES</v>
      </c>
      <c r="W45" s="31" t="s">
        <v>13322</v>
      </c>
      <c r="X45" s="28" t="s">
        <v>13086</v>
      </c>
      <c r="Y45" s="28" t="s">
        <v>13113</v>
      </c>
    </row>
    <row r="46" spans="1:25" ht="12" customHeight="1" x14ac:dyDescent="0.25">
      <c r="A46" s="46">
        <v>45661</v>
      </c>
      <c r="B46" s="2" t="s">
        <v>15</v>
      </c>
      <c r="C46" s="2" t="s">
        <v>15</v>
      </c>
      <c r="D46" s="2">
        <v>768642</v>
      </c>
      <c r="E46" s="2" t="s">
        <v>4085</v>
      </c>
      <c r="F46" s="2">
        <v>12</v>
      </c>
      <c r="G46" s="2" t="s">
        <v>12990</v>
      </c>
      <c r="H46" s="2" t="s">
        <v>25</v>
      </c>
      <c r="I46" s="75" t="s">
        <v>15</v>
      </c>
      <c r="J46" s="9" t="s">
        <v>70</v>
      </c>
      <c r="K46" s="10">
        <v>7620854473</v>
      </c>
      <c r="L46" s="10" t="s">
        <v>38</v>
      </c>
      <c r="M46" s="10" t="s">
        <v>15</v>
      </c>
      <c r="N46" s="10" t="s">
        <v>18</v>
      </c>
      <c r="O46" s="10" t="s">
        <v>13093</v>
      </c>
      <c r="P46" s="10" t="s">
        <v>28</v>
      </c>
      <c r="Q46" s="2" t="s">
        <v>39</v>
      </c>
      <c r="R46" s="27" t="str">
        <f>VLOOKUP(Tabla1[[#This Row],[DETALLE ]],DATOS!L:M,2,0)</f>
        <v>PICKING</v>
      </c>
      <c r="S46" s="41" t="str">
        <f>IFERROR(IFERROR(VLOOKUP(Tabla1[[#This Row],[USUARIO PICKING ERROR]],DATOS!H:J,3,0),VLOOKUP(Tabla1[[#This Row],[USUARIO FILTRO ERROR]],DATOS!O:P,2,0)),"-")</f>
        <v>DAVID PIÑAN</v>
      </c>
      <c r="T46" s="27" t="str">
        <f>UPPER(VLOOKUP(Tabla1[[#This Row],[CODIGO]],DATOS!A:E,5,0))</f>
        <v>FLUJO CONTINUO</v>
      </c>
      <c r="U46" s="31">
        <f>(Tabla1[[#This Row],[CANTIDAD]])*(VLOOKUP(Tabla1[[#This Row],[CODIGO]],DATOS!A:D,4,0))</f>
        <v>274.32</v>
      </c>
      <c r="V46" s="31" t="str">
        <f>VLOOKUP(Tabla1[[#This Row],[CODIGO]],DATOS!A:C,3,0)</f>
        <v>ABARROTES BEBIBLES</v>
      </c>
      <c r="W46" s="31" t="s">
        <v>13322</v>
      </c>
      <c r="X46" s="28" t="s">
        <v>13086</v>
      </c>
      <c r="Y46" s="28" t="s">
        <v>13113</v>
      </c>
    </row>
    <row r="47" spans="1:25" ht="12" customHeight="1" x14ac:dyDescent="0.25">
      <c r="A47" s="46">
        <v>45661</v>
      </c>
      <c r="B47" s="2" t="s">
        <v>15</v>
      </c>
      <c r="C47" s="2" t="s">
        <v>15</v>
      </c>
      <c r="D47" s="2">
        <v>700007</v>
      </c>
      <c r="E47" s="2" t="s">
        <v>3149</v>
      </c>
      <c r="F47" s="2">
        <v>1</v>
      </c>
      <c r="G47" s="2" t="s">
        <v>12990</v>
      </c>
      <c r="H47" s="2" t="s">
        <v>25</v>
      </c>
      <c r="I47" s="75" t="s">
        <v>15</v>
      </c>
      <c r="J47" s="9" t="s">
        <v>15</v>
      </c>
      <c r="K47" s="10" t="s">
        <v>15</v>
      </c>
      <c r="L47" s="10" t="s">
        <v>82</v>
      </c>
      <c r="M47" s="10" t="s">
        <v>15</v>
      </c>
      <c r="N47" s="10" t="s">
        <v>18</v>
      </c>
      <c r="O47" s="10" t="s">
        <v>13093</v>
      </c>
      <c r="P47" s="10" t="s">
        <v>28</v>
      </c>
      <c r="Q47" s="2" t="s">
        <v>29</v>
      </c>
      <c r="R47" s="27" t="str">
        <f>VLOOKUP(Tabla1[[#This Row],[DETALLE ]],DATOS!L:M,2,0)</f>
        <v>PICKING</v>
      </c>
      <c r="S47" s="41" t="str">
        <f>IFERROR(IFERROR(VLOOKUP(Tabla1[[#This Row],[USUARIO PICKING ERROR]],DATOS!H:J,3,0),VLOOKUP(Tabla1[[#This Row],[USUARIO FILTRO ERROR]],DATOS!O:P,2,0)),"-")</f>
        <v>BENJAMIN LIZARBE</v>
      </c>
      <c r="T47" s="27" t="str">
        <f>UPPER(VLOOKUP(Tabla1[[#This Row],[CODIGO]],DATOS!A:E,5,0))</f>
        <v>FLUJO CONTINUO</v>
      </c>
      <c r="U47" s="31">
        <f>(Tabla1[[#This Row],[CANTIDAD]])*(VLOOKUP(Tabla1[[#This Row],[CODIGO]],DATOS!A:D,4,0))</f>
        <v>46.68</v>
      </c>
      <c r="V47" s="31" t="str">
        <f>VLOOKUP(Tabla1[[#This Row],[CODIGO]],DATOS!A:C,3,0)</f>
        <v>ABARROTES BEBIBLES</v>
      </c>
      <c r="W47" s="31" t="s">
        <v>13322</v>
      </c>
      <c r="X47" s="28" t="s">
        <v>13086</v>
      </c>
      <c r="Y47" s="28" t="s">
        <v>13113</v>
      </c>
    </row>
    <row r="48" spans="1:25" ht="12" customHeight="1" x14ac:dyDescent="0.25">
      <c r="A48" s="46">
        <v>45661</v>
      </c>
      <c r="B48" s="2" t="s">
        <v>70</v>
      </c>
      <c r="C48" s="2">
        <v>7620854473</v>
      </c>
      <c r="D48" s="2">
        <v>1022080</v>
      </c>
      <c r="E48" s="2" t="s">
        <v>10684</v>
      </c>
      <c r="F48" s="2">
        <v>1</v>
      </c>
      <c r="G48" s="2" t="s">
        <v>24</v>
      </c>
      <c r="H48" s="2" t="s">
        <v>17</v>
      </c>
      <c r="I48" s="75" t="s">
        <v>12940</v>
      </c>
      <c r="J48" s="9" t="s">
        <v>70</v>
      </c>
      <c r="K48" s="10">
        <v>7620854473</v>
      </c>
      <c r="L48" s="10" t="s">
        <v>15</v>
      </c>
      <c r="M48" s="10" t="s">
        <v>12991</v>
      </c>
      <c r="N48" s="10" t="s">
        <v>12957</v>
      </c>
      <c r="O48" s="10" t="s">
        <v>13100</v>
      </c>
      <c r="P48" s="10" t="s">
        <v>28</v>
      </c>
      <c r="Q48" s="2" t="s">
        <v>39</v>
      </c>
      <c r="R48" s="27" t="str">
        <f>VLOOKUP(Tabla1[[#This Row],[DETALLE ]],DATOS!L:M,2,0)</f>
        <v>FILTRO</v>
      </c>
      <c r="S48" s="41" t="str">
        <f>IFERROR(IFERROR(VLOOKUP(Tabla1[[#This Row],[USUARIO PICKING ERROR]],DATOS!H:J,3,0),VLOOKUP(Tabla1[[#This Row],[USUARIO FILTRO ERROR]],DATOS!O:P,2,0)),"-")</f>
        <v>DAVID PIÑAN</v>
      </c>
      <c r="T48" s="27" t="str">
        <f>UPPER(VLOOKUP(Tabla1[[#This Row],[CODIGO]],DATOS!A:E,5,0))</f>
        <v>FLUJO CONTINUO</v>
      </c>
      <c r="U48" s="31">
        <f>(Tabla1[[#This Row],[CANTIDAD]])*(VLOOKUP(Tabla1[[#This Row],[CODIGO]],DATOS!A:D,4,0))</f>
        <v>69.430000000000007</v>
      </c>
      <c r="V48" s="31" t="str">
        <f>VLOOKUP(Tabla1[[#This Row],[CODIGO]],DATOS!A:C,3,0)</f>
        <v>ABARROTES BEBIBLES</v>
      </c>
      <c r="W48" s="31" t="s">
        <v>13322</v>
      </c>
      <c r="X48" s="28" t="s">
        <v>13086</v>
      </c>
      <c r="Y48" s="28" t="s">
        <v>13113</v>
      </c>
    </row>
    <row r="49" spans="1:25" ht="12" customHeight="1" x14ac:dyDescent="0.25">
      <c r="A49" s="46">
        <v>45661</v>
      </c>
      <c r="B49" s="2" t="s">
        <v>70</v>
      </c>
      <c r="C49" s="2">
        <v>7620854473</v>
      </c>
      <c r="D49" s="2">
        <v>19651</v>
      </c>
      <c r="E49" s="2" t="s">
        <v>689</v>
      </c>
      <c r="F49" s="2">
        <v>2</v>
      </c>
      <c r="G49" s="2" t="s">
        <v>24</v>
      </c>
      <c r="H49" s="2" t="s">
        <v>17</v>
      </c>
      <c r="I49" s="75" t="s">
        <v>12940</v>
      </c>
      <c r="J49" s="9" t="s">
        <v>70</v>
      </c>
      <c r="K49" s="10">
        <v>7620854473</v>
      </c>
      <c r="L49" s="10" t="s">
        <v>15</v>
      </c>
      <c r="M49" s="10" t="s">
        <v>12991</v>
      </c>
      <c r="N49" s="10" t="s">
        <v>12957</v>
      </c>
      <c r="O49" s="10" t="s">
        <v>13100</v>
      </c>
      <c r="P49" s="10" t="s">
        <v>28</v>
      </c>
      <c r="Q49" s="2" t="s">
        <v>39</v>
      </c>
      <c r="R49" s="27" t="str">
        <f>VLOOKUP(Tabla1[[#This Row],[DETALLE ]],DATOS!L:M,2,0)</f>
        <v>FILTRO</v>
      </c>
      <c r="S49" s="41" t="str">
        <f>IFERROR(IFERROR(VLOOKUP(Tabla1[[#This Row],[USUARIO PICKING ERROR]],DATOS!H:J,3,0),VLOOKUP(Tabla1[[#This Row],[USUARIO FILTRO ERROR]],DATOS!O:P,2,0)),"-")</f>
        <v>DAVID PIÑAN</v>
      </c>
      <c r="T49" s="27" t="str">
        <f>UPPER(VLOOKUP(Tabla1[[#This Row],[CODIGO]],DATOS!A:E,5,0))</f>
        <v>FLUJO CONTINUO</v>
      </c>
      <c r="U49" s="31">
        <f>(Tabla1[[#This Row],[CANTIDAD]])*(VLOOKUP(Tabla1[[#This Row],[CODIGO]],DATOS!A:D,4,0))</f>
        <v>71.900000000000006</v>
      </c>
      <c r="V49" s="31" t="str">
        <f>VLOOKUP(Tabla1[[#This Row],[CODIGO]],DATOS!A:C,3,0)</f>
        <v>ABARROTES BEBIBLES</v>
      </c>
      <c r="W49" s="31" t="s">
        <v>13322</v>
      </c>
      <c r="X49" s="28" t="s">
        <v>13086</v>
      </c>
      <c r="Y49" s="28" t="s">
        <v>13113</v>
      </c>
    </row>
    <row r="50" spans="1:25" ht="12" customHeight="1" x14ac:dyDescent="0.25">
      <c r="A50" s="46">
        <v>45661</v>
      </c>
      <c r="B50" s="2" t="s">
        <v>70</v>
      </c>
      <c r="C50" s="2">
        <v>7620854473</v>
      </c>
      <c r="D50" s="2">
        <v>249652</v>
      </c>
      <c r="E50" s="2" t="s">
        <v>1469</v>
      </c>
      <c r="F50" s="2">
        <v>2</v>
      </c>
      <c r="G50" s="2" t="s">
        <v>24</v>
      </c>
      <c r="H50" s="2" t="s">
        <v>17</v>
      </c>
      <c r="I50" s="75" t="s">
        <v>12940</v>
      </c>
      <c r="J50" s="9" t="s">
        <v>70</v>
      </c>
      <c r="K50" s="10">
        <v>7620854473</v>
      </c>
      <c r="L50" s="10" t="s">
        <v>15</v>
      </c>
      <c r="M50" s="10" t="s">
        <v>12991</v>
      </c>
      <c r="N50" s="10" t="s">
        <v>12957</v>
      </c>
      <c r="O50" s="10" t="s">
        <v>13100</v>
      </c>
      <c r="P50" s="10" t="s">
        <v>28</v>
      </c>
      <c r="Q50" s="2" t="s">
        <v>39</v>
      </c>
      <c r="R50" s="27" t="str">
        <f>VLOOKUP(Tabla1[[#This Row],[DETALLE ]],DATOS!L:M,2,0)</f>
        <v>FILTRO</v>
      </c>
      <c r="S50" s="41" t="str">
        <f>IFERROR(IFERROR(VLOOKUP(Tabla1[[#This Row],[USUARIO PICKING ERROR]],DATOS!H:J,3,0),VLOOKUP(Tabla1[[#This Row],[USUARIO FILTRO ERROR]],DATOS!O:P,2,0)),"-")</f>
        <v>DAVID PIÑAN</v>
      </c>
      <c r="T50" s="27" t="str">
        <f>UPPER(VLOOKUP(Tabla1[[#This Row],[CODIGO]],DATOS!A:E,5,0))</f>
        <v>FLUJO CONTINUO</v>
      </c>
      <c r="U50" s="31">
        <f>(Tabla1[[#This Row],[CANTIDAD]])*(VLOOKUP(Tabla1[[#This Row],[CODIGO]],DATOS!A:D,4,0))</f>
        <v>77.66</v>
      </c>
      <c r="V50" s="31" t="str">
        <f>VLOOKUP(Tabla1[[#This Row],[CODIGO]],DATOS!A:C,3,0)</f>
        <v>ABARROTES BEBIBLES</v>
      </c>
      <c r="W50" s="31" t="s">
        <v>13322</v>
      </c>
      <c r="X50" s="28" t="s">
        <v>13086</v>
      </c>
      <c r="Y50" s="28" t="s">
        <v>13113</v>
      </c>
    </row>
    <row r="51" spans="1:25" ht="12" customHeight="1" x14ac:dyDescent="0.25">
      <c r="A51" s="46">
        <v>45661</v>
      </c>
      <c r="B51" s="2" t="s">
        <v>70</v>
      </c>
      <c r="C51" s="2">
        <v>7620854473</v>
      </c>
      <c r="D51" s="2">
        <v>733478002</v>
      </c>
      <c r="E51" s="2" t="s">
        <v>10061</v>
      </c>
      <c r="F51" s="2">
        <v>1</v>
      </c>
      <c r="G51" s="2" t="s">
        <v>24</v>
      </c>
      <c r="H51" s="2" t="s">
        <v>17</v>
      </c>
      <c r="I51" s="75" t="s">
        <v>12940</v>
      </c>
      <c r="J51" s="9" t="s">
        <v>70</v>
      </c>
      <c r="K51" s="10">
        <v>7620854473</v>
      </c>
      <c r="L51" s="10" t="s">
        <v>15</v>
      </c>
      <c r="M51" s="10" t="s">
        <v>12991</v>
      </c>
      <c r="N51" s="10" t="s">
        <v>12957</v>
      </c>
      <c r="O51" s="10" t="s">
        <v>13100</v>
      </c>
      <c r="P51" s="10" t="s">
        <v>28</v>
      </c>
      <c r="Q51" s="2" t="s">
        <v>39</v>
      </c>
      <c r="R51" s="27" t="str">
        <f>VLOOKUP(Tabla1[[#This Row],[DETALLE ]],DATOS!L:M,2,0)</f>
        <v>FILTRO</v>
      </c>
      <c r="S51" s="41" t="str">
        <f>IFERROR(IFERROR(VLOOKUP(Tabla1[[#This Row],[USUARIO PICKING ERROR]],DATOS!H:J,3,0),VLOOKUP(Tabla1[[#This Row],[USUARIO FILTRO ERROR]],DATOS!O:P,2,0)),"-")</f>
        <v>DAVID PIÑAN</v>
      </c>
      <c r="T51" s="27" t="str">
        <f>UPPER(VLOOKUP(Tabla1[[#This Row],[CODIGO]],DATOS!A:E,5,0))</f>
        <v>FLUJO CONTINUO</v>
      </c>
      <c r="U51" s="31">
        <f>(Tabla1[[#This Row],[CANTIDAD]])*(VLOOKUP(Tabla1[[#This Row],[CODIGO]],DATOS!A:D,4,0))</f>
        <v>64.760000000000005</v>
      </c>
      <c r="V51" s="31" t="str">
        <f>VLOOKUP(Tabla1[[#This Row],[CODIGO]],DATOS!A:C,3,0)</f>
        <v>ABARROTES BEBIBLES</v>
      </c>
      <c r="W51" s="31" t="s">
        <v>13322</v>
      </c>
      <c r="X51" s="28" t="s">
        <v>13086</v>
      </c>
      <c r="Y51" s="28" t="s">
        <v>13113</v>
      </c>
    </row>
    <row r="52" spans="1:25" ht="12" customHeight="1" x14ac:dyDescent="0.25">
      <c r="A52" s="46">
        <v>45661</v>
      </c>
      <c r="B52" s="2" t="s">
        <v>94</v>
      </c>
      <c r="C52" s="2">
        <v>7600322159</v>
      </c>
      <c r="D52" s="2">
        <v>987077</v>
      </c>
      <c r="E52" s="2" t="s">
        <v>153</v>
      </c>
      <c r="F52" s="2">
        <v>72</v>
      </c>
      <c r="G52" s="2" t="s">
        <v>12990</v>
      </c>
      <c r="H52" s="2" t="s">
        <v>17</v>
      </c>
      <c r="I52" s="75" t="s">
        <v>15</v>
      </c>
      <c r="J52" s="9" t="s">
        <v>15</v>
      </c>
      <c r="K52" s="10" t="s">
        <v>15</v>
      </c>
      <c r="L52" s="10" t="s">
        <v>108</v>
      </c>
      <c r="M52" s="10" t="s">
        <v>15</v>
      </c>
      <c r="N52" s="10" t="s">
        <v>18</v>
      </c>
      <c r="O52" s="10" t="s">
        <v>13021</v>
      </c>
      <c r="P52" s="10" t="s">
        <v>28</v>
      </c>
      <c r="Q52" s="2" t="s">
        <v>29</v>
      </c>
      <c r="R52" s="27" t="str">
        <f>VLOOKUP(Tabla1[[#This Row],[DETALLE ]],DATOS!L:M,2,0)</f>
        <v>PICKING</v>
      </c>
      <c r="S52" s="41" t="str">
        <f>IFERROR(IFERROR(VLOOKUP(Tabla1[[#This Row],[USUARIO PICKING ERROR]],DATOS!H:J,3,0),VLOOKUP(Tabla1[[#This Row],[USUARIO FILTRO ERROR]],DATOS!O:P,2,0)),"-")</f>
        <v>BENJAMIN LIZARBE</v>
      </c>
      <c r="T52" s="27" t="str">
        <f>UPPER(VLOOKUP(Tabla1[[#This Row],[CODIGO]],DATOS!A:E,5,0))</f>
        <v>ALMACENADO</v>
      </c>
      <c r="U52" s="31">
        <f>(Tabla1[[#This Row],[CANTIDAD]])*(VLOOKUP(Tabla1[[#This Row],[CODIGO]],DATOS!A:D,4,0))</f>
        <v>1123.92</v>
      </c>
      <c r="V52" s="31" t="str">
        <f>VLOOKUP(Tabla1[[#This Row],[CODIGO]],DATOS!A:C,3,0)</f>
        <v>ABARROTES NO COMESTIBLES</v>
      </c>
      <c r="W52" s="31" t="s">
        <v>13322</v>
      </c>
      <c r="X52" s="28" t="s">
        <v>13086</v>
      </c>
      <c r="Y52" s="28" t="s">
        <v>13113</v>
      </c>
    </row>
    <row r="53" spans="1:25" ht="12" customHeight="1" x14ac:dyDescent="0.25">
      <c r="A53" s="46">
        <v>45661</v>
      </c>
      <c r="B53" s="2" t="s">
        <v>12975</v>
      </c>
      <c r="C53" s="2">
        <v>7600322939</v>
      </c>
      <c r="D53" s="2">
        <v>98704</v>
      </c>
      <c r="E53" s="2" t="s">
        <v>1386</v>
      </c>
      <c r="F53" s="2">
        <v>9</v>
      </c>
      <c r="G53" s="2" t="s">
        <v>12990</v>
      </c>
      <c r="H53" s="2" t="s">
        <v>17</v>
      </c>
      <c r="I53" s="75" t="s">
        <v>15</v>
      </c>
      <c r="J53" s="9" t="s">
        <v>15</v>
      </c>
      <c r="K53" s="10" t="s">
        <v>15</v>
      </c>
      <c r="L53" s="10" t="s">
        <v>113</v>
      </c>
      <c r="M53" s="10" t="s">
        <v>15</v>
      </c>
      <c r="N53" s="10" t="s">
        <v>18</v>
      </c>
      <c r="O53" s="10" t="s">
        <v>13021</v>
      </c>
      <c r="P53" s="10" t="s">
        <v>28</v>
      </c>
      <c r="Q53" s="2" t="s">
        <v>29</v>
      </c>
      <c r="R53" s="27" t="str">
        <f>VLOOKUP(Tabla1[[#This Row],[DETALLE ]],DATOS!L:M,2,0)</f>
        <v>PICKING</v>
      </c>
      <c r="S53" s="41" t="str">
        <f>IFERROR(IFERROR(VLOOKUP(Tabla1[[#This Row],[USUARIO PICKING ERROR]],DATOS!H:J,3,0),VLOOKUP(Tabla1[[#This Row],[USUARIO FILTRO ERROR]],DATOS!O:P,2,0)),"-")</f>
        <v>BENJAMIN LIZARBE</v>
      </c>
      <c r="T53" s="27" t="str">
        <f>UPPER(VLOOKUP(Tabla1[[#This Row],[CODIGO]],DATOS!A:E,5,0))</f>
        <v>ALMACENADO</v>
      </c>
      <c r="U53" s="31">
        <f>(Tabla1[[#This Row],[CANTIDAD]])*(VLOOKUP(Tabla1[[#This Row],[CODIGO]],DATOS!A:D,4,0))</f>
        <v>63.36</v>
      </c>
      <c r="V53" s="31" t="str">
        <f>VLOOKUP(Tabla1[[#This Row],[CODIGO]],DATOS!A:C,3,0)</f>
        <v>ABARROTES COMESTIBLES</v>
      </c>
      <c r="W53" s="31" t="s">
        <v>13322</v>
      </c>
      <c r="X53" s="28" t="s">
        <v>13086</v>
      </c>
      <c r="Y53" s="28" t="s">
        <v>13113</v>
      </c>
    </row>
    <row r="54" spans="1:25" ht="12" customHeight="1" x14ac:dyDescent="0.25">
      <c r="A54" s="46">
        <v>45661</v>
      </c>
      <c r="B54" s="2" t="s">
        <v>12972</v>
      </c>
      <c r="C54" s="2">
        <v>7600322805</v>
      </c>
      <c r="D54" s="2">
        <v>987077</v>
      </c>
      <c r="E54" s="2" t="s">
        <v>153</v>
      </c>
      <c r="F54" s="2">
        <v>60</v>
      </c>
      <c r="G54" s="2" t="s">
        <v>12990</v>
      </c>
      <c r="H54" s="2" t="s">
        <v>25</v>
      </c>
      <c r="I54" s="75" t="s">
        <v>15</v>
      </c>
      <c r="J54" s="9" t="s">
        <v>15</v>
      </c>
      <c r="K54" s="10" t="s">
        <v>15</v>
      </c>
      <c r="L54" s="10" t="s">
        <v>12900</v>
      </c>
      <c r="M54" s="10" t="s">
        <v>15</v>
      </c>
      <c r="N54" s="10" t="s">
        <v>18</v>
      </c>
      <c r="O54" s="10" t="s">
        <v>13098</v>
      </c>
      <c r="P54" s="10" t="s">
        <v>28</v>
      </c>
      <c r="Q54" s="2" t="s">
        <v>29</v>
      </c>
      <c r="R54" s="27" t="str">
        <f>VLOOKUP(Tabla1[[#This Row],[DETALLE ]],DATOS!L:M,2,0)</f>
        <v>PICKING</v>
      </c>
      <c r="S54" s="41" t="str">
        <f>IFERROR(IFERROR(VLOOKUP(Tabla1[[#This Row],[USUARIO PICKING ERROR]],DATOS!H:J,3,0),VLOOKUP(Tabla1[[#This Row],[USUARIO FILTRO ERROR]],DATOS!O:P,2,0)),"-")</f>
        <v>BENJAMIN LIZARBE</v>
      </c>
      <c r="T54" s="27" t="str">
        <f>UPPER(VLOOKUP(Tabla1[[#This Row],[CODIGO]],DATOS!A:E,5,0))</f>
        <v>ALMACENADO</v>
      </c>
      <c r="U54" s="31">
        <f>(Tabla1[[#This Row],[CANTIDAD]])*(VLOOKUP(Tabla1[[#This Row],[CODIGO]],DATOS!A:D,4,0))</f>
        <v>936.59999999999991</v>
      </c>
      <c r="V54" s="31" t="str">
        <f>VLOOKUP(Tabla1[[#This Row],[CODIGO]],DATOS!A:C,3,0)</f>
        <v>ABARROTES NO COMESTIBLES</v>
      </c>
      <c r="W54" s="31" t="s">
        <v>13322</v>
      </c>
      <c r="X54" s="28" t="s">
        <v>13086</v>
      </c>
      <c r="Y54" s="28" t="s">
        <v>13113</v>
      </c>
    </row>
    <row r="55" spans="1:25" ht="12" customHeight="1" x14ac:dyDescent="0.25">
      <c r="A55" s="46">
        <v>45663</v>
      </c>
      <c r="B55" s="2" t="s">
        <v>12978</v>
      </c>
      <c r="C55" s="2">
        <v>7620854569</v>
      </c>
      <c r="D55" s="2">
        <v>3770</v>
      </c>
      <c r="E55" s="2" t="s">
        <v>357</v>
      </c>
      <c r="F55" s="2">
        <v>12</v>
      </c>
      <c r="G55" s="2" t="s">
        <v>101</v>
      </c>
      <c r="H55" s="2" t="s">
        <v>25</v>
      </c>
      <c r="I55" s="75" t="s">
        <v>12940</v>
      </c>
      <c r="J55" s="9" t="s">
        <v>12975</v>
      </c>
      <c r="K55" s="10">
        <v>7620859274</v>
      </c>
      <c r="L55" s="10" t="s">
        <v>12890</v>
      </c>
      <c r="M55" s="10" t="s">
        <v>15</v>
      </c>
      <c r="N55" s="10" t="s">
        <v>18</v>
      </c>
      <c r="O55" s="10" t="s">
        <v>13093</v>
      </c>
      <c r="P55" s="10" t="s">
        <v>28</v>
      </c>
      <c r="Q55" s="2" t="s">
        <v>39</v>
      </c>
      <c r="R55" s="27" t="str">
        <f>VLOOKUP(Tabla1[[#This Row],[DETALLE ]],DATOS!L:M,2,0)</f>
        <v>PICKING</v>
      </c>
      <c r="S55" s="41" t="str">
        <f>IFERROR(IFERROR(VLOOKUP(Tabla1[[#This Row],[USUARIO PICKING ERROR]],DATOS!H:J,3,0),VLOOKUP(Tabla1[[#This Row],[USUARIO FILTRO ERROR]],DATOS!O:P,2,0)),"-")</f>
        <v>DAVID PIÑAN</v>
      </c>
      <c r="T55" s="27" t="str">
        <f>UPPER(VLOOKUP(Tabla1[[#This Row],[CODIGO]],DATOS!A:E,5,0))</f>
        <v>FLUJO CONTINUO</v>
      </c>
      <c r="U55" s="31">
        <f>(Tabla1[[#This Row],[CANTIDAD]])*(VLOOKUP(Tabla1[[#This Row],[CODIGO]],DATOS!A:D,4,0))</f>
        <v>231.24</v>
      </c>
      <c r="V55" s="31" t="str">
        <f>VLOOKUP(Tabla1[[#This Row],[CODIGO]],DATOS!A:C,3,0)</f>
        <v>ABARROTES BEBIBLES</v>
      </c>
      <c r="W55" s="31" t="s">
        <v>13322</v>
      </c>
      <c r="X55" s="28" t="s">
        <v>13086</v>
      </c>
      <c r="Y55" s="28" t="s">
        <v>13113</v>
      </c>
    </row>
    <row r="56" spans="1:25" ht="12" customHeight="1" x14ac:dyDescent="0.25">
      <c r="A56" s="46">
        <v>45664</v>
      </c>
      <c r="B56" s="2" t="s">
        <v>12970</v>
      </c>
      <c r="C56" s="2">
        <v>7620861170</v>
      </c>
      <c r="D56" s="2">
        <v>949185003</v>
      </c>
      <c r="E56" s="2" t="s">
        <v>11241</v>
      </c>
      <c r="F56" s="2">
        <v>24</v>
      </c>
      <c r="G56" s="2" t="s">
        <v>49</v>
      </c>
      <c r="H56" s="2" t="s">
        <v>17</v>
      </c>
      <c r="I56" s="75" t="s">
        <v>12940</v>
      </c>
      <c r="J56" s="9" t="s">
        <v>12970</v>
      </c>
      <c r="K56" s="10">
        <v>7620861170</v>
      </c>
      <c r="L56" s="10" t="s">
        <v>15</v>
      </c>
      <c r="M56" s="10" t="s">
        <v>49</v>
      </c>
      <c r="N56" s="10" t="s">
        <v>12957</v>
      </c>
      <c r="O56" s="10" t="s">
        <v>13100</v>
      </c>
      <c r="P56" s="10" t="s">
        <v>28</v>
      </c>
      <c r="Q56" s="2" t="s">
        <v>39</v>
      </c>
      <c r="R56" s="27" t="str">
        <f>VLOOKUP(Tabla1[[#This Row],[DETALLE ]],DATOS!L:M,2,0)</f>
        <v>FILTRO</v>
      </c>
      <c r="S56" s="41" t="str">
        <f>IFERROR(IFERROR(VLOOKUP(Tabla1[[#This Row],[USUARIO PICKING ERROR]],DATOS!H:J,3,0),VLOOKUP(Tabla1[[#This Row],[USUARIO FILTRO ERROR]],DATOS!O:P,2,0)),"-")</f>
        <v>DAVID PIÑAN</v>
      </c>
      <c r="T56" s="27" t="str">
        <f>UPPER(VLOOKUP(Tabla1[[#This Row],[CODIGO]],DATOS!A:E,5,0))</f>
        <v>FLUJO CONTINUO</v>
      </c>
      <c r="U56" s="31">
        <f>(Tabla1[[#This Row],[CANTIDAD]])*(VLOOKUP(Tabla1[[#This Row],[CODIGO]],DATOS!A:D,4,0))</f>
        <v>120</v>
      </c>
      <c r="V56" s="31" t="str">
        <f>VLOOKUP(Tabla1[[#This Row],[CODIGO]],DATOS!A:C,3,0)</f>
        <v>ABARROTES BEBIBLES</v>
      </c>
      <c r="W56" s="31" t="s">
        <v>13322</v>
      </c>
      <c r="X56" s="28" t="s">
        <v>13086</v>
      </c>
      <c r="Y56" s="28" t="s">
        <v>13113</v>
      </c>
    </row>
    <row r="57" spans="1:25" ht="12" customHeight="1" x14ac:dyDescent="0.25">
      <c r="A57" s="46">
        <v>45664</v>
      </c>
      <c r="B57" s="2" t="s">
        <v>12963</v>
      </c>
      <c r="C57" s="2">
        <v>7620854780</v>
      </c>
      <c r="D57" s="2">
        <v>346011</v>
      </c>
      <c r="E57" s="2" t="s">
        <v>1658</v>
      </c>
      <c r="F57" s="2">
        <v>5</v>
      </c>
      <c r="G57" s="2" t="s">
        <v>12993</v>
      </c>
      <c r="H57" s="2" t="s">
        <v>17</v>
      </c>
      <c r="I57" s="75" t="s">
        <v>12940</v>
      </c>
      <c r="J57" s="9" t="s">
        <v>15</v>
      </c>
      <c r="K57" s="10" t="s">
        <v>15</v>
      </c>
      <c r="L57" s="10" t="s">
        <v>12929</v>
      </c>
      <c r="M57" s="10" t="s">
        <v>15</v>
      </c>
      <c r="N57" s="10" t="s">
        <v>18</v>
      </c>
      <c r="O57" s="10" t="s">
        <v>13020</v>
      </c>
      <c r="P57" s="10" t="s">
        <v>28</v>
      </c>
      <c r="Q57" s="2" t="s">
        <v>29</v>
      </c>
      <c r="R57" s="27" t="str">
        <f>VLOOKUP(Tabla1[[#This Row],[DETALLE ]],DATOS!L:M,2,0)</f>
        <v>PICKING</v>
      </c>
      <c r="S57" s="41" t="str">
        <f>IFERROR(IFERROR(VLOOKUP(Tabla1[[#This Row],[USUARIO PICKING ERROR]],DATOS!H:J,3,0),VLOOKUP(Tabla1[[#This Row],[USUARIO FILTRO ERROR]],DATOS!O:P,2,0)),"-")</f>
        <v>BENJAMIN LIZARBE</v>
      </c>
      <c r="T57" s="27" t="str">
        <f>UPPER(VLOOKUP(Tabla1[[#This Row],[CODIGO]],DATOS!A:E,5,0))</f>
        <v>FLUJO CONTINUO</v>
      </c>
      <c r="U57" s="31">
        <f>(Tabla1[[#This Row],[CANTIDAD]])*(VLOOKUP(Tabla1[[#This Row],[CODIGO]],DATOS!A:D,4,0))</f>
        <v>276.14999999999998</v>
      </c>
      <c r="V57" s="31" t="str">
        <f>VLOOKUP(Tabla1[[#This Row],[CODIGO]],DATOS!A:C,3,0)</f>
        <v>ABARROTES BEBIBLES</v>
      </c>
      <c r="W57" s="31" t="s">
        <v>13322</v>
      </c>
      <c r="X57" s="28" t="s">
        <v>13086</v>
      </c>
      <c r="Y57" s="28" t="s">
        <v>13113</v>
      </c>
    </row>
    <row r="58" spans="1:25" ht="12" customHeight="1" x14ac:dyDescent="0.25">
      <c r="A58" s="46">
        <v>45664</v>
      </c>
      <c r="B58" s="2" t="s">
        <v>111</v>
      </c>
      <c r="C58" s="2">
        <v>7620861012</v>
      </c>
      <c r="D58" s="2">
        <v>346011</v>
      </c>
      <c r="E58" s="2" t="s">
        <v>1658</v>
      </c>
      <c r="F58" s="2">
        <v>2</v>
      </c>
      <c r="G58" s="2" t="s">
        <v>12994</v>
      </c>
      <c r="H58" s="2" t="s">
        <v>17</v>
      </c>
      <c r="I58" s="75" t="s">
        <v>12940</v>
      </c>
      <c r="J58" s="9" t="s">
        <v>15</v>
      </c>
      <c r="K58" s="10" t="s">
        <v>15</v>
      </c>
      <c r="L58" s="10" t="s">
        <v>12929</v>
      </c>
      <c r="M58" s="10" t="s">
        <v>15</v>
      </c>
      <c r="N58" s="10" t="s">
        <v>18</v>
      </c>
      <c r="O58" s="10" t="s">
        <v>13020</v>
      </c>
      <c r="P58" s="10" t="s">
        <v>28</v>
      </c>
      <c r="Q58" s="2" t="s">
        <v>29</v>
      </c>
      <c r="R58" s="27" t="str">
        <f>VLOOKUP(Tabla1[[#This Row],[DETALLE ]],DATOS!L:M,2,0)</f>
        <v>PICKING</v>
      </c>
      <c r="S58" s="41" t="str">
        <f>IFERROR(IFERROR(VLOOKUP(Tabla1[[#This Row],[USUARIO PICKING ERROR]],DATOS!H:J,3,0),VLOOKUP(Tabla1[[#This Row],[USUARIO FILTRO ERROR]],DATOS!O:P,2,0)),"-")</f>
        <v>BENJAMIN LIZARBE</v>
      </c>
      <c r="T58" s="27" t="str">
        <f>UPPER(VLOOKUP(Tabla1[[#This Row],[CODIGO]],DATOS!A:E,5,0))</f>
        <v>FLUJO CONTINUO</v>
      </c>
      <c r="U58" s="31">
        <f>(Tabla1[[#This Row],[CANTIDAD]])*(VLOOKUP(Tabla1[[#This Row],[CODIGO]],DATOS!A:D,4,0))</f>
        <v>110.46</v>
      </c>
      <c r="V58" s="31" t="str">
        <f>VLOOKUP(Tabla1[[#This Row],[CODIGO]],DATOS!A:C,3,0)</f>
        <v>ABARROTES BEBIBLES</v>
      </c>
      <c r="W58" s="31" t="s">
        <v>13322</v>
      </c>
      <c r="X58" s="28" t="s">
        <v>13086</v>
      </c>
      <c r="Y58" s="28" t="s">
        <v>13113</v>
      </c>
    </row>
    <row r="59" spans="1:25" ht="12" customHeight="1" x14ac:dyDescent="0.25">
      <c r="A59" s="46">
        <v>45664</v>
      </c>
      <c r="B59" s="2" t="s">
        <v>15</v>
      </c>
      <c r="C59" s="2" t="s">
        <v>15</v>
      </c>
      <c r="D59" s="2">
        <v>17098</v>
      </c>
      <c r="E59" s="2" t="s">
        <v>652</v>
      </c>
      <c r="F59" s="2">
        <v>12</v>
      </c>
      <c r="G59" s="2" t="s">
        <v>12990</v>
      </c>
      <c r="H59" s="2" t="s">
        <v>25</v>
      </c>
      <c r="I59" s="75" t="s">
        <v>15</v>
      </c>
      <c r="J59" s="9" t="s">
        <v>15</v>
      </c>
      <c r="K59" s="10" t="s">
        <v>15</v>
      </c>
      <c r="L59" s="10" t="s">
        <v>12897</v>
      </c>
      <c r="M59" s="10" t="s">
        <v>15</v>
      </c>
      <c r="N59" s="10" t="s">
        <v>18</v>
      </c>
      <c r="O59" s="10" t="s">
        <v>13093</v>
      </c>
      <c r="P59" s="10" t="s">
        <v>28</v>
      </c>
      <c r="Q59" s="2" t="s">
        <v>29</v>
      </c>
      <c r="R59" s="27" t="str">
        <f>VLOOKUP(Tabla1[[#This Row],[DETALLE ]],DATOS!L:M,2,0)</f>
        <v>PICKING</v>
      </c>
      <c r="S59" s="41" t="str">
        <f>IFERROR(IFERROR(VLOOKUP(Tabla1[[#This Row],[USUARIO PICKING ERROR]],DATOS!H:J,3,0),VLOOKUP(Tabla1[[#This Row],[USUARIO FILTRO ERROR]],DATOS!O:P,2,0)),"-")</f>
        <v>BENJAMIN LIZARBE</v>
      </c>
      <c r="T59" s="27" t="str">
        <f>UPPER(VLOOKUP(Tabla1[[#This Row],[CODIGO]],DATOS!A:E,5,0))</f>
        <v>FLUJO CONTINUO</v>
      </c>
      <c r="U59" s="31">
        <f>(Tabla1[[#This Row],[CANTIDAD]])*(VLOOKUP(Tabla1[[#This Row],[CODIGO]],DATOS!A:D,4,0))</f>
        <v>155.88</v>
      </c>
      <c r="V59" s="31" t="str">
        <f>VLOOKUP(Tabla1[[#This Row],[CODIGO]],DATOS!A:C,3,0)</f>
        <v>ABARROTES BEBIBLES</v>
      </c>
      <c r="W59" s="31" t="s">
        <v>13322</v>
      </c>
      <c r="X59" s="28" t="s">
        <v>13086</v>
      </c>
      <c r="Y59" s="28" t="s">
        <v>13113</v>
      </c>
    </row>
    <row r="60" spans="1:25" ht="12" customHeight="1" x14ac:dyDescent="0.25">
      <c r="A60" s="46">
        <v>45665</v>
      </c>
      <c r="B60" s="2" t="s">
        <v>33</v>
      </c>
      <c r="C60" s="2">
        <v>7620854883</v>
      </c>
      <c r="D60" s="2">
        <v>949185004</v>
      </c>
      <c r="E60" s="2" t="s">
        <v>10408</v>
      </c>
      <c r="F60" s="2">
        <v>24</v>
      </c>
      <c r="G60" s="2" t="s">
        <v>49</v>
      </c>
      <c r="H60" s="2" t="s">
        <v>25</v>
      </c>
      <c r="I60" s="75" t="s">
        <v>12940</v>
      </c>
      <c r="J60" s="9" t="s">
        <v>33</v>
      </c>
      <c r="K60" s="10">
        <v>7620854883</v>
      </c>
      <c r="L60" s="10" t="s">
        <v>15</v>
      </c>
      <c r="M60" s="10" t="s">
        <v>49</v>
      </c>
      <c r="N60" s="10" t="s">
        <v>12957</v>
      </c>
      <c r="O60" s="10" t="s">
        <v>13094</v>
      </c>
      <c r="P60" s="10" t="s">
        <v>28</v>
      </c>
      <c r="Q60" s="2" t="s">
        <v>39</v>
      </c>
      <c r="R60" s="27" t="str">
        <f>VLOOKUP(Tabla1[[#This Row],[DETALLE ]],DATOS!L:M,2,0)</f>
        <v>FILTRO</v>
      </c>
      <c r="S60" s="41" t="str">
        <f>IFERROR(IFERROR(VLOOKUP(Tabla1[[#This Row],[USUARIO PICKING ERROR]],DATOS!H:J,3,0),VLOOKUP(Tabla1[[#This Row],[USUARIO FILTRO ERROR]],DATOS!O:P,2,0)),"-")</f>
        <v>DAVID PIÑAN</v>
      </c>
      <c r="T60" s="27" t="str">
        <f>UPPER(VLOOKUP(Tabla1[[#This Row],[CODIGO]],DATOS!A:E,5,0))</f>
        <v>FLUJO CONTINUO</v>
      </c>
      <c r="U60" s="31">
        <f>(Tabla1[[#This Row],[CANTIDAD]])*(VLOOKUP(Tabla1[[#This Row],[CODIGO]],DATOS!A:D,4,0))</f>
        <v>120</v>
      </c>
      <c r="V60" s="31" t="str">
        <f>VLOOKUP(Tabla1[[#This Row],[CODIGO]],DATOS!A:C,3,0)</f>
        <v>ABARROTES BEBIBLES</v>
      </c>
      <c r="W60" s="31" t="s">
        <v>13322</v>
      </c>
      <c r="X60" s="28" t="s">
        <v>13086</v>
      </c>
      <c r="Y60" s="28" t="s">
        <v>13113</v>
      </c>
    </row>
    <row r="61" spans="1:25" ht="12" customHeight="1" x14ac:dyDescent="0.25">
      <c r="A61" s="46">
        <v>45665</v>
      </c>
      <c r="B61" s="2" t="s">
        <v>33</v>
      </c>
      <c r="C61" s="2">
        <v>7620854883</v>
      </c>
      <c r="D61" s="2">
        <v>949185001</v>
      </c>
      <c r="E61" s="2" t="s">
        <v>10407</v>
      </c>
      <c r="F61" s="2">
        <v>24</v>
      </c>
      <c r="G61" s="2" t="s">
        <v>49</v>
      </c>
      <c r="H61" s="2" t="s">
        <v>17</v>
      </c>
      <c r="I61" s="75" t="s">
        <v>12940</v>
      </c>
      <c r="J61" s="9" t="s">
        <v>33</v>
      </c>
      <c r="K61" s="10">
        <v>7620854883</v>
      </c>
      <c r="L61" s="10" t="s">
        <v>15</v>
      </c>
      <c r="M61" s="10" t="s">
        <v>49</v>
      </c>
      <c r="N61" s="10" t="s">
        <v>12957</v>
      </c>
      <c r="O61" s="10" t="s">
        <v>13100</v>
      </c>
      <c r="P61" s="10" t="s">
        <v>28</v>
      </c>
      <c r="Q61" s="2" t="s">
        <v>39</v>
      </c>
      <c r="R61" s="27" t="str">
        <f>VLOOKUP(Tabla1[[#This Row],[DETALLE ]],DATOS!L:M,2,0)</f>
        <v>FILTRO</v>
      </c>
      <c r="S61" s="41" t="str">
        <f>IFERROR(IFERROR(VLOOKUP(Tabla1[[#This Row],[USUARIO PICKING ERROR]],DATOS!H:J,3,0),VLOOKUP(Tabla1[[#This Row],[USUARIO FILTRO ERROR]],DATOS!O:P,2,0)),"-")</f>
        <v>DAVID PIÑAN</v>
      </c>
      <c r="T61" s="27" t="str">
        <f>UPPER(VLOOKUP(Tabla1[[#This Row],[CODIGO]],DATOS!A:E,5,0))</f>
        <v>FLUJO CONTINUO</v>
      </c>
      <c r="U61" s="31">
        <f>(Tabla1[[#This Row],[CANTIDAD]])*(VLOOKUP(Tabla1[[#This Row],[CODIGO]],DATOS!A:D,4,0))</f>
        <v>120</v>
      </c>
      <c r="V61" s="31" t="str">
        <f>VLOOKUP(Tabla1[[#This Row],[CODIGO]],DATOS!A:C,3,0)</f>
        <v>ABARROTES BEBIBLES</v>
      </c>
      <c r="W61" s="31" t="s">
        <v>13322</v>
      </c>
      <c r="X61" s="28" t="s">
        <v>13086</v>
      </c>
      <c r="Y61" s="28" t="s">
        <v>13113</v>
      </c>
    </row>
    <row r="62" spans="1:25" ht="12" customHeight="1" x14ac:dyDescent="0.25">
      <c r="A62" s="46">
        <v>45665</v>
      </c>
      <c r="B62" s="2" t="s">
        <v>12980</v>
      </c>
      <c r="C62" s="2">
        <v>7620859730</v>
      </c>
      <c r="D62" s="2">
        <v>205493</v>
      </c>
      <c r="E62" s="2" t="s">
        <v>1320</v>
      </c>
      <c r="F62" s="2">
        <v>4</v>
      </c>
      <c r="G62" s="2" t="s">
        <v>49</v>
      </c>
      <c r="H62" s="2" t="s">
        <v>25</v>
      </c>
      <c r="I62" s="75" t="s">
        <v>12940</v>
      </c>
      <c r="J62" s="9" t="s">
        <v>50</v>
      </c>
      <c r="K62" s="10">
        <v>7620854747</v>
      </c>
      <c r="L62" s="10" t="s">
        <v>84</v>
      </c>
      <c r="M62" s="10" t="s">
        <v>15</v>
      </c>
      <c r="N62" s="10" t="s">
        <v>18</v>
      </c>
      <c r="O62" s="10" t="s">
        <v>13093</v>
      </c>
      <c r="P62" s="10" t="s">
        <v>28</v>
      </c>
      <c r="Q62" s="2" t="s">
        <v>39</v>
      </c>
      <c r="R62" s="27" t="str">
        <f>VLOOKUP(Tabla1[[#This Row],[DETALLE ]],DATOS!L:M,2,0)</f>
        <v>PICKING</v>
      </c>
      <c r="S62" s="41" t="str">
        <f>IFERROR(IFERROR(VLOOKUP(Tabla1[[#This Row],[USUARIO PICKING ERROR]],DATOS!H:J,3,0),VLOOKUP(Tabla1[[#This Row],[USUARIO FILTRO ERROR]],DATOS!O:P,2,0)),"-")</f>
        <v>DAVID PIÑAN</v>
      </c>
      <c r="T62" s="27" t="str">
        <f>UPPER(VLOOKUP(Tabla1[[#This Row],[CODIGO]],DATOS!A:E,5,0))</f>
        <v>FLUJO CONTINUO</v>
      </c>
      <c r="U62" s="31">
        <f>(Tabla1[[#This Row],[CANTIDAD]])*(VLOOKUP(Tabla1[[#This Row],[CODIGO]],DATOS!A:D,4,0))</f>
        <v>105.36</v>
      </c>
      <c r="V62" s="31" t="str">
        <f>VLOOKUP(Tabla1[[#This Row],[CODIGO]],DATOS!A:C,3,0)</f>
        <v>ABARROTES BEBIBLES</v>
      </c>
      <c r="W62" s="31" t="s">
        <v>13322</v>
      </c>
      <c r="X62" s="28" t="s">
        <v>13086</v>
      </c>
      <c r="Y62" s="28" t="s">
        <v>13113</v>
      </c>
    </row>
    <row r="63" spans="1:25" ht="12" customHeight="1" x14ac:dyDescent="0.25">
      <c r="A63" s="46">
        <v>45665</v>
      </c>
      <c r="B63" s="2" t="s">
        <v>36</v>
      </c>
      <c r="C63" s="2">
        <v>7620859908</v>
      </c>
      <c r="D63" s="2">
        <v>1009410</v>
      </c>
      <c r="E63" s="2" t="s">
        <v>8643</v>
      </c>
      <c r="F63" s="2">
        <v>1</v>
      </c>
      <c r="G63" s="2" t="s">
        <v>12991</v>
      </c>
      <c r="H63" s="2" t="s">
        <v>25</v>
      </c>
      <c r="I63" s="75" t="s">
        <v>12940</v>
      </c>
      <c r="J63" s="9" t="s">
        <v>12975</v>
      </c>
      <c r="K63" s="10">
        <v>7620856037</v>
      </c>
      <c r="L63" s="10" t="s">
        <v>12936</v>
      </c>
      <c r="M63" s="10" t="s">
        <v>15</v>
      </c>
      <c r="N63" s="10" t="s">
        <v>18</v>
      </c>
      <c r="O63" s="10" t="s">
        <v>13093</v>
      </c>
      <c r="P63" s="10" t="s">
        <v>28</v>
      </c>
      <c r="Q63" s="2" t="s">
        <v>39</v>
      </c>
      <c r="R63" s="27" t="str">
        <f>VLOOKUP(Tabla1[[#This Row],[DETALLE ]],DATOS!L:M,2,0)</f>
        <v>PICKING</v>
      </c>
      <c r="S63" s="41" t="str">
        <f>IFERROR(IFERROR(VLOOKUP(Tabla1[[#This Row],[USUARIO PICKING ERROR]],DATOS!H:J,3,0),VLOOKUP(Tabla1[[#This Row],[USUARIO FILTRO ERROR]],DATOS!O:P,2,0)),"-")</f>
        <v>DAVID PIÑAN</v>
      </c>
      <c r="T63" s="27" t="str">
        <f>UPPER(VLOOKUP(Tabla1[[#This Row],[CODIGO]],DATOS!A:E,5,0))</f>
        <v>FLUJO CONTINUO</v>
      </c>
      <c r="U63" s="31">
        <f>(Tabla1[[#This Row],[CANTIDAD]])*(VLOOKUP(Tabla1[[#This Row],[CODIGO]],DATOS!A:D,4,0))</f>
        <v>28.81</v>
      </c>
      <c r="V63" s="31" t="str">
        <f>VLOOKUP(Tabla1[[#This Row],[CODIGO]],DATOS!A:C,3,0)</f>
        <v>ABARROTES BEBIBLES</v>
      </c>
      <c r="W63" s="31" t="s">
        <v>13322</v>
      </c>
      <c r="X63" s="28" t="s">
        <v>13086</v>
      </c>
      <c r="Y63" s="28" t="s">
        <v>13113</v>
      </c>
    </row>
    <row r="64" spans="1:25" ht="12" customHeight="1" x14ac:dyDescent="0.25">
      <c r="A64" s="46">
        <v>45666</v>
      </c>
      <c r="B64" s="2" t="s">
        <v>74</v>
      </c>
      <c r="C64" s="2">
        <v>720858695</v>
      </c>
      <c r="D64" s="2">
        <v>1012270</v>
      </c>
      <c r="E64" s="2" t="s">
        <v>8732</v>
      </c>
      <c r="F64" s="2">
        <v>2</v>
      </c>
      <c r="G64" s="2" t="s">
        <v>12990</v>
      </c>
      <c r="H64" s="2" t="s">
        <v>25</v>
      </c>
      <c r="I64" s="75" t="s">
        <v>15</v>
      </c>
      <c r="J64" s="9" t="s">
        <v>15</v>
      </c>
      <c r="K64" s="10" t="s">
        <v>15</v>
      </c>
      <c r="L64" s="10" t="s">
        <v>82</v>
      </c>
      <c r="M64" s="10" t="s">
        <v>15</v>
      </c>
      <c r="N64" s="10" t="s">
        <v>18</v>
      </c>
      <c r="O64" s="10" t="s">
        <v>13093</v>
      </c>
      <c r="P64" s="10" t="s">
        <v>25</v>
      </c>
      <c r="Q64" s="2" t="s">
        <v>29</v>
      </c>
      <c r="R64" s="27" t="str">
        <f>VLOOKUP(Tabla1[[#This Row],[DETALLE ]],DATOS!L:M,2,0)</f>
        <v>PICKING</v>
      </c>
      <c r="S64" s="41" t="str">
        <f>IFERROR(IFERROR(VLOOKUP(Tabla1[[#This Row],[USUARIO PICKING ERROR]],DATOS!H:J,3,0),VLOOKUP(Tabla1[[#This Row],[USUARIO FILTRO ERROR]],DATOS!O:P,2,0)),"-")</f>
        <v>BENJAMIN LIZARBE</v>
      </c>
      <c r="T64" s="27" t="str">
        <f>UPPER(VLOOKUP(Tabla1[[#This Row],[CODIGO]],DATOS!A:E,5,0))</f>
        <v>FLUJO CONTINUO</v>
      </c>
      <c r="U64" s="31">
        <f>(Tabla1[[#This Row],[CANTIDAD]])*(VLOOKUP(Tabla1[[#This Row],[CODIGO]],DATOS!A:D,4,0))</f>
        <v>208.34</v>
      </c>
      <c r="V64" s="31" t="str">
        <f>VLOOKUP(Tabla1[[#This Row],[CODIGO]],DATOS!A:C,3,0)</f>
        <v>ABARROTES BEBIBLES</v>
      </c>
      <c r="W64" s="31" t="s">
        <v>13322</v>
      </c>
      <c r="X64" s="28" t="s">
        <v>21</v>
      </c>
      <c r="Y64" s="28" t="s">
        <v>13113</v>
      </c>
    </row>
    <row r="65" spans="1:25" ht="12" customHeight="1" x14ac:dyDescent="0.25">
      <c r="A65" s="46">
        <v>45666</v>
      </c>
      <c r="B65" s="2" t="s">
        <v>36</v>
      </c>
      <c r="C65" s="2">
        <v>7620859909</v>
      </c>
      <c r="D65" s="2">
        <v>346011</v>
      </c>
      <c r="E65" s="2" t="s">
        <v>1658</v>
      </c>
      <c r="F65" s="2">
        <v>2</v>
      </c>
      <c r="G65" s="2" t="s">
        <v>12995</v>
      </c>
      <c r="H65" s="2" t="s">
        <v>17</v>
      </c>
      <c r="I65" s="75" t="s">
        <v>13140</v>
      </c>
      <c r="J65" s="9" t="s">
        <v>15</v>
      </c>
      <c r="K65" s="10" t="s">
        <v>15</v>
      </c>
      <c r="L65" s="10" t="s">
        <v>12929</v>
      </c>
      <c r="M65" s="10" t="s">
        <v>15</v>
      </c>
      <c r="N65" s="10" t="s">
        <v>18</v>
      </c>
      <c r="O65" s="10" t="s">
        <v>13020</v>
      </c>
      <c r="P65" s="10" t="s">
        <v>28</v>
      </c>
      <c r="Q65" s="2" t="s">
        <v>29</v>
      </c>
      <c r="R65" s="27" t="str">
        <f>VLOOKUP(Tabla1[[#This Row],[DETALLE ]],DATOS!L:M,2,0)</f>
        <v>PICKING</v>
      </c>
      <c r="S65" s="41" t="str">
        <f>IFERROR(IFERROR(VLOOKUP(Tabla1[[#This Row],[USUARIO PICKING ERROR]],DATOS!H:J,3,0),VLOOKUP(Tabla1[[#This Row],[USUARIO FILTRO ERROR]],DATOS!O:P,2,0)),"-")</f>
        <v>BENJAMIN LIZARBE</v>
      </c>
      <c r="T65" s="27" t="str">
        <f>UPPER(VLOOKUP(Tabla1[[#This Row],[CODIGO]],DATOS!A:E,5,0))</f>
        <v>FLUJO CONTINUO</v>
      </c>
      <c r="U65" s="31">
        <f>(Tabla1[[#This Row],[CANTIDAD]])*(VLOOKUP(Tabla1[[#This Row],[CODIGO]],DATOS!A:D,4,0))</f>
        <v>110.46</v>
      </c>
      <c r="V65" s="31" t="str">
        <f>VLOOKUP(Tabla1[[#This Row],[CODIGO]],DATOS!A:C,3,0)</f>
        <v>ABARROTES BEBIBLES</v>
      </c>
      <c r="W65" s="31" t="s">
        <v>13322</v>
      </c>
      <c r="X65" s="28" t="s">
        <v>13086</v>
      </c>
      <c r="Y65" s="28" t="s">
        <v>13113</v>
      </c>
    </row>
    <row r="66" spans="1:25" ht="12" customHeight="1" x14ac:dyDescent="0.25">
      <c r="A66" s="46">
        <v>45667</v>
      </c>
      <c r="B66" s="2" t="s">
        <v>111</v>
      </c>
      <c r="C66" s="2">
        <v>7620861010</v>
      </c>
      <c r="D66" s="2">
        <v>46994</v>
      </c>
      <c r="E66" s="2" t="s">
        <v>887</v>
      </c>
      <c r="F66" s="2">
        <v>2</v>
      </c>
      <c r="G66" s="2" t="s">
        <v>12993</v>
      </c>
      <c r="H66" s="2" t="s">
        <v>17</v>
      </c>
      <c r="I66" s="75" t="s">
        <v>12940</v>
      </c>
      <c r="J66" s="9" t="s">
        <v>111</v>
      </c>
      <c r="K66" s="10">
        <v>7620861010</v>
      </c>
      <c r="L66" s="10" t="s">
        <v>53</v>
      </c>
      <c r="M66" s="10" t="s">
        <v>15</v>
      </c>
      <c r="N66" s="10" t="s">
        <v>18</v>
      </c>
      <c r="O66" s="10" t="s">
        <v>13020</v>
      </c>
      <c r="P66" s="10" t="s">
        <v>28</v>
      </c>
      <c r="Q66" s="2" t="s">
        <v>39</v>
      </c>
      <c r="R66" s="27" t="str">
        <f>VLOOKUP(Tabla1[[#This Row],[DETALLE ]],DATOS!L:M,2,0)</f>
        <v>PICKING</v>
      </c>
      <c r="S66" s="41" t="str">
        <f>IFERROR(IFERROR(VLOOKUP(Tabla1[[#This Row],[USUARIO PICKING ERROR]],DATOS!H:J,3,0),VLOOKUP(Tabla1[[#This Row],[USUARIO FILTRO ERROR]],DATOS!O:P,2,0)),"-")</f>
        <v>DAVID PIÑAN</v>
      </c>
      <c r="T66" s="27" t="str">
        <f>UPPER(VLOOKUP(Tabla1[[#This Row],[CODIGO]],DATOS!A:E,5,0))</f>
        <v>FLUJO CONTINUO</v>
      </c>
      <c r="U66" s="31">
        <f>(Tabla1[[#This Row],[CANTIDAD]])*(VLOOKUP(Tabla1[[#This Row],[CODIGO]],DATOS!A:D,4,0))</f>
        <v>124.2</v>
      </c>
      <c r="V66" s="31" t="str">
        <f>VLOOKUP(Tabla1[[#This Row],[CODIGO]],DATOS!A:C,3,0)</f>
        <v>ABARROTES BEBIBLES</v>
      </c>
      <c r="W66" s="31" t="s">
        <v>13322</v>
      </c>
      <c r="X66" s="28" t="s">
        <v>13086</v>
      </c>
      <c r="Y66" s="28" t="s">
        <v>13113</v>
      </c>
    </row>
    <row r="67" spans="1:25" ht="12" customHeight="1" x14ac:dyDescent="0.25">
      <c r="A67" s="46">
        <v>45667</v>
      </c>
      <c r="B67" s="2" t="s">
        <v>12974</v>
      </c>
      <c r="C67" s="2">
        <v>7620860522</v>
      </c>
      <c r="D67" s="2">
        <v>350187</v>
      </c>
      <c r="E67" s="2" t="s">
        <v>1671</v>
      </c>
      <c r="F67" s="2">
        <v>6</v>
      </c>
      <c r="G67" s="2" t="s">
        <v>12990</v>
      </c>
      <c r="H67" s="2" t="s">
        <v>17</v>
      </c>
      <c r="I67" s="75" t="s">
        <v>15</v>
      </c>
      <c r="J67" s="9" t="s">
        <v>12974</v>
      </c>
      <c r="K67" s="10">
        <v>7620860522</v>
      </c>
      <c r="L67" s="10" t="s">
        <v>84</v>
      </c>
      <c r="M67" s="10" t="s">
        <v>15</v>
      </c>
      <c r="N67" s="10" t="s">
        <v>18</v>
      </c>
      <c r="O67" s="10" t="s">
        <v>13020</v>
      </c>
      <c r="P67" s="10" t="s">
        <v>28</v>
      </c>
      <c r="Q67" s="2" t="s">
        <v>39</v>
      </c>
      <c r="R67" s="27" t="str">
        <f>VLOOKUP(Tabla1[[#This Row],[DETALLE ]],DATOS!L:M,2,0)</f>
        <v>PICKING</v>
      </c>
      <c r="S67" s="41" t="str">
        <f>IFERROR(IFERROR(VLOOKUP(Tabla1[[#This Row],[USUARIO PICKING ERROR]],DATOS!H:J,3,0),VLOOKUP(Tabla1[[#This Row],[USUARIO FILTRO ERROR]],DATOS!O:P,2,0)),"-")</f>
        <v>DAVID PIÑAN</v>
      </c>
      <c r="T67" s="27" t="str">
        <f>UPPER(VLOOKUP(Tabla1[[#This Row],[CODIGO]],DATOS!A:E,5,0))</f>
        <v>FLUJO CONTINUO</v>
      </c>
      <c r="U67" s="31">
        <f>(Tabla1[[#This Row],[CANTIDAD]])*(VLOOKUP(Tabla1[[#This Row],[CODIGO]],DATOS!A:D,4,0))</f>
        <v>127.5</v>
      </c>
      <c r="V67" s="31" t="str">
        <f>VLOOKUP(Tabla1[[#This Row],[CODIGO]],DATOS!A:C,3,0)</f>
        <v>ABARROTES BEBIBLES</v>
      </c>
      <c r="W67" s="31" t="s">
        <v>13322</v>
      </c>
      <c r="X67" s="28" t="s">
        <v>13086</v>
      </c>
      <c r="Y67" s="28" t="s">
        <v>13113</v>
      </c>
    </row>
    <row r="68" spans="1:25" ht="12" customHeight="1" x14ac:dyDescent="0.25">
      <c r="A68" s="46">
        <v>45667</v>
      </c>
      <c r="B68" s="2" t="s">
        <v>12981</v>
      </c>
      <c r="C68" s="2">
        <v>7620859751</v>
      </c>
      <c r="D68" s="2">
        <v>1019778</v>
      </c>
      <c r="E68" s="2" t="s">
        <v>11645</v>
      </c>
      <c r="F68" s="2">
        <v>6</v>
      </c>
      <c r="G68" s="2" t="s">
        <v>49</v>
      </c>
      <c r="H68" s="2" t="s">
        <v>25</v>
      </c>
      <c r="I68" s="75" t="s">
        <v>12940</v>
      </c>
      <c r="J68" s="9" t="s">
        <v>94</v>
      </c>
      <c r="K68" s="10">
        <v>7620855895</v>
      </c>
      <c r="L68" s="10" t="s">
        <v>15</v>
      </c>
      <c r="M68" s="10" t="s">
        <v>49</v>
      </c>
      <c r="N68" s="10" t="s">
        <v>12957</v>
      </c>
      <c r="O68" s="10" t="s">
        <v>13094</v>
      </c>
      <c r="P68" s="10" t="s">
        <v>28</v>
      </c>
      <c r="Q68" s="2" t="s">
        <v>39</v>
      </c>
      <c r="R68" s="27" t="str">
        <f>VLOOKUP(Tabla1[[#This Row],[DETALLE ]],DATOS!L:M,2,0)</f>
        <v>FILTRO</v>
      </c>
      <c r="S68" s="41" t="str">
        <f>IFERROR(IFERROR(VLOOKUP(Tabla1[[#This Row],[USUARIO PICKING ERROR]],DATOS!H:J,3,0),VLOOKUP(Tabla1[[#This Row],[USUARIO FILTRO ERROR]],DATOS!O:P,2,0)),"-")</f>
        <v>DAVID PIÑAN</v>
      </c>
      <c r="T68" s="27" t="str">
        <f>UPPER(VLOOKUP(Tabla1[[#This Row],[CODIGO]],DATOS!A:E,5,0))</f>
        <v>FLUJO CONTINUO</v>
      </c>
      <c r="U68" s="31">
        <f>(Tabla1[[#This Row],[CANTIDAD]])*(VLOOKUP(Tabla1[[#This Row],[CODIGO]],DATOS!A:D,4,0))</f>
        <v>132.06</v>
      </c>
      <c r="V68" s="31" t="str">
        <f>VLOOKUP(Tabla1[[#This Row],[CODIGO]],DATOS!A:C,3,0)</f>
        <v>ABARROTES BEBIBLES</v>
      </c>
      <c r="W68" s="31" t="s">
        <v>13322</v>
      </c>
      <c r="X68" s="28" t="s">
        <v>13086</v>
      </c>
      <c r="Y68" s="28" t="s">
        <v>13113</v>
      </c>
    </row>
    <row r="69" spans="1:25" ht="12" customHeight="1" x14ac:dyDescent="0.25">
      <c r="A69" s="46">
        <v>45667</v>
      </c>
      <c r="B69" s="2" t="s">
        <v>15</v>
      </c>
      <c r="C69" s="2" t="s">
        <v>15</v>
      </c>
      <c r="D69" s="2">
        <v>4759</v>
      </c>
      <c r="E69" s="2" t="s">
        <v>765</v>
      </c>
      <c r="F69" s="2">
        <v>36</v>
      </c>
      <c r="G69" s="2" t="s">
        <v>12990</v>
      </c>
      <c r="H69" s="2" t="s">
        <v>17</v>
      </c>
      <c r="I69" s="75" t="s">
        <v>15</v>
      </c>
      <c r="J69" s="9" t="s">
        <v>15</v>
      </c>
      <c r="K69" s="10" t="s">
        <v>15</v>
      </c>
      <c r="L69" s="10" t="s">
        <v>108</v>
      </c>
      <c r="M69" s="10" t="s">
        <v>15</v>
      </c>
      <c r="N69" s="10" t="s">
        <v>18</v>
      </c>
      <c r="O69" s="10" t="s">
        <v>13021</v>
      </c>
      <c r="P69" s="10" t="s">
        <v>17</v>
      </c>
      <c r="Q69" s="2" t="s">
        <v>29</v>
      </c>
      <c r="R69" s="27" t="str">
        <f>VLOOKUP(Tabla1[[#This Row],[DETALLE ]],DATOS!L:M,2,0)</f>
        <v>PICKING</v>
      </c>
      <c r="S69" s="41" t="str">
        <f>IFERROR(IFERROR(VLOOKUP(Tabla1[[#This Row],[USUARIO PICKING ERROR]],DATOS!H:J,3,0),VLOOKUP(Tabla1[[#This Row],[USUARIO FILTRO ERROR]],DATOS!O:P,2,0)),"-")</f>
        <v>BENJAMIN LIZARBE</v>
      </c>
      <c r="T69" s="27" t="str">
        <f>UPPER(VLOOKUP(Tabla1[[#This Row],[CODIGO]],DATOS!A:E,5,0))</f>
        <v>ALMACENADO</v>
      </c>
      <c r="U69" s="31">
        <f>(Tabla1[[#This Row],[CANTIDAD]])*(VLOOKUP(Tabla1[[#This Row],[CODIGO]],DATOS!A:D,4,0))</f>
        <v>57.6</v>
      </c>
      <c r="V69" s="31" t="str">
        <f>VLOOKUP(Tabla1[[#This Row],[CODIGO]],DATOS!A:C,3,0)</f>
        <v>ABARROTES COMESTIBLES</v>
      </c>
      <c r="W69" s="31" t="s">
        <v>13322</v>
      </c>
      <c r="X69" s="28" t="s">
        <v>21</v>
      </c>
      <c r="Y69" s="28" t="s">
        <v>13113</v>
      </c>
    </row>
    <row r="70" spans="1:25" ht="12" customHeight="1" x14ac:dyDescent="0.25">
      <c r="A70" s="46">
        <v>45667</v>
      </c>
      <c r="B70" s="2" t="s">
        <v>15</v>
      </c>
      <c r="C70" s="2" t="s">
        <v>15</v>
      </c>
      <c r="D70" s="2">
        <v>773315</v>
      </c>
      <c r="E70" s="2" t="s">
        <v>4412</v>
      </c>
      <c r="F70" s="2">
        <v>12</v>
      </c>
      <c r="G70" s="2" t="s">
        <v>12990</v>
      </c>
      <c r="H70" s="2" t="s">
        <v>17</v>
      </c>
      <c r="I70" s="75" t="s">
        <v>15</v>
      </c>
      <c r="J70" s="9" t="s">
        <v>15</v>
      </c>
      <c r="K70" s="10" t="s">
        <v>15</v>
      </c>
      <c r="L70" s="10" t="s">
        <v>67</v>
      </c>
      <c r="M70" s="10" t="s">
        <v>15</v>
      </c>
      <c r="N70" s="10" t="s">
        <v>18</v>
      </c>
      <c r="O70" s="10" t="s">
        <v>13020</v>
      </c>
      <c r="P70" s="10" t="s">
        <v>17</v>
      </c>
      <c r="Q70" s="2" t="s">
        <v>29</v>
      </c>
      <c r="R70" s="27" t="str">
        <f>VLOOKUP(Tabla1[[#This Row],[DETALLE ]],DATOS!L:M,2,0)</f>
        <v>PICKING</v>
      </c>
      <c r="S70" s="41" t="str">
        <f>IFERROR(IFERROR(VLOOKUP(Tabla1[[#This Row],[USUARIO PICKING ERROR]],DATOS!H:J,3,0),VLOOKUP(Tabla1[[#This Row],[USUARIO FILTRO ERROR]],DATOS!O:P,2,0)),"-")</f>
        <v>BENJAMIN LIZARBE</v>
      </c>
      <c r="T70" s="27" t="str">
        <f>UPPER(VLOOKUP(Tabla1[[#This Row],[CODIGO]],DATOS!A:E,5,0))</f>
        <v>FLUJO CONTINUO</v>
      </c>
      <c r="U70" s="31">
        <f>(Tabla1[[#This Row],[CANTIDAD]])*(VLOOKUP(Tabla1[[#This Row],[CODIGO]],DATOS!A:D,4,0))</f>
        <v>131.76</v>
      </c>
      <c r="V70" s="31" t="str">
        <f>VLOOKUP(Tabla1[[#This Row],[CODIGO]],DATOS!A:C,3,0)</f>
        <v>ABARROTES BEBIBLES</v>
      </c>
      <c r="W70" s="31" t="s">
        <v>13322</v>
      </c>
      <c r="X70" s="28" t="s">
        <v>21</v>
      </c>
      <c r="Y70" s="28" t="s">
        <v>13113</v>
      </c>
    </row>
    <row r="71" spans="1:25" ht="12" customHeight="1" x14ac:dyDescent="0.25">
      <c r="A71" s="46">
        <v>45667</v>
      </c>
      <c r="B71" s="2" t="s">
        <v>15</v>
      </c>
      <c r="C71" s="2" t="s">
        <v>15</v>
      </c>
      <c r="D71" s="2">
        <v>890695</v>
      </c>
      <c r="E71" s="2" t="s">
        <v>5779</v>
      </c>
      <c r="F71" s="2">
        <v>12</v>
      </c>
      <c r="G71" s="2" t="s">
        <v>15</v>
      </c>
      <c r="H71" s="2" t="s">
        <v>17</v>
      </c>
      <c r="I71" s="75" t="s">
        <v>15</v>
      </c>
      <c r="J71" s="9" t="s">
        <v>15</v>
      </c>
      <c r="K71" s="10" t="s">
        <v>15</v>
      </c>
      <c r="L71" s="10" t="s">
        <v>12917</v>
      </c>
      <c r="M71" s="10" t="s">
        <v>15</v>
      </c>
      <c r="N71" s="10" t="s">
        <v>18</v>
      </c>
      <c r="O71" s="10" t="s">
        <v>13097</v>
      </c>
      <c r="P71" s="10" t="s">
        <v>17</v>
      </c>
      <c r="Q71" s="2" t="s">
        <v>29</v>
      </c>
      <c r="R71" s="27" t="str">
        <f>VLOOKUP(Tabla1[[#This Row],[DETALLE ]],DATOS!L:M,2,0)</f>
        <v>PICKING</v>
      </c>
      <c r="S71" s="41" t="str">
        <f>IFERROR(IFERROR(VLOOKUP(Tabla1[[#This Row],[USUARIO PICKING ERROR]],DATOS!H:J,3,0),VLOOKUP(Tabla1[[#This Row],[USUARIO FILTRO ERROR]],DATOS!O:P,2,0)),"-")</f>
        <v>BENJAMIN LIZARBE</v>
      </c>
      <c r="T71" s="27" t="str">
        <f>UPPER(VLOOKUP(Tabla1[[#This Row],[CODIGO]],DATOS!A:E,5,0))</f>
        <v>ALMACENADO</v>
      </c>
      <c r="U71" s="31">
        <f>(Tabla1[[#This Row],[CANTIDAD]])*(VLOOKUP(Tabla1[[#This Row],[CODIGO]],DATOS!A:D,4,0))</f>
        <v>83.039999999999992</v>
      </c>
      <c r="V71" s="31" t="str">
        <f>VLOOKUP(Tabla1[[#This Row],[CODIGO]],DATOS!A:C,3,0)</f>
        <v>ABARROTES COMESTIBLES</v>
      </c>
      <c r="W71" s="31" t="s">
        <v>13322</v>
      </c>
      <c r="X71" s="28" t="s">
        <v>21</v>
      </c>
      <c r="Y71" s="28" t="s">
        <v>13113</v>
      </c>
    </row>
    <row r="72" spans="1:25" ht="12" customHeight="1" x14ac:dyDescent="0.25">
      <c r="A72" s="46">
        <v>45667</v>
      </c>
      <c r="B72" s="2" t="s">
        <v>15</v>
      </c>
      <c r="C72" s="2" t="s">
        <v>15</v>
      </c>
      <c r="D72" s="2">
        <v>346011</v>
      </c>
      <c r="E72" s="2" t="s">
        <v>1658</v>
      </c>
      <c r="F72" s="2">
        <v>2</v>
      </c>
      <c r="G72" s="2" t="s">
        <v>12990</v>
      </c>
      <c r="H72" s="2" t="s">
        <v>17</v>
      </c>
      <c r="I72" s="75" t="s">
        <v>15</v>
      </c>
      <c r="J72" s="9" t="s">
        <v>15</v>
      </c>
      <c r="K72" s="10" t="s">
        <v>15</v>
      </c>
      <c r="L72" s="10" t="s">
        <v>12929</v>
      </c>
      <c r="M72" s="10" t="s">
        <v>15</v>
      </c>
      <c r="N72" s="10" t="s">
        <v>18</v>
      </c>
      <c r="O72" s="10" t="s">
        <v>13020</v>
      </c>
      <c r="P72" s="10" t="s">
        <v>25</v>
      </c>
      <c r="Q72" s="2" t="s">
        <v>29</v>
      </c>
      <c r="R72" s="27" t="str">
        <f>VLOOKUP(Tabla1[[#This Row],[DETALLE ]],DATOS!L:M,2,0)</f>
        <v>PICKING</v>
      </c>
      <c r="S72" s="41" t="str">
        <f>IFERROR(IFERROR(VLOOKUP(Tabla1[[#This Row],[USUARIO PICKING ERROR]],DATOS!H:J,3,0),VLOOKUP(Tabla1[[#This Row],[USUARIO FILTRO ERROR]],DATOS!O:P,2,0)),"-")</f>
        <v>BENJAMIN LIZARBE</v>
      </c>
      <c r="T72" s="27" t="str">
        <f>UPPER(VLOOKUP(Tabla1[[#This Row],[CODIGO]],DATOS!A:E,5,0))</f>
        <v>FLUJO CONTINUO</v>
      </c>
      <c r="U72" s="31">
        <f>(Tabla1[[#This Row],[CANTIDAD]])*(VLOOKUP(Tabla1[[#This Row],[CODIGO]],DATOS!A:D,4,0))</f>
        <v>110.46</v>
      </c>
      <c r="V72" s="31" t="str">
        <f>VLOOKUP(Tabla1[[#This Row],[CODIGO]],DATOS!A:C,3,0)</f>
        <v>ABARROTES BEBIBLES</v>
      </c>
      <c r="W72" s="31" t="s">
        <v>13322</v>
      </c>
      <c r="X72" s="28" t="s">
        <v>21</v>
      </c>
      <c r="Y72" s="28" t="s">
        <v>13113</v>
      </c>
    </row>
    <row r="73" spans="1:25" ht="12" customHeight="1" x14ac:dyDescent="0.25">
      <c r="A73" s="46">
        <v>45667</v>
      </c>
      <c r="B73" s="2" t="s">
        <v>15</v>
      </c>
      <c r="C73" s="2" t="s">
        <v>15</v>
      </c>
      <c r="D73" s="2">
        <v>716845</v>
      </c>
      <c r="E73" s="2" t="s">
        <v>3800</v>
      </c>
      <c r="F73" s="2">
        <v>1</v>
      </c>
      <c r="G73" s="2" t="s">
        <v>12990</v>
      </c>
      <c r="H73" s="2" t="s">
        <v>17</v>
      </c>
      <c r="I73" s="75" t="s">
        <v>15</v>
      </c>
      <c r="J73" s="9" t="s">
        <v>15</v>
      </c>
      <c r="K73" s="10" t="s">
        <v>15</v>
      </c>
      <c r="L73" s="10" t="s">
        <v>12910</v>
      </c>
      <c r="M73" s="10" t="s">
        <v>15</v>
      </c>
      <c r="N73" s="10" t="s">
        <v>18</v>
      </c>
      <c r="O73" s="10" t="s">
        <v>13021</v>
      </c>
      <c r="P73" s="10" t="s">
        <v>17</v>
      </c>
      <c r="Q73" s="2" t="s">
        <v>29</v>
      </c>
      <c r="R73" s="27" t="str">
        <f>VLOOKUP(Tabla1[[#This Row],[DETALLE ]],DATOS!L:M,2,0)</f>
        <v>PICKING</v>
      </c>
      <c r="S73" s="41" t="str">
        <f>IFERROR(IFERROR(VLOOKUP(Tabla1[[#This Row],[USUARIO PICKING ERROR]],DATOS!H:J,3,0),VLOOKUP(Tabla1[[#This Row],[USUARIO FILTRO ERROR]],DATOS!O:P,2,0)),"-")</f>
        <v>BENJAMIN LIZARBE</v>
      </c>
      <c r="T73" s="27" t="str">
        <f>UPPER(VLOOKUP(Tabla1[[#This Row],[CODIGO]],DATOS!A:E,5,0))</f>
        <v>ALMACENADO</v>
      </c>
      <c r="U73" s="31">
        <f>(Tabla1[[#This Row],[CANTIDAD]])*(VLOOKUP(Tabla1[[#This Row],[CODIGO]],DATOS!A:D,4,0))</f>
        <v>14.32</v>
      </c>
      <c r="V73" s="31" t="str">
        <f>VLOOKUP(Tabla1[[#This Row],[CODIGO]],DATOS!A:C,3,0)</f>
        <v>ABARROTES COMESTIBLES</v>
      </c>
      <c r="W73" s="31" t="s">
        <v>13322</v>
      </c>
      <c r="X73" s="28" t="s">
        <v>21</v>
      </c>
      <c r="Y73" s="28" t="s">
        <v>13113</v>
      </c>
    </row>
    <row r="74" spans="1:25" ht="12" customHeight="1" x14ac:dyDescent="0.25">
      <c r="A74" s="46">
        <v>45668</v>
      </c>
      <c r="B74" s="2" t="s">
        <v>15</v>
      </c>
      <c r="C74" s="2" t="s">
        <v>15</v>
      </c>
      <c r="D74" s="2">
        <v>452020</v>
      </c>
      <c r="E74" s="2" t="s">
        <v>2449</v>
      </c>
      <c r="F74" s="2">
        <v>1</v>
      </c>
      <c r="G74" s="2" t="s">
        <v>12990</v>
      </c>
      <c r="H74" s="2" t="s">
        <v>25</v>
      </c>
      <c r="I74" s="75" t="s">
        <v>15</v>
      </c>
      <c r="J74" s="9" t="s">
        <v>15</v>
      </c>
      <c r="K74" s="10" t="s">
        <v>15</v>
      </c>
      <c r="L74" s="10" t="s">
        <v>132</v>
      </c>
      <c r="M74" s="10" t="s">
        <v>15</v>
      </c>
      <c r="N74" s="10" t="s">
        <v>18</v>
      </c>
      <c r="O74" s="10" t="s">
        <v>13098</v>
      </c>
      <c r="P74" s="10" t="s">
        <v>28</v>
      </c>
      <c r="Q74" s="2" t="s">
        <v>29</v>
      </c>
      <c r="R74" s="27" t="str">
        <f>VLOOKUP(Tabla1[[#This Row],[DETALLE ]],DATOS!L:M,2,0)</f>
        <v>PICKING</v>
      </c>
      <c r="S74" s="41" t="str">
        <f>IFERROR(IFERROR(VLOOKUP(Tabla1[[#This Row],[USUARIO PICKING ERROR]],DATOS!H:J,3,0),VLOOKUP(Tabla1[[#This Row],[USUARIO FILTRO ERROR]],DATOS!O:P,2,0)),"-")</f>
        <v>BENJAMIN LIZARBE</v>
      </c>
      <c r="T74" s="27" t="str">
        <f>UPPER(VLOOKUP(Tabla1[[#This Row],[CODIGO]],DATOS!A:E,5,0))</f>
        <v>ALMACENADO</v>
      </c>
      <c r="U74" s="31">
        <f>(Tabla1[[#This Row],[CANTIDAD]])*(VLOOKUP(Tabla1[[#This Row],[CODIGO]],DATOS!A:D,4,0))</f>
        <v>5.42</v>
      </c>
      <c r="V74" s="31" t="str">
        <f>VLOOKUP(Tabla1[[#This Row],[CODIGO]],DATOS!A:C,3,0)</f>
        <v>ABARROTES COMESTIBLES</v>
      </c>
      <c r="W74" s="31" t="s">
        <v>13322</v>
      </c>
      <c r="X74" s="28" t="s">
        <v>13086</v>
      </c>
      <c r="Y74" s="28" t="s">
        <v>13113</v>
      </c>
    </row>
    <row r="75" spans="1:25" ht="12" customHeight="1" x14ac:dyDescent="0.25">
      <c r="A75" s="46">
        <v>45668</v>
      </c>
      <c r="B75" s="2" t="s">
        <v>15</v>
      </c>
      <c r="C75" s="2" t="s">
        <v>15</v>
      </c>
      <c r="D75" s="2">
        <v>3283</v>
      </c>
      <c r="E75" s="2" t="s">
        <v>128</v>
      </c>
      <c r="F75" s="2">
        <v>12</v>
      </c>
      <c r="G75" s="2" t="s">
        <v>12990</v>
      </c>
      <c r="H75" s="2" t="s">
        <v>25</v>
      </c>
      <c r="I75" s="75" t="s">
        <v>15</v>
      </c>
      <c r="J75" s="9" t="s">
        <v>15</v>
      </c>
      <c r="K75" s="10" t="s">
        <v>15</v>
      </c>
      <c r="L75" s="10" t="s">
        <v>12917</v>
      </c>
      <c r="M75" s="10" t="s">
        <v>15</v>
      </c>
      <c r="N75" s="10" t="s">
        <v>18</v>
      </c>
      <c r="O75" s="10" t="s">
        <v>13098</v>
      </c>
      <c r="P75" s="10" t="s">
        <v>28</v>
      </c>
      <c r="Q75" s="2" t="s">
        <v>29</v>
      </c>
      <c r="R75" s="27" t="str">
        <f>VLOOKUP(Tabla1[[#This Row],[DETALLE ]],DATOS!L:M,2,0)</f>
        <v>PICKING</v>
      </c>
      <c r="S75" s="41" t="str">
        <f>IFERROR(IFERROR(VLOOKUP(Tabla1[[#This Row],[USUARIO PICKING ERROR]],DATOS!H:J,3,0),VLOOKUP(Tabla1[[#This Row],[USUARIO FILTRO ERROR]],DATOS!O:P,2,0)),"-")</f>
        <v>BENJAMIN LIZARBE</v>
      </c>
      <c r="T75" s="27" t="str">
        <f>UPPER(VLOOKUP(Tabla1[[#This Row],[CODIGO]],DATOS!A:E,5,0))</f>
        <v>ALMACENADO</v>
      </c>
      <c r="U75" s="31">
        <f>(Tabla1[[#This Row],[CANTIDAD]])*(VLOOKUP(Tabla1[[#This Row],[CODIGO]],DATOS!A:D,4,0))</f>
        <v>60</v>
      </c>
      <c r="V75" s="31" t="str">
        <f>VLOOKUP(Tabla1[[#This Row],[CODIGO]],DATOS!A:C,3,0)</f>
        <v>ABARROTES COMESTIBLES</v>
      </c>
      <c r="W75" s="31" t="s">
        <v>13322</v>
      </c>
      <c r="X75" s="28" t="s">
        <v>13086</v>
      </c>
      <c r="Y75" s="28" t="s">
        <v>13113</v>
      </c>
    </row>
    <row r="76" spans="1:25" ht="12" customHeight="1" x14ac:dyDescent="0.25">
      <c r="A76" s="46">
        <v>45668</v>
      </c>
      <c r="B76" s="2" t="s">
        <v>15</v>
      </c>
      <c r="C76" s="2" t="s">
        <v>15</v>
      </c>
      <c r="D76" s="2">
        <v>35501</v>
      </c>
      <c r="E76" s="2" t="s">
        <v>974</v>
      </c>
      <c r="F76" s="2">
        <v>12</v>
      </c>
      <c r="G76" s="2" t="s">
        <v>12990</v>
      </c>
      <c r="H76" s="2" t="s">
        <v>17</v>
      </c>
      <c r="I76" s="75" t="s">
        <v>15</v>
      </c>
      <c r="J76" s="9" t="s">
        <v>15</v>
      </c>
      <c r="K76" s="10" t="s">
        <v>15</v>
      </c>
      <c r="L76" s="10" t="s">
        <v>12917</v>
      </c>
      <c r="M76" s="10" t="s">
        <v>15</v>
      </c>
      <c r="N76" s="10" t="s">
        <v>18</v>
      </c>
      <c r="O76" s="10" t="s">
        <v>13021</v>
      </c>
      <c r="P76" s="10" t="s">
        <v>28</v>
      </c>
      <c r="Q76" s="2" t="s">
        <v>29</v>
      </c>
      <c r="R76" s="27" t="str">
        <f>VLOOKUP(Tabla1[[#This Row],[DETALLE ]],DATOS!L:M,2,0)</f>
        <v>PICKING</v>
      </c>
      <c r="S76" s="41" t="str">
        <f>IFERROR(IFERROR(VLOOKUP(Tabla1[[#This Row],[USUARIO PICKING ERROR]],DATOS!H:J,3,0),VLOOKUP(Tabla1[[#This Row],[USUARIO FILTRO ERROR]],DATOS!O:P,2,0)),"-")</f>
        <v>BENJAMIN LIZARBE</v>
      </c>
      <c r="T76" s="27" t="str">
        <f>UPPER(VLOOKUP(Tabla1[[#This Row],[CODIGO]],DATOS!A:E,5,0))</f>
        <v>ALMACENADO</v>
      </c>
      <c r="U76" s="31">
        <f>(Tabla1[[#This Row],[CANTIDAD]])*(VLOOKUP(Tabla1[[#This Row],[CODIGO]],DATOS!A:D,4,0))</f>
        <v>25.200000000000003</v>
      </c>
      <c r="V76" s="31" t="str">
        <f>VLOOKUP(Tabla1[[#This Row],[CODIGO]],DATOS!A:C,3,0)</f>
        <v>ABARROTES COMESTIBLES</v>
      </c>
      <c r="W76" s="31" t="s">
        <v>13322</v>
      </c>
      <c r="X76" s="28" t="s">
        <v>13086</v>
      </c>
      <c r="Y76" s="28" t="s">
        <v>13113</v>
      </c>
    </row>
    <row r="77" spans="1:25" ht="12" customHeight="1" x14ac:dyDescent="0.25">
      <c r="A77" s="46">
        <v>45668</v>
      </c>
      <c r="B77" s="2" t="s">
        <v>15</v>
      </c>
      <c r="C77" s="2" t="s">
        <v>15</v>
      </c>
      <c r="D77" s="2">
        <v>396035003</v>
      </c>
      <c r="E77" s="2" t="s">
        <v>9686</v>
      </c>
      <c r="F77" s="2">
        <v>24</v>
      </c>
      <c r="G77" s="2" t="s">
        <v>12990</v>
      </c>
      <c r="H77" s="2" t="s">
        <v>25</v>
      </c>
      <c r="I77" s="75" t="s">
        <v>15</v>
      </c>
      <c r="J77" s="9" t="s">
        <v>15</v>
      </c>
      <c r="K77" s="10" t="s">
        <v>15</v>
      </c>
      <c r="L77" s="10" t="s">
        <v>12917</v>
      </c>
      <c r="M77" s="10" t="s">
        <v>15</v>
      </c>
      <c r="N77" s="10" t="s">
        <v>18</v>
      </c>
      <c r="O77" s="10" t="s">
        <v>13098</v>
      </c>
      <c r="P77" s="10" t="s">
        <v>28</v>
      </c>
      <c r="Q77" s="2" t="s">
        <v>29</v>
      </c>
      <c r="R77" s="27" t="str">
        <f>VLOOKUP(Tabla1[[#This Row],[DETALLE ]],DATOS!L:M,2,0)</f>
        <v>PICKING</v>
      </c>
      <c r="S77" s="41" t="str">
        <f>IFERROR(IFERROR(VLOOKUP(Tabla1[[#This Row],[USUARIO PICKING ERROR]],DATOS!H:J,3,0),VLOOKUP(Tabla1[[#This Row],[USUARIO FILTRO ERROR]],DATOS!O:P,2,0)),"-")</f>
        <v>BENJAMIN LIZARBE</v>
      </c>
      <c r="T77" s="27" t="str">
        <f>UPPER(VLOOKUP(Tabla1[[#This Row],[CODIGO]],DATOS!A:E,5,0))</f>
        <v>ALMACENADO</v>
      </c>
      <c r="U77" s="31">
        <f>(Tabla1[[#This Row],[CANTIDAD]])*(VLOOKUP(Tabla1[[#This Row],[CODIGO]],DATOS!A:D,4,0))</f>
        <v>66.239999999999995</v>
      </c>
      <c r="V77" s="31" t="str">
        <f>VLOOKUP(Tabla1[[#This Row],[CODIGO]],DATOS!A:C,3,0)</f>
        <v>ABARROTES COMESTIBLES</v>
      </c>
      <c r="W77" s="31" t="s">
        <v>13322</v>
      </c>
      <c r="X77" s="28" t="s">
        <v>13086</v>
      </c>
      <c r="Y77" s="28" t="s">
        <v>13113</v>
      </c>
    </row>
    <row r="78" spans="1:25" ht="12" customHeight="1" x14ac:dyDescent="0.25">
      <c r="A78" s="46">
        <v>45670</v>
      </c>
      <c r="B78" s="2" t="s">
        <v>68</v>
      </c>
      <c r="C78" s="2">
        <v>7620854943</v>
      </c>
      <c r="D78" s="2">
        <v>765266</v>
      </c>
      <c r="E78" s="2" t="s">
        <v>4014</v>
      </c>
      <c r="F78" s="2">
        <v>1</v>
      </c>
      <c r="G78" s="2" t="s">
        <v>12990</v>
      </c>
      <c r="H78" s="2" t="s">
        <v>17</v>
      </c>
      <c r="I78" s="75" t="s">
        <v>15</v>
      </c>
      <c r="J78" s="9" t="s">
        <v>15</v>
      </c>
      <c r="K78" s="10" t="s">
        <v>15</v>
      </c>
      <c r="L78" s="10" t="s">
        <v>14</v>
      </c>
      <c r="M78" s="10" t="s">
        <v>15</v>
      </c>
      <c r="N78" s="10" t="s">
        <v>18</v>
      </c>
      <c r="O78" s="10" t="s">
        <v>13020</v>
      </c>
      <c r="P78" s="10" t="s">
        <v>17</v>
      </c>
      <c r="Q78" s="2" t="s">
        <v>14</v>
      </c>
      <c r="R78" s="27" t="str">
        <f>VLOOKUP(Tabla1[[#This Row],[DETALLE ]],DATOS!L:M,2,0)</f>
        <v>PICKING</v>
      </c>
      <c r="S78" s="41" t="str">
        <f>IFERROR(IFERROR(VLOOKUP(Tabla1[[#This Row],[USUARIO PICKING ERROR]],DATOS!H:J,3,0),VLOOKUP(Tabla1[[#This Row],[USUARIO FILTRO ERROR]],DATOS!O:P,2,0)),"-")</f>
        <v>ALMACEN</v>
      </c>
      <c r="T78" s="27" t="str">
        <f>UPPER(VLOOKUP(Tabla1[[#This Row],[CODIGO]],DATOS!A:E,5,0))</f>
        <v>FLUJO CONTINUO</v>
      </c>
      <c r="U78" s="31">
        <f>(Tabla1[[#This Row],[CANTIDAD]])*(VLOOKUP(Tabla1[[#This Row],[CODIGO]],DATOS!A:D,4,0))</f>
        <v>35.94</v>
      </c>
      <c r="V78" s="31" t="str">
        <f>VLOOKUP(Tabla1[[#This Row],[CODIGO]],DATOS!A:C,3,0)</f>
        <v>ABARROTES BEBIBLES</v>
      </c>
      <c r="W78" s="31" t="s">
        <v>13322</v>
      </c>
      <c r="X78" s="28" t="s">
        <v>21</v>
      </c>
      <c r="Y78" s="28" t="s">
        <v>13113</v>
      </c>
    </row>
    <row r="79" spans="1:25" ht="12" customHeight="1" x14ac:dyDescent="0.25">
      <c r="A79" s="46">
        <v>45670</v>
      </c>
      <c r="B79" s="2" t="s">
        <v>15</v>
      </c>
      <c r="C79" s="2" t="s">
        <v>15</v>
      </c>
      <c r="D79" s="2">
        <v>17098</v>
      </c>
      <c r="E79" s="2" t="s">
        <v>652</v>
      </c>
      <c r="F79" s="2">
        <v>12</v>
      </c>
      <c r="G79" s="2" t="s">
        <v>12990</v>
      </c>
      <c r="H79" s="2" t="s">
        <v>25</v>
      </c>
      <c r="I79" s="75" t="s">
        <v>15</v>
      </c>
      <c r="J79" s="9" t="s">
        <v>13001</v>
      </c>
      <c r="K79" s="10">
        <v>7620861800</v>
      </c>
      <c r="L79" s="10" t="s">
        <v>12933</v>
      </c>
      <c r="M79" s="10" t="s">
        <v>15</v>
      </c>
      <c r="N79" s="10" t="s">
        <v>18</v>
      </c>
      <c r="O79" s="10" t="s">
        <v>13093</v>
      </c>
      <c r="P79" s="10" t="s">
        <v>28</v>
      </c>
      <c r="Q79" s="2" t="s">
        <v>29</v>
      </c>
      <c r="R79" s="27" t="str">
        <f>VLOOKUP(Tabla1[[#This Row],[DETALLE ]],DATOS!L:M,2,0)</f>
        <v>PICKING</v>
      </c>
      <c r="S79" s="41" t="str">
        <f>IFERROR(IFERROR(VLOOKUP(Tabla1[[#This Row],[USUARIO PICKING ERROR]],DATOS!H:J,3,0),VLOOKUP(Tabla1[[#This Row],[USUARIO FILTRO ERROR]],DATOS!O:P,2,0)),"-")</f>
        <v>BENJAMIN LIZARBE</v>
      </c>
      <c r="T79" s="27" t="str">
        <f>UPPER(VLOOKUP(Tabla1[[#This Row],[CODIGO]],DATOS!A:E,5,0))</f>
        <v>FLUJO CONTINUO</v>
      </c>
      <c r="U79" s="31">
        <f>(Tabla1[[#This Row],[CANTIDAD]])*(VLOOKUP(Tabla1[[#This Row],[CODIGO]],DATOS!A:D,4,0))</f>
        <v>155.88</v>
      </c>
      <c r="V79" s="31" t="str">
        <f>VLOOKUP(Tabla1[[#This Row],[CODIGO]],DATOS!A:C,3,0)</f>
        <v>ABARROTES BEBIBLES</v>
      </c>
      <c r="W79" s="31" t="s">
        <v>13322</v>
      </c>
      <c r="X79" s="28" t="s">
        <v>13086</v>
      </c>
      <c r="Y79" s="28" t="s">
        <v>13113</v>
      </c>
    </row>
    <row r="80" spans="1:25" ht="12" customHeight="1" x14ac:dyDescent="0.25">
      <c r="A80" s="46">
        <v>45671</v>
      </c>
      <c r="B80" s="2" t="s">
        <v>114</v>
      </c>
      <c r="C80" s="2">
        <v>7620850995</v>
      </c>
      <c r="D80" s="2">
        <v>1001575</v>
      </c>
      <c r="E80" s="2" t="s">
        <v>8379</v>
      </c>
      <c r="F80" s="2">
        <v>12</v>
      </c>
      <c r="G80" s="2" t="s">
        <v>49</v>
      </c>
      <c r="H80" s="2" t="s">
        <v>17</v>
      </c>
      <c r="I80" s="75" t="s">
        <v>12940</v>
      </c>
      <c r="J80" s="9" t="s">
        <v>15</v>
      </c>
      <c r="K80" s="10" t="s">
        <v>15</v>
      </c>
      <c r="L80" s="10" t="s">
        <v>12888</v>
      </c>
      <c r="M80" s="10" t="s">
        <v>15</v>
      </c>
      <c r="N80" s="10" t="s">
        <v>18</v>
      </c>
      <c r="O80" s="10" t="s">
        <v>13020</v>
      </c>
      <c r="P80" s="10" t="s">
        <v>28</v>
      </c>
      <c r="Q80" s="2" t="s">
        <v>29</v>
      </c>
      <c r="R80" s="27" t="str">
        <f>VLOOKUP(Tabla1[[#This Row],[DETALLE ]],DATOS!L:M,2,0)</f>
        <v>PICKING</v>
      </c>
      <c r="S80" s="41" t="str">
        <f>IFERROR(IFERROR(VLOOKUP(Tabla1[[#This Row],[USUARIO PICKING ERROR]],DATOS!H:J,3,0),VLOOKUP(Tabla1[[#This Row],[USUARIO FILTRO ERROR]],DATOS!O:P,2,0)),"-")</f>
        <v>BENJAMIN LIZARBE</v>
      </c>
      <c r="T80" s="27" t="str">
        <f>UPPER(VLOOKUP(Tabla1[[#This Row],[CODIGO]],DATOS!A:E,5,0))</f>
        <v>FLUJO CONTINUO</v>
      </c>
      <c r="U80" s="31">
        <f>(Tabla1[[#This Row],[CANTIDAD]])*(VLOOKUP(Tabla1[[#This Row],[CODIGO]],DATOS!A:D,4,0))</f>
        <v>100.19999999999999</v>
      </c>
      <c r="V80" s="31" t="str">
        <f>VLOOKUP(Tabla1[[#This Row],[CODIGO]],DATOS!A:C,3,0)</f>
        <v>ABARROTES NO COMESTIBLES</v>
      </c>
      <c r="W80" s="31" t="s">
        <v>13322</v>
      </c>
      <c r="X80" s="28" t="s">
        <v>13086</v>
      </c>
      <c r="Y80" s="28" t="s">
        <v>13113</v>
      </c>
    </row>
    <row r="81" spans="1:25" ht="12" customHeight="1" x14ac:dyDescent="0.25">
      <c r="A81" s="46">
        <v>45671</v>
      </c>
      <c r="B81" s="2" t="s">
        <v>68</v>
      </c>
      <c r="C81" s="2">
        <v>7620854942</v>
      </c>
      <c r="D81" s="2">
        <v>444730</v>
      </c>
      <c r="E81" s="2" t="s">
        <v>2129</v>
      </c>
      <c r="F81" s="2">
        <v>18</v>
      </c>
      <c r="G81" s="2" t="s">
        <v>101</v>
      </c>
      <c r="H81" s="2" t="s">
        <v>17</v>
      </c>
      <c r="I81" s="75" t="s">
        <v>12940</v>
      </c>
      <c r="J81" s="9" t="s">
        <v>68</v>
      </c>
      <c r="K81" s="10">
        <v>7620854942</v>
      </c>
      <c r="L81" s="10" t="s">
        <v>15</v>
      </c>
      <c r="M81" s="10" t="s">
        <v>101</v>
      </c>
      <c r="N81" s="10" t="s">
        <v>12957</v>
      </c>
      <c r="O81" s="10" t="s">
        <v>13100</v>
      </c>
      <c r="P81" s="10" t="s">
        <v>28</v>
      </c>
      <c r="Q81" s="2" t="s">
        <v>39</v>
      </c>
      <c r="R81" s="27" t="str">
        <f>VLOOKUP(Tabla1[[#This Row],[DETALLE ]],DATOS!L:M,2,0)</f>
        <v>FILTRO</v>
      </c>
      <c r="S81" s="41" t="str">
        <f>IFERROR(IFERROR(VLOOKUP(Tabla1[[#This Row],[USUARIO PICKING ERROR]],DATOS!H:J,3,0),VLOOKUP(Tabla1[[#This Row],[USUARIO FILTRO ERROR]],DATOS!O:P,2,0)),"-")</f>
        <v>DAVID PIÑAN</v>
      </c>
      <c r="T81" s="27" t="str">
        <f>UPPER(VLOOKUP(Tabla1[[#This Row],[CODIGO]],DATOS!A:E,5,0))</f>
        <v>FLUJO CONTINUO</v>
      </c>
      <c r="U81" s="31">
        <f>(Tabla1[[#This Row],[CANTIDAD]])*(VLOOKUP(Tabla1[[#This Row],[CODIGO]],DATOS!A:D,4,0))</f>
        <v>360.71999999999997</v>
      </c>
      <c r="V81" s="31" t="str">
        <f>VLOOKUP(Tabla1[[#This Row],[CODIGO]],DATOS!A:C,3,0)</f>
        <v>ABARROTES BEBIBLES</v>
      </c>
      <c r="W81" s="31" t="s">
        <v>13322</v>
      </c>
      <c r="X81" s="28" t="s">
        <v>13086</v>
      </c>
      <c r="Y81" s="28" t="s">
        <v>13113</v>
      </c>
    </row>
    <row r="82" spans="1:25" ht="12" customHeight="1" x14ac:dyDescent="0.25">
      <c r="A82" s="46">
        <v>45671</v>
      </c>
      <c r="B82" s="2" t="s">
        <v>12982</v>
      </c>
      <c r="C82" s="2">
        <v>7620859185</v>
      </c>
      <c r="D82" s="2">
        <v>3866</v>
      </c>
      <c r="E82" s="2" t="s">
        <v>368</v>
      </c>
      <c r="F82" s="2">
        <v>3</v>
      </c>
      <c r="G82" s="2" t="s">
        <v>12990</v>
      </c>
      <c r="H82" s="2" t="s">
        <v>25</v>
      </c>
      <c r="I82" s="75" t="s">
        <v>15</v>
      </c>
      <c r="J82" s="9" t="s">
        <v>15</v>
      </c>
      <c r="K82" s="10" t="s">
        <v>15</v>
      </c>
      <c r="L82" s="10" t="s">
        <v>27</v>
      </c>
      <c r="M82" s="10" t="s">
        <v>15</v>
      </c>
      <c r="N82" s="10" t="s">
        <v>18</v>
      </c>
      <c r="O82" s="10" t="s">
        <v>13093</v>
      </c>
      <c r="P82" s="10" t="s">
        <v>28</v>
      </c>
      <c r="Q82" s="2" t="s">
        <v>29</v>
      </c>
      <c r="R82" s="27" t="str">
        <f>VLOOKUP(Tabla1[[#This Row],[DETALLE ]],DATOS!L:M,2,0)</f>
        <v>PICKING</v>
      </c>
      <c r="S82" s="41" t="str">
        <f>IFERROR(IFERROR(VLOOKUP(Tabla1[[#This Row],[USUARIO PICKING ERROR]],DATOS!H:J,3,0),VLOOKUP(Tabla1[[#This Row],[USUARIO FILTRO ERROR]],DATOS!O:P,2,0)),"-")</f>
        <v>BENJAMIN LIZARBE</v>
      </c>
      <c r="T82" s="27" t="str">
        <f>UPPER(VLOOKUP(Tabla1[[#This Row],[CODIGO]],DATOS!A:E,5,0))</f>
        <v>FLUJO CONTINUO</v>
      </c>
      <c r="U82" s="31">
        <f>(Tabla1[[#This Row],[CANTIDAD]])*(VLOOKUP(Tabla1[[#This Row],[CODIGO]],DATOS!A:D,4,0))</f>
        <v>36.480000000000004</v>
      </c>
      <c r="V82" s="31" t="str">
        <f>VLOOKUP(Tabla1[[#This Row],[CODIGO]],DATOS!A:C,3,0)</f>
        <v>ABARROTES BEBIBLES</v>
      </c>
      <c r="W82" s="31" t="s">
        <v>13322</v>
      </c>
      <c r="X82" s="28" t="s">
        <v>13086</v>
      </c>
      <c r="Y82" s="28" t="s">
        <v>13113</v>
      </c>
    </row>
    <row r="83" spans="1:25" ht="12" customHeight="1" x14ac:dyDescent="0.25">
      <c r="A83" s="46">
        <v>45671</v>
      </c>
      <c r="B83" s="2" t="s">
        <v>12983</v>
      </c>
      <c r="C83" s="2">
        <v>7620859887</v>
      </c>
      <c r="D83" s="2">
        <v>981635</v>
      </c>
      <c r="E83" s="2" t="s">
        <v>7451</v>
      </c>
      <c r="F83" s="2">
        <v>1</v>
      </c>
      <c r="G83" s="2" t="s">
        <v>49</v>
      </c>
      <c r="H83" s="2" t="s">
        <v>25</v>
      </c>
      <c r="I83" s="75" t="s">
        <v>12940</v>
      </c>
      <c r="J83" s="9" t="s">
        <v>15</v>
      </c>
      <c r="K83" s="10" t="s">
        <v>15</v>
      </c>
      <c r="L83" s="10" t="s">
        <v>12935</v>
      </c>
      <c r="M83" s="10" t="s">
        <v>15</v>
      </c>
      <c r="N83" s="10" t="s">
        <v>18</v>
      </c>
      <c r="O83" s="10" t="s">
        <v>13093</v>
      </c>
      <c r="P83" s="10" t="s">
        <v>28</v>
      </c>
      <c r="Q83" s="2" t="s">
        <v>29</v>
      </c>
      <c r="R83" s="27" t="str">
        <f>VLOOKUP(Tabla1[[#This Row],[DETALLE ]],DATOS!L:M,2,0)</f>
        <v>PICKING</v>
      </c>
      <c r="S83" s="41" t="str">
        <f>IFERROR(IFERROR(VLOOKUP(Tabla1[[#This Row],[USUARIO PICKING ERROR]],DATOS!H:J,3,0),VLOOKUP(Tabla1[[#This Row],[USUARIO FILTRO ERROR]],DATOS!O:P,2,0)),"-")</f>
        <v>BENJAMIN LIZARBE</v>
      </c>
      <c r="T83" s="27" t="str">
        <f>UPPER(VLOOKUP(Tabla1[[#This Row],[CODIGO]],DATOS!A:E,5,0))</f>
        <v>FLUJO CONTINUO</v>
      </c>
      <c r="U83" s="31">
        <f>(Tabla1[[#This Row],[CANTIDAD]])*(VLOOKUP(Tabla1[[#This Row],[CODIGO]],DATOS!A:D,4,0))</f>
        <v>20.88</v>
      </c>
      <c r="V83" s="31" t="str">
        <f>VLOOKUP(Tabla1[[#This Row],[CODIGO]],DATOS!A:C,3,0)</f>
        <v>ABARROTES BEBIBLES</v>
      </c>
      <c r="W83" s="31" t="s">
        <v>13322</v>
      </c>
      <c r="X83" s="28" t="s">
        <v>13086</v>
      </c>
      <c r="Y83" s="28" t="s">
        <v>13113</v>
      </c>
    </row>
    <row r="84" spans="1:25" ht="12" customHeight="1" x14ac:dyDescent="0.25">
      <c r="A84" s="46">
        <v>45671</v>
      </c>
      <c r="B84" s="2" t="s">
        <v>68</v>
      </c>
      <c r="C84" s="2">
        <v>7620854942</v>
      </c>
      <c r="D84" s="2">
        <v>365939</v>
      </c>
      <c r="E84" s="2" t="s">
        <v>1750</v>
      </c>
      <c r="F84" s="2">
        <v>12</v>
      </c>
      <c r="G84" s="2" t="s">
        <v>101</v>
      </c>
      <c r="H84" s="2" t="s">
        <v>25</v>
      </c>
      <c r="I84" s="75" t="s">
        <v>12940</v>
      </c>
      <c r="J84" s="9" t="s">
        <v>13003</v>
      </c>
      <c r="K84" s="10">
        <v>7620858925</v>
      </c>
      <c r="L84" s="10" t="s">
        <v>12929</v>
      </c>
      <c r="M84" s="10" t="s">
        <v>15</v>
      </c>
      <c r="N84" s="10" t="s">
        <v>18</v>
      </c>
      <c r="O84" s="10" t="s">
        <v>13093</v>
      </c>
      <c r="P84" s="10" t="s">
        <v>28</v>
      </c>
      <c r="Q84" s="2" t="s">
        <v>29</v>
      </c>
      <c r="R84" s="27" t="str">
        <f>VLOOKUP(Tabla1[[#This Row],[DETALLE ]],DATOS!L:M,2,0)</f>
        <v>PICKING</v>
      </c>
      <c r="S84" s="41" t="str">
        <f>IFERROR(IFERROR(VLOOKUP(Tabla1[[#This Row],[USUARIO PICKING ERROR]],DATOS!H:J,3,0),VLOOKUP(Tabla1[[#This Row],[USUARIO FILTRO ERROR]],DATOS!O:P,2,0)),"-")</f>
        <v>BENJAMIN LIZARBE</v>
      </c>
      <c r="T84" s="27" t="str">
        <f>UPPER(VLOOKUP(Tabla1[[#This Row],[CODIGO]],DATOS!A:E,5,0))</f>
        <v>FLUJO CONTINUO</v>
      </c>
      <c r="U84" s="31">
        <f>(Tabla1[[#This Row],[CANTIDAD]])*(VLOOKUP(Tabla1[[#This Row],[CODIGO]],DATOS!A:D,4,0))</f>
        <v>389.15999999999997</v>
      </c>
      <c r="V84" s="31" t="str">
        <f>VLOOKUP(Tabla1[[#This Row],[CODIGO]],DATOS!A:C,3,0)</f>
        <v>ABARROTES BEBIBLES</v>
      </c>
      <c r="W84" s="31" t="s">
        <v>13322</v>
      </c>
      <c r="X84" s="28" t="s">
        <v>13086</v>
      </c>
      <c r="Y84" s="28" t="s">
        <v>13113</v>
      </c>
    </row>
    <row r="85" spans="1:25" ht="12" customHeight="1" x14ac:dyDescent="0.25">
      <c r="A85" s="46">
        <v>45671</v>
      </c>
      <c r="B85" s="2" t="s">
        <v>92</v>
      </c>
      <c r="C85" s="2">
        <v>7620854338</v>
      </c>
      <c r="D85" s="2">
        <v>1004094</v>
      </c>
      <c r="E85" s="2" t="s">
        <v>8465</v>
      </c>
      <c r="F85" s="2">
        <v>1</v>
      </c>
      <c r="G85" s="2" t="s">
        <v>12996</v>
      </c>
      <c r="H85" s="2" t="s">
        <v>25</v>
      </c>
      <c r="I85" s="75" t="s">
        <v>12940</v>
      </c>
      <c r="J85" s="9" t="s">
        <v>48</v>
      </c>
      <c r="K85" s="10">
        <v>7620861740</v>
      </c>
      <c r="L85" s="10" t="s">
        <v>12935</v>
      </c>
      <c r="M85" s="10" t="s">
        <v>15</v>
      </c>
      <c r="N85" s="10" t="s">
        <v>18</v>
      </c>
      <c r="O85" s="10" t="s">
        <v>13093</v>
      </c>
      <c r="P85" s="10" t="s">
        <v>28</v>
      </c>
      <c r="Q85" s="2" t="s">
        <v>29</v>
      </c>
      <c r="R85" s="27" t="str">
        <f>VLOOKUP(Tabla1[[#This Row],[DETALLE ]],DATOS!L:M,2,0)</f>
        <v>PICKING</v>
      </c>
      <c r="S85" s="41" t="str">
        <f>IFERROR(IFERROR(VLOOKUP(Tabla1[[#This Row],[USUARIO PICKING ERROR]],DATOS!H:J,3,0),VLOOKUP(Tabla1[[#This Row],[USUARIO FILTRO ERROR]],DATOS!O:P,2,0)),"-")</f>
        <v>BENJAMIN LIZARBE</v>
      </c>
      <c r="T85" s="27" t="str">
        <f>UPPER(VLOOKUP(Tabla1[[#This Row],[CODIGO]],DATOS!A:E,5,0))</f>
        <v>FLUJO CONTINUO</v>
      </c>
      <c r="U85" s="31">
        <f>(Tabla1[[#This Row],[CANTIDAD]])*(VLOOKUP(Tabla1[[#This Row],[CODIGO]],DATOS!A:D,4,0))</f>
        <v>20.84</v>
      </c>
      <c r="V85" s="31" t="str">
        <f>VLOOKUP(Tabla1[[#This Row],[CODIGO]],DATOS!A:C,3,0)</f>
        <v>ABARROTES BEBIBLES</v>
      </c>
      <c r="W85" s="31" t="s">
        <v>13322</v>
      </c>
      <c r="X85" s="28" t="s">
        <v>13086</v>
      </c>
      <c r="Y85" s="28" t="s">
        <v>13113</v>
      </c>
    </row>
    <row r="86" spans="1:25" ht="12" customHeight="1" x14ac:dyDescent="0.25">
      <c r="A86" s="46">
        <v>45671</v>
      </c>
      <c r="B86" s="2" t="s">
        <v>88</v>
      </c>
      <c r="C86" s="2">
        <v>7620859604</v>
      </c>
      <c r="D86" s="2">
        <v>492713</v>
      </c>
      <c r="E86" s="2" t="s">
        <v>2416</v>
      </c>
      <c r="F86" s="2">
        <v>5</v>
      </c>
      <c r="G86" s="2" t="s">
        <v>12991</v>
      </c>
      <c r="H86" s="2" t="s">
        <v>25</v>
      </c>
      <c r="I86" s="75" t="s">
        <v>12940</v>
      </c>
      <c r="J86" s="9" t="s">
        <v>130</v>
      </c>
      <c r="K86" s="10">
        <v>7620860412</v>
      </c>
      <c r="L86" s="10" t="s">
        <v>12900</v>
      </c>
      <c r="M86" s="10" t="s">
        <v>15</v>
      </c>
      <c r="N86" s="10" t="s">
        <v>18</v>
      </c>
      <c r="O86" s="10" t="s">
        <v>13093</v>
      </c>
      <c r="P86" s="10" t="s">
        <v>28</v>
      </c>
      <c r="Q86" s="2" t="s">
        <v>29</v>
      </c>
      <c r="R86" s="27" t="str">
        <f>VLOOKUP(Tabla1[[#This Row],[DETALLE ]],DATOS!L:M,2,0)</f>
        <v>PICKING</v>
      </c>
      <c r="S86" s="41" t="str">
        <f>IFERROR(IFERROR(VLOOKUP(Tabla1[[#This Row],[USUARIO PICKING ERROR]],DATOS!H:J,3,0),VLOOKUP(Tabla1[[#This Row],[USUARIO FILTRO ERROR]],DATOS!O:P,2,0)),"-")</f>
        <v>BENJAMIN LIZARBE</v>
      </c>
      <c r="T86" s="27" t="str">
        <f>UPPER(VLOOKUP(Tabla1[[#This Row],[CODIGO]],DATOS!A:E,5,0))</f>
        <v>FLUJO CONTINUO</v>
      </c>
      <c r="U86" s="31">
        <f>(Tabla1[[#This Row],[CANTIDAD]])*(VLOOKUP(Tabla1[[#This Row],[CODIGO]],DATOS!A:D,4,0))</f>
        <v>750.34999999999991</v>
      </c>
      <c r="V86" s="31" t="str">
        <f>VLOOKUP(Tabla1[[#This Row],[CODIGO]],DATOS!A:C,3,0)</f>
        <v>ABARROTES BEBIBLES</v>
      </c>
      <c r="W86" s="31" t="s">
        <v>13322</v>
      </c>
      <c r="X86" s="28" t="s">
        <v>13086</v>
      </c>
      <c r="Y86" s="28" t="s">
        <v>13113</v>
      </c>
    </row>
    <row r="87" spans="1:25" ht="12" customHeight="1" x14ac:dyDescent="0.25">
      <c r="A87" s="46">
        <v>45672</v>
      </c>
      <c r="B87" s="2" t="s">
        <v>58</v>
      </c>
      <c r="C87" s="2">
        <v>7620856035</v>
      </c>
      <c r="D87" s="2">
        <v>983944</v>
      </c>
      <c r="E87" s="2" t="s">
        <v>7502</v>
      </c>
      <c r="F87" s="2">
        <v>6</v>
      </c>
      <c r="G87" s="2" t="s">
        <v>12990</v>
      </c>
      <c r="H87" s="2" t="s">
        <v>17</v>
      </c>
      <c r="I87" s="75" t="s">
        <v>15</v>
      </c>
      <c r="J87" s="9" t="s">
        <v>15</v>
      </c>
      <c r="K87" s="10" t="s">
        <v>15</v>
      </c>
      <c r="L87" s="10" t="s">
        <v>12929</v>
      </c>
      <c r="M87" s="10" t="s">
        <v>15</v>
      </c>
      <c r="N87" s="10" t="s">
        <v>18</v>
      </c>
      <c r="O87" s="10" t="s">
        <v>13020</v>
      </c>
      <c r="P87" s="10" t="s">
        <v>28</v>
      </c>
      <c r="Q87" s="2" t="s">
        <v>29</v>
      </c>
      <c r="R87" s="27" t="str">
        <f>VLOOKUP(Tabla1[[#This Row],[DETALLE ]],DATOS!L:M,2,0)</f>
        <v>PICKING</v>
      </c>
      <c r="S87" s="41" t="str">
        <f>IFERROR(IFERROR(VLOOKUP(Tabla1[[#This Row],[USUARIO PICKING ERROR]],DATOS!H:J,3,0),VLOOKUP(Tabla1[[#This Row],[USUARIO FILTRO ERROR]],DATOS!O:P,2,0)),"-")</f>
        <v>BENJAMIN LIZARBE</v>
      </c>
      <c r="T87" s="27" t="str">
        <f>UPPER(VLOOKUP(Tabla1[[#This Row],[CODIGO]],DATOS!A:E,5,0))</f>
        <v>FLUJO CONTINUO</v>
      </c>
      <c r="U87" s="31">
        <f>(Tabla1[[#This Row],[CANTIDAD]])*(VLOOKUP(Tabla1[[#This Row],[CODIGO]],DATOS!A:D,4,0))</f>
        <v>366.9</v>
      </c>
      <c r="V87" s="31" t="str">
        <f>VLOOKUP(Tabla1[[#This Row],[CODIGO]],DATOS!A:C,3,0)</f>
        <v>ABARROTES BEBIBLES</v>
      </c>
      <c r="W87" s="31" t="s">
        <v>13322</v>
      </c>
      <c r="X87" s="28" t="s">
        <v>13086</v>
      </c>
      <c r="Y87" s="28" t="s">
        <v>13111</v>
      </c>
    </row>
    <row r="88" spans="1:25" ht="12" customHeight="1" x14ac:dyDescent="0.25">
      <c r="A88" s="46">
        <v>45672</v>
      </c>
      <c r="B88" s="2" t="s">
        <v>102</v>
      </c>
      <c r="C88" s="2">
        <v>7620858334</v>
      </c>
      <c r="D88" s="2">
        <v>369393</v>
      </c>
      <c r="E88" s="2" t="s">
        <v>1767</v>
      </c>
      <c r="F88" s="2">
        <v>1</v>
      </c>
      <c r="G88" s="2" t="s">
        <v>12996</v>
      </c>
      <c r="H88" s="2" t="s">
        <v>25</v>
      </c>
      <c r="I88" s="75" t="s">
        <v>12940</v>
      </c>
      <c r="J88" s="9" t="s">
        <v>12963</v>
      </c>
      <c r="K88" s="10">
        <v>7620854776</v>
      </c>
      <c r="L88" s="10" t="s">
        <v>12911</v>
      </c>
      <c r="M88" s="10" t="s">
        <v>15</v>
      </c>
      <c r="N88" s="10" t="s">
        <v>18</v>
      </c>
      <c r="O88" s="10" t="s">
        <v>13093</v>
      </c>
      <c r="P88" s="10" t="s">
        <v>28</v>
      </c>
      <c r="Q88" s="2" t="s">
        <v>39</v>
      </c>
      <c r="R88" s="27" t="str">
        <f>VLOOKUP(Tabla1[[#This Row],[DETALLE ]],DATOS!L:M,2,0)</f>
        <v>PICKING</v>
      </c>
      <c r="S88" s="41" t="str">
        <f>IFERROR(IFERROR(VLOOKUP(Tabla1[[#This Row],[USUARIO PICKING ERROR]],DATOS!H:J,3,0),VLOOKUP(Tabla1[[#This Row],[USUARIO FILTRO ERROR]],DATOS!O:P,2,0)),"-")</f>
        <v>DAVID PIÑAN</v>
      </c>
      <c r="T88" s="27" t="str">
        <f>UPPER(VLOOKUP(Tabla1[[#This Row],[CODIGO]],DATOS!A:E,5,0))</f>
        <v>FLUJO CONTINUO</v>
      </c>
      <c r="U88" s="31">
        <f>(Tabla1[[#This Row],[CANTIDAD]])*(VLOOKUP(Tabla1[[#This Row],[CODIGO]],DATOS!A:D,4,0))</f>
        <v>28.06</v>
      </c>
      <c r="V88" s="31" t="str">
        <f>VLOOKUP(Tabla1[[#This Row],[CODIGO]],DATOS!A:C,3,0)</f>
        <v>ABARROTES BEBIBLES</v>
      </c>
      <c r="W88" s="31" t="s">
        <v>13322</v>
      </c>
      <c r="X88" s="28" t="s">
        <v>13086</v>
      </c>
      <c r="Y88" s="28" t="s">
        <v>13111</v>
      </c>
    </row>
    <row r="89" spans="1:25" ht="12" customHeight="1" x14ac:dyDescent="0.25">
      <c r="A89" s="46">
        <v>45672</v>
      </c>
      <c r="B89" s="2" t="s">
        <v>15</v>
      </c>
      <c r="C89" s="2" t="s">
        <v>15</v>
      </c>
      <c r="D89" s="2">
        <v>704410</v>
      </c>
      <c r="E89" s="2" t="s">
        <v>3244</v>
      </c>
      <c r="F89" s="2">
        <v>2</v>
      </c>
      <c r="G89" s="2" t="s">
        <v>12990</v>
      </c>
      <c r="H89" s="2" t="s">
        <v>25</v>
      </c>
      <c r="I89" s="75" t="s">
        <v>15</v>
      </c>
      <c r="J89" s="9" t="s">
        <v>130</v>
      </c>
      <c r="K89" s="10">
        <v>7620862855</v>
      </c>
      <c r="L89" s="10" t="s">
        <v>53</v>
      </c>
      <c r="M89" s="10" t="s">
        <v>15</v>
      </c>
      <c r="N89" s="10" t="s">
        <v>18</v>
      </c>
      <c r="O89" s="10" t="s">
        <v>13093</v>
      </c>
      <c r="P89" s="10" t="s">
        <v>28</v>
      </c>
      <c r="Q89" s="2" t="s">
        <v>39</v>
      </c>
      <c r="R89" s="27" t="str">
        <f>VLOOKUP(Tabla1[[#This Row],[DETALLE ]],DATOS!L:M,2,0)</f>
        <v>PICKING</v>
      </c>
      <c r="S89" s="41" t="str">
        <f>IFERROR(IFERROR(VLOOKUP(Tabla1[[#This Row],[USUARIO PICKING ERROR]],DATOS!H:J,3,0),VLOOKUP(Tabla1[[#This Row],[USUARIO FILTRO ERROR]],DATOS!O:P,2,0)),"-")</f>
        <v>DAVID PIÑAN</v>
      </c>
      <c r="T89" s="27" t="str">
        <f>UPPER(VLOOKUP(Tabla1[[#This Row],[CODIGO]],DATOS!A:E,5,0))</f>
        <v>FLUJO CONTINUO</v>
      </c>
      <c r="U89" s="31">
        <f>(Tabla1[[#This Row],[CANTIDAD]])*(VLOOKUP(Tabla1[[#This Row],[CODIGO]],DATOS!A:D,4,0))</f>
        <v>27</v>
      </c>
      <c r="V89" s="31" t="str">
        <f>VLOOKUP(Tabla1[[#This Row],[CODIGO]],DATOS!A:C,3,0)</f>
        <v>ABARROTES NO COMESTIBLES</v>
      </c>
      <c r="W89" s="31" t="s">
        <v>13322</v>
      </c>
      <c r="X89" s="28" t="s">
        <v>13086</v>
      </c>
      <c r="Y89" s="28" t="s">
        <v>13111</v>
      </c>
    </row>
    <row r="90" spans="1:25" ht="12" customHeight="1" x14ac:dyDescent="0.25">
      <c r="A90" s="46">
        <v>45672</v>
      </c>
      <c r="B90" s="2" t="s">
        <v>76</v>
      </c>
      <c r="C90" s="2">
        <v>7620861256</v>
      </c>
      <c r="D90" s="2">
        <v>3771</v>
      </c>
      <c r="E90" s="2" t="s">
        <v>358</v>
      </c>
      <c r="F90" s="2">
        <v>2</v>
      </c>
      <c r="G90" s="2" t="s">
        <v>12992</v>
      </c>
      <c r="H90" s="2" t="s">
        <v>17</v>
      </c>
      <c r="I90" s="75" t="s">
        <v>12940</v>
      </c>
      <c r="J90" s="9" t="s">
        <v>71</v>
      </c>
      <c r="K90" s="10">
        <v>7620860923</v>
      </c>
      <c r="L90" s="10" t="s">
        <v>55</v>
      </c>
      <c r="M90" s="10" t="s">
        <v>15</v>
      </c>
      <c r="N90" s="10" t="s">
        <v>18</v>
      </c>
      <c r="O90" s="10" t="s">
        <v>13020</v>
      </c>
      <c r="P90" s="10" t="s">
        <v>28</v>
      </c>
      <c r="Q90" s="2" t="s">
        <v>29</v>
      </c>
      <c r="R90" s="27" t="str">
        <f>VLOOKUP(Tabla1[[#This Row],[DETALLE ]],DATOS!L:M,2,0)</f>
        <v>PICKING</v>
      </c>
      <c r="S90" s="41" t="str">
        <f>IFERROR(IFERROR(VLOOKUP(Tabla1[[#This Row],[USUARIO PICKING ERROR]],DATOS!H:J,3,0),VLOOKUP(Tabla1[[#This Row],[USUARIO FILTRO ERROR]],DATOS!O:P,2,0)),"-")</f>
        <v>BENJAMIN LIZARBE</v>
      </c>
      <c r="T90" s="27" t="str">
        <f>UPPER(VLOOKUP(Tabla1[[#This Row],[CODIGO]],DATOS!A:E,5,0))</f>
        <v>FLUJO CONTINUO</v>
      </c>
      <c r="U90" s="31">
        <f>(Tabla1[[#This Row],[CANTIDAD]])*(VLOOKUP(Tabla1[[#This Row],[CODIGO]],DATOS!A:D,4,0))</f>
        <v>36.74</v>
      </c>
      <c r="V90" s="31" t="str">
        <f>VLOOKUP(Tabla1[[#This Row],[CODIGO]],DATOS!A:C,3,0)</f>
        <v>ABARROTES BEBIBLES</v>
      </c>
      <c r="W90" s="31" t="s">
        <v>13322</v>
      </c>
      <c r="X90" s="28" t="s">
        <v>13086</v>
      </c>
      <c r="Y90" s="28" t="s">
        <v>13111</v>
      </c>
    </row>
    <row r="91" spans="1:25" ht="12" customHeight="1" x14ac:dyDescent="0.25">
      <c r="A91" s="46">
        <v>45672</v>
      </c>
      <c r="B91" s="2" t="s">
        <v>15</v>
      </c>
      <c r="C91" s="2" t="s">
        <v>15</v>
      </c>
      <c r="D91" s="2">
        <v>4257</v>
      </c>
      <c r="E91" s="2" t="s">
        <v>464</v>
      </c>
      <c r="F91" s="2">
        <v>96</v>
      </c>
      <c r="G91" s="2" t="s">
        <v>12990</v>
      </c>
      <c r="H91" s="2" t="s">
        <v>25</v>
      </c>
      <c r="I91" s="75" t="s">
        <v>15</v>
      </c>
      <c r="J91" s="9" t="s">
        <v>15</v>
      </c>
      <c r="K91" s="10" t="s">
        <v>15</v>
      </c>
      <c r="L91" s="10" t="s">
        <v>87</v>
      </c>
      <c r="M91" s="10" t="s">
        <v>15</v>
      </c>
      <c r="N91" s="10" t="s">
        <v>18</v>
      </c>
      <c r="O91" s="10" t="s">
        <v>13098</v>
      </c>
      <c r="P91" s="10" t="s">
        <v>28</v>
      </c>
      <c r="Q91" s="2" t="s">
        <v>29</v>
      </c>
      <c r="R91" s="27" t="str">
        <f>VLOOKUP(Tabla1[[#This Row],[DETALLE ]],DATOS!L:M,2,0)</f>
        <v>PICKING</v>
      </c>
      <c r="S91" s="41" t="str">
        <f>IFERROR(IFERROR(VLOOKUP(Tabla1[[#This Row],[USUARIO PICKING ERROR]],DATOS!H:J,3,0),VLOOKUP(Tabla1[[#This Row],[USUARIO FILTRO ERROR]],DATOS!O:P,2,0)),"-")</f>
        <v>BENJAMIN LIZARBE</v>
      </c>
      <c r="T91" s="27" t="str">
        <f>UPPER(VLOOKUP(Tabla1[[#This Row],[CODIGO]],DATOS!A:E,5,0))</f>
        <v>ALMACENADO</v>
      </c>
      <c r="U91" s="31">
        <f>(Tabla1[[#This Row],[CANTIDAD]])*(VLOOKUP(Tabla1[[#This Row],[CODIGO]],DATOS!A:D,4,0))</f>
        <v>117.12</v>
      </c>
      <c r="V91" s="31" t="str">
        <f>VLOOKUP(Tabla1[[#This Row],[CODIGO]],DATOS!A:C,3,0)</f>
        <v>ABARROTES COMESTIBLES</v>
      </c>
      <c r="W91" s="31" t="s">
        <v>13322</v>
      </c>
      <c r="X91" s="28" t="s">
        <v>13086</v>
      </c>
      <c r="Y91" s="28" t="s">
        <v>13111</v>
      </c>
    </row>
    <row r="92" spans="1:25" ht="12" customHeight="1" x14ac:dyDescent="0.25">
      <c r="A92" s="46">
        <v>45672</v>
      </c>
      <c r="B92" s="2" t="s">
        <v>15</v>
      </c>
      <c r="C92" s="2" t="s">
        <v>15</v>
      </c>
      <c r="D92" s="2">
        <v>48218002</v>
      </c>
      <c r="E92" s="2" t="s">
        <v>8962</v>
      </c>
      <c r="F92" s="2">
        <v>12</v>
      </c>
      <c r="G92" s="2" t="s">
        <v>12990</v>
      </c>
      <c r="H92" s="2" t="s">
        <v>25</v>
      </c>
      <c r="I92" s="75" t="s">
        <v>15</v>
      </c>
      <c r="J92" s="9" t="s">
        <v>15</v>
      </c>
      <c r="K92" s="10" t="s">
        <v>15</v>
      </c>
      <c r="L92" s="10" t="s">
        <v>55</v>
      </c>
      <c r="M92" s="10" t="s">
        <v>15</v>
      </c>
      <c r="N92" s="10" t="s">
        <v>18</v>
      </c>
      <c r="O92" s="10" t="s">
        <v>13098</v>
      </c>
      <c r="P92" s="10" t="s">
        <v>28</v>
      </c>
      <c r="Q92" s="2" t="s">
        <v>29</v>
      </c>
      <c r="R92" s="27" t="str">
        <f>VLOOKUP(Tabla1[[#This Row],[DETALLE ]],DATOS!L:M,2,0)</f>
        <v>PICKING</v>
      </c>
      <c r="S92" s="41" t="str">
        <f>IFERROR(IFERROR(VLOOKUP(Tabla1[[#This Row],[USUARIO PICKING ERROR]],DATOS!H:J,3,0),VLOOKUP(Tabla1[[#This Row],[USUARIO FILTRO ERROR]],DATOS!O:P,2,0)),"-")</f>
        <v>BENJAMIN LIZARBE</v>
      </c>
      <c r="T92" s="27" t="str">
        <f>UPPER(VLOOKUP(Tabla1[[#This Row],[CODIGO]],DATOS!A:E,5,0))</f>
        <v>ALMACENADO</v>
      </c>
      <c r="U92" s="31">
        <f>(Tabla1[[#This Row],[CANTIDAD]])*(VLOOKUP(Tabla1[[#This Row],[CODIGO]],DATOS!A:D,4,0))</f>
        <v>60</v>
      </c>
      <c r="V92" s="31" t="str">
        <f>VLOOKUP(Tabla1[[#This Row],[CODIGO]],DATOS!A:C,3,0)</f>
        <v>ABARROTES COMESTIBLES</v>
      </c>
      <c r="W92" s="31" t="s">
        <v>13322</v>
      </c>
      <c r="X92" s="28" t="s">
        <v>13086</v>
      </c>
      <c r="Y92" s="28" t="s">
        <v>13111</v>
      </c>
    </row>
    <row r="93" spans="1:25" ht="12" customHeight="1" x14ac:dyDescent="0.25">
      <c r="A93" s="46">
        <v>45672</v>
      </c>
      <c r="B93" s="2" t="s">
        <v>15</v>
      </c>
      <c r="C93" s="2" t="s">
        <v>15</v>
      </c>
      <c r="D93" s="2">
        <v>48418016</v>
      </c>
      <c r="E93" s="2" t="s">
        <v>9062</v>
      </c>
      <c r="F93" s="2">
        <v>12</v>
      </c>
      <c r="G93" s="2" t="s">
        <v>12990</v>
      </c>
      <c r="H93" s="2" t="s">
        <v>17</v>
      </c>
      <c r="I93" s="75" t="s">
        <v>15</v>
      </c>
      <c r="J93" s="9" t="s">
        <v>15</v>
      </c>
      <c r="K93" s="10" t="s">
        <v>15</v>
      </c>
      <c r="L93" s="10" t="s">
        <v>55</v>
      </c>
      <c r="M93" s="10" t="s">
        <v>15</v>
      </c>
      <c r="N93" s="10" t="s">
        <v>18</v>
      </c>
      <c r="O93" s="10" t="s">
        <v>13021</v>
      </c>
      <c r="P93" s="10" t="s">
        <v>28</v>
      </c>
      <c r="Q93" s="2" t="s">
        <v>29</v>
      </c>
      <c r="R93" s="27" t="str">
        <f>VLOOKUP(Tabla1[[#This Row],[DETALLE ]],DATOS!L:M,2,0)</f>
        <v>PICKING</v>
      </c>
      <c r="S93" s="41" t="str">
        <f>IFERROR(IFERROR(VLOOKUP(Tabla1[[#This Row],[USUARIO PICKING ERROR]],DATOS!H:J,3,0),VLOOKUP(Tabla1[[#This Row],[USUARIO FILTRO ERROR]],DATOS!O:P,2,0)),"-")</f>
        <v>BENJAMIN LIZARBE</v>
      </c>
      <c r="T93" s="27" t="str">
        <f>UPPER(VLOOKUP(Tabla1[[#This Row],[CODIGO]],DATOS!A:E,5,0))</f>
        <v>ALMACENADO</v>
      </c>
      <c r="U93" s="31">
        <f>(Tabla1[[#This Row],[CANTIDAD]])*(VLOOKUP(Tabla1[[#This Row],[CODIGO]],DATOS!A:D,4,0))</f>
        <v>42</v>
      </c>
      <c r="V93" s="31" t="str">
        <f>VLOOKUP(Tabla1[[#This Row],[CODIGO]],DATOS!A:C,3,0)</f>
        <v>ABARROTES COMESTIBLES</v>
      </c>
      <c r="W93" s="31" t="s">
        <v>13322</v>
      </c>
      <c r="X93" s="28" t="s">
        <v>13086</v>
      </c>
      <c r="Y93" s="28" t="s">
        <v>13111</v>
      </c>
    </row>
    <row r="94" spans="1:25" ht="12" customHeight="1" x14ac:dyDescent="0.25">
      <c r="A94" s="46">
        <v>45672</v>
      </c>
      <c r="B94" s="2" t="s">
        <v>15</v>
      </c>
      <c r="C94" s="2" t="s">
        <v>15</v>
      </c>
      <c r="D94" s="2">
        <v>396035001</v>
      </c>
      <c r="E94" s="2" t="s">
        <v>9684</v>
      </c>
      <c r="F94" s="2">
        <v>96</v>
      </c>
      <c r="G94" s="2" t="s">
        <v>12990</v>
      </c>
      <c r="H94" s="2" t="s">
        <v>17</v>
      </c>
      <c r="I94" s="75" t="s">
        <v>15</v>
      </c>
      <c r="J94" s="9" t="s">
        <v>15</v>
      </c>
      <c r="K94" s="10" t="s">
        <v>15</v>
      </c>
      <c r="L94" s="10" t="s">
        <v>55</v>
      </c>
      <c r="M94" s="10" t="s">
        <v>15</v>
      </c>
      <c r="N94" s="10" t="s">
        <v>18</v>
      </c>
      <c r="O94" s="10" t="s">
        <v>13021</v>
      </c>
      <c r="P94" s="10" t="s">
        <v>28</v>
      </c>
      <c r="Q94" s="2" t="s">
        <v>29</v>
      </c>
      <c r="R94" s="27" t="str">
        <f>VLOOKUP(Tabla1[[#This Row],[DETALLE ]],DATOS!L:M,2,0)</f>
        <v>PICKING</v>
      </c>
      <c r="S94" s="41" t="str">
        <f>IFERROR(IFERROR(VLOOKUP(Tabla1[[#This Row],[USUARIO PICKING ERROR]],DATOS!H:J,3,0),VLOOKUP(Tabla1[[#This Row],[USUARIO FILTRO ERROR]],DATOS!O:P,2,0)),"-")</f>
        <v>BENJAMIN LIZARBE</v>
      </c>
      <c r="T94" s="27" t="str">
        <f>UPPER(VLOOKUP(Tabla1[[#This Row],[CODIGO]],DATOS!A:E,5,0))</f>
        <v>ALMACENADO</v>
      </c>
      <c r="U94" s="31">
        <f>(Tabla1[[#This Row],[CANTIDAD]])*(VLOOKUP(Tabla1[[#This Row],[CODIGO]],DATOS!A:D,4,0))</f>
        <v>264.95999999999998</v>
      </c>
      <c r="V94" s="31" t="str">
        <f>VLOOKUP(Tabla1[[#This Row],[CODIGO]],DATOS!A:C,3,0)</f>
        <v>ABARROTES COMESTIBLES</v>
      </c>
      <c r="W94" s="31" t="s">
        <v>13322</v>
      </c>
      <c r="X94" s="28" t="s">
        <v>13086</v>
      </c>
      <c r="Y94" s="28" t="s">
        <v>13111</v>
      </c>
    </row>
    <row r="95" spans="1:25" ht="12" customHeight="1" x14ac:dyDescent="0.25">
      <c r="A95" s="46">
        <v>45672</v>
      </c>
      <c r="B95" s="2" t="s">
        <v>15</v>
      </c>
      <c r="C95" s="2" t="s">
        <v>15</v>
      </c>
      <c r="D95" s="2">
        <v>3202</v>
      </c>
      <c r="E95" s="2" t="s">
        <v>267</v>
      </c>
      <c r="F95" s="2">
        <v>12</v>
      </c>
      <c r="G95" s="2" t="s">
        <v>12990</v>
      </c>
      <c r="H95" s="2" t="s">
        <v>25</v>
      </c>
      <c r="I95" s="75" t="s">
        <v>15</v>
      </c>
      <c r="J95" s="9" t="s">
        <v>15</v>
      </c>
      <c r="K95" s="10" t="s">
        <v>15</v>
      </c>
      <c r="L95" s="10" t="s">
        <v>121</v>
      </c>
      <c r="M95" s="10" t="s">
        <v>15</v>
      </c>
      <c r="N95" s="10" t="s">
        <v>18</v>
      </c>
      <c r="O95" s="10" t="s">
        <v>13098</v>
      </c>
      <c r="P95" s="10" t="s">
        <v>28</v>
      </c>
      <c r="Q95" s="2" t="s">
        <v>29</v>
      </c>
      <c r="R95" s="27" t="str">
        <f>VLOOKUP(Tabla1[[#This Row],[DETALLE ]],DATOS!L:M,2,0)</f>
        <v>PICKING</v>
      </c>
      <c r="S95" s="41" t="str">
        <f>IFERROR(IFERROR(VLOOKUP(Tabla1[[#This Row],[USUARIO PICKING ERROR]],DATOS!H:J,3,0),VLOOKUP(Tabla1[[#This Row],[USUARIO FILTRO ERROR]],DATOS!O:P,2,0)),"-")</f>
        <v>BENJAMIN LIZARBE</v>
      </c>
      <c r="T95" s="27" t="str">
        <f>UPPER(VLOOKUP(Tabla1[[#This Row],[CODIGO]],DATOS!A:E,5,0))</f>
        <v>ALMACENADO</v>
      </c>
      <c r="U95" s="31">
        <f>(Tabla1[[#This Row],[CANTIDAD]])*(VLOOKUP(Tabla1[[#This Row],[CODIGO]],DATOS!A:D,4,0))</f>
        <v>60</v>
      </c>
      <c r="V95" s="31" t="str">
        <f>VLOOKUP(Tabla1[[#This Row],[CODIGO]],DATOS!A:C,3,0)</f>
        <v>ABARROTES COMESTIBLES</v>
      </c>
      <c r="W95" s="31" t="s">
        <v>13322</v>
      </c>
      <c r="X95" s="28" t="s">
        <v>13086</v>
      </c>
      <c r="Y95" s="28" t="s">
        <v>13111</v>
      </c>
    </row>
    <row r="96" spans="1:25" ht="12" customHeight="1" x14ac:dyDescent="0.25">
      <c r="A96" s="46">
        <v>45673</v>
      </c>
      <c r="B96" s="2" t="s">
        <v>76</v>
      </c>
      <c r="C96" s="2">
        <v>7620861256</v>
      </c>
      <c r="D96" s="2">
        <v>270402</v>
      </c>
      <c r="E96" s="2" t="s">
        <v>1506</v>
      </c>
      <c r="F96" s="2">
        <v>11</v>
      </c>
      <c r="G96" s="2" t="s">
        <v>12992</v>
      </c>
      <c r="H96" s="2" t="s">
        <v>17</v>
      </c>
      <c r="I96" s="75" t="s">
        <v>12940</v>
      </c>
      <c r="J96" s="9" t="s">
        <v>71</v>
      </c>
      <c r="K96" s="10">
        <v>7620860923</v>
      </c>
      <c r="L96" s="10" t="s">
        <v>121</v>
      </c>
      <c r="M96" s="10" t="s">
        <v>15</v>
      </c>
      <c r="N96" s="10" t="s">
        <v>18</v>
      </c>
      <c r="O96" s="10" t="s">
        <v>13020</v>
      </c>
      <c r="P96" s="10" t="s">
        <v>28</v>
      </c>
      <c r="Q96" s="2" t="s">
        <v>29</v>
      </c>
      <c r="R96" s="27" t="str">
        <f>VLOOKUP(Tabla1[[#This Row],[DETALLE ]],DATOS!L:M,2,0)</f>
        <v>PICKING</v>
      </c>
      <c r="S96" s="41" t="str">
        <f>IFERROR(IFERROR(VLOOKUP(Tabla1[[#This Row],[USUARIO PICKING ERROR]],DATOS!H:J,3,0),VLOOKUP(Tabla1[[#This Row],[USUARIO FILTRO ERROR]],DATOS!O:P,2,0)),"-")</f>
        <v>BENJAMIN LIZARBE</v>
      </c>
      <c r="T96" s="27" t="str">
        <f>UPPER(VLOOKUP(Tabla1[[#This Row],[CODIGO]],DATOS!A:E,5,0))</f>
        <v>FLUJO CONTINUO</v>
      </c>
      <c r="U96" s="31">
        <f>(Tabla1[[#This Row],[CANTIDAD]])*(VLOOKUP(Tabla1[[#This Row],[CODIGO]],DATOS!A:D,4,0))</f>
        <v>308.65999999999997</v>
      </c>
      <c r="V96" s="31" t="str">
        <f>VLOOKUP(Tabla1[[#This Row],[CODIGO]],DATOS!A:C,3,0)</f>
        <v>ABARROTES BEBIBLES</v>
      </c>
      <c r="W96" s="31" t="s">
        <v>13322</v>
      </c>
      <c r="X96" s="28" t="s">
        <v>13086</v>
      </c>
      <c r="Y96" s="28" t="s">
        <v>13111</v>
      </c>
    </row>
    <row r="97" spans="1:25" ht="12" customHeight="1" x14ac:dyDescent="0.25">
      <c r="A97" s="46">
        <v>45673</v>
      </c>
      <c r="B97" s="2" t="s">
        <v>130</v>
      </c>
      <c r="C97" s="2">
        <v>7620862822</v>
      </c>
      <c r="D97" s="2">
        <v>941346</v>
      </c>
      <c r="E97" s="2" t="s">
        <v>5754</v>
      </c>
      <c r="F97" s="2">
        <v>12</v>
      </c>
      <c r="G97" s="2" t="s">
        <v>101</v>
      </c>
      <c r="H97" s="2" t="s">
        <v>25</v>
      </c>
      <c r="I97" s="75" t="s">
        <v>12940</v>
      </c>
      <c r="J97" s="9" t="s">
        <v>88</v>
      </c>
      <c r="K97" s="10">
        <v>7620859599</v>
      </c>
      <c r="L97" s="10" t="s">
        <v>15</v>
      </c>
      <c r="M97" s="10" t="s">
        <v>49</v>
      </c>
      <c r="N97" s="10" t="s">
        <v>12957</v>
      </c>
      <c r="O97" s="10" t="s">
        <v>13094</v>
      </c>
      <c r="P97" s="10" t="s">
        <v>28</v>
      </c>
      <c r="Q97" s="2" t="s">
        <v>39</v>
      </c>
      <c r="R97" s="27" t="str">
        <f>VLOOKUP(Tabla1[[#This Row],[DETALLE ]],DATOS!L:M,2,0)</f>
        <v>FILTRO</v>
      </c>
      <c r="S97" s="41" t="str">
        <f>IFERROR(IFERROR(VLOOKUP(Tabla1[[#This Row],[USUARIO PICKING ERROR]],DATOS!H:J,3,0),VLOOKUP(Tabla1[[#This Row],[USUARIO FILTRO ERROR]],DATOS!O:P,2,0)),"-")</f>
        <v>DAVID PIÑAN</v>
      </c>
      <c r="T97" s="27" t="str">
        <f>UPPER(VLOOKUP(Tabla1[[#This Row],[CODIGO]],DATOS!A:E,5,0))</f>
        <v>FLUJO CONTINUO</v>
      </c>
      <c r="U97" s="31">
        <f>(Tabla1[[#This Row],[CANTIDAD]])*(VLOOKUP(Tabla1[[#This Row],[CODIGO]],DATOS!A:D,4,0))</f>
        <v>307.92</v>
      </c>
      <c r="V97" s="31" t="str">
        <f>VLOOKUP(Tabla1[[#This Row],[CODIGO]],DATOS!A:C,3,0)</f>
        <v>ABARROTES BEBIBLES</v>
      </c>
      <c r="W97" s="31" t="s">
        <v>13322</v>
      </c>
      <c r="X97" s="28" t="s">
        <v>13086</v>
      </c>
      <c r="Y97" s="28" t="s">
        <v>13111</v>
      </c>
    </row>
    <row r="98" spans="1:25" ht="12" customHeight="1" x14ac:dyDescent="0.25">
      <c r="A98" s="46">
        <v>45673</v>
      </c>
      <c r="B98" s="2" t="s">
        <v>12970</v>
      </c>
      <c r="C98" s="2">
        <v>7620862833</v>
      </c>
      <c r="D98" s="2">
        <v>118489</v>
      </c>
      <c r="E98" s="2" t="s">
        <v>1082</v>
      </c>
      <c r="F98" s="2">
        <v>6</v>
      </c>
      <c r="G98" s="2" t="s">
        <v>49</v>
      </c>
      <c r="H98" s="2" t="s">
        <v>25</v>
      </c>
      <c r="I98" s="75" t="s">
        <v>12940</v>
      </c>
      <c r="J98" s="9" t="s">
        <v>15</v>
      </c>
      <c r="K98" s="10" t="s">
        <v>15</v>
      </c>
      <c r="L98" s="10" t="s">
        <v>12911</v>
      </c>
      <c r="M98" s="10" t="s">
        <v>15</v>
      </c>
      <c r="N98" s="10" t="s">
        <v>18</v>
      </c>
      <c r="O98" s="10" t="s">
        <v>13093</v>
      </c>
      <c r="P98" s="10" t="s">
        <v>28</v>
      </c>
      <c r="Q98" s="2" t="s">
        <v>39</v>
      </c>
      <c r="R98" s="27" t="str">
        <f>VLOOKUP(Tabla1[[#This Row],[DETALLE ]],DATOS!L:M,2,0)</f>
        <v>PICKING</v>
      </c>
      <c r="S98" s="41" t="str">
        <f>IFERROR(IFERROR(VLOOKUP(Tabla1[[#This Row],[USUARIO PICKING ERROR]],DATOS!H:J,3,0),VLOOKUP(Tabla1[[#This Row],[USUARIO FILTRO ERROR]],DATOS!O:P,2,0)),"-")</f>
        <v>DAVID PIÑAN</v>
      </c>
      <c r="T98" s="27" t="str">
        <f>UPPER(VLOOKUP(Tabla1[[#This Row],[CODIGO]],DATOS!A:E,5,0))</f>
        <v>FLUJO CONTINUO</v>
      </c>
      <c r="U98" s="31">
        <f>(Tabla1[[#This Row],[CANTIDAD]])*(VLOOKUP(Tabla1[[#This Row],[CODIGO]],DATOS!A:D,4,0))</f>
        <v>124.92</v>
      </c>
      <c r="V98" s="31" t="str">
        <f>VLOOKUP(Tabla1[[#This Row],[CODIGO]],DATOS!A:C,3,0)</f>
        <v>ABARROTES BEBIBLES</v>
      </c>
      <c r="W98" s="31" t="s">
        <v>13322</v>
      </c>
      <c r="X98" s="28" t="s">
        <v>13086</v>
      </c>
      <c r="Y98" s="28" t="s">
        <v>13111</v>
      </c>
    </row>
    <row r="99" spans="1:25" ht="12" customHeight="1" x14ac:dyDescent="0.25">
      <c r="A99" s="46">
        <v>45673</v>
      </c>
      <c r="B99" s="2" t="s">
        <v>12970</v>
      </c>
      <c r="C99" s="2">
        <v>7620862829</v>
      </c>
      <c r="D99" s="2">
        <v>440047</v>
      </c>
      <c r="E99" s="2" t="s">
        <v>2105</v>
      </c>
      <c r="F99" s="2">
        <v>12</v>
      </c>
      <c r="G99" s="2" t="s">
        <v>24</v>
      </c>
      <c r="H99" s="2" t="s">
        <v>17</v>
      </c>
      <c r="I99" s="75" t="s">
        <v>12940</v>
      </c>
      <c r="J99" s="9" t="s">
        <v>111</v>
      </c>
      <c r="K99" s="10">
        <v>7620862808</v>
      </c>
      <c r="L99" s="10" t="s">
        <v>12888</v>
      </c>
      <c r="M99" s="10" t="s">
        <v>15</v>
      </c>
      <c r="N99" s="10" t="s">
        <v>18</v>
      </c>
      <c r="O99" s="10" t="s">
        <v>13020</v>
      </c>
      <c r="P99" s="10" t="s">
        <v>28</v>
      </c>
      <c r="Q99" s="2" t="s">
        <v>29</v>
      </c>
      <c r="R99" s="27" t="str">
        <f>VLOOKUP(Tabla1[[#This Row],[DETALLE ]],DATOS!L:M,2,0)</f>
        <v>PICKING</v>
      </c>
      <c r="S99" s="41" t="str">
        <f>IFERROR(IFERROR(VLOOKUP(Tabla1[[#This Row],[USUARIO PICKING ERROR]],DATOS!H:J,3,0),VLOOKUP(Tabla1[[#This Row],[USUARIO FILTRO ERROR]],DATOS!O:P,2,0)),"-")</f>
        <v>BENJAMIN LIZARBE</v>
      </c>
      <c r="T99" s="27" t="str">
        <f>UPPER(VLOOKUP(Tabla1[[#This Row],[CODIGO]],DATOS!A:E,5,0))</f>
        <v>FLUJO CONTINUO</v>
      </c>
      <c r="U99" s="31">
        <f>(Tabla1[[#This Row],[CANTIDAD]])*(VLOOKUP(Tabla1[[#This Row],[CODIGO]],DATOS!A:D,4,0))</f>
        <v>708.24</v>
      </c>
      <c r="V99" s="31" t="str">
        <f>VLOOKUP(Tabla1[[#This Row],[CODIGO]],DATOS!A:C,3,0)</f>
        <v>ABARROTES BEBIBLES</v>
      </c>
      <c r="W99" s="31" t="s">
        <v>13322</v>
      </c>
      <c r="X99" s="28" t="s">
        <v>13086</v>
      </c>
      <c r="Y99" s="28" t="s">
        <v>13111</v>
      </c>
    </row>
    <row r="100" spans="1:25" ht="12" customHeight="1" x14ac:dyDescent="0.25">
      <c r="A100" s="46">
        <v>45673</v>
      </c>
      <c r="B100" s="2" t="s">
        <v>12970</v>
      </c>
      <c r="C100" s="2">
        <v>7620862829</v>
      </c>
      <c r="D100" s="2">
        <v>440045</v>
      </c>
      <c r="E100" s="2" t="s">
        <v>2104</v>
      </c>
      <c r="F100" s="2">
        <v>12</v>
      </c>
      <c r="G100" s="2" t="s">
        <v>24</v>
      </c>
      <c r="H100" s="2" t="s">
        <v>25</v>
      </c>
      <c r="I100" s="75" t="s">
        <v>12940</v>
      </c>
      <c r="J100" s="9" t="s">
        <v>111</v>
      </c>
      <c r="K100" s="10">
        <v>7620862808</v>
      </c>
      <c r="L100" s="10" t="s">
        <v>12888</v>
      </c>
      <c r="M100" s="10" t="s">
        <v>15</v>
      </c>
      <c r="N100" s="10" t="s">
        <v>18</v>
      </c>
      <c r="O100" s="10" t="s">
        <v>13093</v>
      </c>
      <c r="P100" s="10" t="s">
        <v>28</v>
      </c>
      <c r="Q100" s="2" t="s">
        <v>29</v>
      </c>
      <c r="R100" s="27" t="str">
        <f>VLOOKUP(Tabla1[[#This Row],[DETALLE ]],DATOS!L:M,2,0)</f>
        <v>PICKING</v>
      </c>
      <c r="S100" s="41" t="str">
        <f>IFERROR(IFERROR(VLOOKUP(Tabla1[[#This Row],[USUARIO PICKING ERROR]],DATOS!H:J,3,0),VLOOKUP(Tabla1[[#This Row],[USUARIO FILTRO ERROR]],DATOS!O:P,2,0)),"-")</f>
        <v>BENJAMIN LIZARBE</v>
      </c>
      <c r="T100" s="27" t="str">
        <f>UPPER(VLOOKUP(Tabla1[[#This Row],[CODIGO]],DATOS!A:E,5,0))</f>
        <v>FLUJO CONTINUO</v>
      </c>
      <c r="U100" s="31">
        <f>(Tabla1[[#This Row],[CANTIDAD]])*(VLOOKUP(Tabla1[[#This Row],[CODIGO]],DATOS!A:D,4,0))</f>
        <v>708.24</v>
      </c>
      <c r="V100" s="31" t="str">
        <f>VLOOKUP(Tabla1[[#This Row],[CODIGO]],DATOS!A:C,3,0)</f>
        <v>ABARROTES BEBIBLES</v>
      </c>
      <c r="W100" s="31" t="s">
        <v>13322</v>
      </c>
      <c r="X100" s="28" t="s">
        <v>13086</v>
      </c>
      <c r="Y100" s="28" t="s">
        <v>13111</v>
      </c>
    </row>
    <row r="101" spans="1:25" ht="12" customHeight="1" x14ac:dyDescent="0.25">
      <c r="A101" s="46">
        <v>45673</v>
      </c>
      <c r="B101" s="2" t="s">
        <v>15</v>
      </c>
      <c r="C101" s="2" t="s">
        <v>15</v>
      </c>
      <c r="D101" s="2">
        <v>499905001</v>
      </c>
      <c r="E101" s="2" t="s">
        <v>10003</v>
      </c>
      <c r="F101" s="2">
        <v>12</v>
      </c>
      <c r="G101" s="2" t="s">
        <v>12990</v>
      </c>
      <c r="H101" s="2" t="s">
        <v>25</v>
      </c>
      <c r="I101" s="75" t="s">
        <v>15</v>
      </c>
      <c r="J101" s="9" t="s">
        <v>15</v>
      </c>
      <c r="K101" s="10" t="s">
        <v>15</v>
      </c>
      <c r="L101" s="10" t="s">
        <v>113</v>
      </c>
      <c r="M101" s="10" t="s">
        <v>15</v>
      </c>
      <c r="N101" s="10" t="s">
        <v>18</v>
      </c>
      <c r="O101" s="10" t="s">
        <v>13098</v>
      </c>
      <c r="P101" s="10" t="s">
        <v>28</v>
      </c>
      <c r="Q101" s="2" t="s">
        <v>29</v>
      </c>
      <c r="R101" s="27" t="str">
        <f>VLOOKUP(Tabla1[[#This Row],[DETALLE ]],DATOS!L:M,2,0)</f>
        <v>PICKING</v>
      </c>
      <c r="S101" s="41" t="str">
        <f>IFERROR(IFERROR(VLOOKUP(Tabla1[[#This Row],[USUARIO PICKING ERROR]],DATOS!H:J,3,0),VLOOKUP(Tabla1[[#This Row],[USUARIO FILTRO ERROR]],DATOS!O:P,2,0)),"-")</f>
        <v>BENJAMIN LIZARBE</v>
      </c>
      <c r="T101" s="27" t="str">
        <f>UPPER(VLOOKUP(Tabla1[[#This Row],[CODIGO]],DATOS!A:E,5,0))</f>
        <v>ALMACENADO</v>
      </c>
      <c r="U101" s="31">
        <f>(Tabla1[[#This Row],[CANTIDAD]])*(VLOOKUP(Tabla1[[#This Row],[CODIGO]],DATOS!A:D,4,0))</f>
        <v>36.599999999999994</v>
      </c>
      <c r="V101" s="31" t="str">
        <f>VLOOKUP(Tabla1[[#This Row],[CODIGO]],DATOS!A:C,3,0)</f>
        <v>ABARROTES COMESTIBLES</v>
      </c>
      <c r="W101" s="31" t="s">
        <v>13322</v>
      </c>
      <c r="X101" s="28" t="s">
        <v>13086</v>
      </c>
      <c r="Y101" s="28" t="s">
        <v>13111</v>
      </c>
    </row>
    <row r="102" spans="1:25" ht="12" customHeight="1" x14ac:dyDescent="0.25">
      <c r="A102" s="46">
        <v>45673</v>
      </c>
      <c r="B102" s="2" t="s">
        <v>15</v>
      </c>
      <c r="C102" s="2" t="s">
        <v>15</v>
      </c>
      <c r="D102" s="2">
        <v>536867</v>
      </c>
      <c r="E102" s="2" t="s">
        <v>2998</v>
      </c>
      <c r="F102" s="2">
        <v>12</v>
      </c>
      <c r="G102" s="2" t="s">
        <v>12990</v>
      </c>
      <c r="H102" s="2" t="s">
        <v>25</v>
      </c>
      <c r="I102" s="75" t="s">
        <v>15</v>
      </c>
      <c r="J102" s="9" t="s">
        <v>15</v>
      </c>
      <c r="K102" s="10" t="s">
        <v>15</v>
      </c>
      <c r="L102" s="10" t="s">
        <v>121</v>
      </c>
      <c r="M102" s="10" t="s">
        <v>15</v>
      </c>
      <c r="N102" s="10" t="s">
        <v>18</v>
      </c>
      <c r="O102" s="10" t="s">
        <v>13098</v>
      </c>
      <c r="P102" s="10" t="s">
        <v>28</v>
      </c>
      <c r="Q102" s="2" t="s">
        <v>29</v>
      </c>
      <c r="R102" s="27" t="str">
        <f>VLOOKUP(Tabla1[[#This Row],[DETALLE ]],DATOS!L:M,2,0)</f>
        <v>PICKING</v>
      </c>
      <c r="S102" s="41" t="str">
        <f>IFERROR(IFERROR(VLOOKUP(Tabla1[[#This Row],[USUARIO PICKING ERROR]],DATOS!H:J,3,0),VLOOKUP(Tabla1[[#This Row],[USUARIO FILTRO ERROR]],DATOS!O:P,2,0)),"-")</f>
        <v>BENJAMIN LIZARBE</v>
      </c>
      <c r="T102" s="27" t="str">
        <f>UPPER(VLOOKUP(Tabla1[[#This Row],[CODIGO]],DATOS!A:E,5,0))</f>
        <v>ALMACENADO</v>
      </c>
      <c r="U102" s="31">
        <f>(Tabla1[[#This Row],[CANTIDAD]])*(VLOOKUP(Tabla1[[#This Row],[CODIGO]],DATOS!A:D,4,0))</f>
        <v>36.599999999999994</v>
      </c>
      <c r="V102" s="31" t="str">
        <f>VLOOKUP(Tabla1[[#This Row],[CODIGO]],DATOS!A:C,3,0)</f>
        <v>ABARROTES COMESTIBLES</v>
      </c>
      <c r="W102" s="31" t="s">
        <v>13322</v>
      </c>
      <c r="X102" s="28" t="s">
        <v>13086</v>
      </c>
      <c r="Y102" s="28" t="s">
        <v>13111</v>
      </c>
    </row>
    <row r="103" spans="1:25" ht="12" customHeight="1" x14ac:dyDescent="0.25">
      <c r="A103" s="46">
        <v>45673</v>
      </c>
      <c r="B103" s="2" t="s">
        <v>15</v>
      </c>
      <c r="C103" s="2" t="s">
        <v>15</v>
      </c>
      <c r="D103" s="2">
        <v>118644003</v>
      </c>
      <c r="E103" s="2" t="s">
        <v>9558</v>
      </c>
      <c r="F103" s="2">
        <v>12</v>
      </c>
      <c r="G103" s="2" t="s">
        <v>12990</v>
      </c>
      <c r="H103" s="2" t="s">
        <v>25</v>
      </c>
      <c r="I103" s="75" t="s">
        <v>15</v>
      </c>
      <c r="J103" s="9" t="s">
        <v>15</v>
      </c>
      <c r="K103" s="10" t="s">
        <v>15</v>
      </c>
      <c r="L103" s="10" t="s">
        <v>121</v>
      </c>
      <c r="M103" s="10" t="s">
        <v>15</v>
      </c>
      <c r="N103" s="10" t="s">
        <v>18</v>
      </c>
      <c r="O103" s="10" t="s">
        <v>13098</v>
      </c>
      <c r="P103" s="10" t="s">
        <v>28</v>
      </c>
      <c r="Q103" s="2" t="s">
        <v>29</v>
      </c>
      <c r="R103" s="27" t="str">
        <f>VLOOKUP(Tabla1[[#This Row],[DETALLE ]],DATOS!L:M,2,0)</f>
        <v>PICKING</v>
      </c>
      <c r="S103" s="41" t="str">
        <f>IFERROR(IFERROR(VLOOKUP(Tabla1[[#This Row],[USUARIO PICKING ERROR]],DATOS!H:J,3,0),VLOOKUP(Tabla1[[#This Row],[USUARIO FILTRO ERROR]],DATOS!O:P,2,0)),"-")</f>
        <v>BENJAMIN LIZARBE</v>
      </c>
      <c r="T103" s="27" t="str">
        <f>UPPER(VLOOKUP(Tabla1[[#This Row],[CODIGO]],DATOS!A:E,5,0))</f>
        <v>ALMACENADO</v>
      </c>
      <c r="U103" s="31">
        <f>(Tabla1[[#This Row],[CANTIDAD]])*(VLOOKUP(Tabla1[[#This Row],[CODIGO]],DATOS!A:D,4,0))</f>
        <v>464.40000000000003</v>
      </c>
      <c r="V103" s="31" t="str">
        <f>VLOOKUP(Tabla1[[#This Row],[CODIGO]],DATOS!A:C,3,0)</f>
        <v>ABARROTES BEBIBLES</v>
      </c>
      <c r="W103" s="31" t="s">
        <v>13322</v>
      </c>
      <c r="X103" s="28" t="s">
        <v>13086</v>
      </c>
      <c r="Y103" s="28" t="s">
        <v>13111</v>
      </c>
    </row>
    <row r="104" spans="1:25" ht="12" customHeight="1" x14ac:dyDescent="0.25">
      <c r="A104" s="46">
        <v>45673</v>
      </c>
      <c r="B104" s="2" t="s">
        <v>15</v>
      </c>
      <c r="C104" s="2" t="s">
        <v>15</v>
      </c>
      <c r="D104" s="2">
        <v>118644003</v>
      </c>
      <c r="E104" s="2" t="s">
        <v>9558</v>
      </c>
      <c r="F104" s="2">
        <v>6</v>
      </c>
      <c r="G104" s="2" t="s">
        <v>12990</v>
      </c>
      <c r="H104" s="2" t="s">
        <v>25</v>
      </c>
      <c r="I104" s="75" t="s">
        <v>15</v>
      </c>
      <c r="J104" s="9" t="s">
        <v>15</v>
      </c>
      <c r="K104" s="10" t="s">
        <v>15</v>
      </c>
      <c r="L104" s="10" t="s">
        <v>12897</v>
      </c>
      <c r="M104" s="10" t="s">
        <v>15</v>
      </c>
      <c r="N104" s="10" t="s">
        <v>18</v>
      </c>
      <c r="O104" s="10" t="s">
        <v>13098</v>
      </c>
      <c r="P104" s="10" t="s">
        <v>28</v>
      </c>
      <c r="Q104" s="2" t="s">
        <v>29</v>
      </c>
      <c r="R104" s="27" t="str">
        <f>VLOOKUP(Tabla1[[#This Row],[DETALLE ]],DATOS!L:M,2,0)</f>
        <v>PICKING</v>
      </c>
      <c r="S104" s="41" t="str">
        <f>IFERROR(IFERROR(VLOOKUP(Tabla1[[#This Row],[USUARIO PICKING ERROR]],DATOS!H:J,3,0),VLOOKUP(Tabla1[[#This Row],[USUARIO FILTRO ERROR]],DATOS!O:P,2,0)),"-")</f>
        <v>BENJAMIN LIZARBE</v>
      </c>
      <c r="T104" s="27" t="str">
        <f>UPPER(VLOOKUP(Tabla1[[#This Row],[CODIGO]],DATOS!A:E,5,0))</f>
        <v>ALMACENADO</v>
      </c>
      <c r="U104" s="31">
        <f>(Tabla1[[#This Row],[CANTIDAD]])*(VLOOKUP(Tabla1[[#This Row],[CODIGO]],DATOS!A:D,4,0))</f>
        <v>232.20000000000002</v>
      </c>
      <c r="V104" s="31" t="str">
        <f>VLOOKUP(Tabla1[[#This Row],[CODIGO]],DATOS!A:C,3,0)</f>
        <v>ABARROTES BEBIBLES</v>
      </c>
      <c r="W104" s="31" t="s">
        <v>13322</v>
      </c>
      <c r="X104" s="28" t="s">
        <v>13086</v>
      </c>
      <c r="Y104" s="28" t="s">
        <v>13111</v>
      </c>
    </row>
    <row r="105" spans="1:25" ht="12" customHeight="1" x14ac:dyDescent="0.25">
      <c r="A105" s="46">
        <v>45673</v>
      </c>
      <c r="B105" s="2" t="s">
        <v>15</v>
      </c>
      <c r="C105" s="2" t="s">
        <v>15</v>
      </c>
      <c r="D105" s="2">
        <v>43094</v>
      </c>
      <c r="E105" s="2" t="s">
        <v>863</v>
      </c>
      <c r="F105" s="2">
        <v>12</v>
      </c>
      <c r="G105" s="2" t="s">
        <v>12990</v>
      </c>
      <c r="H105" s="2" t="s">
        <v>17</v>
      </c>
      <c r="I105" s="75" t="s">
        <v>15</v>
      </c>
      <c r="J105" s="9" t="s">
        <v>15</v>
      </c>
      <c r="K105" s="10" t="s">
        <v>15</v>
      </c>
      <c r="L105" s="10" t="s">
        <v>12910</v>
      </c>
      <c r="M105" s="10" t="s">
        <v>15</v>
      </c>
      <c r="N105" s="10" t="s">
        <v>18</v>
      </c>
      <c r="O105" s="10" t="s">
        <v>13021</v>
      </c>
      <c r="P105" s="10" t="s">
        <v>28</v>
      </c>
      <c r="Q105" s="2" t="s">
        <v>29</v>
      </c>
      <c r="R105" s="27" t="str">
        <f>VLOOKUP(Tabla1[[#This Row],[DETALLE ]],DATOS!L:M,2,0)</f>
        <v>PICKING</v>
      </c>
      <c r="S105" s="41" t="str">
        <f>IFERROR(IFERROR(VLOOKUP(Tabla1[[#This Row],[USUARIO PICKING ERROR]],DATOS!H:J,3,0),VLOOKUP(Tabla1[[#This Row],[USUARIO FILTRO ERROR]],DATOS!O:P,2,0)),"-")</f>
        <v>BENJAMIN LIZARBE</v>
      </c>
      <c r="T105" s="27" t="str">
        <f>UPPER(VLOOKUP(Tabla1[[#This Row],[CODIGO]],DATOS!A:E,5,0))</f>
        <v>ALMACENADO</v>
      </c>
      <c r="U105" s="31">
        <f>(Tabla1[[#This Row],[CANTIDAD]])*(VLOOKUP(Tabla1[[#This Row],[CODIGO]],DATOS!A:D,4,0))</f>
        <v>357.36</v>
      </c>
      <c r="V105" s="31" t="str">
        <f>VLOOKUP(Tabla1[[#This Row],[CODIGO]],DATOS!A:C,3,0)</f>
        <v>ABARROTES BEBIBLES</v>
      </c>
      <c r="W105" s="31" t="s">
        <v>13322</v>
      </c>
      <c r="X105" s="28" t="s">
        <v>13086</v>
      </c>
      <c r="Y105" s="28" t="s">
        <v>13111</v>
      </c>
    </row>
    <row r="106" spans="1:25" ht="12" customHeight="1" x14ac:dyDescent="0.25">
      <c r="A106" s="46">
        <v>45673</v>
      </c>
      <c r="B106" s="2" t="s">
        <v>15</v>
      </c>
      <c r="C106" s="2" t="s">
        <v>15</v>
      </c>
      <c r="D106" s="2">
        <v>242006</v>
      </c>
      <c r="E106" s="2" t="s">
        <v>16</v>
      </c>
      <c r="F106" s="2">
        <v>6</v>
      </c>
      <c r="G106" s="2" t="s">
        <v>12990</v>
      </c>
      <c r="H106" s="2" t="s">
        <v>17</v>
      </c>
      <c r="I106" s="75" t="s">
        <v>15</v>
      </c>
      <c r="J106" s="9" t="s">
        <v>15</v>
      </c>
      <c r="K106" s="10" t="s">
        <v>15</v>
      </c>
      <c r="L106" s="10" t="s">
        <v>132</v>
      </c>
      <c r="M106" s="10" t="s">
        <v>15</v>
      </c>
      <c r="N106" s="10" t="s">
        <v>18</v>
      </c>
      <c r="O106" s="10" t="s">
        <v>13021</v>
      </c>
      <c r="P106" s="10" t="s">
        <v>28</v>
      </c>
      <c r="Q106" s="2" t="s">
        <v>29</v>
      </c>
      <c r="R106" s="27" t="str">
        <f>VLOOKUP(Tabla1[[#This Row],[DETALLE ]],DATOS!L:M,2,0)</f>
        <v>PICKING</v>
      </c>
      <c r="S106" s="41" t="str">
        <f>IFERROR(IFERROR(VLOOKUP(Tabla1[[#This Row],[USUARIO PICKING ERROR]],DATOS!H:J,3,0),VLOOKUP(Tabla1[[#This Row],[USUARIO FILTRO ERROR]],DATOS!O:P,2,0)),"-")</f>
        <v>BENJAMIN LIZARBE</v>
      </c>
      <c r="T106" s="27" t="str">
        <f>UPPER(VLOOKUP(Tabla1[[#This Row],[CODIGO]],DATOS!A:E,5,0))</f>
        <v>ALMACENADO</v>
      </c>
      <c r="U106" s="31">
        <f>(Tabla1[[#This Row],[CANTIDAD]])*(VLOOKUP(Tabla1[[#This Row],[CODIGO]],DATOS!A:D,4,0))</f>
        <v>623.81999999999994</v>
      </c>
      <c r="V106" s="31" t="str">
        <f>VLOOKUP(Tabla1[[#This Row],[CODIGO]],DATOS!A:C,3,0)</f>
        <v>ABARROTES BEBIBLES</v>
      </c>
      <c r="W106" s="31" t="s">
        <v>13322</v>
      </c>
      <c r="X106" s="28" t="s">
        <v>13086</v>
      </c>
      <c r="Y106" s="28" t="s">
        <v>13111</v>
      </c>
    </row>
    <row r="107" spans="1:25" ht="12" customHeight="1" x14ac:dyDescent="0.25">
      <c r="A107" s="46">
        <v>45673</v>
      </c>
      <c r="B107" s="2" t="s">
        <v>15</v>
      </c>
      <c r="C107" s="2" t="s">
        <v>15</v>
      </c>
      <c r="D107" s="2">
        <v>973319</v>
      </c>
      <c r="E107" s="2" t="s">
        <v>207</v>
      </c>
      <c r="F107" s="2">
        <v>6</v>
      </c>
      <c r="G107" s="2" t="s">
        <v>12990</v>
      </c>
      <c r="H107" s="2" t="s">
        <v>25</v>
      </c>
      <c r="I107" s="75" t="s">
        <v>15</v>
      </c>
      <c r="J107" s="9" t="s">
        <v>15</v>
      </c>
      <c r="K107" s="10" t="s">
        <v>15</v>
      </c>
      <c r="L107" s="10" t="s">
        <v>132</v>
      </c>
      <c r="M107" s="10" t="s">
        <v>15</v>
      </c>
      <c r="N107" s="10" t="s">
        <v>18</v>
      </c>
      <c r="O107" s="10" t="s">
        <v>13098</v>
      </c>
      <c r="P107" s="10" t="s">
        <v>28</v>
      </c>
      <c r="Q107" s="2" t="s">
        <v>29</v>
      </c>
      <c r="R107" s="27" t="str">
        <f>VLOOKUP(Tabla1[[#This Row],[DETALLE ]],DATOS!L:M,2,0)</f>
        <v>PICKING</v>
      </c>
      <c r="S107" s="41" t="str">
        <f>IFERROR(IFERROR(VLOOKUP(Tabla1[[#This Row],[USUARIO PICKING ERROR]],DATOS!H:J,3,0),VLOOKUP(Tabla1[[#This Row],[USUARIO FILTRO ERROR]],DATOS!O:P,2,0)),"-")</f>
        <v>BENJAMIN LIZARBE</v>
      </c>
      <c r="T107" s="27" t="str">
        <f>UPPER(VLOOKUP(Tabla1[[#This Row],[CODIGO]],DATOS!A:E,5,0))</f>
        <v>ALMACENADO</v>
      </c>
      <c r="U107" s="31">
        <f>(Tabla1[[#This Row],[CANTIDAD]])*(VLOOKUP(Tabla1[[#This Row],[CODIGO]],DATOS!A:D,4,0))</f>
        <v>438.06000000000006</v>
      </c>
      <c r="V107" s="31" t="str">
        <f>VLOOKUP(Tabla1[[#This Row],[CODIGO]],DATOS!A:C,3,0)</f>
        <v>ABARROTES BEBIBLES</v>
      </c>
      <c r="W107" s="31" t="s">
        <v>13322</v>
      </c>
      <c r="X107" s="28" t="s">
        <v>13086</v>
      </c>
      <c r="Y107" s="28" t="s">
        <v>13111</v>
      </c>
    </row>
    <row r="108" spans="1:25" ht="12" customHeight="1" x14ac:dyDescent="0.25">
      <c r="A108" s="46">
        <v>45674</v>
      </c>
      <c r="B108" s="2" t="s">
        <v>12980</v>
      </c>
      <c r="C108" s="2">
        <v>7620862798</v>
      </c>
      <c r="D108" s="2">
        <v>973473</v>
      </c>
      <c r="E108" s="2" t="s">
        <v>6946</v>
      </c>
      <c r="F108" s="2">
        <v>2</v>
      </c>
      <c r="G108" s="2" t="s">
        <v>24</v>
      </c>
      <c r="H108" s="2" t="s">
        <v>25</v>
      </c>
      <c r="I108" s="75" t="s">
        <v>12940</v>
      </c>
      <c r="J108" s="9" t="s">
        <v>68</v>
      </c>
      <c r="K108" s="10">
        <v>7620854941</v>
      </c>
      <c r="L108" s="10" t="s">
        <v>12937</v>
      </c>
      <c r="M108" s="10" t="s">
        <v>15</v>
      </c>
      <c r="N108" s="10" t="s">
        <v>18</v>
      </c>
      <c r="O108" s="10" t="s">
        <v>13093</v>
      </c>
      <c r="P108" s="10" t="s">
        <v>28</v>
      </c>
      <c r="Q108" s="2" t="s">
        <v>29</v>
      </c>
      <c r="R108" s="27" t="str">
        <f>VLOOKUP(Tabla1[[#This Row],[DETALLE ]],DATOS!L:M,2,0)</f>
        <v>PICKING</v>
      </c>
      <c r="S108" s="41" t="str">
        <f>IFERROR(IFERROR(VLOOKUP(Tabla1[[#This Row],[USUARIO PICKING ERROR]],DATOS!H:J,3,0),VLOOKUP(Tabla1[[#This Row],[USUARIO FILTRO ERROR]],DATOS!O:P,2,0)),"-")</f>
        <v>BENJAMIN LIZARBE</v>
      </c>
      <c r="T108" s="27" t="str">
        <f>UPPER(VLOOKUP(Tabla1[[#This Row],[CODIGO]],DATOS!A:E,5,0))</f>
        <v>FLUJO CONTINUO</v>
      </c>
      <c r="U108" s="31">
        <f>(Tabla1[[#This Row],[CANTIDAD]])*(VLOOKUP(Tabla1[[#This Row],[CODIGO]],DATOS!A:D,4,0))</f>
        <v>83.26</v>
      </c>
      <c r="V108" s="31" t="str">
        <f>VLOOKUP(Tabla1[[#This Row],[CODIGO]],DATOS!A:C,3,0)</f>
        <v>ABARROTES BEBIBLES</v>
      </c>
      <c r="W108" s="31" t="s">
        <v>13322</v>
      </c>
      <c r="X108" s="28" t="s">
        <v>13086</v>
      </c>
      <c r="Y108" s="28" t="s">
        <v>13111</v>
      </c>
    </row>
    <row r="109" spans="1:25" ht="12" customHeight="1" x14ac:dyDescent="0.25">
      <c r="A109" s="46">
        <v>45674</v>
      </c>
      <c r="B109" s="2" t="s">
        <v>12980</v>
      </c>
      <c r="C109" s="2">
        <v>7620862798</v>
      </c>
      <c r="D109" s="2">
        <v>973474</v>
      </c>
      <c r="E109" s="2" t="s">
        <v>6947</v>
      </c>
      <c r="F109" s="2">
        <v>2</v>
      </c>
      <c r="G109" s="2" t="s">
        <v>24</v>
      </c>
      <c r="H109" s="2" t="s">
        <v>17</v>
      </c>
      <c r="I109" s="75" t="s">
        <v>12940</v>
      </c>
      <c r="J109" s="9" t="s">
        <v>68</v>
      </c>
      <c r="K109" s="10">
        <v>7620854941</v>
      </c>
      <c r="L109" s="10" t="s">
        <v>12937</v>
      </c>
      <c r="M109" s="10" t="s">
        <v>15</v>
      </c>
      <c r="N109" s="10" t="s">
        <v>18</v>
      </c>
      <c r="O109" s="10" t="s">
        <v>13020</v>
      </c>
      <c r="P109" s="10" t="s">
        <v>28</v>
      </c>
      <c r="Q109" s="2" t="s">
        <v>29</v>
      </c>
      <c r="R109" s="27" t="str">
        <f>VLOOKUP(Tabla1[[#This Row],[DETALLE ]],DATOS!L:M,2,0)</f>
        <v>PICKING</v>
      </c>
      <c r="S109" s="41" t="str">
        <f>IFERROR(IFERROR(VLOOKUP(Tabla1[[#This Row],[USUARIO PICKING ERROR]],DATOS!H:J,3,0),VLOOKUP(Tabla1[[#This Row],[USUARIO FILTRO ERROR]],DATOS!O:P,2,0)),"-")</f>
        <v>BENJAMIN LIZARBE</v>
      </c>
      <c r="T109" s="27" t="str">
        <f>UPPER(VLOOKUP(Tabla1[[#This Row],[CODIGO]],DATOS!A:E,5,0))</f>
        <v>FLUJO CONTINUO</v>
      </c>
      <c r="U109" s="31">
        <f>(Tabla1[[#This Row],[CANTIDAD]])*(VLOOKUP(Tabla1[[#This Row],[CODIGO]],DATOS!A:D,4,0))</f>
        <v>83.26</v>
      </c>
      <c r="V109" s="31" t="str">
        <f>VLOOKUP(Tabla1[[#This Row],[CODIGO]],DATOS!A:C,3,0)</f>
        <v>ABARROTES BEBIBLES</v>
      </c>
      <c r="W109" s="31" t="s">
        <v>13322</v>
      </c>
      <c r="X109" s="28" t="s">
        <v>13086</v>
      </c>
      <c r="Y109" s="28" t="s">
        <v>13111</v>
      </c>
    </row>
    <row r="110" spans="1:25" ht="12" customHeight="1" x14ac:dyDescent="0.25">
      <c r="A110" s="46">
        <v>45674</v>
      </c>
      <c r="B110" s="2" t="s">
        <v>12984</v>
      </c>
      <c r="C110" s="2">
        <v>7620858677</v>
      </c>
      <c r="D110" s="2">
        <v>158395</v>
      </c>
      <c r="E110" s="2" t="s">
        <v>1157</v>
      </c>
      <c r="F110" s="2">
        <v>6</v>
      </c>
      <c r="G110" s="2" t="s">
        <v>12992</v>
      </c>
      <c r="H110" s="2" t="s">
        <v>17</v>
      </c>
      <c r="I110" s="75" t="s">
        <v>12940</v>
      </c>
      <c r="J110" s="9" t="s">
        <v>12971</v>
      </c>
      <c r="K110" s="10">
        <v>7620766410</v>
      </c>
      <c r="L110" s="10" t="s">
        <v>12935</v>
      </c>
      <c r="M110" s="10" t="s">
        <v>15</v>
      </c>
      <c r="N110" s="10" t="s">
        <v>18</v>
      </c>
      <c r="O110" s="10" t="s">
        <v>13020</v>
      </c>
      <c r="P110" s="10" t="s">
        <v>28</v>
      </c>
      <c r="Q110" s="2" t="s">
        <v>29</v>
      </c>
      <c r="R110" s="27" t="str">
        <f>VLOOKUP(Tabla1[[#This Row],[DETALLE ]],DATOS!L:M,2,0)</f>
        <v>PICKING</v>
      </c>
      <c r="S110" s="41" t="str">
        <f>IFERROR(IFERROR(VLOOKUP(Tabla1[[#This Row],[USUARIO PICKING ERROR]],DATOS!H:J,3,0),VLOOKUP(Tabla1[[#This Row],[USUARIO FILTRO ERROR]],DATOS!O:P,2,0)),"-")</f>
        <v>BENJAMIN LIZARBE</v>
      </c>
      <c r="T110" s="27" t="str">
        <f>UPPER(VLOOKUP(Tabla1[[#This Row],[CODIGO]],DATOS!A:E,5,0))</f>
        <v>FLUJO CONTINUO</v>
      </c>
      <c r="U110" s="31">
        <f>(Tabla1[[#This Row],[CANTIDAD]])*(VLOOKUP(Tabla1[[#This Row],[CODIGO]],DATOS!A:D,4,0))</f>
        <v>343.38</v>
      </c>
      <c r="V110" s="31" t="str">
        <f>VLOOKUP(Tabla1[[#This Row],[CODIGO]],DATOS!A:C,3,0)</f>
        <v>ABARROTES BEBIBLES</v>
      </c>
      <c r="W110" s="31" t="s">
        <v>13322</v>
      </c>
      <c r="X110" s="28" t="s">
        <v>13086</v>
      </c>
      <c r="Y110" s="28" t="s">
        <v>13111</v>
      </c>
    </row>
    <row r="111" spans="1:25" ht="12" customHeight="1" x14ac:dyDescent="0.25">
      <c r="A111" s="46">
        <v>45674</v>
      </c>
      <c r="B111" s="2" t="s">
        <v>12984</v>
      </c>
      <c r="C111" s="2">
        <v>7620858677</v>
      </c>
      <c r="D111" s="2">
        <v>740037</v>
      </c>
      <c r="E111" s="2" t="s">
        <v>3683</v>
      </c>
      <c r="F111" s="2">
        <v>2</v>
      </c>
      <c r="G111" s="2" t="s">
        <v>12992</v>
      </c>
      <c r="H111" s="2" t="s">
        <v>17</v>
      </c>
      <c r="I111" s="75" t="s">
        <v>12940</v>
      </c>
      <c r="J111" s="9" t="s">
        <v>12971</v>
      </c>
      <c r="K111" s="10">
        <v>7620766410</v>
      </c>
      <c r="L111" s="10" t="s">
        <v>12935</v>
      </c>
      <c r="M111" s="10" t="s">
        <v>15</v>
      </c>
      <c r="N111" s="10" t="s">
        <v>18</v>
      </c>
      <c r="O111" s="10" t="s">
        <v>13020</v>
      </c>
      <c r="P111" s="10" t="s">
        <v>28</v>
      </c>
      <c r="Q111" s="2" t="s">
        <v>29</v>
      </c>
      <c r="R111" s="27" t="str">
        <f>VLOOKUP(Tabla1[[#This Row],[DETALLE ]],DATOS!L:M,2,0)</f>
        <v>PICKING</v>
      </c>
      <c r="S111" s="41" t="str">
        <f>IFERROR(IFERROR(VLOOKUP(Tabla1[[#This Row],[USUARIO PICKING ERROR]],DATOS!H:J,3,0),VLOOKUP(Tabla1[[#This Row],[USUARIO FILTRO ERROR]],DATOS!O:P,2,0)),"-")</f>
        <v>BENJAMIN LIZARBE</v>
      </c>
      <c r="T111" s="27" t="str">
        <f>UPPER(VLOOKUP(Tabla1[[#This Row],[CODIGO]],DATOS!A:E,5,0))</f>
        <v>FLUJO CONTINUO</v>
      </c>
      <c r="U111" s="31">
        <f>(Tabla1[[#This Row],[CANTIDAD]])*(VLOOKUP(Tabla1[[#This Row],[CODIGO]],DATOS!A:D,4,0))</f>
        <v>161.6</v>
      </c>
      <c r="V111" s="31" t="str">
        <f>VLOOKUP(Tabla1[[#This Row],[CODIGO]],DATOS!A:C,3,0)</f>
        <v>ABARROTES BEBIBLES</v>
      </c>
      <c r="W111" s="31" t="s">
        <v>13322</v>
      </c>
      <c r="X111" s="28" t="s">
        <v>13086</v>
      </c>
      <c r="Y111" s="28" t="s">
        <v>13111</v>
      </c>
    </row>
    <row r="112" spans="1:25" ht="12" customHeight="1" x14ac:dyDescent="0.25">
      <c r="A112" s="46">
        <v>45674</v>
      </c>
      <c r="B112" s="2" t="s">
        <v>12984</v>
      </c>
      <c r="C112" s="2">
        <v>7620858677</v>
      </c>
      <c r="D112" s="2">
        <v>963277</v>
      </c>
      <c r="E112" s="2" t="s">
        <v>6504</v>
      </c>
      <c r="F112" s="2">
        <v>6</v>
      </c>
      <c r="G112" s="2" t="s">
        <v>12992</v>
      </c>
      <c r="H112" s="2" t="s">
        <v>17</v>
      </c>
      <c r="I112" s="75" t="s">
        <v>12940</v>
      </c>
      <c r="J112" s="9" t="s">
        <v>12971</v>
      </c>
      <c r="K112" s="10">
        <v>7620766410</v>
      </c>
      <c r="L112" s="10" t="s">
        <v>27</v>
      </c>
      <c r="M112" s="10" t="s">
        <v>15</v>
      </c>
      <c r="N112" s="10" t="s">
        <v>18</v>
      </c>
      <c r="O112" s="10" t="s">
        <v>13020</v>
      </c>
      <c r="P112" s="10" t="s">
        <v>28</v>
      </c>
      <c r="Q112" s="2" t="s">
        <v>29</v>
      </c>
      <c r="R112" s="27" t="str">
        <f>VLOOKUP(Tabla1[[#This Row],[DETALLE ]],DATOS!L:M,2,0)</f>
        <v>PICKING</v>
      </c>
      <c r="S112" s="41" t="str">
        <f>IFERROR(IFERROR(VLOOKUP(Tabla1[[#This Row],[USUARIO PICKING ERROR]],DATOS!H:J,3,0),VLOOKUP(Tabla1[[#This Row],[USUARIO FILTRO ERROR]],DATOS!O:P,2,0)),"-")</f>
        <v>BENJAMIN LIZARBE</v>
      </c>
      <c r="T112" s="27" t="str">
        <f>UPPER(VLOOKUP(Tabla1[[#This Row],[CODIGO]],DATOS!A:E,5,0))</f>
        <v>FLUJO CONTINUO</v>
      </c>
      <c r="U112" s="31">
        <f>(Tabla1[[#This Row],[CANTIDAD]])*(VLOOKUP(Tabla1[[#This Row],[CODIGO]],DATOS!A:D,4,0))</f>
        <v>141.42000000000002</v>
      </c>
      <c r="V112" s="31" t="str">
        <f>VLOOKUP(Tabla1[[#This Row],[CODIGO]],DATOS!A:C,3,0)</f>
        <v>ABARROTES BEBIBLES</v>
      </c>
      <c r="W112" s="31" t="s">
        <v>13322</v>
      </c>
      <c r="X112" s="28" t="s">
        <v>13086</v>
      </c>
      <c r="Y112" s="28" t="s">
        <v>13111</v>
      </c>
    </row>
    <row r="113" spans="1:25" ht="12" customHeight="1" x14ac:dyDescent="0.25">
      <c r="A113" s="46">
        <v>45675</v>
      </c>
      <c r="B113" s="2" t="s">
        <v>15</v>
      </c>
      <c r="C113" s="2" t="s">
        <v>15</v>
      </c>
      <c r="D113" s="2">
        <v>1004094</v>
      </c>
      <c r="E113" s="2" t="s">
        <v>8465</v>
      </c>
      <c r="F113" s="2">
        <v>5</v>
      </c>
      <c r="G113" s="2" t="s">
        <v>24</v>
      </c>
      <c r="H113" s="2" t="s">
        <v>25</v>
      </c>
      <c r="I113" s="75" t="s">
        <v>12940</v>
      </c>
      <c r="J113" s="9" t="s">
        <v>15</v>
      </c>
      <c r="K113" s="10" t="s">
        <v>15</v>
      </c>
      <c r="L113" s="10" t="s">
        <v>132</v>
      </c>
      <c r="M113" s="10" t="s">
        <v>15</v>
      </c>
      <c r="N113" s="10" t="s">
        <v>18</v>
      </c>
      <c r="O113" s="10" t="s">
        <v>13093</v>
      </c>
      <c r="P113" s="10" t="s">
        <v>28</v>
      </c>
      <c r="Q113" s="2" t="s">
        <v>29</v>
      </c>
      <c r="R113" s="27" t="str">
        <f>VLOOKUP(Tabla1[[#This Row],[DETALLE ]],DATOS!L:M,2,0)</f>
        <v>PICKING</v>
      </c>
      <c r="S113" s="41" t="str">
        <f>IFERROR(IFERROR(VLOOKUP(Tabla1[[#This Row],[USUARIO PICKING ERROR]],DATOS!H:J,3,0),VLOOKUP(Tabla1[[#This Row],[USUARIO FILTRO ERROR]],DATOS!O:P,2,0)),"-")</f>
        <v>BENJAMIN LIZARBE</v>
      </c>
      <c r="T113" s="27" t="str">
        <f>UPPER(VLOOKUP(Tabla1[[#This Row],[CODIGO]],DATOS!A:E,5,0))</f>
        <v>FLUJO CONTINUO</v>
      </c>
      <c r="U113" s="31">
        <f>(Tabla1[[#This Row],[CANTIDAD]])*(VLOOKUP(Tabla1[[#This Row],[CODIGO]],DATOS!A:D,4,0))</f>
        <v>104.2</v>
      </c>
      <c r="V113" s="31" t="str">
        <f>VLOOKUP(Tabla1[[#This Row],[CODIGO]],DATOS!A:C,3,0)</f>
        <v>ABARROTES BEBIBLES</v>
      </c>
      <c r="W113" s="31" t="s">
        <v>13322</v>
      </c>
      <c r="X113" s="28" t="s">
        <v>13086</v>
      </c>
      <c r="Y113" s="28" t="s">
        <v>13111</v>
      </c>
    </row>
    <row r="114" spans="1:25" ht="12" customHeight="1" x14ac:dyDescent="0.25">
      <c r="A114" s="46">
        <v>45676</v>
      </c>
      <c r="B114" s="2" t="s">
        <v>106</v>
      </c>
      <c r="C114" s="2">
        <v>7620863070</v>
      </c>
      <c r="D114" s="2">
        <v>1002197</v>
      </c>
      <c r="E114" s="2" t="s">
        <v>8415</v>
      </c>
      <c r="F114" s="2">
        <v>12</v>
      </c>
      <c r="G114" s="2" t="s">
        <v>101</v>
      </c>
      <c r="H114" s="2" t="s">
        <v>25</v>
      </c>
      <c r="I114" s="75" t="s">
        <v>12940</v>
      </c>
      <c r="J114" s="9" t="s">
        <v>106</v>
      </c>
      <c r="K114" s="10" t="s">
        <v>13008</v>
      </c>
      <c r="L114" s="10" t="s">
        <v>123</v>
      </c>
      <c r="M114" s="10" t="s">
        <v>15</v>
      </c>
      <c r="N114" s="10" t="s">
        <v>18</v>
      </c>
      <c r="O114" s="10" t="s">
        <v>13093</v>
      </c>
      <c r="P114" s="10" t="s">
        <v>28</v>
      </c>
      <c r="Q114" s="2" t="s">
        <v>39</v>
      </c>
      <c r="R114" s="27" t="str">
        <f>VLOOKUP(Tabla1[[#This Row],[DETALLE ]],DATOS!L:M,2,0)</f>
        <v>PICKING</v>
      </c>
      <c r="S114" s="41" t="str">
        <f>IFERROR(IFERROR(VLOOKUP(Tabla1[[#This Row],[USUARIO PICKING ERROR]],DATOS!H:J,3,0),VLOOKUP(Tabla1[[#This Row],[USUARIO FILTRO ERROR]],DATOS!O:P,2,0)),"-")</f>
        <v>DAVID PIÑAN</v>
      </c>
      <c r="T114" s="27" t="str">
        <f>UPPER(VLOOKUP(Tabla1[[#This Row],[CODIGO]],DATOS!A:E,5,0))</f>
        <v>FLUJO CONTINUO</v>
      </c>
      <c r="U114" s="31">
        <f>(Tabla1[[#This Row],[CANTIDAD]])*(VLOOKUP(Tabla1[[#This Row],[CODIGO]],DATOS!A:D,4,0))</f>
        <v>1083.24</v>
      </c>
      <c r="V114" s="31" t="str">
        <f>VLOOKUP(Tabla1[[#This Row],[CODIGO]],DATOS!A:C,3,0)</f>
        <v>ABARROTES BEBIBLES</v>
      </c>
      <c r="W114" s="31" t="s">
        <v>13322</v>
      </c>
      <c r="X114" s="28" t="s">
        <v>13086</v>
      </c>
      <c r="Y114" s="28" t="s">
        <v>13111</v>
      </c>
    </row>
    <row r="115" spans="1:25" ht="12" customHeight="1" x14ac:dyDescent="0.25">
      <c r="A115" s="46">
        <v>45677</v>
      </c>
      <c r="B115" s="2" t="s">
        <v>118</v>
      </c>
      <c r="C115" s="2" t="s">
        <v>15</v>
      </c>
      <c r="D115" s="2">
        <v>544683</v>
      </c>
      <c r="E115" s="2" t="s">
        <v>2787</v>
      </c>
      <c r="F115" s="2">
        <v>84</v>
      </c>
      <c r="G115" s="2" t="s">
        <v>12992</v>
      </c>
      <c r="H115" s="2" t="s">
        <v>25</v>
      </c>
      <c r="I115" s="75" t="s">
        <v>12940</v>
      </c>
      <c r="J115" s="9" t="s">
        <v>94</v>
      </c>
      <c r="K115" s="10">
        <v>7620855899</v>
      </c>
      <c r="L115" s="10" t="s">
        <v>12895</v>
      </c>
      <c r="M115" s="10" t="s">
        <v>15</v>
      </c>
      <c r="N115" s="10" t="s">
        <v>18</v>
      </c>
      <c r="O115" s="10" t="s">
        <v>13093</v>
      </c>
      <c r="P115" s="10" t="s">
        <v>28</v>
      </c>
      <c r="Q115" s="2" t="s">
        <v>29</v>
      </c>
      <c r="R115" s="27" t="str">
        <f>VLOOKUP(Tabla1[[#This Row],[DETALLE ]],DATOS!L:M,2,0)</f>
        <v>PICKING</v>
      </c>
      <c r="S115" s="41" t="str">
        <f>IFERROR(IFERROR(VLOOKUP(Tabla1[[#This Row],[USUARIO PICKING ERROR]],DATOS!H:J,3,0),VLOOKUP(Tabla1[[#This Row],[USUARIO FILTRO ERROR]],DATOS!O:P,2,0)),"-")</f>
        <v>BENJAMIN LIZARBE</v>
      </c>
      <c r="T115" s="27" t="str">
        <f>UPPER(VLOOKUP(Tabla1[[#This Row],[CODIGO]],DATOS!A:E,5,0))</f>
        <v>FLUJO CONTINUO</v>
      </c>
      <c r="U115" s="31">
        <f>(Tabla1[[#This Row],[CANTIDAD]])*(VLOOKUP(Tabla1[[#This Row],[CODIGO]],DATOS!A:D,4,0))</f>
        <v>1149.96</v>
      </c>
      <c r="V115" s="31" t="str">
        <f>VLOOKUP(Tabla1[[#This Row],[CODIGO]],DATOS!A:C,3,0)</f>
        <v>ABARROTES BEBIBLES</v>
      </c>
      <c r="W115" s="31" t="s">
        <v>13322</v>
      </c>
      <c r="X115" s="28" t="s">
        <v>13086</v>
      </c>
      <c r="Y115" s="28" t="s">
        <v>13111</v>
      </c>
    </row>
    <row r="116" spans="1:25" ht="12" customHeight="1" x14ac:dyDescent="0.25">
      <c r="A116" s="46">
        <v>45677</v>
      </c>
      <c r="B116" s="2" t="s">
        <v>76</v>
      </c>
      <c r="C116" s="2">
        <v>7620862775</v>
      </c>
      <c r="D116" s="2">
        <v>886904</v>
      </c>
      <c r="E116" s="2" t="s">
        <v>23</v>
      </c>
      <c r="F116" s="2">
        <v>1</v>
      </c>
      <c r="G116" s="2" t="s">
        <v>12992</v>
      </c>
      <c r="H116" s="2" t="s">
        <v>25</v>
      </c>
      <c r="I116" s="75" t="s">
        <v>12940</v>
      </c>
      <c r="J116" s="9" t="s">
        <v>73</v>
      </c>
      <c r="K116" s="10">
        <v>7620861998</v>
      </c>
      <c r="L116" s="10" t="s">
        <v>90</v>
      </c>
      <c r="M116" s="10" t="s">
        <v>15</v>
      </c>
      <c r="N116" s="10" t="s">
        <v>18</v>
      </c>
      <c r="O116" s="10" t="s">
        <v>13093</v>
      </c>
      <c r="P116" s="10" t="s">
        <v>28</v>
      </c>
      <c r="Q116" s="2" t="s">
        <v>29</v>
      </c>
      <c r="R116" s="27" t="str">
        <f>VLOOKUP(Tabla1[[#This Row],[DETALLE ]],DATOS!L:M,2,0)</f>
        <v>PICKING</v>
      </c>
      <c r="S116" s="41" t="str">
        <f>IFERROR(IFERROR(VLOOKUP(Tabla1[[#This Row],[USUARIO PICKING ERROR]],DATOS!H:J,3,0),VLOOKUP(Tabla1[[#This Row],[USUARIO FILTRO ERROR]],DATOS!O:P,2,0)),"-")</f>
        <v>BENJAMIN LIZARBE</v>
      </c>
      <c r="T116" s="27" t="str">
        <f>UPPER(VLOOKUP(Tabla1[[#This Row],[CODIGO]],DATOS!A:E,5,0))</f>
        <v>FLUJO CONTINUO</v>
      </c>
      <c r="U116" s="31">
        <f>(Tabla1[[#This Row],[CANTIDAD]])*(VLOOKUP(Tabla1[[#This Row],[CODIGO]],DATOS!A:D,4,0))</f>
        <v>6.48</v>
      </c>
      <c r="V116" s="31" t="str">
        <f>VLOOKUP(Tabla1[[#This Row],[CODIGO]],DATOS!A:C,3,0)</f>
        <v>ABARROTES BEBIBLES</v>
      </c>
      <c r="W116" s="31" t="s">
        <v>13322</v>
      </c>
      <c r="X116" s="28" t="s">
        <v>13086</v>
      </c>
      <c r="Y116" s="28" t="s">
        <v>13111</v>
      </c>
    </row>
    <row r="117" spans="1:25" ht="12" customHeight="1" x14ac:dyDescent="0.25">
      <c r="A117" s="46">
        <v>45677</v>
      </c>
      <c r="B117" s="2" t="s">
        <v>15</v>
      </c>
      <c r="C117" s="2" t="s">
        <v>15</v>
      </c>
      <c r="D117" s="2">
        <v>48856001</v>
      </c>
      <c r="E117" s="2" t="s">
        <v>9001</v>
      </c>
      <c r="F117" s="2">
        <v>1</v>
      </c>
      <c r="G117" s="2" t="s">
        <v>12990</v>
      </c>
      <c r="H117" s="2" t="s">
        <v>17</v>
      </c>
      <c r="I117" s="75" t="s">
        <v>15</v>
      </c>
      <c r="J117" s="9" t="s">
        <v>15</v>
      </c>
      <c r="K117" s="10" t="s">
        <v>15</v>
      </c>
      <c r="L117" s="10" t="s">
        <v>14</v>
      </c>
      <c r="M117" s="10" t="s">
        <v>15</v>
      </c>
      <c r="N117" s="10" t="s">
        <v>18</v>
      </c>
      <c r="O117" s="10" t="s">
        <v>13020</v>
      </c>
      <c r="P117" s="10" t="s">
        <v>17</v>
      </c>
      <c r="Q117" s="2" t="s">
        <v>14</v>
      </c>
      <c r="R117" s="27" t="str">
        <f>VLOOKUP(Tabla1[[#This Row],[DETALLE ]],DATOS!L:M,2,0)</f>
        <v>PICKING</v>
      </c>
      <c r="S117" s="41" t="str">
        <f>IFERROR(IFERROR(VLOOKUP(Tabla1[[#This Row],[USUARIO PICKING ERROR]],DATOS!H:J,3,0),VLOOKUP(Tabla1[[#This Row],[USUARIO FILTRO ERROR]],DATOS!O:P,2,0)),"-")</f>
        <v>ALMACEN</v>
      </c>
      <c r="T117" s="27" t="str">
        <f>UPPER(VLOOKUP(Tabla1[[#This Row],[CODIGO]],DATOS!A:E,5,0))</f>
        <v>FLUJO CONTINUO</v>
      </c>
      <c r="U117" s="31">
        <f>(Tabla1[[#This Row],[CANTIDAD]])*(VLOOKUP(Tabla1[[#This Row],[CODIGO]],DATOS!A:D,4,0))</f>
        <v>7.26</v>
      </c>
      <c r="V117" s="31" t="str">
        <f>VLOOKUP(Tabla1[[#This Row],[CODIGO]],DATOS!A:C,3,0)</f>
        <v>ABARROTES NO COMESTIBLES</v>
      </c>
      <c r="W117" s="31" t="s">
        <v>13322</v>
      </c>
      <c r="X117" s="28" t="s">
        <v>21</v>
      </c>
      <c r="Y117" s="28" t="s">
        <v>13111</v>
      </c>
    </row>
    <row r="118" spans="1:25" ht="12" customHeight="1" x14ac:dyDescent="0.25">
      <c r="A118" s="46">
        <v>45678</v>
      </c>
      <c r="B118" s="2" t="s">
        <v>12985</v>
      </c>
      <c r="C118" s="2">
        <v>7620862934</v>
      </c>
      <c r="D118" s="2">
        <v>101459004</v>
      </c>
      <c r="E118" s="2" t="s">
        <v>9280</v>
      </c>
      <c r="F118" s="2">
        <v>6</v>
      </c>
      <c r="G118" s="2" t="s">
        <v>15</v>
      </c>
      <c r="H118" s="2" t="s">
        <v>25</v>
      </c>
      <c r="I118" s="75" t="s">
        <v>15</v>
      </c>
      <c r="J118" s="9" t="s">
        <v>15</v>
      </c>
      <c r="K118" s="10" t="s">
        <v>15</v>
      </c>
      <c r="L118" s="10" t="s">
        <v>84</v>
      </c>
      <c r="M118" s="10" t="s">
        <v>15</v>
      </c>
      <c r="N118" s="10" t="s">
        <v>18</v>
      </c>
      <c r="O118" s="10" t="s">
        <v>13093</v>
      </c>
      <c r="P118" s="10" t="s">
        <v>28</v>
      </c>
      <c r="Q118" s="2" t="s">
        <v>39</v>
      </c>
      <c r="R118" s="27" t="str">
        <f>VLOOKUP(Tabla1[[#This Row],[DETALLE ]],DATOS!L:M,2,0)</f>
        <v>PICKING</v>
      </c>
      <c r="S118" s="41" t="str">
        <f>IFERROR(IFERROR(VLOOKUP(Tabla1[[#This Row],[USUARIO PICKING ERROR]],DATOS!H:J,3,0),VLOOKUP(Tabla1[[#This Row],[USUARIO FILTRO ERROR]],DATOS!O:P,2,0)),"-")</f>
        <v>DAVID PIÑAN</v>
      </c>
      <c r="T118" s="27" t="str">
        <f>UPPER(VLOOKUP(Tabla1[[#This Row],[CODIGO]],DATOS!A:E,5,0))</f>
        <v>FLUJO CONTINUO</v>
      </c>
      <c r="U118" s="31">
        <f>(Tabla1[[#This Row],[CANTIDAD]])*(VLOOKUP(Tabla1[[#This Row],[CODIGO]],DATOS!A:D,4,0))</f>
        <v>159.89999999999998</v>
      </c>
      <c r="V118" s="31" t="str">
        <f>VLOOKUP(Tabla1[[#This Row],[CODIGO]],DATOS!A:C,3,0)</f>
        <v>ABARROTES BEBIBLES</v>
      </c>
      <c r="W118" s="31" t="s">
        <v>13322</v>
      </c>
      <c r="X118" s="28" t="s">
        <v>13086</v>
      </c>
      <c r="Y118" s="28" t="s">
        <v>13111</v>
      </c>
    </row>
    <row r="119" spans="1:25" ht="12" customHeight="1" x14ac:dyDescent="0.25">
      <c r="A119" s="46">
        <v>45678</v>
      </c>
      <c r="B119" s="2" t="s">
        <v>12985</v>
      </c>
      <c r="C119" s="2">
        <v>7620862939</v>
      </c>
      <c r="D119" s="2">
        <v>1014011</v>
      </c>
      <c r="E119" s="2" t="s">
        <v>8793</v>
      </c>
      <c r="F119" s="2">
        <v>2</v>
      </c>
      <c r="G119" s="2" t="s">
        <v>15</v>
      </c>
      <c r="H119" s="2" t="s">
        <v>25</v>
      </c>
      <c r="I119" s="75" t="s">
        <v>15</v>
      </c>
      <c r="J119" s="9" t="s">
        <v>68</v>
      </c>
      <c r="K119" s="10" t="s">
        <v>13009</v>
      </c>
      <c r="L119" s="10" t="s">
        <v>12929</v>
      </c>
      <c r="M119" s="10" t="s">
        <v>15</v>
      </c>
      <c r="N119" s="10" t="s">
        <v>18</v>
      </c>
      <c r="O119" s="10" t="s">
        <v>13093</v>
      </c>
      <c r="P119" s="10" t="s">
        <v>28</v>
      </c>
      <c r="Q119" s="2" t="s">
        <v>29</v>
      </c>
      <c r="R119" s="27" t="str">
        <f>VLOOKUP(Tabla1[[#This Row],[DETALLE ]],DATOS!L:M,2,0)</f>
        <v>PICKING</v>
      </c>
      <c r="S119" s="41" t="str">
        <f>IFERROR(IFERROR(VLOOKUP(Tabla1[[#This Row],[USUARIO PICKING ERROR]],DATOS!H:J,3,0),VLOOKUP(Tabla1[[#This Row],[USUARIO FILTRO ERROR]],DATOS!O:P,2,0)),"-")</f>
        <v>BENJAMIN LIZARBE</v>
      </c>
      <c r="T119" s="27" t="str">
        <f>UPPER(VLOOKUP(Tabla1[[#This Row],[CODIGO]],DATOS!A:E,5,0))</f>
        <v>FLUJO CONTINUO</v>
      </c>
      <c r="U119" s="31">
        <f>(Tabla1[[#This Row],[CANTIDAD]])*(VLOOKUP(Tabla1[[#This Row],[CODIGO]],DATOS!A:D,4,0))</f>
        <v>66.38</v>
      </c>
      <c r="V119" s="31" t="str">
        <f>VLOOKUP(Tabla1[[#This Row],[CODIGO]],DATOS!A:C,3,0)</f>
        <v>ABARROTES BEBIBLES</v>
      </c>
      <c r="W119" s="31" t="s">
        <v>13322</v>
      </c>
      <c r="X119" s="28" t="s">
        <v>13086</v>
      </c>
      <c r="Y119" s="28" t="s">
        <v>13111</v>
      </c>
    </row>
    <row r="120" spans="1:25" ht="12" customHeight="1" x14ac:dyDescent="0.25">
      <c r="A120" s="46">
        <v>45678</v>
      </c>
      <c r="B120" s="2" t="s">
        <v>99</v>
      </c>
      <c r="C120" s="2">
        <v>7620862622</v>
      </c>
      <c r="D120" s="2">
        <v>987346001</v>
      </c>
      <c r="E120" s="2" t="s">
        <v>251</v>
      </c>
      <c r="F120" s="2">
        <v>20</v>
      </c>
      <c r="G120" s="2" t="s">
        <v>15</v>
      </c>
      <c r="H120" s="2" t="s">
        <v>25</v>
      </c>
      <c r="I120" s="75" t="s">
        <v>15</v>
      </c>
      <c r="J120" s="9" t="s">
        <v>13001</v>
      </c>
      <c r="K120" s="10">
        <v>7640115856</v>
      </c>
      <c r="L120" s="10" t="s">
        <v>12938</v>
      </c>
      <c r="M120" s="10" t="s">
        <v>15</v>
      </c>
      <c r="N120" s="10" t="s">
        <v>18</v>
      </c>
      <c r="O120" s="10" t="s">
        <v>13098</v>
      </c>
      <c r="P120" s="10" t="s">
        <v>28</v>
      </c>
      <c r="Q120" s="2" t="s">
        <v>39</v>
      </c>
      <c r="R120" s="27" t="str">
        <f>VLOOKUP(Tabla1[[#This Row],[DETALLE ]],DATOS!L:M,2,0)</f>
        <v>PICKING</v>
      </c>
      <c r="S120" s="41" t="str">
        <f>IFERROR(IFERROR(VLOOKUP(Tabla1[[#This Row],[USUARIO PICKING ERROR]],DATOS!H:J,3,0),VLOOKUP(Tabla1[[#This Row],[USUARIO FILTRO ERROR]],DATOS!O:P,2,0)),"-")</f>
        <v>DAVID PIÑAN</v>
      </c>
      <c r="T120" s="27" t="str">
        <f>UPPER(VLOOKUP(Tabla1[[#This Row],[CODIGO]],DATOS!A:E,5,0))</f>
        <v>ALMACENADO</v>
      </c>
      <c r="U120" s="31">
        <f>(Tabla1[[#This Row],[CANTIDAD]])*(VLOOKUP(Tabla1[[#This Row],[CODIGO]],DATOS!A:D,4,0))</f>
        <v>244.4</v>
      </c>
      <c r="V120" s="31" t="str">
        <f>VLOOKUP(Tabla1[[#This Row],[CODIGO]],DATOS!A:C,3,0)</f>
        <v>ABARROTES COMESTIBLES</v>
      </c>
      <c r="W120" s="31" t="s">
        <v>13322</v>
      </c>
      <c r="X120" s="28" t="s">
        <v>13086</v>
      </c>
      <c r="Y120" s="28" t="s">
        <v>13111</v>
      </c>
    </row>
    <row r="121" spans="1:25" ht="12" customHeight="1" x14ac:dyDescent="0.25">
      <c r="A121" s="46">
        <v>45678</v>
      </c>
      <c r="B121" s="2" t="s">
        <v>12985</v>
      </c>
      <c r="C121" s="2">
        <v>7620862939</v>
      </c>
      <c r="D121" s="2">
        <v>1014012</v>
      </c>
      <c r="E121" s="2" t="s">
        <v>8794</v>
      </c>
      <c r="F121" s="2">
        <v>2</v>
      </c>
      <c r="G121" s="2" t="s">
        <v>15</v>
      </c>
      <c r="H121" s="2" t="s">
        <v>17</v>
      </c>
      <c r="I121" s="75" t="s">
        <v>15</v>
      </c>
      <c r="J121" s="9" t="s">
        <v>68</v>
      </c>
      <c r="K121" s="10" t="s">
        <v>13009</v>
      </c>
      <c r="L121" s="10" t="s">
        <v>27</v>
      </c>
      <c r="M121" s="10" t="s">
        <v>15</v>
      </c>
      <c r="N121" s="10" t="s">
        <v>18</v>
      </c>
      <c r="O121" s="10" t="s">
        <v>13020</v>
      </c>
      <c r="P121" s="10" t="s">
        <v>28</v>
      </c>
      <c r="Q121" s="2" t="s">
        <v>29</v>
      </c>
      <c r="R121" s="27" t="str">
        <f>VLOOKUP(Tabla1[[#This Row],[DETALLE ]],DATOS!L:M,2,0)</f>
        <v>PICKING</v>
      </c>
      <c r="S121" s="41" t="str">
        <f>IFERROR(IFERROR(VLOOKUP(Tabla1[[#This Row],[USUARIO PICKING ERROR]],DATOS!H:J,3,0),VLOOKUP(Tabla1[[#This Row],[USUARIO FILTRO ERROR]],DATOS!O:P,2,0)),"-")</f>
        <v>BENJAMIN LIZARBE</v>
      </c>
      <c r="T121" s="27" t="str">
        <f>UPPER(VLOOKUP(Tabla1[[#This Row],[CODIGO]],DATOS!A:E,5,0))</f>
        <v>FLUJO CONTINUO</v>
      </c>
      <c r="U121" s="31">
        <f>(Tabla1[[#This Row],[CANTIDAD]])*(VLOOKUP(Tabla1[[#This Row],[CODIGO]],DATOS!A:D,4,0))</f>
        <v>66.38</v>
      </c>
      <c r="V121" s="31" t="str">
        <f>VLOOKUP(Tabla1[[#This Row],[CODIGO]],DATOS!A:C,3,0)</f>
        <v>ABARROTES BEBIBLES</v>
      </c>
      <c r="W121" s="31" t="s">
        <v>13322</v>
      </c>
      <c r="X121" s="28" t="s">
        <v>13086</v>
      </c>
      <c r="Y121" s="28" t="s">
        <v>13111</v>
      </c>
    </row>
    <row r="122" spans="1:25" ht="12" customHeight="1" x14ac:dyDescent="0.25">
      <c r="A122" s="46">
        <v>45678</v>
      </c>
      <c r="B122" s="2" t="s">
        <v>12985</v>
      </c>
      <c r="C122" s="2">
        <v>7620862939</v>
      </c>
      <c r="D122" s="2">
        <v>101459001</v>
      </c>
      <c r="E122" s="2" t="s">
        <v>9274</v>
      </c>
      <c r="F122" s="2">
        <v>6</v>
      </c>
      <c r="G122" s="2" t="s">
        <v>15</v>
      </c>
      <c r="H122" s="2" t="s">
        <v>17</v>
      </c>
      <c r="I122" s="75" t="s">
        <v>15</v>
      </c>
      <c r="J122" s="9" t="s">
        <v>15</v>
      </c>
      <c r="K122" s="10" t="s">
        <v>15</v>
      </c>
      <c r="L122" s="10" t="s">
        <v>27</v>
      </c>
      <c r="M122" s="10" t="s">
        <v>15</v>
      </c>
      <c r="N122" s="10" t="s">
        <v>18</v>
      </c>
      <c r="O122" s="10" t="s">
        <v>13020</v>
      </c>
      <c r="P122" s="10" t="s">
        <v>28</v>
      </c>
      <c r="Q122" s="2" t="s">
        <v>29</v>
      </c>
      <c r="R122" s="27" t="str">
        <f>VLOOKUP(Tabla1[[#This Row],[DETALLE ]],DATOS!L:M,2,0)</f>
        <v>PICKING</v>
      </c>
      <c r="S122" s="41" t="str">
        <f>IFERROR(IFERROR(VLOOKUP(Tabla1[[#This Row],[USUARIO PICKING ERROR]],DATOS!H:J,3,0),VLOOKUP(Tabla1[[#This Row],[USUARIO FILTRO ERROR]],DATOS!O:P,2,0)),"-")</f>
        <v>BENJAMIN LIZARBE</v>
      </c>
      <c r="T122" s="27" t="str">
        <f>UPPER(VLOOKUP(Tabla1[[#This Row],[CODIGO]],DATOS!A:E,5,0))</f>
        <v>FLUJO CONTINUO</v>
      </c>
      <c r="U122" s="31">
        <f>(Tabla1[[#This Row],[CANTIDAD]])*(VLOOKUP(Tabla1[[#This Row],[CODIGO]],DATOS!A:D,4,0))</f>
        <v>159.84</v>
      </c>
      <c r="V122" s="31" t="str">
        <f>VLOOKUP(Tabla1[[#This Row],[CODIGO]],DATOS!A:C,3,0)</f>
        <v>ABARROTES BEBIBLES</v>
      </c>
      <c r="W122" s="31" t="s">
        <v>13322</v>
      </c>
      <c r="X122" s="28" t="s">
        <v>13086</v>
      </c>
      <c r="Y122" s="28" t="s">
        <v>13111</v>
      </c>
    </row>
    <row r="123" spans="1:25" ht="12" customHeight="1" x14ac:dyDescent="0.25">
      <c r="A123" s="46">
        <v>45678</v>
      </c>
      <c r="B123" s="2" t="s">
        <v>94</v>
      </c>
      <c r="C123" s="2" t="s">
        <v>12969</v>
      </c>
      <c r="D123" s="2">
        <v>270474</v>
      </c>
      <c r="E123" s="2" t="s">
        <v>1507</v>
      </c>
      <c r="F123" s="2">
        <v>12</v>
      </c>
      <c r="G123" s="2" t="s">
        <v>12997</v>
      </c>
      <c r="H123" s="2" t="s">
        <v>25</v>
      </c>
      <c r="I123" s="75" t="s">
        <v>12940</v>
      </c>
      <c r="J123" s="9" t="s">
        <v>15</v>
      </c>
      <c r="K123" s="10" t="s">
        <v>15</v>
      </c>
      <c r="L123" s="10" t="s">
        <v>90</v>
      </c>
      <c r="M123" s="10" t="s">
        <v>15</v>
      </c>
      <c r="N123" s="10" t="s">
        <v>18</v>
      </c>
      <c r="O123" s="10" t="s">
        <v>13093</v>
      </c>
      <c r="P123" s="10" t="s">
        <v>28</v>
      </c>
      <c r="Q123" s="2" t="s">
        <v>29</v>
      </c>
      <c r="R123" s="27" t="str">
        <f>VLOOKUP(Tabla1[[#This Row],[DETALLE ]],DATOS!L:M,2,0)</f>
        <v>PICKING</v>
      </c>
      <c r="S123" s="41" t="str">
        <f>IFERROR(IFERROR(VLOOKUP(Tabla1[[#This Row],[USUARIO PICKING ERROR]],DATOS!H:J,3,0),VLOOKUP(Tabla1[[#This Row],[USUARIO FILTRO ERROR]],DATOS!O:P,2,0)),"-")</f>
        <v>BENJAMIN LIZARBE</v>
      </c>
      <c r="T123" s="27" t="str">
        <f>UPPER(VLOOKUP(Tabla1[[#This Row],[CODIGO]],DATOS!A:E,5,0))</f>
        <v>FLUJO CONTINUO</v>
      </c>
      <c r="U123" s="31">
        <f>(Tabla1[[#This Row],[CANTIDAD]])*(VLOOKUP(Tabla1[[#This Row],[CODIGO]],DATOS!A:D,4,0))</f>
        <v>241.20000000000002</v>
      </c>
      <c r="V123" s="31" t="str">
        <f>VLOOKUP(Tabla1[[#This Row],[CODIGO]],DATOS!A:C,3,0)</f>
        <v>ABARROTES BEBIBLES</v>
      </c>
      <c r="W123" s="31" t="s">
        <v>13322</v>
      </c>
      <c r="X123" s="28" t="s">
        <v>13086</v>
      </c>
      <c r="Y123" s="28" t="s">
        <v>13111</v>
      </c>
    </row>
    <row r="124" spans="1:25" ht="12" customHeight="1" x14ac:dyDescent="0.25">
      <c r="A124" s="46">
        <v>45678</v>
      </c>
      <c r="B124" s="2" t="s">
        <v>94</v>
      </c>
      <c r="C124" s="2" t="s">
        <v>12969</v>
      </c>
      <c r="D124" s="2">
        <v>280234</v>
      </c>
      <c r="E124" s="2" t="s">
        <v>1519</v>
      </c>
      <c r="F124" s="2">
        <v>12</v>
      </c>
      <c r="G124" s="2" t="s">
        <v>24</v>
      </c>
      <c r="H124" s="2" t="s">
        <v>17</v>
      </c>
      <c r="I124" s="75" t="s">
        <v>12940</v>
      </c>
      <c r="J124" s="9" t="s">
        <v>15</v>
      </c>
      <c r="K124" s="10" t="s">
        <v>15</v>
      </c>
      <c r="L124" s="10" t="s">
        <v>90</v>
      </c>
      <c r="M124" s="10" t="s">
        <v>15</v>
      </c>
      <c r="N124" s="10" t="s">
        <v>18</v>
      </c>
      <c r="O124" s="10" t="s">
        <v>13020</v>
      </c>
      <c r="P124" s="10" t="s">
        <v>28</v>
      </c>
      <c r="Q124" s="2" t="s">
        <v>29</v>
      </c>
      <c r="R124" s="27" t="str">
        <f>VLOOKUP(Tabla1[[#This Row],[DETALLE ]],DATOS!L:M,2,0)</f>
        <v>PICKING</v>
      </c>
      <c r="S124" s="41" t="str">
        <f>IFERROR(IFERROR(VLOOKUP(Tabla1[[#This Row],[USUARIO PICKING ERROR]],DATOS!H:J,3,0),VLOOKUP(Tabla1[[#This Row],[USUARIO FILTRO ERROR]],DATOS!O:P,2,0)),"-")</f>
        <v>BENJAMIN LIZARBE</v>
      </c>
      <c r="T124" s="27" t="str">
        <f>UPPER(VLOOKUP(Tabla1[[#This Row],[CODIGO]],DATOS!A:E,5,0))</f>
        <v>FLUJO CONTINUO</v>
      </c>
      <c r="U124" s="31">
        <f>(Tabla1[[#This Row],[CANTIDAD]])*(VLOOKUP(Tabla1[[#This Row],[CODIGO]],DATOS!A:D,4,0))</f>
        <v>241.20000000000002</v>
      </c>
      <c r="V124" s="31" t="str">
        <f>VLOOKUP(Tabla1[[#This Row],[CODIGO]],DATOS!A:C,3,0)</f>
        <v>ABARROTES BEBIBLES</v>
      </c>
      <c r="W124" s="31" t="s">
        <v>13322</v>
      </c>
      <c r="X124" s="28" t="s">
        <v>13086</v>
      </c>
      <c r="Y124" s="28" t="s">
        <v>13111</v>
      </c>
    </row>
    <row r="125" spans="1:25" ht="12" customHeight="1" x14ac:dyDescent="0.25">
      <c r="A125" s="46">
        <v>45679</v>
      </c>
      <c r="B125" s="2" t="s">
        <v>70</v>
      </c>
      <c r="C125" s="2">
        <v>7620854987</v>
      </c>
      <c r="D125" s="2">
        <v>1019409</v>
      </c>
      <c r="E125" s="2" t="s">
        <v>10614</v>
      </c>
      <c r="F125" s="2">
        <v>1</v>
      </c>
      <c r="G125" s="2" t="s">
        <v>15</v>
      </c>
      <c r="H125" s="2" t="s">
        <v>25</v>
      </c>
      <c r="I125" s="75" t="s">
        <v>15</v>
      </c>
      <c r="J125" s="9" t="s">
        <v>12986</v>
      </c>
      <c r="K125" s="10">
        <v>7620861698</v>
      </c>
      <c r="L125" s="10" t="s">
        <v>55</v>
      </c>
      <c r="M125" s="10" t="s">
        <v>15</v>
      </c>
      <c r="N125" s="10" t="s">
        <v>18</v>
      </c>
      <c r="O125" s="10" t="s">
        <v>13093</v>
      </c>
      <c r="P125" s="10" t="s">
        <v>28</v>
      </c>
      <c r="Q125" s="2" t="s">
        <v>29</v>
      </c>
      <c r="R125" s="27" t="str">
        <f>VLOOKUP(Tabla1[[#This Row],[DETALLE ]],DATOS!L:M,2,0)</f>
        <v>PICKING</v>
      </c>
      <c r="S125" s="41" t="str">
        <f>IFERROR(IFERROR(VLOOKUP(Tabla1[[#This Row],[USUARIO PICKING ERROR]],DATOS!H:J,3,0),VLOOKUP(Tabla1[[#This Row],[USUARIO FILTRO ERROR]],DATOS!O:P,2,0)),"-")</f>
        <v>BENJAMIN LIZARBE</v>
      </c>
      <c r="T125" s="27" t="str">
        <f>UPPER(VLOOKUP(Tabla1[[#This Row],[CODIGO]],DATOS!A:E,5,0))</f>
        <v>FLUJO CONTINUO</v>
      </c>
      <c r="U125" s="31">
        <f>(Tabla1[[#This Row],[CANTIDAD]])*(VLOOKUP(Tabla1[[#This Row],[CODIGO]],DATOS!A:D,4,0))</f>
        <v>38.92</v>
      </c>
      <c r="V125" s="31" t="str">
        <f>VLOOKUP(Tabla1[[#This Row],[CODIGO]],DATOS!A:C,3,0)</f>
        <v>ABARROTES BEBIBLES</v>
      </c>
      <c r="W125" s="31" t="s">
        <v>13322</v>
      </c>
      <c r="X125" s="28" t="s">
        <v>13086</v>
      </c>
      <c r="Y125" s="28" t="s">
        <v>13111</v>
      </c>
    </row>
    <row r="126" spans="1:25" ht="12" customHeight="1" x14ac:dyDescent="0.25">
      <c r="A126" s="46">
        <v>45679</v>
      </c>
      <c r="B126" s="2" t="s">
        <v>12978</v>
      </c>
      <c r="C126" s="2">
        <v>7620861676</v>
      </c>
      <c r="D126" s="2">
        <v>445006</v>
      </c>
      <c r="E126" s="2" t="s">
        <v>2131</v>
      </c>
      <c r="F126" s="2">
        <v>6</v>
      </c>
      <c r="G126" s="2" t="s">
        <v>15</v>
      </c>
      <c r="H126" s="2" t="s">
        <v>17</v>
      </c>
      <c r="I126" s="75" t="s">
        <v>15</v>
      </c>
      <c r="J126" s="9" t="s">
        <v>44</v>
      </c>
      <c r="K126" s="10">
        <v>7620860904</v>
      </c>
      <c r="L126" s="10" t="s">
        <v>90</v>
      </c>
      <c r="M126" s="10" t="s">
        <v>15</v>
      </c>
      <c r="N126" s="10" t="s">
        <v>18</v>
      </c>
      <c r="O126" s="10" t="s">
        <v>13020</v>
      </c>
      <c r="P126" s="10" t="s">
        <v>28</v>
      </c>
      <c r="Q126" s="2" t="s">
        <v>29</v>
      </c>
      <c r="R126" s="27" t="str">
        <f>VLOOKUP(Tabla1[[#This Row],[DETALLE ]],DATOS!L:M,2,0)</f>
        <v>PICKING</v>
      </c>
      <c r="S126" s="41" t="str">
        <f>IFERROR(IFERROR(VLOOKUP(Tabla1[[#This Row],[USUARIO PICKING ERROR]],DATOS!H:J,3,0),VLOOKUP(Tabla1[[#This Row],[USUARIO FILTRO ERROR]],DATOS!O:P,2,0)),"-")</f>
        <v>BENJAMIN LIZARBE</v>
      </c>
      <c r="T126" s="27" t="str">
        <f>UPPER(VLOOKUP(Tabla1[[#This Row],[CODIGO]],DATOS!A:E,5,0))</f>
        <v>FLUJO CONTINUO</v>
      </c>
      <c r="U126" s="31">
        <f>(Tabla1[[#This Row],[CANTIDAD]])*(VLOOKUP(Tabla1[[#This Row],[CODIGO]],DATOS!A:D,4,0))</f>
        <v>194.52</v>
      </c>
      <c r="V126" s="31" t="str">
        <f>VLOOKUP(Tabla1[[#This Row],[CODIGO]],DATOS!A:C,3,0)</f>
        <v>ABARROTES BEBIBLES</v>
      </c>
      <c r="W126" s="31" t="s">
        <v>13322</v>
      </c>
      <c r="X126" s="28" t="s">
        <v>13086</v>
      </c>
      <c r="Y126" s="28" t="s">
        <v>13111</v>
      </c>
    </row>
    <row r="127" spans="1:25" ht="12" customHeight="1" x14ac:dyDescent="0.25">
      <c r="A127" s="46">
        <v>45679</v>
      </c>
      <c r="B127" s="2" t="s">
        <v>79</v>
      </c>
      <c r="C127" s="2">
        <v>7620854626</v>
      </c>
      <c r="D127" s="2">
        <v>702362</v>
      </c>
      <c r="E127" s="2" t="s">
        <v>3191</v>
      </c>
      <c r="F127" s="2">
        <v>1</v>
      </c>
      <c r="G127" s="2" t="s">
        <v>12992</v>
      </c>
      <c r="H127" s="2" t="s">
        <v>17</v>
      </c>
      <c r="I127" s="75" t="s">
        <v>12940</v>
      </c>
      <c r="J127" s="9" t="s">
        <v>15</v>
      </c>
      <c r="K127" s="10" t="s">
        <v>15</v>
      </c>
      <c r="L127" s="10" t="s">
        <v>53</v>
      </c>
      <c r="M127" s="10" t="s">
        <v>15</v>
      </c>
      <c r="N127" s="10" t="s">
        <v>18</v>
      </c>
      <c r="O127" s="10" t="s">
        <v>13020</v>
      </c>
      <c r="P127" s="10" t="s">
        <v>28</v>
      </c>
      <c r="Q127" s="2" t="s">
        <v>39</v>
      </c>
      <c r="R127" s="27" t="str">
        <f>VLOOKUP(Tabla1[[#This Row],[DETALLE ]],DATOS!L:M,2,0)</f>
        <v>PICKING</v>
      </c>
      <c r="S127" s="41" t="str">
        <f>IFERROR(IFERROR(VLOOKUP(Tabla1[[#This Row],[USUARIO PICKING ERROR]],DATOS!H:J,3,0),VLOOKUP(Tabla1[[#This Row],[USUARIO FILTRO ERROR]],DATOS!O:P,2,0)),"-")</f>
        <v>DAVID PIÑAN</v>
      </c>
      <c r="T127" s="27" t="str">
        <f>UPPER(VLOOKUP(Tabla1[[#This Row],[CODIGO]],DATOS!A:E,5,0))</f>
        <v>FLUJO CONTINUO</v>
      </c>
      <c r="U127" s="31">
        <f>(Tabla1[[#This Row],[CANTIDAD]])*(VLOOKUP(Tabla1[[#This Row],[CODIGO]],DATOS!A:D,4,0))</f>
        <v>45.54</v>
      </c>
      <c r="V127" s="31" t="str">
        <f>VLOOKUP(Tabla1[[#This Row],[CODIGO]],DATOS!A:C,3,0)</f>
        <v>ABARROTES BEBIBLES</v>
      </c>
      <c r="W127" s="31" t="s">
        <v>13322</v>
      </c>
      <c r="X127" s="28" t="s">
        <v>13086</v>
      </c>
      <c r="Y127" s="28" t="s">
        <v>13111</v>
      </c>
    </row>
    <row r="128" spans="1:25" ht="12" customHeight="1" x14ac:dyDescent="0.25">
      <c r="A128" s="46">
        <v>45679</v>
      </c>
      <c r="B128" s="2" t="s">
        <v>48</v>
      </c>
      <c r="C128" s="2">
        <v>7620861724</v>
      </c>
      <c r="D128" s="2">
        <v>1019409</v>
      </c>
      <c r="E128" s="2" t="s">
        <v>10614</v>
      </c>
      <c r="F128" s="2">
        <v>1</v>
      </c>
      <c r="G128" s="2" t="s">
        <v>15</v>
      </c>
      <c r="H128" s="2" t="s">
        <v>17</v>
      </c>
      <c r="I128" s="75" t="s">
        <v>15</v>
      </c>
      <c r="J128" s="9" t="s">
        <v>50</v>
      </c>
      <c r="K128" s="10">
        <v>7620854739</v>
      </c>
      <c r="L128" s="10" t="s">
        <v>90</v>
      </c>
      <c r="M128" s="10" t="s">
        <v>15</v>
      </c>
      <c r="N128" s="10" t="s">
        <v>18</v>
      </c>
      <c r="O128" s="10" t="s">
        <v>13020</v>
      </c>
      <c r="P128" s="10" t="s">
        <v>28</v>
      </c>
      <c r="Q128" s="2" t="s">
        <v>29</v>
      </c>
      <c r="R128" s="27" t="str">
        <f>VLOOKUP(Tabla1[[#This Row],[DETALLE ]],DATOS!L:M,2,0)</f>
        <v>PICKING</v>
      </c>
      <c r="S128" s="41" t="str">
        <f>IFERROR(IFERROR(VLOOKUP(Tabla1[[#This Row],[USUARIO PICKING ERROR]],DATOS!H:J,3,0),VLOOKUP(Tabla1[[#This Row],[USUARIO FILTRO ERROR]],DATOS!O:P,2,0)),"-")</f>
        <v>BENJAMIN LIZARBE</v>
      </c>
      <c r="T128" s="27" t="str">
        <f>UPPER(VLOOKUP(Tabla1[[#This Row],[CODIGO]],DATOS!A:E,5,0))</f>
        <v>FLUJO CONTINUO</v>
      </c>
      <c r="U128" s="31">
        <f>(Tabla1[[#This Row],[CANTIDAD]])*(VLOOKUP(Tabla1[[#This Row],[CODIGO]],DATOS!A:D,4,0))</f>
        <v>38.92</v>
      </c>
      <c r="V128" s="31" t="str">
        <f>VLOOKUP(Tabla1[[#This Row],[CODIGO]],DATOS!A:C,3,0)</f>
        <v>ABARROTES BEBIBLES</v>
      </c>
      <c r="W128" s="31" t="s">
        <v>13322</v>
      </c>
      <c r="X128" s="28" t="s">
        <v>13086</v>
      </c>
      <c r="Y128" s="28" t="s">
        <v>13111</v>
      </c>
    </row>
    <row r="129" spans="1:25" ht="12" customHeight="1" x14ac:dyDescent="0.25">
      <c r="A129" s="46">
        <v>45679</v>
      </c>
      <c r="B129" s="2" t="s">
        <v>106</v>
      </c>
      <c r="C129" s="2">
        <v>7620863066</v>
      </c>
      <c r="D129" s="2">
        <v>700198002</v>
      </c>
      <c r="E129" s="2" t="s">
        <v>9970</v>
      </c>
      <c r="F129" s="2">
        <v>12</v>
      </c>
      <c r="G129" s="2" t="s">
        <v>15</v>
      </c>
      <c r="H129" s="2" t="s">
        <v>25</v>
      </c>
      <c r="I129" s="75" t="s">
        <v>15</v>
      </c>
      <c r="J129" s="9" t="s">
        <v>12973</v>
      </c>
      <c r="K129" s="10">
        <v>7620858900</v>
      </c>
      <c r="L129" s="10" t="s">
        <v>12898</v>
      </c>
      <c r="M129" s="10" t="s">
        <v>15</v>
      </c>
      <c r="N129" s="10" t="s">
        <v>18</v>
      </c>
      <c r="O129" s="10" t="s">
        <v>13093</v>
      </c>
      <c r="P129" s="10" t="s">
        <v>28</v>
      </c>
      <c r="Q129" s="2" t="s">
        <v>39</v>
      </c>
      <c r="R129" s="27" t="str">
        <f>VLOOKUP(Tabla1[[#This Row],[DETALLE ]],DATOS!L:M,2,0)</f>
        <v>PICKING</v>
      </c>
      <c r="S129" s="41" t="str">
        <f>IFERROR(IFERROR(VLOOKUP(Tabla1[[#This Row],[USUARIO PICKING ERROR]],DATOS!H:J,3,0),VLOOKUP(Tabla1[[#This Row],[USUARIO FILTRO ERROR]],DATOS!O:P,2,0)),"-")</f>
        <v>DAVID PIÑAN</v>
      </c>
      <c r="T129" s="27" t="str">
        <f>UPPER(VLOOKUP(Tabla1[[#This Row],[CODIGO]],DATOS!A:E,5,0))</f>
        <v>FLUJO CONTINUO</v>
      </c>
      <c r="U129" s="31">
        <f>(Tabla1[[#This Row],[CANTIDAD]])*(VLOOKUP(Tabla1[[#This Row],[CODIGO]],DATOS!A:D,4,0))</f>
        <v>145.44</v>
      </c>
      <c r="V129" s="31" t="str">
        <f>VLOOKUP(Tabla1[[#This Row],[CODIGO]],DATOS!A:C,3,0)</f>
        <v>ABARROTES BEBIBLES</v>
      </c>
      <c r="W129" s="31" t="s">
        <v>13322</v>
      </c>
      <c r="X129" s="28" t="s">
        <v>13086</v>
      </c>
      <c r="Y129" s="28" t="s">
        <v>13111</v>
      </c>
    </row>
    <row r="130" spans="1:25" ht="12" customHeight="1" x14ac:dyDescent="0.25">
      <c r="A130" s="46">
        <v>45679</v>
      </c>
      <c r="B130" s="2" t="s">
        <v>26</v>
      </c>
      <c r="C130" s="2">
        <v>7620861776</v>
      </c>
      <c r="D130" s="2">
        <v>531408</v>
      </c>
      <c r="E130" s="2" t="s">
        <v>2641</v>
      </c>
      <c r="F130" s="2">
        <v>6</v>
      </c>
      <c r="G130" s="2" t="s">
        <v>12992</v>
      </c>
      <c r="H130" s="2" t="s">
        <v>25</v>
      </c>
      <c r="I130" s="75" t="s">
        <v>12940</v>
      </c>
      <c r="J130" s="9" t="s">
        <v>13004</v>
      </c>
      <c r="K130" s="10">
        <v>7620861705</v>
      </c>
      <c r="L130" s="10" t="s">
        <v>57</v>
      </c>
      <c r="M130" s="10" t="s">
        <v>49</v>
      </c>
      <c r="N130" s="10" t="s">
        <v>12957</v>
      </c>
      <c r="O130" s="10" t="s">
        <v>13094</v>
      </c>
      <c r="P130" s="10" t="s">
        <v>28</v>
      </c>
      <c r="Q130" s="2" t="s">
        <v>39</v>
      </c>
      <c r="R130" s="27" t="str">
        <f>VLOOKUP(Tabla1[[#This Row],[DETALLE ]],DATOS!L:M,2,0)</f>
        <v>FILTRO</v>
      </c>
      <c r="S130" s="41" t="str">
        <f>IFERROR(IFERROR(VLOOKUP(Tabla1[[#This Row],[USUARIO PICKING ERROR]],DATOS!H:J,3,0),VLOOKUP(Tabla1[[#This Row],[USUARIO FILTRO ERROR]],DATOS!O:P,2,0)),"-")</f>
        <v>DAVID PIÑAN</v>
      </c>
      <c r="T130" s="27" t="str">
        <f>UPPER(VLOOKUP(Tabla1[[#This Row],[CODIGO]],DATOS!A:E,5,0))</f>
        <v>FLUJO CONTINUO</v>
      </c>
      <c r="U130" s="31">
        <f>(Tabla1[[#This Row],[CANTIDAD]])*(VLOOKUP(Tabla1[[#This Row],[CODIGO]],DATOS!A:D,4,0))</f>
        <v>186.42000000000002</v>
      </c>
      <c r="V130" s="31" t="str">
        <f>VLOOKUP(Tabla1[[#This Row],[CODIGO]],DATOS!A:C,3,0)</f>
        <v>ABARROTES BEBIBLES</v>
      </c>
      <c r="W130" s="31" t="s">
        <v>13322</v>
      </c>
      <c r="X130" s="28" t="s">
        <v>13086</v>
      </c>
      <c r="Y130" s="28" t="s">
        <v>13111</v>
      </c>
    </row>
    <row r="131" spans="1:25" ht="12" customHeight="1" x14ac:dyDescent="0.25">
      <c r="A131" s="46">
        <v>45680</v>
      </c>
      <c r="B131" s="2" t="s">
        <v>50</v>
      </c>
      <c r="C131" s="2">
        <v>7620854739</v>
      </c>
      <c r="D131" s="2">
        <v>1019409</v>
      </c>
      <c r="E131" s="2" t="s">
        <v>10614</v>
      </c>
      <c r="F131" s="2">
        <v>2</v>
      </c>
      <c r="G131" s="2" t="s">
        <v>15</v>
      </c>
      <c r="H131" s="2" t="s">
        <v>25</v>
      </c>
      <c r="I131" s="75" t="s">
        <v>15</v>
      </c>
      <c r="J131" s="9" t="s">
        <v>12986</v>
      </c>
      <c r="K131" s="10">
        <v>7620861698</v>
      </c>
      <c r="L131" s="10" t="s">
        <v>55</v>
      </c>
      <c r="M131" s="10" t="s">
        <v>15</v>
      </c>
      <c r="N131" s="10" t="s">
        <v>18</v>
      </c>
      <c r="O131" s="10" t="s">
        <v>13093</v>
      </c>
      <c r="P131" s="10" t="s">
        <v>28</v>
      </c>
      <c r="Q131" s="2" t="s">
        <v>29</v>
      </c>
      <c r="R131" s="27" t="str">
        <f>VLOOKUP(Tabla1[[#This Row],[DETALLE ]],DATOS!L:M,2,0)</f>
        <v>PICKING</v>
      </c>
      <c r="S131" s="41" t="str">
        <f>IFERROR(IFERROR(VLOOKUP(Tabla1[[#This Row],[USUARIO PICKING ERROR]],DATOS!H:J,3,0),VLOOKUP(Tabla1[[#This Row],[USUARIO FILTRO ERROR]],DATOS!O:P,2,0)),"-")</f>
        <v>BENJAMIN LIZARBE</v>
      </c>
      <c r="T131" s="27" t="str">
        <f>UPPER(VLOOKUP(Tabla1[[#This Row],[CODIGO]],DATOS!A:E,5,0))</f>
        <v>FLUJO CONTINUO</v>
      </c>
      <c r="U131" s="31">
        <f>(Tabla1[[#This Row],[CANTIDAD]])*(VLOOKUP(Tabla1[[#This Row],[CODIGO]],DATOS!A:D,4,0))</f>
        <v>77.84</v>
      </c>
      <c r="V131" s="31" t="str">
        <f>VLOOKUP(Tabla1[[#This Row],[CODIGO]],DATOS!A:C,3,0)</f>
        <v>ABARROTES BEBIBLES</v>
      </c>
      <c r="W131" s="31" t="s">
        <v>13322</v>
      </c>
      <c r="X131" s="28" t="s">
        <v>13086</v>
      </c>
      <c r="Y131" s="28" t="s">
        <v>13111</v>
      </c>
    </row>
    <row r="132" spans="1:25" ht="12" customHeight="1" x14ac:dyDescent="0.25">
      <c r="A132" s="46">
        <v>45680</v>
      </c>
      <c r="B132" s="2" t="s">
        <v>92</v>
      </c>
      <c r="C132" s="2">
        <v>7620854333</v>
      </c>
      <c r="D132" s="2">
        <v>727603</v>
      </c>
      <c r="E132" s="2" t="s">
        <v>3505</v>
      </c>
      <c r="F132" s="2">
        <v>1</v>
      </c>
      <c r="G132" s="2" t="s">
        <v>15</v>
      </c>
      <c r="H132" s="2" t="s">
        <v>25</v>
      </c>
      <c r="I132" s="75" t="s">
        <v>15</v>
      </c>
      <c r="J132" s="9" t="s">
        <v>65</v>
      </c>
      <c r="K132" s="10">
        <v>7620861594</v>
      </c>
      <c r="L132" s="10" t="s">
        <v>84</v>
      </c>
      <c r="M132" s="10" t="s">
        <v>15</v>
      </c>
      <c r="N132" s="10" t="s">
        <v>18</v>
      </c>
      <c r="O132" s="10" t="s">
        <v>13093</v>
      </c>
      <c r="P132" s="10" t="s">
        <v>28</v>
      </c>
      <c r="Q132" s="2" t="s">
        <v>39</v>
      </c>
      <c r="R132" s="27" t="str">
        <f>VLOOKUP(Tabla1[[#This Row],[DETALLE ]],DATOS!L:M,2,0)</f>
        <v>PICKING</v>
      </c>
      <c r="S132" s="41" t="str">
        <f>IFERROR(IFERROR(VLOOKUP(Tabla1[[#This Row],[USUARIO PICKING ERROR]],DATOS!H:J,3,0),VLOOKUP(Tabla1[[#This Row],[USUARIO FILTRO ERROR]],DATOS!O:P,2,0)),"-")</f>
        <v>DAVID PIÑAN</v>
      </c>
      <c r="T132" s="27" t="str">
        <f>UPPER(VLOOKUP(Tabla1[[#This Row],[CODIGO]],DATOS!A:E,5,0))</f>
        <v>FLUJO CONTINUO</v>
      </c>
      <c r="U132" s="31">
        <f>(Tabla1[[#This Row],[CANTIDAD]])*(VLOOKUP(Tabla1[[#This Row],[CODIGO]],DATOS!A:D,4,0))</f>
        <v>129.41</v>
      </c>
      <c r="V132" s="31" t="str">
        <f>VLOOKUP(Tabla1[[#This Row],[CODIGO]],DATOS!A:C,3,0)</f>
        <v>ABARROTES BEBIBLES</v>
      </c>
      <c r="W132" s="31" t="s">
        <v>13322</v>
      </c>
      <c r="X132" s="28" t="s">
        <v>13086</v>
      </c>
      <c r="Y132" s="28" t="s">
        <v>13111</v>
      </c>
    </row>
    <row r="133" spans="1:25" ht="12" customHeight="1" x14ac:dyDescent="0.25">
      <c r="A133" s="46">
        <v>45680</v>
      </c>
      <c r="B133" s="2" t="s">
        <v>106</v>
      </c>
      <c r="C133" s="2">
        <v>7620863064</v>
      </c>
      <c r="D133" s="2">
        <v>235050</v>
      </c>
      <c r="E133" s="2" t="s">
        <v>1407</v>
      </c>
      <c r="F133" s="2">
        <v>1</v>
      </c>
      <c r="G133" s="2" t="s">
        <v>24</v>
      </c>
      <c r="H133" s="2" t="s">
        <v>17</v>
      </c>
      <c r="I133" s="75" t="s">
        <v>12940</v>
      </c>
      <c r="J133" s="9" t="s">
        <v>13005</v>
      </c>
      <c r="K133" s="10">
        <v>7620858351</v>
      </c>
      <c r="L133" s="10" t="s">
        <v>12935</v>
      </c>
      <c r="M133" s="10" t="s">
        <v>15</v>
      </c>
      <c r="N133" s="10" t="s">
        <v>18</v>
      </c>
      <c r="O133" s="10" t="s">
        <v>13020</v>
      </c>
      <c r="P133" s="10" t="s">
        <v>28</v>
      </c>
      <c r="Q133" s="2" t="s">
        <v>29</v>
      </c>
      <c r="R133" s="27" t="str">
        <f>VLOOKUP(Tabla1[[#This Row],[DETALLE ]],DATOS!L:M,2,0)</f>
        <v>PICKING</v>
      </c>
      <c r="S133" s="41" t="str">
        <f>IFERROR(IFERROR(VLOOKUP(Tabla1[[#This Row],[USUARIO PICKING ERROR]],DATOS!H:J,3,0),VLOOKUP(Tabla1[[#This Row],[USUARIO FILTRO ERROR]],DATOS!O:P,2,0)),"-")</f>
        <v>BENJAMIN LIZARBE</v>
      </c>
      <c r="T133" s="27" t="str">
        <f>UPPER(VLOOKUP(Tabla1[[#This Row],[CODIGO]],DATOS!A:E,5,0))</f>
        <v>FLUJO CONTINUO</v>
      </c>
      <c r="U133" s="31">
        <f>(Tabla1[[#This Row],[CANTIDAD]])*(VLOOKUP(Tabla1[[#This Row],[CODIGO]],DATOS!A:D,4,0))</f>
        <v>230.31</v>
      </c>
      <c r="V133" s="31" t="str">
        <f>VLOOKUP(Tabla1[[#This Row],[CODIGO]],DATOS!A:C,3,0)</f>
        <v>ABARROTES BEBIBLES</v>
      </c>
      <c r="W133" s="31" t="s">
        <v>13322</v>
      </c>
      <c r="X133" s="28" t="s">
        <v>13086</v>
      </c>
      <c r="Y133" s="28" t="s">
        <v>13111</v>
      </c>
    </row>
    <row r="134" spans="1:25" ht="12" customHeight="1" x14ac:dyDescent="0.25">
      <c r="A134" s="46">
        <v>45680</v>
      </c>
      <c r="B134" s="2" t="s">
        <v>127</v>
      </c>
      <c r="C134" s="2">
        <v>7620855043</v>
      </c>
      <c r="D134" s="2">
        <v>445006</v>
      </c>
      <c r="E134" s="2" t="s">
        <v>2131</v>
      </c>
      <c r="F134" s="2">
        <v>6</v>
      </c>
      <c r="G134" s="2" t="s">
        <v>24</v>
      </c>
      <c r="H134" s="2" t="s">
        <v>17</v>
      </c>
      <c r="I134" s="75" t="s">
        <v>12940</v>
      </c>
      <c r="J134" s="9" t="s">
        <v>12982</v>
      </c>
      <c r="K134" s="10">
        <v>7620860988</v>
      </c>
      <c r="L134" s="10" t="s">
        <v>90</v>
      </c>
      <c r="M134" s="10" t="s">
        <v>15</v>
      </c>
      <c r="N134" s="10" t="s">
        <v>18</v>
      </c>
      <c r="O134" s="10" t="s">
        <v>13020</v>
      </c>
      <c r="P134" s="10" t="s">
        <v>28</v>
      </c>
      <c r="Q134" s="2" t="s">
        <v>29</v>
      </c>
      <c r="R134" s="27" t="str">
        <f>VLOOKUP(Tabla1[[#This Row],[DETALLE ]],DATOS!L:M,2,0)</f>
        <v>PICKING</v>
      </c>
      <c r="S134" s="41" t="str">
        <f>IFERROR(IFERROR(VLOOKUP(Tabla1[[#This Row],[USUARIO PICKING ERROR]],DATOS!H:J,3,0),VLOOKUP(Tabla1[[#This Row],[USUARIO FILTRO ERROR]],DATOS!O:P,2,0)),"-")</f>
        <v>BENJAMIN LIZARBE</v>
      </c>
      <c r="T134" s="27" t="str">
        <f>UPPER(VLOOKUP(Tabla1[[#This Row],[CODIGO]],DATOS!A:E,5,0))</f>
        <v>FLUJO CONTINUO</v>
      </c>
      <c r="U134" s="31">
        <f>(Tabla1[[#This Row],[CANTIDAD]])*(VLOOKUP(Tabla1[[#This Row],[CODIGO]],DATOS!A:D,4,0))</f>
        <v>194.52</v>
      </c>
      <c r="V134" s="31" t="str">
        <f>VLOOKUP(Tabla1[[#This Row],[CODIGO]],DATOS!A:C,3,0)</f>
        <v>ABARROTES BEBIBLES</v>
      </c>
      <c r="W134" s="31" t="s">
        <v>13322</v>
      </c>
      <c r="X134" s="28" t="s">
        <v>13086</v>
      </c>
      <c r="Y134" s="28" t="s">
        <v>13111</v>
      </c>
    </row>
    <row r="135" spans="1:25" ht="12" customHeight="1" x14ac:dyDescent="0.25">
      <c r="A135" s="46">
        <v>45680</v>
      </c>
      <c r="B135" s="2" t="s">
        <v>127</v>
      </c>
      <c r="C135" s="2">
        <v>7620855043</v>
      </c>
      <c r="D135" s="2">
        <v>449571</v>
      </c>
      <c r="E135" s="2" t="s">
        <v>2161</v>
      </c>
      <c r="F135" s="2">
        <v>6</v>
      </c>
      <c r="G135" s="2" t="s">
        <v>24</v>
      </c>
      <c r="H135" s="2" t="s">
        <v>17</v>
      </c>
      <c r="I135" s="75" t="s">
        <v>12940</v>
      </c>
      <c r="J135" s="9" t="s">
        <v>12982</v>
      </c>
      <c r="K135" s="10">
        <v>7620860988</v>
      </c>
      <c r="L135" s="10" t="s">
        <v>90</v>
      </c>
      <c r="M135" s="10" t="s">
        <v>15</v>
      </c>
      <c r="N135" s="10" t="s">
        <v>18</v>
      </c>
      <c r="O135" s="10" t="s">
        <v>13020</v>
      </c>
      <c r="P135" s="10" t="s">
        <v>28</v>
      </c>
      <c r="Q135" s="2" t="s">
        <v>29</v>
      </c>
      <c r="R135" s="27" t="str">
        <f>VLOOKUP(Tabla1[[#This Row],[DETALLE ]],DATOS!L:M,2,0)</f>
        <v>PICKING</v>
      </c>
      <c r="S135" s="41" t="str">
        <f>IFERROR(IFERROR(VLOOKUP(Tabla1[[#This Row],[USUARIO PICKING ERROR]],DATOS!H:J,3,0),VLOOKUP(Tabla1[[#This Row],[USUARIO FILTRO ERROR]],DATOS!O:P,2,0)),"-")</f>
        <v>BENJAMIN LIZARBE</v>
      </c>
      <c r="T135" s="27" t="str">
        <f>UPPER(VLOOKUP(Tabla1[[#This Row],[CODIGO]],DATOS!A:E,5,0))</f>
        <v>FLUJO CONTINUO</v>
      </c>
      <c r="U135" s="31">
        <f>(Tabla1[[#This Row],[CANTIDAD]])*(VLOOKUP(Tabla1[[#This Row],[CODIGO]],DATOS!A:D,4,0))</f>
        <v>107.76</v>
      </c>
      <c r="V135" s="31" t="str">
        <f>VLOOKUP(Tabla1[[#This Row],[CODIGO]],DATOS!A:C,3,0)</f>
        <v>ABARROTES BEBIBLES</v>
      </c>
      <c r="W135" s="31" t="s">
        <v>13322</v>
      </c>
      <c r="X135" s="28" t="s">
        <v>13086</v>
      </c>
      <c r="Y135" s="28" t="s">
        <v>13111</v>
      </c>
    </row>
    <row r="136" spans="1:25" ht="12" customHeight="1" x14ac:dyDescent="0.25">
      <c r="A136" s="46">
        <v>45680</v>
      </c>
      <c r="B136" s="2" t="s">
        <v>74</v>
      </c>
      <c r="C136" s="2">
        <v>7620858700</v>
      </c>
      <c r="D136" s="2">
        <v>533047006</v>
      </c>
      <c r="E136" s="2" t="s">
        <v>10208</v>
      </c>
      <c r="F136" s="2">
        <v>2</v>
      </c>
      <c r="G136" s="2" t="s">
        <v>12939</v>
      </c>
      <c r="H136" s="2" t="s">
        <v>17</v>
      </c>
      <c r="I136" s="75" t="s">
        <v>12940</v>
      </c>
      <c r="J136" s="9" t="s">
        <v>74</v>
      </c>
      <c r="K136" s="10">
        <v>7620858700</v>
      </c>
      <c r="L136" s="10" t="s">
        <v>87</v>
      </c>
      <c r="M136" s="10" t="s">
        <v>15</v>
      </c>
      <c r="N136" s="10" t="s">
        <v>18</v>
      </c>
      <c r="O136" s="10" t="s">
        <v>13095</v>
      </c>
      <c r="P136" s="10" t="s">
        <v>28</v>
      </c>
      <c r="Q136" s="2" t="s">
        <v>39</v>
      </c>
      <c r="R136" s="27" t="str">
        <f>VLOOKUP(Tabla1[[#This Row],[DETALLE ]],DATOS!L:M,2,0)</f>
        <v>PICKING</v>
      </c>
      <c r="S136" s="41" t="str">
        <f>IFERROR(IFERROR(VLOOKUP(Tabla1[[#This Row],[USUARIO PICKING ERROR]],DATOS!H:J,3,0),VLOOKUP(Tabla1[[#This Row],[USUARIO FILTRO ERROR]],DATOS!O:P,2,0)),"-")</f>
        <v>BENJAMIN LIZARBE</v>
      </c>
      <c r="T136" s="27" t="str">
        <f>UPPER(VLOOKUP(Tabla1[[#This Row],[CODIGO]],DATOS!A:E,5,0))</f>
        <v>ALMACENADO</v>
      </c>
      <c r="U136" s="31">
        <f>(Tabla1[[#This Row],[CANTIDAD]])*(VLOOKUP(Tabla1[[#This Row],[CODIGO]],DATOS!A:D,4,0))</f>
        <v>6.78</v>
      </c>
      <c r="V136" s="31" t="str">
        <f>VLOOKUP(Tabla1[[#This Row],[CODIGO]],DATOS!A:C,3,0)</f>
        <v>ABARROTES COMESTIBLES</v>
      </c>
      <c r="W136" s="31" t="s">
        <v>13322</v>
      </c>
      <c r="X136" s="28" t="s">
        <v>13086</v>
      </c>
      <c r="Y136" s="28" t="s">
        <v>13111</v>
      </c>
    </row>
    <row r="137" spans="1:25" ht="12" customHeight="1" x14ac:dyDescent="0.25">
      <c r="A137" s="46">
        <v>45681</v>
      </c>
      <c r="B137" s="2" t="s">
        <v>12973</v>
      </c>
      <c r="C137" s="2">
        <v>7620858900</v>
      </c>
      <c r="D137" s="2">
        <v>938730</v>
      </c>
      <c r="E137" s="2" t="s">
        <v>5736</v>
      </c>
      <c r="F137" s="2">
        <v>2</v>
      </c>
      <c r="G137" s="2" t="s">
        <v>12939</v>
      </c>
      <c r="H137" s="2" t="s">
        <v>17</v>
      </c>
      <c r="I137" s="75" t="s">
        <v>12940</v>
      </c>
      <c r="J137" s="9" t="s">
        <v>12973</v>
      </c>
      <c r="K137" s="10">
        <v>7620858900</v>
      </c>
      <c r="L137" s="10" t="s">
        <v>84</v>
      </c>
      <c r="M137" s="10" t="s">
        <v>13014</v>
      </c>
      <c r="N137" s="10" t="s">
        <v>12957</v>
      </c>
      <c r="O137" s="10" t="s">
        <v>13100</v>
      </c>
      <c r="P137" s="10" t="s">
        <v>28</v>
      </c>
      <c r="Q137" s="2" t="s">
        <v>39</v>
      </c>
      <c r="R137" s="27" t="str">
        <f>VLOOKUP(Tabla1[[#This Row],[DETALLE ]],DATOS!L:M,2,0)</f>
        <v>FILTRO</v>
      </c>
      <c r="S137" s="41" t="str">
        <f>IFERROR(IFERROR(VLOOKUP(Tabla1[[#This Row],[USUARIO PICKING ERROR]],DATOS!H:J,3,0),VLOOKUP(Tabla1[[#This Row],[USUARIO FILTRO ERROR]],DATOS!O:P,2,0)),"-")</f>
        <v>DAVID PIÑAN</v>
      </c>
      <c r="T137" s="27" t="str">
        <f>UPPER(VLOOKUP(Tabla1[[#This Row],[CODIGO]],DATOS!A:E,5,0))</f>
        <v>FLUJO CONTINUO</v>
      </c>
      <c r="U137" s="31">
        <f>(Tabla1[[#This Row],[CANTIDAD]])*(VLOOKUP(Tabla1[[#This Row],[CODIGO]],DATOS!A:D,4,0))</f>
        <v>307.58</v>
      </c>
      <c r="V137" s="31" t="str">
        <f>VLOOKUP(Tabla1[[#This Row],[CODIGO]],DATOS!A:C,3,0)</f>
        <v>ABARROTES BEBIBLES</v>
      </c>
      <c r="W137" s="31" t="s">
        <v>13322</v>
      </c>
      <c r="X137" s="28" t="s">
        <v>13086</v>
      </c>
      <c r="Y137" s="28" t="s">
        <v>13111</v>
      </c>
    </row>
    <row r="138" spans="1:25" ht="12" customHeight="1" x14ac:dyDescent="0.25">
      <c r="A138" s="46">
        <v>45681</v>
      </c>
      <c r="B138" s="2" t="s">
        <v>12973</v>
      </c>
      <c r="C138" s="2">
        <v>7620858900</v>
      </c>
      <c r="D138" s="2">
        <v>1019409</v>
      </c>
      <c r="E138" s="2" t="s">
        <v>10614</v>
      </c>
      <c r="F138" s="2">
        <v>2</v>
      </c>
      <c r="G138" s="2" t="s">
        <v>12939</v>
      </c>
      <c r="H138" s="2" t="s">
        <v>17</v>
      </c>
      <c r="I138" s="75" t="s">
        <v>12940</v>
      </c>
      <c r="J138" s="9" t="s">
        <v>12986</v>
      </c>
      <c r="K138" s="10">
        <v>7620861698</v>
      </c>
      <c r="L138" s="10" t="s">
        <v>82</v>
      </c>
      <c r="M138" s="10" t="s">
        <v>15</v>
      </c>
      <c r="N138" s="10" t="s">
        <v>18</v>
      </c>
      <c r="O138" s="10" t="s">
        <v>13020</v>
      </c>
      <c r="P138" s="10" t="s">
        <v>28</v>
      </c>
      <c r="Q138" s="2" t="s">
        <v>29</v>
      </c>
      <c r="R138" s="27" t="str">
        <f>VLOOKUP(Tabla1[[#This Row],[DETALLE ]],DATOS!L:M,2,0)</f>
        <v>PICKING</v>
      </c>
      <c r="S138" s="41" t="str">
        <f>IFERROR(IFERROR(VLOOKUP(Tabla1[[#This Row],[USUARIO PICKING ERROR]],DATOS!H:J,3,0),VLOOKUP(Tabla1[[#This Row],[USUARIO FILTRO ERROR]],DATOS!O:P,2,0)),"-")</f>
        <v>BENJAMIN LIZARBE</v>
      </c>
      <c r="T138" s="27" t="str">
        <f>UPPER(VLOOKUP(Tabla1[[#This Row],[CODIGO]],DATOS!A:E,5,0))</f>
        <v>FLUJO CONTINUO</v>
      </c>
      <c r="U138" s="31">
        <f>(Tabla1[[#This Row],[CANTIDAD]])*(VLOOKUP(Tabla1[[#This Row],[CODIGO]],DATOS!A:D,4,0))</f>
        <v>77.84</v>
      </c>
      <c r="V138" s="31" t="str">
        <f>VLOOKUP(Tabla1[[#This Row],[CODIGO]],DATOS!A:C,3,0)</f>
        <v>ABARROTES BEBIBLES</v>
      </c>
      <c r="W138" s="31" t="s">
        <v>13322</v>
      </c>
      <c r="X138" s="28" t="s">
        <v>13086</v>
      </c>
      <c r="Y138" s="28" t="s">
        <v>13111</v>
      </c>
    </row>
    <row r="139" spans="1:25" ht="12" customHeight="1" x14ac:dyDescent="0.25">
      <c r="A139" s="46">
        <v>45681</v>
      </c>
      <c r="B139" s="2" t="s">
        <v>12973</v>
      </c>
      <c r="C139" s="2">
        <v>7620858900</v>
      </c>
      <c r="D139" s="2">
        <v>3774001</v>
      </c>
      <c r="E139" s="2" t="s">
        <v>8951</v>
      </c>
      <c r="F139" s="2">
        <v>1</v>
      </c>
      <c r="G139" s="2" t="s">
        <v>12939</v>
      </c>
      <c r="H139" s="2" t="s">
        <v>17</v>
      </c>
      <c r="I139" s="75" t="s">
        <v>12940</v>
      </c>
      <c r="J139" s="9" t="s">
        <v>12973</v>
      </c>
      <c r="K139" s="10">
        <v>7620858900</v>
      </c>
      <c r="L139" s="10" t="s">
        <v>57</v>
      </c>
      <c r="M139" s="10" t="s">
        <v>13014</v>
      </c>
      <c r="N139" s="10" t="s">
        <v>12957</v>
      </c>
      <c r="O139" s="10" t="s">
        <v>13100</v>
      </c>
      <c r="P139" s="10" t="s">
        <v>28</v>
      </c>
      <c r="Q139" s="2" t="s">
        <v>39</v>
      </c>
      <c r="R139" s="27" t="str">
        <f>VLOOKUP(Tabla1[[#This Row],[DETALLE ]],DATOS!L:M,2,0)</f>
        <v>FILTRO</v>
      </c>
      <c r="S139" s="41" t="str">
        <f>IFERROR(IFERROR(VLOOKUP(Tabla1[[#This Row],[USUARIO PICKING ERROR]],DATOS!H:J,3,0),VLOOKUP(Tabla1[[#This Row],[USUARIO FILTRO ERROR]],DATOS!O:P,2,0)),"-")</f>
        <v>DAVID PIÑAN</v>
      </c>
      <c r="T139" s="27" t="str">
        <f>UPPER(VLOOKUP(Tabla1[[#This Row],[CODIGO]],DATOS!A:E,5,0))</f>
        <v>FLUJO CONTINUO</v>
      </c>
      <c r="U139" s="31">
        <f>(Tabla1[[#This Row],[CANTIDAD]])*(VLOOKUP(Tabla1[[#This Row],[CODIGO]],DATOS!A:D,4,0))</f>
        <v>12.9</v>
      </c>
      <c r="V139" s="31" t="str">
        <f>VLOOKUP(Tabla1[[#This Row],[CODIGO]],DATOS!A:C,3,0)</f>
        <v>ABARROTES BEBIBLES</v>
      </c>
      <c r="W139" s="31" t="s">
        <v>13322</v>
      </c>
      <c r="X139" s="28" t="s">
        <v>13086</v>
      </c>
      <c r="Y139" s="28" t="s">
        <v>13111</v>
      </c>
    </row>
    <row r="140" spans="1:25" ht="12" customHeight="1" x14ac:dyDescent="0.25">
      <c r="A140" s="46">
        <v>45681</v>
      </c>
      <c r="B140" s="2" t="s">
        <v>50</v>
      </c>
      <c r="C140" s="2">
        <v>7620854740</v>
      </c>
      <c r="D140" s="2">
        <v>986766</v>
      </c>
      <c r="E140" s="2" t="s">
        <v>7651</v>
      </c>
      <c r="F140" s="2">
        <v>6</v>
      </c>
      <c r="G140" s="2" t="s">
        <v>15</v>
      </c>
      <c r="H140" s="2" t="s">
        <v>17</v>
      </c>
      <c r="I140" s="75" t="s">
        <v>15</v>
      </c>
      <c r="J140" s="9" t="s">
        <v>106</v>
      </c>
      <c r="K140" s="10">
        <v>7620863067</v>
      </c>
      <c r="L140" s="10" t="s">
        <v>90</v>
      </c>
      <c r="M140" s="10" t="s">
        <v>15</v>
      </c>
      <c r="N140" s="10" t="s">
        <v>18</v>
      </c>
      <c r="O140" s="10" t="s">
        <v>13020</v>
      </c>
      <c r="P140" s="10" t="s">
        <v>28</v>
      </c>
      <c r="Q140" s="2" t="s">
        <v>29</v>
      </c>
      <c r="R140" s="27" t="str">
        <f>VLOOKUP(Tabla1[[#This Row],[DETALLE ]],DATOS!L:M,2,0)</f>
        <v>PICKING</v>
      </c>
      <c r="S140" s="41" t="str">
        <f>IFERROR(IFERROR(VLOOKUP(Tabla1[[#This Row],[USUARIO PICKING ERROR]],DATOS!H:J,3,0),VLOOKUP(Tabla1[[#This Row],[USUARIO FILTRO ERROR]],DATOS!O:P,2,0)),"-")</f>
        <v>BENJAMIN LIZARBE</v>
      </c>
      <c r="T140" s="27" t="str">
        <f>UPPER(VLOOKUP(Tabla1[[#This Row],[CODIGO]],DATOS!A:E,5,0))</f>
        <v>FLUJO CONTINUO</v>
      </c>
      <c r="U140" s="31">
        <f>(Tabla1[[#This Row],[CANTIDAD]])*(VLOOKUP(Tabla1[[#This Row],[CODIGO]],DATOS!A:D,4,0))</f>
        <v>107.76</v>
      </c>
      <c r="V140" s="31" t="str">
        <f>VLOOKUP(Tabla1[[#This Row],[CODIGO]],DATOS!A:C,3,0)</f>
        <v>ABARROTES BEBIBLES</v>
      </c>
      <c r="W140" s="31" t="s">
        <v>13322</v>
      </c>
      <c r="X140" s="28" t="s">
        <v>13086</v>
      </c>
      <c r="Y140" s="28" t="s">
        <v>13111</v>
      </c>
    </row>
    <row r="141" spans="1:25" ht="12" customHeight="1" x14ac:dyDescent="0.25">
      <c r="A141" s="46">
        <v>45681</v>
      </c>
      <c r="B141" s="2" t="s">
        <v>50</v>
      </c>
      <c r="C141" s="2">
        <v>7620854740</v>
      </c>
      <c r="D141" s="2">
        <v>1009404</v>
      </c>
      <c r="E141" s="2" t="s">
        <v>8637</v>
      </c>
      <c r="F141" s="2">
        <v>6</v>
      </c>
      <c r="G141" s="2" t="s">
        <v>15</v>
      </c>
      <c r="H141" s="2" t="s">
        <v>17</v>
      </c>
      <c r="I141" s="75" t="s">
        <v>15</v>
      </c>
      <c r="J141" s="9" t="s">
        <v>13006</v>
      </c>
      <c r="K141" s="10">
        <v>7620861938</v>
      </c>
      <c r="L141" s="10" t="s">
        <v>98</v>
      </c>
      <c r="M141" s="10" t="s">
        <v>15</v>
      </c>
      <c r="N141" s="10" t="s">
        <v>18</v>
      </c>
      <c r="O141" s="10" t="s">
        <v>13020</v>
      </c>
      <c r="P141" s="10" t="s">
        <v>28</v>
      </c>
      <c r="Q141" s="2" t="s">
        <v>29</v>
      </c>
      <c r="R141" s="27" t="str">
        <f>VLOOKUP(Tabla1[[#This Row],[DETALLE ]],DATOS!L:M,2,0)</f>
        <v>PICKING</v>
      </c>
      <c r="S141" s="41" t="str">
        <f>IFERROR(IFERROR(VLOOKUP(Tabla1[[#This Row],[USUARIO PICKING ERROR]],DATOS!H:J,3,0),VLOOKUP(Tabla1[[#This Row],[USUARIO FILTRO ERROR]],DATOS!O:P,2,0)),"-")</f>
        <v>BENJAMIN LIZARBE</v>
      </c>
      <c r="T141" s="27" t="str">
        <f>UPPER(VLOOKUP(Tabla1[[#This Row],[CODIGO]],DATOS!A:E,5,0))</f>
        <v>FLUJO CONTINUO</v>
      </c>
      <c r="U141" s="31">
        <f>(Tabla1[[#This Row],[CANTIDAD]])*(VLOOKUP(Tabla1[[#This Row],[CODIGO]],DATOS!A:D,4,0))</f>
        <v>110.46000000000001</v>
      </c>
      <c r="V141" s="31" t="str">
        <f>VLOOKUP(Tabla1[[#This Row],[CODIGO]],DATOS!A:C,3,0)</f>
        <v>ABARROTES BEBIBLES</v>
      </c>
      <c r="W141" s="31" t="s">
        <v>13322</v>
      </c>
      <c r="X141" s="28" t="s">
        <v>13086</v>
      </c>
      <c r="Y141" s="28" t="s">
        <v>13111</v>
      </c>
    </row>
    <row r="142" spans="1:25" ht="12" customHeight="1" x14ac:dyDescent="0.25">
      <c r="A142" s="46">
        <v>45681</v>
      </c>
      <c r="B142" s="2" t="s">
        <v>50</v>
      </c>
      <c r="C142" s="2">
        <v>7620854740</v>
      </c>
      <c r="D142" s="2">
        <v>258454</v>
      </c>
      <c r="E142" s="2" t="s">
        <v>1486</v>
      </c>
      <c r="F142" s="2">
        <v>6</v>
      </c>
      <c r="G142" s="2" t="s">
        <v>15</v>
      </c>
      <c r="H142" s="2" t="s">
        <v>25</v>
      </c>
      <c r="I142" s="75" t="s">
        <v>15</v>
      </c>
      <c r="J142" s="9" t="s">
        <v>106</v>
      </c>
      <c r="K142" s="10">
        <v>7620863067</v>
      </c>
      <c r="L142" s="10" t="s">
        <v>90</v>
      </c>
      <c r="M142" s="10" t="s">
        <v>15</v>
      </c>
      <c r="N142" s="10" t="s">
        <v>18</v>
      </c>
      <c r="O142" s="10" t="s">
        <v>13093</v>
      </c>
      <c r="P142" s="10" t="s">
        <v>28</v>
      </c>
      <c r="Q142" s="2" t="s">
        <v>29</v>
      </c>
      <c r="R142" s="27" t="str">
        <f>VLOOKUP(Tabla1[[#This Row],[DETALLE ]],DATOS!L:M,2,0)</f>
        <v>PICKING</v>
      </c>
      <c r="S142" s="41" t="str">
        <f>IFERROR(IFERROR(VLOOKUP(Tabla1[[#This Row],[USUARIO PICKING ERROR]],DATOS!H:J,3,0),VLOOKUP(Tabla1[[#This Row],[USUARIO FILTRO ERROR]],DATOS!O:P,2,0)),"-")</f>
        <v>BENJAMIN LIZARBE</v>
      </c>
      <c r="T142" s="27" t="str">
        <f>UPPER(VLOOKUP(Tabla1[[#This Row],[CODIGO]],DATOS!A:E,5,0))</f>
        <v>FLUJO CONTINUO</v>
      </c>
      <c r="U142" s="31">
        <f>(Tabla1[[#This Row],[CANTIDAD]])*(VLOOKUP(Tabla1[[#This Row],[CODIGO]],DATOS!A:D,4,0))</f>
        <v>107.76</v>
      </c>
      <c r="V142" s="31" t="str">
        <f>VLOOKUP(Tabla1[[#This Row],[CODIGO]],DATOS!A:C,3,0)</f>
        <v>ABARROTES BEBIBLES</v>
      </c>
      <c r="W142" s="31" t="s">
        <v>13322</v>
      </c>
      <c r="X142" s="28" t="s">
        <v>13086</v>
      </c>
      <c r="Y142" s="28" t="s">
        <v>13111</v>
      </c>
    </row>
    <row r="143" spans="1:25" ht="12" customHeight="1" x14ac:dyDescent="0.25">
      <c r="A143" s="46">
        <v>45681</v>
      </c>
      <c r="B143" s="2" t="s">
        <v>12986</v>
      </c>
      <c r="C143" s="2">
        <v>7620861698</v>
      </c>
      <c r="D143" s="2">
        <v>1019409</v>
      </c>
      <c r="E143" s="2" t="s">
        <v>10614</v>
      </c>
      <c r="F143" s="2">
        <v>3</v>
      </c>
      <c r="G143" s="2" t="s">
        <v>12992</v>
      </c>
      <c r="H143" s="2" t="s">
        <v>25</v>
      </c>
      <c r="I143" s="75" t="s">
        <v>12940</v>
      </c>
      <c r="J143" s="9" t="s">
        <v>12973</v>
      </c>
      <c r="K143" s="10">
        <v>7620858900</v>
      </c>
      <c r="L143" s="10" t="s">
        <v>82</v>
      </c>
      <c r="M143" s="10" t="s">
        <v>15</v>
      </c>
      <c r="N143" s="10" t="s">
        <v>18</v>
      </c>
      <c r="O143" s="10" t="s">
        <v>13093</v>
      </c>
      <c r="P143" s="10" t="s">
        <v>28</v>
      </c>
      <c r="Q143" s="2" t="s">
        <v>29</v>
      </c>
      <c r="R143" s="27" t="str">
        <f>VLOOKUP(Tabla1[[#This Row],[DETALLE ]],DATOS!L:M,2,0)</f>
        <v>PICKING</v>
      </c>
      <c r="S143" s="41" t="str">
        <f>IFERROR(IFERROR(VLOOKUP(Tabla1[[#This Row],[USUARIO PICKING ERROR]],DATOS!H:J,3,0),VLOOKUP(Tabla1[[#This Row],[USUARIO FILTRO ERROR]],DATOS!O:P,2,0)),"-")</f>
        <v>BENJAMIN LIZARBE</v>
      </c>
      <c r="T143" s="27" t="str">
        <f>UPPER(VLOOKUP(Tabla1[[#This Row],[CODIGO]],DATOS!A:E,5,0))</f>
        <v>FLUJO CONTINUO</v>
      </c>
      <c r="U143" s="31">
        <f>(Tabla1[[#This Row],[CANTIDAD]])*(VLOOKUP(Tabla1[[#This Row],[CODIGO]],DATOS!A:D,4,0))</f>
        <v>116.76</v>
      </c>
      <c r="V143" s="31" t="str">
        <f>VLOOKUP(Tabla1[[#This Row],[CODIGO]],DATOS!A:C,3,0)</f>
        <v>ABARROTES BEBIBLES</v>
      </c>
      <c r="W143" s="31" t="s">
        <v>13322</v>
      </c>
      <c r="X143" s="28" t="s">
        <v>13086</v>
      </c>
      <c r="Y143" s="28" t="s">
        <v>13111</v>
      </c>
    </row>
    <row r="144" spans="1:25" ht="12" customHeight="1" x14ac:dyDescent="0.25">
      <c r="A144" s="46">
        <v>45681</v>
      </c>
      <c r="B144" s="2" t="s">
        <v>15</v>
      </c>
      <c r="C144" s="2" t="s">
        <v>15</v>
      </c>
      <c r="D144" s="2">
        <v>976958</v>
      </c>
      <c r="E144" s="2" t="s">
        <v>7279</v>
      </c>
      <c r="F144" s="2">
        <v>6</v>
      </c>
      <c r="G144" s="2" t="s">
        <v>12990</v>
      </c>
      <c r="H144" s="2" t="s">
        <v>25</v>
      </c>
      <c r="I144" s="75" t="s">
        <v>15</v>
      </c>
      <c r="J144" s="9" t="s">
        <v>65</v>
      </c>
      <c r="K144" s="10" t="s">
        <v>13010</v>
      </c>
      <c r="L144" s="10" t="s">
        <v>12890</v>
      </c>
      <c r="M144" s="10" t="s">
        <v>15</v>
      </c>
      <c r="N144" s="10" t="s">
        <v>18</v>
      </c>
      <c r="O144" s="10" t="s">
        <v>13093</v>
      </c>
      <c r="P144" s="10" t="s">
        <v>28</v>
      </c>
      <c r="Q144" s="2" t="s">
        <v>39</v>
      </c>
      <c r="R144" s="27" t="str">
        <f>VLOOKUP(Tabla1[[#This Row],[DETALLE ]],DATOS!L:M,2,0)</f>
        <v>PICKING</v>
      </c>
      <c r="S144" s="41" t="str">
        <f>IFERROR(IFERROR(VLOOKUP(Tabla1[[#This Row],[USUARIO PICKING ERROR]],DATOS!H:J,3,0),VLOOKUP(Tabla1[[#This Row],[USUARIO FILTRO ERROR]],DATOS!O:P,2,0)),"-")</f>
        <v>DAVID PIÑAN</v>
      </c>
      <c r="T144" s="27" t="str">
        <f>UPPER(VLOOKUP(Tabla1[[#This Row],[CODIGO]],DATOS!A:E,5,0))</f>
        <v>FLUJO CONTINUO</v>
      </c>
      <c r="U144" s="31">
        <f>(Tabla1[[#This Row],[CANTIDAD]])*(VLOOKUP(Tabla1[[#This Row],[CODIGO]],DATOS!A:D,4,0))</f>
        <v>213.18</v>
      </c>
      <c r="V144" s="31" t="str">
        <f>VLOOKUP(Tabla1[[#This Row],[CODIGO]],DATOS!A:C,3,0)</f>
        <v>ABARROTES NO COMESTIBLES</v>
      </c>
      <c r="W144" s="31" t="s">
        <v>13322</v>
      </c>
      <c r="X144" s="28" t="s">
        <v>13086</v>
      </c>
      <c r="Y144" s="28" t="s">
        <v>13111</v>
      </c>
    </row>
    <row r="145" spans="1:25" ht="12" customHeight="1" x14ac:dyDescent="0.25">
      <c r="A145" s="46">
        <v>45681</v>
      </c>
      <c r="B145" s="2" t="s">
        <v>12972</v>
      </c>
      <c r="C145" s="2">
        <v>7620861816</v>
      </c>
      <c r="D145" s="2">
        <v>504475</v>
      </c>
      <c r="E145" s="2" t="s">
        <v>2485</v>
      </c>
      <c r="F145" s="2">
        <v>2</v>
      </c>
      <c r="G145" s="2" t="s">
        <v>12990</v>
      </c>
      <c r="H145" s="2" t="s">
        <v>17</v>
      </c>
      <c r="I145" s="75" t="s">
        <v>15</v>
      </c>
      <c r="J145" s="9" t="s">
        <v>12988</v>
      </c>
      <c r="K145" s="10">
        <v>7620848555</v>
      </c>
      <c r="L145" s="10" t="s">
        <v>57</v>
      </c>
      <c r="M145" s="10" t="s">
        <v>15</v>
      </c>
      <c r="N145" s="10" t="s">
        <v>18</v>
      </c>
      <c r="O145" s="10" t="s">
        <v>13020</v>
      </c>
      <c r="P145" s="10" t="s">
        <v>28</v>
      </c>
      <c r="Q145" s="2" t="s">
        <v>39</v>
      </c>
      <c r="R145" s="27" t="str">
        <f>VLOOKUP(Tabla1[[#This Row],[DETALLE ]],DATOS!L:M,2,0)</f>
        <v>PICKING</v>
      </c>
      <c r="S145" s="41" t="str">
        <f>IFERROR(IFERROR(VLOOKUP(Tabla1[[#This Row],[USUARIO PICKING ERROR]],DATOS!H:J,3,0),VLOOKUP(Tabla1[[#This Row],[USUARIO FILTRO ERROR]],DATOS!O:P,2,0)),"-")</f>
        <v>DAVID PIÑAN</v>
      </c>
      <c r="T145" s="27" t="str">
        <f>UPPER(VLOOKUP(Tabla1[[#This Row],[CODIGO]],DATOS!A:E,5,0))</f>
        <v>FLUJO CONTINUO</v>
      </c>
      <c r="U145" s="31">
        <f>(Tabla1[[#This Row],[CANTIDAD]])*(VLOOKUP(Tabla1[[#This Row],[CODIGO]],DATOS!A:D,4,0))</f>
        <v>38.78</v>
      </c>
      <c r="V145" s="31" t="str">
        <f>VLOOKUP(Tabla1[[#This Row],[CODIGO]],DATOS!A:C,3,0)</f>
        <v>ABARROTES BEBIBLES</v>
      </c>
      <c r="W145" s="31" t="s">
        <v>13322</v>
      </c>
      <c r="X145" s="28" t="s">
        <v>13086</v>
      </c>
      <c r="Y145" s="28" t="s">
        <v>13111</v>
      </c>
    </row>
    <row r="146" spans="1:25" ht="12" customHeight="1" x14ac:dyDescent="0.25">
      <c r="A146" s="46">
        <v>45681</v>
      </c>
      <c r="B146" s="2" t="s">
        <v>102</v>
      </c>
      <c r="C146" s="2">
        <v>7620858331</v>
      </c>
      <c r="D146" s="2">
        <v>544683</v>
      </c>
      <c r="E146" s="2" t="s">
        <v>2787</v>
      </c>
      <c r="F146" s="2">
        <v>12</v>
      </c>
      <c r="G146" s="2" t="s">
        <v>12990</v>
      </c>
      <c r="H146" s="2" t="s">
        <v>17</v>
      </c>
      <c r="I146" s="75" t="s">
        <v>15</v>
      </c>
      <c r="J146" s="9" t="s">
        <v>111</v>
      </c>
      <c r="K146" s="10">
        <v>7620863041</v>
      </c>
      <c r="L146" s="10" t="s">
        <v>98</v>
      </c>
      <c r="M146" s="10" t="s">
        <v>15</v>
      </c>
      <c r="N146" s="10" t="s">
        <v>18</v>
      </c>
      <c r="O146" s="10" t="s">
        <v>13020</v>
      </c>
      <c r="P146" s="10" t="s">
        <v>28</v>
      </c>
      <c r="Q146" s="2" t="s">
        <v>29</v>
      </c>
      <c r="R146" s="27" t="str">
        <f>VLOOKUP(Tabla1[[#This Row],[DETALLE ]],DATOS!L:M,2,0)</f>
        <v>PICKING</v>
      </c>
      <c r="S146" s="41" t="str">
        <f>IFERROR(IFERROR(VLOOKUP(Tabla1[[#This Row],[USUARIO PICKING ERROR]],DATOS!H:J,3,0),VLOOKUP(Tabla1[[#This Row],[USUARIO FILTRO ERROR]],DATOS!O:P,2,0)),"-")</f>
        <v>BENJAMIN LIZARBE</v>
      </c>
      <c r="T146" s="27" t="str">
        <f>UPPER(VLOOKUP(Tabla1[[#This Row],[CODIGO]],DATOS!A:E,5,0))</f>
        <v>FLUJO CONTINUO</v>
      </c>
      <c r="U146" s="31">
        <f>(Tabla1[[#This Row],[CANTIDAD]])*(VLOOKUP(Tabla1[[#This Row],[CODIGO]],DATOS!A:D,4,0))</f>
        <v>164.28</v>
      </c>
      <c r="V146" s="31" t="str">
        <f>VLOOKUP(Tabla1[[#This Row],[CODIGO]],DATOS!A:C,3,0)</f>
        <v>ABARROTES BEBIBLES</v>
      </c>
      <c r="W146" s="31" t="s">
        <v>13322</v>
      </c>
      <c r="X146" s="28" t="s">
        <v>13086</v>
      </c>
      <c r="Y146" s="28" t="s">
        <v>13111</v>
      </c>
    </row>
    <row r="147" spans="1:25" ht="12" customHeight="1" x14ac:dyDescent="0.25">
      <c r="A147" s="46">
        <v>45681</v>
      </c>
      <c r="B147" s="2" t="s">
        <v>12987</v>
      </c>
      <c r="C147" s="2">
        <v>7620863026</v>
      </c>
      <c r="D147" s="2">
        <v>983945</v>
      </c>
      <c r="E147" s="2" t="s">
        <v>7503</v>
      </c>
      <c r="F147" s="2">
        <v>6</v>
      </c>
      <c r="G147" s="2" t="s">
        <v>12990</v>
      </c>
      <c r="H147" s="2" t="s">
        <v>17</v>
      </c>
      <c r="I147" s="75" t="s">
        <v>15</v>
      </c>
      <c r="J147" s="9" t="s">
        <v>15</v>
      </c>
      <c r="K147" s="10" t="s">
        <v>15</v>
      </c>
      <c r="L147" s="10" t="s">
        <v>38</v>
      </c>
      <c r="M147" s="10" t="s">
        <v>15</v>
      </c>
      <c r="N147" s="10" t="s">
        <v>18</v>
      </c>
      <c r="O147" s="10" t="s">
        <v>13020</v>
      </c>
      <c r="P147" s="10" t="s">
        <v>28</v>
      </c>
      <c r="Q147" s="2" t="s">
        <v>39</v>
      </c>
      <c r="R147" s="27" t="str">
        <f>VLOOKUP(Tabla1[[#This Row],[DETALLE ]],DATOS!L:M,2,0)</f>
        <v>PICKING</v>
      </c>
      <c r="S147" s="41" t="str">
        <f>IFERROR(IFERROR(VLOOKUP(Tabla1[[#This Row],[USUARIO PICKING ERROR]],DATOS!H:J,3,0),VLOOKUP(Tabla1[[#This Row],[USUARIO FILTRO ERROR]],DATOS!O:P,2,0)),"-")</f>
        <v>DAVID PIÑAN</v>
      </c>
      <c r="T147" s="27" t="str">
        <f>UPPER(VLOOKUP(Tabla1[[#This Row],[CODIGO]],DATOS!A:E,5,0))</f>
        <v>FLUJO CONTINUO</v>
      </c>
      <c r="U147" s="31">
        <f>(Tabla1[[#This Row],[CANTIDAD]])*(VLOOKUP(Tabla1[[#This Row],[CODIGO]],DATOS!A:D,4,0))</f>
        <v>366.78000000000003</v>
      </c>
      <c r="V147" s="31" t="str">
        <f>VLOOKUP(Tabla1[[#This Row],[CODIGO]],DATOS!A:C,3,0)</f>
        <v>ABARROTES BEBIBLES</v>
      </c>
      <c r="W147" s="31" t="s">
        <v>13322</v>
      </c>
      <c r="X147" s="28" t="s">
        <v>13086</v>
      </c>
      <c r="Y147" s="28" t="s">
        <v>13111</v>
      </c>
    </row>
    <row r="148" spans="1:25" ht="12" customHeight="1" x14ac:dyDescent="0.25">
      <c r="A148" s="46">
        <v>45681</v>
      </c>
      <c r="B148" s="2" t="s">
        <v>12988</v>
      </c>
      <c r="C148" s="2">
        <v>7620848555</v>
      </c>
      <c r="D148" s="2">
        <v>504475</v>
      </c>
      <c r="E148" s="2" t="s">
        <v>2485</v>
      </c>
      <c r="F148" s="2">
        <v>2</v>
      </c>
      <c r="G148" s="2" t="s">
        <v>12992</v>
      </c>
      <c r="H148" s="2" t="s">
        <v>25</v>
      </c>
      <c r="I148" s="75" t="s">
        <v>12940</v>
      </c>
      <c r="J148" s="9" t="s">
        <v>12972</v>
      </c>
      <c r="K148" s="10">
        <v>7620861816</v>
      </c>
      <c r="L148" s="10" t="s">
        <v>57</v>
      </c>
      <c r="M148" s="10" t="s">
        <v>15</v>
      </c>
      <c r="N148" s="10" t="s">
        <v>18</v>
      </c>
      <c r="O148" s="10" t="s">
        <v>13093</v>
      </c>
      <c r="P148" s="10" t="s">
        <v>28</v>
      </c>
      <c r="Q148" s="2" t="s">
        <v>39</v>
      </c>
      <c r="R148" s="27" t="str">
        <f>VLOOKUP(Tabla1[[#This Row],[DETALLE ]],DATOS!L:M,2,0)</f>
        <v>PICKING</v>
      </c>
      <c r="S148" s="41" t="str">
        <f>IFERROR(IFERROR(VLOOKUP(Tabla1[[#This Row],[USUARIO PICKING ERROR]],DATOS!H:J,3,0),VLOOKUP(Tabla1[[#This Row],[USUARIO FILTRO ERROR]],DATOS!O:P,2,0)),"-")</f>
        <v>DAVID PIÑAN</v>
      </c>
      <c r="T148" s="27" t="str">
        <f>UPPER(VLOOKUP(Tabla1[[#This Row],[CODIGO]],DATOS!A:E,5,0))</f>
        <v>FLUJO CONTINUO</v>
      </c>
      <c r="U148" s="31">
        <f>(Tabla1[[#This Row],[CANTIDAD]])*(VLOOKUP(Tabla1[[#This Row],[CODIGO]],DATOS!A:D,4,0))</f>
        <v>38.78</v>
      </c>
      <c r="V148" s="31" t="str">
        <f>VLOOKUP(Tabla1[[#This Row],[CODIGO]],DATOS!A:C,3,0)</f>
        <v>ABARROTES BEBIBLES</v>
      </c>
      <c r="W148" s="31" t="s">
        <v>13322</v>
      </c>
      <c r="X148" s="28" t="s">
        <v>13086</v>
      </c>
      <c r="Y148" s="28" t="s">
        <v>13111</v>
      </c>
    </row>
    <row r="149" spans="1:25" ht="12" customHeight="1" x14ac:dyDescent="0.25">
      <c r="A149" s="46">
        <v>45682</v>
      </c>
      <c r="B149" s="2" t="s">
        <v>118</v>
      </c>
      <c r="C149" s="2">
        <v>7620862636</v>
      </c>
      <c r="D149" s="2">
        <v>107670</v>
      </c>
      <c r="E149" s="2" t="s">
        <v>1051</v>
      </c>
      <c r="F149" s="2">
        <v>12</v>
      </c>
      <c r="G149" s="2" t="s">
        <v>15</v>
      </c>
      <c r="H149" s="2" t="s">
        <v>17</v>
      </c>
      <c r="I149" s="75" t="s">
        <v>15</v>
      </c>
      <c r="J149" s="9" t="s">
        <v>65</v>
      </c>
      <c r="K149" s="10">
        <v>7620861598</v>
      </c>
      <c r="L149" s="10" t="s">
        <v>98</v>
      </c>
      <c r="M149" s="10" t="s">
        <v>15</v>
      </c>
      <c r="N149" s="10" t="s">
        <v>18</v>
      </c>
      <c r="O149" s="10" t="s">
        <v>13020</v>
      </c>
      <c r="P149" s="10" t="s">
        <v>28</v>
      </c>
      <c r="Q149" s="2" t="s">
        <v>29</v>
      </c>
      <c r="R149" s="27" t="str">
        <f>VLOOKUP(Tabla1[[#This Row],[DETALLE ]],DATOS!L:M,2,0)</f>
        <v>PICKING</v>
      </c>
      <c r="S149" s="41" t="str">
        <f>IFERROR(IFERROR(VLOOKUP(Tabla1[[#This Row],[USUARIO PICKING ERROR]],DATOS!H:J,3,0),VLOOKUP(Tabla1[[#This Row],[USUARIO FILTRO ERROR]],DATOS!O:P,2,0)),"-")</f>
        <v>BENJAMIN LIZARBE</v>
      </c>
      <c r="T149" s="27" t="str">
        <f>UPPER(VLOOKUP(Tabla1[[#This Row],[CODIGO]],DATOS!A:E,5,0))</f>
        <v>FLUJO CONTINUO</v>
      </c>
      <c r="U149" s="31">
        <f>(Tabla1[[#This Row],[CANTIDAD]])*(VLOOKUP(Tabla1[[#This Row],[CODIGO]],DATOS!A:D,4,0))</f>
        <v>129.96</v>
      </c>
      <c r="V149" s="31" t="str">
        <f>VLOOKUP(Tabla1[[#This Row],[CODIGO]],DATOS!A:C,3,0)</f>
        <v>ABARROTES BEBIBLES</v>
      </c>
      <c r="W149" s="31" t="s">
        <v>13322</v>
      </c>
      <c r="X149" s="28" t="s">
        <v>13086</v>
      </c>
      <c r="Y149" s="28" t="s">
        <v>13111</v>
      </c>
    </row>
    <row r="150" spans="1:25" ht="12" customHeight="1" x14ac:dyDescent="0.25">
      <c r="A150" s="46">
        <v>45682</v>
      </c>
      <c r="B150" s="2" t="s">
        <v>12987</v>
      </c>
      <c r="C150" s="2">
        <v>7620863025</v>
      </c>
      <c r="D150" s="2">
        <v>784804</v>
      </c>
      <c r="E150" s="2" t="s">
        <v>4548</v>
      </c>
      <c r="F150" s="2">
        <v>1</v>
      </c>
      <c r="G150" s="2" t="s">
        <v>15</v>
      </c>
      <c r="H150" s="2" t="s">
        <v>17</v>
      </c>
      <c r="I150" s="75" t="s">
        <v>15</v>
      </c>
      <c r="J150" s="9" t="s">
        <v>12974</v>
      </c>
      <c r="K150" s="10">
        <v>7620864626</v>
      </c>
      <c r="L150" s="10" t="s">
        <v>14</v>
      </c>
      <c r="M150" s="10" t="s">
        <v>15</v>
      </c>
      <c r="N150" s="10" t="s">
        <v>18</v>
      </c>
      <c r="O150" s="10" t="s">
        <v>13020</v>
      </c>
      <c r="P150" s="10" t="s">
        <v>28</v>
      </c>
      <c r="Q150" s="2" t="s">
        <v>14</v>
      </c>
      <c r="R150" s="27" t="str">
        <f>VLOOKUP(Tabla1[[#This Row],[DETALLE ]],DATOS!L:M,2,0)</f>
        <v>PICKING</v>
      </c>
      <c r="S150" s="41" t="str">
        <f>IFERROR(IFERROR(VLOOKUP(Tabla1[[#This Row],[USUARIO PICKING ERROR]],DATOS!H:J,3,0),VLOOKUP(Tabla1[[#This Row],[USUARIO FILTRO ERROR]],DATOS!O:P,2,0)),"-")</f>
        <v>ALMACEN</v>
      </c>
      <c r="T150" s="27" t="str">
        <f>UPPER(VLOOKUP(Tabla1[[#This Row],[CODIGO]],DATOS!A:E,5,0))</f>
        <v>FLUJO CONTINUO</v>
      </c>
      <c r="U150" s="31">
        <f>(Tabla1[[#This Row],[CANTIDAD]])*(VLOOKUP(Tabla1[[#This Row],[CODIGO]],DATOS!A:D,4,0))</f>
        <v>51.03</v>
      </c>
      <c r="V150" s="31" t="str">
        <f>VLOOKUP(Tabla1[[#This Row],[CODIGO]],DATOS!A:C,3,0)</f>
        <v>ABARROTES BEBIBLES</v>
      </c>
      <c r="W150" s="31" t="s">
        <v>13322</v>
      </c>
      <c r="X150" s="28" t="s">
        <v>13086</v>
      </c>
      <c r="Y150" s="28" t="s">
        <v>13111</v>
      </c>
    </row>
    <row r="151" spans="1:25" ht="12" customHeight="1" x14ac:dyDescent="0.25">
      <c r="A151" s="46">
        <v>45682</v>
      </c>
      <c r="B151" s="2" t="s">
        <v>118</v>
      </c>
      <c r="C151" s="2">
        <v>7620862638</v>
      </c>
      <c r="D151" s="2">
        <v>1009404</v>
      </c>
      <c r="E151" s="2" t="s">
        <v>8637</v>
      </c>
      <c r="F151" s="2">
        <v>6</v>
      </c>
      <c r="G151" s="2" t="s">
        <v>12998</v>
      </c>
      <c r="H151" s="2" t="s">
        <v>17</v>
      </c>
      <c r="I151" s="75" t="s">
        <v>12940</v>
      </c>
      <c r="J151" s="9" t="s">
        <v>15</v>
      </c>
      <c r="K151" s="10" t="s">
        <v>15</v>
      </c>
      <c r="L151" s="10" t="s">
        <v>14</v>
      </c>
      <c r="M151" s="10" t="s">
        <v>15</v>
      </c>
      <c r="N151" s="10" t="s">
        <v>18</v>
      </c>
      <c r="O151" s="10" t="s">
        <v>13020</v>
      </c>
      <c r="P151" s="10" t="s">
        <v>28</v>
      </c>
      <c r="Q151" s="2" t="s">
        <v>14</v>
      </c>
      <c r="R151" s="27" t="str">
        <f>VLOOKUP(Tabla1[[#This Row],[DETALLE ]],DATOS!L:M,2,0)</f>
        <v>PICKING</v>
      </c>
      <c r="S151" s="41" t="str">
        <f>IFERROR(IFERROR(VLOOKUP(Tabla1[[#This Row],[USUARIO PICKING ERROR]],DATOS!H:J,3,0),VLOOKUP(Tabla1[[#This Row],[USUARIO FILTRO ERROR]],DATOS!O:P,2,0)),"-")</f>
        <v>ALMACEN</v>
      </c>
      <c r="T151" s="27" t="str">
        <f>UPPER(VLOOKUP(Tabla1[[#This Row],[CODIGO]],DATOS!A:E,5,0))</f>
        <v>FLUJO CONTINUO</v>
      </c>
      <c r="U151" s="31">
        <f>(Tabla1[[#This Row],[CANTIDAD]])*(VLOOKUP(Tabla1[[#This Row],[CODIGO]],DATOS!A:D,4,0))</f>
        <v>110.46000000000001</v>
      </c>
      <c r="V151" s="31" t="str">
        <f>VLOOKUP(Tabla1[[#This Row],[CODIGO]],DATOS!A:C,3,0)</f>
        <v>ABARROTES BEBIBLES</v>
      </c>
      <c r="W151" s="31" t="s">
        <v>13322</v>
      </c>
      <c r="X151" s="28" t="s">
        <v>13086</v>
      </c>
      <c r="Y151" s="28" t="s">
        <v>13111</v>
      </c>
    </row>
    <row r="152" spans="1:25" ht="12" customHeight="1" x14ac:dyDescent="0.25">
      <c r="A152" s="46">
        <v>45682</v>
      </c>
      <c r="B152" s="2" t="s">
        <v>12978</v>
      </c>
      <c r="C152" s="2">
        <v>7620861674</v>
      </c>
      <c r="D152" s="2">
        <v>233681</v>
      </c>
      <c r="E152" s="2" t="s">
        <v>1397</v>
      </c>
      <c r="F152" s="2">
        <v>12</v>
      </c>
      <c r="G152" s="2" t="s">
        <v>15</v>
      </c>
      <c r="H152" s="2" t="s">
        <v>25</v>
      </c>
      <c r="I152" s="75" t="s">
        <v>15</v>
      </c>
      <c r="J152" s="9" t="s">
        <v>65</v>
      </c>
      <c r="K152" s="10">
        <v>7620861598</v>
      </c>
      <c r="L152" s="10" t="s">
        <v>98</v>
      </c>
      <c r="M152" s="10" t="s">
        <v>15</v>
      </c>
      <c r="N152" s="10" t="s">
        <v>18</v>
      </c>
      <c r="O152" s="10" t="s">
        <v>13093</v>
      </c>
      <c r="P152" s="10" t="s">
        <v>28</v>
      </c>
      <c r="Q152" s="2" t="s">
        <v>29</v>
      </c>
      <c r="R152" s="27" t="str">
        <f>VLOOKUP(Tabla1[[#This Row],[DETALLE ]],DATOS!L:M,2,0)</f>
        <v>PICKING</v>
      </c>
      <c r="S152" s="41" t="str">
        <f>IFERROR(IFERROR(VLOOKUP(Tabla1[[#This Row],[USUARIO PICKING ERROR]],DATOS!H:J,3,0),VLOOKUP(Tabla1[[#This Row],[USUARIO FILTRO ERROR]],DATOS!O:P,2,0)),"-")</f>
        <v>BENJAMIN LIZARBE</v>
      </c>
      <c r="T152" s="27" t="str">
        <f>UPPER(VLOOKUP(Tabla1[[#This Row],[CODIGO]],DATOS!A:E,5,0))</f>
        <v>FLUJO CONTINUO</v>
      </c>
      <c r="U152" s="31">
        <f>(Tabla1[[#This Row],[CANTIDAD]])*(VLOOKUP(Tabla1[[#This Row],[CODIGO]],DATOS!A:D,4,0))</f>
        <v>134.88</v>
      </c>
      <c r="V152" s="31" t="str">
        <f>VLOOKUP(Tabla1[[#This Row],[CODIGO]],DATOS!A:C,3,0)</f>
        <v>ABARROTES BEBIBLES</v>
      </c>
      <c r="W152" s="31" t="s">
        <v>13322</v>
      </c>
      <c r="X152" s="28" t="s">
        <v>13086</v>
      </c>
      <c r="Y152" s="28" t="s">
        <v>13111</v>
      </c>
    </row>
    <row r="153" spans="1:25" ht="12" customHeight="1" x14ac:dyDescent="0.25">
      <c r="A153" s="46">
        <v>45682</v>
      </c>
      <c r="B153" s="2" t="s">
        <v>12979</v>
      </c>
      <c r="C153" s="2">
        <v>7620859134</v>
      </c>
      <c r="D153" s="2">
        <v>351081</v>
      </c>
      <c r="E153" s="2" t="s">
        <v>1673</v>
      </c>
      <c r="F153" s="2">
        <v>4</v>
      </c>
      <c r="G153" s="2" t="s">
        <v>24</v>
      </c>
      <c r="H153" s="2" t="s">
        <v>17</v>
      </c>
      <c r="I153" s="75" t="s">
        <v>12940</v>
      </c>
      <c r="J153" s="9" t="s">
        <v>15</v>
      </c>
      <c r="K153" s="10" t="s">
        <v>15</v>
      </c>
      <c r="L153" s="10" t="s">
        <v>84</v>
      </c>
      <c r="M153" s="10" t="s">
        <v>15</v>
      </c>
      <c r="N153" s="10" t="s">
        <v>18</v>
      </c>
      <c r="O153" s="10" t="s">
        <v>13020</v>
      </c>
      <c r="P153" s="10" t="s">
        <v>28</v>
      </c>
      <c r="Q153" s="2" t="s">
        <v>39</v>
      </c>
      <c r="R153" s="27" t="str">
        <f>VLOOKUP(Tabla1[[#This Row],[DETALLE ]],DATOS!L:M,2,0)</f>
        <v>PICKING</v>
      </c>
      <c r="S153" s="41" t="str">
        <f>IFERROR(IFERROR(VLOOKUP(Tabla1[[#This Row],[USUARIO PICKING ERROR]],DATOS!H:J,3,0),VLOOKUP(Tabla1[[#This Row],[USUARIO FILTRO ERROR]],DATOS!O:P,2,0)),"-")</f>
        <v>DAVID PIÑAN</v>
      </c>
      <c r="T153" s="27" t="str">
        <f>UPPER(VLOOKUP(Tabla1[[#This Row],[CODIGO]],DATOS!A:E,5,0))</f>
        <v>FLUJO CONTINUO</v>
      </c>
      <c r="U153" s="31">
        <f>(Tabla1[[#This Row],[CANTIDAD]])*(VLOOKUP(Tabla1[[#This Row],[CODIGO]],DATOS!A:D,4,0))</f>
        <v>525.08000000000004</v>
      </c>
      <c r="V153" s="31" t="str">
        <f>VLOOKUP(Tabla1[[#This Row],[CODIGO]],DATOS!A:C,3,0)</f>
        <v>ABARROTES BEBIBLES</v>
      </c>
      <c r="W153" s="31" t="s">
        <v>13322</v>
      </c>
      <c r="X153" s="28" t="s">
        <v>13086</v>
      </c>
      <c r="Y153" s="28" t="s">
        <v>13111</v>
      </c>
    </row>
    <row r="154" spans="1:25" ht="12" customHeight="1" x14ac:dyDescent="0.25">
      <c r="A154" s="46">
        <v>45682</v>
      </c>
      <c r="B154" s="2" t="s">
        <v>12989</v>
      </c>
      <c r="C154" s="2">
        <v>7620861607</v>
      </c>
      <c r="D154" s="2">
        <v>544683</v>
      </c>
      <c r="E154" s="2" t="s">
        <v>2787</v>
      </c>
      <c r="F154" s="2">
        <v>12</v>
      </c>
      <c r="G154" s="2" t="s">
        <v>15</v>
      </c>
      <c r="H154" s="2" t="s">
        <v>17</v>
      </c>
      <c r="I154" s="75" t="s">
        <v>15</v>
      </c>
      <c r="J154" s="9" t="s">
        <v>114</v>
      </c>
      <c r="K154" s="10">
        <v>7620855945</v>
      </c>
      <c r="L154" s="10" t="s">
        <v>84</v>
      </c>
      <c r="M154" s="10" t="s">
        <v>15</v>
      </c>
      <c r="N154" s="10" t="s">
        <v>18</v>
      </c>
      <c r="O154" s="10" t="s">
        <v>13020</v>
      </c>
      <c r="P154" s="10" t="s">
        <v>28</v>
      </c>
      <c r="Q154" s="2" t="s">
        <v>39</v>
      </c>
      <c r="R154" s="27" t="str">
        <f>VLOOKUP(Tabla1[[#This Row],[DETALLE ]],DATOS!L:M,2,0)</f>
        <v>PICKING</v>
      </c>
      <c r="S154" s="41" t="str">
        <f>IFERROR(IFERROR(VLOOKUP(Tabla1[[#This Row],[USUARIO PICKING ERROR]],DATOS!H:J,3,0),VLOOKUP(Tabla1[[#This Row],[USUARIO FILTRO ERROR]],DATOS!O:P,2,0)),"-")</f>
        <v>DAVID PIÑAN</v>
      </c>
      <c r="T154" s="27" t="str">
        <f>UPPER(VLOOKUP(Tabla1[[#This Row],[CODIGO]],DATOS!A:E,5,0))</f>
        <v>FLUJO CONTINUO</v>
      </c>
      <c r="U154" s="31">
        <f>(Tabla1[[#This Row],[CANTIDAD]])*(VLOOKUP(Tabla1[[#This Row],[CODIGO]],DATOS!A:D,4,0))</f>
        <v>164.28</v>
      </c>
      <c r="V154" s="31" t="str">
        <f>VLOOKUP(Tabla1[[#This Row],[CODIGO]],DATOS!A:C,3,0)</f>
        <v>ABARROTES BEBIBLES</v>
      </c>
      <c r="W154" s="31" t="s">
        <v>13322</v>
      </c>
      <c r="X154" s="28" t="s">
        <v>13086</v>
      </c>
      <c r="Y154" s="28" t="s">
        <v>13111</v>
      </c>
    </row>
    <row r="155" spans="1:25" ht="12" customHeight="1" x14ac:dyDescent="0.25">
      <c r="A155" s="46">
        <v>45682</v>
      </c>
      <c r="B155" s="2" t="s">
        <v>36</v>
      </c>
      <c r="C155" s="2">
        <v>7620859912</v>
      </c>
      <c r="D155" s="2">
        <v>544683</v>
      </c>
      <c r="E155" s="2" t="s">
        <v>2787</v>
      </c>
      <c r="F155" s="2">
        <v>12</v>
      </c>
      <c r="G155" s="2" t="s">
        <v>15</v>
      </c>
      <c r="H155" s="2" t="s">
        <v>17</v>
      </c>
      <c r="I155" s="75" t="s">
        <v>15</v>
      </c>
      <c r="J155" s="9" t="s">
        <v>114</v>
      </c>
      <c r="K155" s="10">
        <v>7620855945</v>
      </c>
      <c r="L155" s="10" t="s">
        <v>84</v>
      </c>
      <c r="M155" s="10" t="s">
        <v>15</v>
      </c>
      <c r="N155" s="10" t="s">
        <v>18</v>
      </c>
      <c r="O155" s="10" t="s">
        <v>13020</v>
      </c>
      <c r="P155" s="10" t="s">
        <v>28</v>
      </c>
      <c r="Q155" s="2" t="s">
        <v>39</v>
      </c>
      <c r="R155" s="27" t="str">
        <f>VLOOKUP(Tabla1[[#This Row],[DETALLE ]],DATOS!L:M,2,0)</f>
        <v>PICKING</v>
      </c>
      <c r="S155" s="41" t="str">
        <f>IFERROR(IFERROR(VLOOKUP(Tabla1[[#This Row],[USUARIO PICKING ERROR]],DATOS!H:J,3,0),VLOOKUP(Tabla1[[#This Row],[USUARIO FILTRO ERROR]],DATOS!O:P,2,0)),"-")</f>
        <v>DAVID PIÑAN</v>
      </c>
      <c r="T155" s="27" t="str">
        <f>UPPER(VLOOKUP(Tabla1[[#This Row],[CODIGO]],DATOS!A:E,5,0))</f>
        <v>FLUJO CONTINUO</v>
      </c>
      <c r="U155" s="31">
        <f>(Tabla1[[#This Row],[CANTIDAD]])*(VLOOKUP(Tabla1[[#This Row],[CODIGO]],DATOS!A:D,4,0))</f>
        <v>164.28</v>
      </c>
      <c r="V155" s="31" t="str">
        <f>VLOOKUP(Tabla1[[#This Row],[CODIGO]],DATOS!A:C,3,0)</f>
        <v>ABARROTES BEBIBLES</v>
      </c>
      <c r="W155" s="31" t="s">
        <v>13322</v>
      </c>
      <c r="X155" s="28" t="s">
        <v>13086</v>
      </c>
      <c r="Y155" s="28" t="s">
        <v>13111</v>
      </c>
    </row>
    <row r="156" spans="1:25" ht="12" customHeight="1" x14ac:dyDescent="0.25">
      <c r="A156" s="46">
        <v>45682</v>
      </c>
      <c r="B156" s="2" t="s">
        <v>114</v>
      </c>
      <c r="C156" s="2">
        <v>7620855945</v>
      </c>
      <c r="D156" s="2">
        <v>768069</v>
      </c>
      <c r="E156" s="2" t="s">
        <v>4066</v>
      </c>
      <c r="F156" s="2">
        <v>24</v>
      </c>
      <c r="G156" s="2" t="s">
        <v>15</v>
      </c>
      <c r="H156" s="2" t="s">
        <v>25</v>
      </c>
      <c r="I156" s="75" t="s">
        <v>15</v>
      </c>
      <c r="J156" s="9" t="s">
        <v>36</v>
      </c>
      <c r="K156" s="10">
        <v>7620859912</v>
      </c>
      <c r="L156" s="10" t="s">
        <v>84</v>
      </c>
      <c r="M156" s="10" t="s">
        <v>15</v>
      </c>
      <c r="N156" s="10" t="s">
        <v>18</v>
      </c>
      <c r="O156" s="10" t="s">
        <v>13093</v>
      </c>
      <c r="P156" s="10" t="s">
        <v>28</v>
      </c>
      <c r="Q156" s="2" t="s">
        <v>39</v>
      </c>
      <c r="R156" s="27" t="str">
        <f>VLOOKUP(Tabla1[[#This Row],[DETALLE ]],DATOS!L:M,2,0)</f>
        <v>PICKING</v>
      </c>
      <c r="S156" s="41" t="str">
        <f>IFERROR(IFERROR(VLOOKUP(Tabla1[[#This Row],[USUARIO PICKING ERROR]],DATOS!H:J,3,0),VLOOKUP(Tabla1[[#This Row],[USUARIO FILTRO ERROR]],DATOS!O:P,2,0)),"-")</f>
        <v>DAVID PIÑAN</v>
      </c>
      <c r="T156" s="27" t="str">
        <f>UPPER(VLOOKUP(Tabla1[[#This Row],[CODIGO]],DATOS!A:E,5,0))</f>
        <v>FLUJO CONTINUO</v>
      </c>
      <c r="U156" s="31">
        <f>(Tabla1[[#This Row],[CANTIDAD]])*(VLOOKUP(Tabla1[[#This Row],[CODIGO]],DATOS!A:D,4,0))</f>
        <v>328.56</v>
      </c>
      <c r="V156" s="31" t="str">
        <f>VLOOKUP(Tabla1[[#This Row],[CODIGO]],DATOS!A:C,3,0)</f>
        <v>ABARROTES BEBIBLES</v>
      </c>
      <c r="W156" s="31" t="s">
        <v>13322</v>
      </c>
      <c r="X156" s="28" t="s">
        <v>13086</v>
      </c>
      <c r="Y156" s="28" t="s">
        <v>13111</v>
      </c>
    </row>
    <row r="157" spans="1:25" ht="12" customHeight="1" x14ac:dyDescent="0.25">
      <c r="A157" s="46">
        <v>45682</v>
      </c>
      <c r="B157" s="2" t="s">
        <v>111</v>
      </c>
      <c r="C157" s="2">
        <v>7620863041</v>
      </c>
      <c r="D157" s="2">
        <v>768069</v>
      </c>
      <c r="E157" s="2" t="s">
        <v>4066</v>
      </c>
      <c r="F157" s="2">
        <v>12</v>
      </c>
      <c r="G157" s="2" t="s">
        <v>12992</v>
      </c>
      <c r="H157" s="2" t="s">
        <v>17</v>
      </c>
      <c r="I157" s="75" t="s">
        <v>12940</v>
      </c>
      <c r="J157" s="9" t="s">
        <v>12978</v>
      </c>
      <c r="K157" s="10">
        <v>7620861673</v>
      </c>
      <c r="L157" s="10" t="s">
        <v>84</v>
      </c>
      <c r="M157" s="10" t="s">
        <v>15</v>
      </c>
      <c r="N157" s="10" t="s">
        <v>18</v>
      </c>
      <c r="O157" s="10" t="s">
        <v>13020</v>
      </c>
      <c r="P157" s="10" t="s">
        <v>28</v>
      </c>
      <c r="Q157" s="2" t="s">
        <v>39</v>
      </c>
      <c r="R157" s="27" t="str">
        <f>VLOOKUP(Tabla1[[#This Row],[DETALLE ]],DATOS!L:M,2,0)</f>
        <v>PICKING</v>
      </c>
      <c r="S157" s="41" t="str">
        <f>IFERROR(IFERROR(VLOOKUP(Tabla1[[#This Row],[USUARIO PICKING ERROR]],DATOS!H:J,3,0),VLOOKUP(Tabla1[[#This Row],[USUARIO FILTRO ERROR]],DATOS!O:P,2,0)),"-")</f>
        <v>DAVID PIÑAN</v>
      </c>
      <c r="T157" s="27" t="str">
        <f>UPPER(VLOOKUP(Tabla1[[#This Row],[CODIGO]],DATOS!A:E,5,0))</f>
        <v>FLUJO CONTINUO</v>
      </c>
      <c r="U157" s="31">
        <f>(Tabla1[[#This Row],[CANTIDAD]])*(VLOOKUP(Tabla1[[#This Row],[CODIGO]],DATOS!A:D,4,0))</f>
        <v>164.28</v>
      </c>
      <c r="V157" s="31" t="str">
        <f>VLOOKUP(Tabla1[[#This Row],[CODIGO]],DATOS!A:C,3,0)</f>
        <v>ABARROTES BEBIBLES</v>
      </c>
      <c r="W157" s="31" t="s">
        <v>13322</v>
      </c>
      <c r="X157" s="28" t="s">
        <v>13086</v>
      </c>
      <c r="Y157" s="28" t="s">
        <v>13111</v>
      </c>
    </row>
    <row r="158" spans="1:25" ht="12" customHeight="1" x14ac:dyDescent="0.25">
      <c r="A158" s="46">
        <v>45684</v>
      </c>
      <c r="B158" s="2" t="s">
        <v>50</v>
      </c>
      <c r="C158" s="2">
        <v>7620854738</v>
      </c>
      <c r="D158" s="2">
        <v>10395</v>
      </c>
      <c r="E158" s="2" t="s">
        <v>529</v>
      </c>
      <c r="F158" s="2">
        <v>1</v>
      </c>
      <c r="G158" s="2" t="s">
        <v>12939</v>
      </c>
      <c r="H158" s="2" t="s">
        <v>17</v>
      </c>
      <c r="I158" s="75" t="s">
        <v>12940</v>
      </c>
      <c r="J158" s="9" t="s">
        <v>50</v>
      </c>
      <c r="K158" s="10">
        <v>7620854738</v>
      </c>
      <c r="L158" s="10" t="s">
        <v>57</v>
      </c>
      <c r="M158" s="10" t="s">
        <v>13014</v>
      </c>
      <c r="N158" s="10" t="s">
        <v>12957</v>
      </c>
      <c r="O158" s="10" t="s">
        <v>13100</v>
      </c>
      <c r="P158" s="10" t="s">
        <v>28</v>
      </c>
      <c r="Q158" s="2" t="s">
        <v>39</v>
      </c>
      <c r="R158" s="27" t="str">
        <f>VLOOKUP(Tabla1[[#This Row],[DETALLE ]],DATOS!L:M,2,0)</f>
        <v>FILTRO</v>
      </c>
      <c r="S158" s="41" t="str">
        <f>IFERROR(IFERROR(VLOOKUP(Tabla1[[#This Row],[USUARIO PICKING ERROR]],DATOS!H:J,3,0),VLOOKUP(Tabla1[[#This Row],[USUARIO FILTRO ERROR]],DATOS!O:P,2,0)),"-")</f>
        <v>DAVID PIÑAN</v>
      </c>
      <c r="T158" s="27" t="str">
        <f>UPPER(VLOOKUP(Tabla1[[#This Row],[CODIGO]],DATOS!A:E,5,0))</f>
        <v>FLUJO CONTINUO</v>
      </c>
      <c r="U158" s="31">
        <f>(Tabla1[[#This Row],[CANTIDAD]])*(VLOOKUP(Tabla1[[#This Row],[CODIGO]],DATOS!A:D,4,0))</f>
        <v>47.55</v>
      </c>
      <c r="V158" s="31" t="str">
        <f>VLOOKUP(Tabla1[[#This Row],[CODIGO]],DATOS!A:C,3,0)</f>
        <v>ABARROTES BEBIBLES</v>
      </c>
      <c r="W158" s="31" t="s">
        <v>13322</v>
      </c>
      <c r="X158" s="28" t="s">
        <v>13086</v>
      </c>
      <c r="Y158" s="28" t="s">
        <v>13111</v>
      </c>
    </row>
    <row r="159" spans="1:25" ht="12" customHeight="1" x14ac:dyDescent="0.25">
      <c r="A159" s="46">
        <v>45684</v>
      </c>
      <c r="B159" s="2" t="s">
        <v>50</v>
      </c>
      <c r="C159" s="2">
        <v>7620854738</v>
      </c>
      <c r="D159" s="2">
        <v>351081</v>
      </c>
      <c r="E159" s="2" t="s">
        <v>1673</v>
      </c>
      <c r="F159" s="2">
        <v>4</v>
      </c>
      <c r="G159" s="2" t="s">
        <v>12939</v>
      </c>
      <c r="H159" s="2" t="s">
        <v>17</v>
      </c>
      <c r="I159" s="75" t="s">
        <v>12940</v>
      </c>
      <c r="J159" s="9" t="s">
        <v>12973</v>
      </c>
      <c r="K159" s="10">
        <v>7620858902</v>
      </c>
      <c r="L159" s="10" t="s">
        <v>84</v>
      </c>
      <c r="M159" s="10" t="s">
        <v>15</v>
      </c>
      <c r="N159" s="10" t="s">
        <v>18</v>
      </c>
      <c r="O159" s="10" t="s">
        <v>13020</v>
      </c>
      <c r="P159" s="10" t="s">
        <v>28</v>
      </c>
      <c r="Q159" s="2" t="s">
        <v>39</v>
      </c>
      <c r="R159" s="27" t="str">
        <f>VLOOKUP(Tabla1[[#This Row],[DETALLE ]],DATOS!L:M,2,0)</f>
        <v>PICKING</v>
      </c>
      <c r="S159" s="41" t="str">
        <f>IFERROR(IFERROR(VLOOKUP(Tabla1[[#This Row],[USUARIO PICKING ERROR]],DATOS!H:J,3,0),VLOOKUP(Tabla1[[#This Row],[USUARIO FILTRO ERROR]],DATOS!O:P,2,0)),"-")</f>
        <v>DAVID PIÑAN</v>
      </c>
      <c r="T159" s="27" t="str">
        <f>UPPER(VLOOKUP(Tabla1[[#This Row],[CODIGO]],DATOS!A:E,5,0))</f>
        <v>FLUJO CONTINUO</v>
      </c>
      <c r="U159" s="31">
        <f>(Tabla1[[#This Row],[CANTIDAD]])*(VLOOKUP(Tabla1[[#This Row],[CODIGO]],DATOS!A:D,4,0))</f>
        <v>525.08000000000004</v>
      </c>
      <c r="V159" s="31" t="str">
        <f>VLOOKUP(Tabla1[[#This Row],[CODIGO]],DATOS!A:C,3,0)</f>
        <v>ABARROTES BEBIBLES</v>
      </c>
      <c r="W159" s="31" t="s">
        <v>13322</v>
      </c>
      <c r="X159" s="28" t="s">
        <v>13086</v>
      </c>
      <c r="Y159" s="28" t="s">
        <v>13111</v>
      </c>
    </row>
    <row r="160" spans="1:25" ht="12" customHeight="1" x14ac:dyDescent="0.25">
      <c r="A160" s="46">
        <v>45684</v>
      </c>
      <c r="B160" s="2" t="s">
        <v>50</v>
      </c>
      <c r="C160" s="2">
        <v>7620854738</v>
      </c>
      <c r="D160" s="2">
        <v>767276</v>
      </c>
      <c r="E160" s="2" t="s">
        <v>4029</v>
      </c>
      <c r="F160" s="2">
        <v>1</v>
      </c>
      <c r="G160" s="2" t="s">
        <v>12939</v>
      </c>
      <c r="H160" s="2" t="s">
        <v>17</v>
      </c>
      <c r="I160" s="75" t="s">
        <v>12940</v>
      </c>
      <c r="J160" s="9" t="s">
        <v>50</v>
      </c>
      <c r="K160" s="10">
        <v>7620854738</v>
      </c>
      <c r="L160" s="10" t="s">
        <v>55</v>
      </c>
      <c r="M160" s="10" t="s">
        <v>13014</v>
      </c>
      <c r="N160" s="10" t="s">
        <v>12957</v>
      </c>
      <c r="O160" s="10" t="s">
        <v>13100</v>
      </c>
      <c r="P160" s="10" t="s">
        <v>28</v>
      </c>
      <c r="Q160" s="2" t="s">
        <v>39</v>
      </c>
      <c r="R160" s="27" t="str">
        <f>VLOOKUP(Tabla1[[#This Row],[DETALLE ]],DATOS!L:M,2,0)</f>
        <v>FILTRO</v>
      </c>
      <c r="S160" s="41" t="str">
        <f>IFERROR(IFERROR(VLOOKUP(Tabla1[[#This Row],[USUARIO PICKING ERROR]],DATOS!H:J,3,0),VLOOKUP(Tabla1[[#This Row],[USUARIO FILTRO ERROR]],DATOS!O:P,2,0)),"-")</f>
        <v>BENJAMIN LIZARBE</v>
      </c>
      <c r="T160" s="27" t="str">
        <f>UPPER(VLOOKUP(Tabla1[[#This Row],[CODIGO]],DATOS!A:E,5,0))</f>
        <v>FLUJO CONTINUO</v>
      </c>
      <c r="U160" s="31">
        <f>(Tabla1[[#This Row],[CANTIDAD]])*(VLOOKUP(Tabla1[[#This Row],[CODIGO]],DATOS!A:D,4,0))</f>
        <v>37.450000000000003</v>
      </c>
      <c r="V160" s="31" t="str">
        <f>VLOOKUP(Tabla1[[#This Row],[CODIGO]],DATOS!A:C,3,0)</f>
        <v>ABARROTES BEBIBLES</v>
      </c>
      <c r="W160" s="31" t="s">
        <v>13322</v>
      </c>
      <c r="X160" s="28" t="s">
        <v>13086</v>
      </c>
      <c r="Y160" s="28" t="s">
        <v>13111</v>
      </c>
    </row>
    <row r="161" spans="1:25" ht="12" customHeight="1" x14ac:dyDescent="0.25">
      <c r="A161" s="46">
        <v>45684</v>
      </c>
      <c r="B161" s="2" t="s">
        <v>50</v>
      </c>
      <c r="C161" s="2">
        <v>7620854738</v>
      </c>
      <c r="D161" s="2">
        <v>954681</v>
      </c>
      <c r="E161" s="2" t="s">
        <v>6202</v>
      </c>
      <c r="F161" s="2">
        <v>2</v>
      </c>
      <c r="G161" s="2" t="s">
        <v>12939</v>
      </c>
      <c r="H161" s="2" t="s">
        <v>17</v>
      </c>
      <c r="I161" s="75" t="s">
        <v>12940</v>
      </c>
      <c r="J161" s="9" t="s">
        <v>50</v>
      </c>
      <c r="K161" s="10">
        <v>7620854738</v>
      </c>
      <c r="L161" s="10" t="s">
        <v>57</v>
      </c>
      <c r="M161" s="10" t="s">
        <v>13014</v>
      </c>
      <c r="N161" s="10" t="s">
        <v>12957</v>
      </c>
      <c r="O161" s="10" t="s">
        <v>13100</v>
      </c>
      <c r="P161" s="10" t="s">
        <v>28</v>
      </c>
      <c r="Q161" s="2" t="s">
        <v>39</v>
      </c>
      <c r="R161" s="27" t="str">
        <f>VLOOKUP(Tabla1[[#This Row],[DETALLE ]],DATOS!L:M,2,0)</f>
        <v>FILTRO</v>
      </c>
      <c r="S161" s="41" t="str">
        <f>IFERROR(IFERROR(VLOOKUP(Tabla1[[#This Row],[USUARIO PICKING ERROR]],DATOS!H:J,3,0),VLOOKUP(Tabla1[[#This Row],[USUARIO FILTRO ERROR]],DATOS!O:P,2,0)),"-")</f>
        <v>DAVID PIÑAN</v>
      </c>
      <c r="T161" s="27" t="str">
        <f>UPPER(VLOOKUP(Tabla1[[#This Row],[CODIGO]],DATOS!A:E,5,0))</f>
        <v>FLUJO CONTINUO</v>
      </c>
      <c r="U161" s="31">
        <f>(Tabla1[[#This Row],[CANTIDAD]])*(VLOOKUP(Tabla1[[#This Row],[CODIGO]],DATOS!A:D,4,0))</f>
        <v>210.88</v>
      </c>
      <c r="V161" s="31" t="str">
        <f>VLOOKUP(Tabla1[[#This Row],[CODIGO]],DATOS!A:C,3,0)</f>
        <v>ABARROTES BEBIBLES</v>
      </c>
      <c r="W161" s="31" t="s">
        <v>13322</v>
      </c>
      <c r="X161" s="28" t="s">
        <v>13086</v>
      </c>
      <c r="Y161" s="28" t="s">
        <v>13111</v>
      </c>
    </row>
    <row r="162" spans="1:25" ht="12" customHeight="1" x14ac:dyDescent="0.25">
      <c r="A162" s="46">
        <v>45685</v>
      </c>
      <c r="B162" s="2" t="s">
        <v>99</v>
      </c>
      <c r="C162" s="2">
        <v>7620862626</v>
      </c>
      <c r="D162" s="2">
        <v>703779</v>
      </c>
      <c r="E162" s="2" t="s">
        <v>3228</v>
      </c>
      <c r="F162" s="2">
        <v>1</v>
      </c>
      <c r="G162" s="2" t="s">
        <v>15</v>
      </c>
      <c r="H162" s="2" t="s">
        <v>17</v>
      </c>
      <c r="I162" s="75" t="s">
        <v>15</v>
      </c>
      <c r="J162" s="9" t="s">
        <v>15</v>
      </c>
      <c r="K162" s="10" t="s">
        <v>15</v>
      </c>
      <c r="L162" s="10" t="s">
        <v>12900</v>
      </c>
      <c r="M162" s="10" t="s">
        <v>15</v>
      </c>
      <c r="N162" s="10" t="s">
        <v>18</v>
      </c>
      <c r="O162" s="10" t="s">
        <v>13020</v>
      </c>
      <c r="P162" s="10" t="s">
        <v>28</v>
      </c>
      <c r="Q162" s="2" t="s">
        <v>29</v>
      </c>
      <c r="R162" s="27" t="str">
        <f>VLOOKUP(Tabla1[[#This Row],[DETALLE ]],DATOS!L:M,2,0)</f>
        <v>PICKING</v>
      </c>
      <c r="S162" s="41" t="str">
        <f>IFERROR(IFERROR(VLOOKUP(Tabla1[[#This Row],[USUARIO PICKING ERROR]],DATOS!H:J,3,0),VLOOKUP(Tabla1[[#This Row],[USUARIO FILTRO ERROR]],DATOS!O:P,2,0)),"-")</f>
        <v>BENJAMIN LIZARBE</v>
      </c>
      <c r="T162" s="27" t="str">
        <f>UPPER(VLOOKUP(Tabla1[[#This Row],[CODIGO]],DATOS!A:E,5,0))</f>
        <v>FLUJO CONTINUO</v>
      </c>
      <c r="U162" s="31">
        <f>(Tabla1[[#This Row],[CANTIDAD]])*(VLOOKUP(Tabla1[[#This Row],[CODIGO]],DATOS!A:D,4,0))</f>
        <v>20.88</v>
      </c>
      <c r="V162" s="31" t="str">
        <f>VLOOKUP(Tabla1[[#This Row],[CODIGO]],DATOS!A:C,3,0)</f>
        <v>ABARROTES BEBIBLES</v>
      </c>
      <c r="W162" s="31" t="s">
        <v>13322</v>
      </c>
      <c r="X162" s="28" t="s">
        <v>13086</v>
      </c>
      <c r="Y162" s="28" t="s">
        <v>13111</v>
      </c>
    </row>
    <row r="163" spans="1:25" ht="12" customHeight="1" x14ac:dyDescent="0.25">
      <c r="A163" s="46">
        <v>45685</v>
      </c>
      <c r="B163" s="2" t="s">
        <v>15</v>
      </c>
      <c r="C163" s="2" t="s">
        <v>15</v>
      </c>
      <c r="D163" s="2">
        <v>716372</v>
      </c>
      <c r="E163" s="2" t="s">
        <v>3356</v>
      </c>
      <c r="F163" s="2">
        <v>12</v>
      </c>
      <c r="G163" s="2" t="s">
        <v>12999</v>
      </c>
      <c r="H163" s="2" t="s">
        <v>17</v>
      </c>
      <c r="I163" s="75" t="s">
        <v>13140</v>
      </c>
      <c r="J163" s="9" t="s">
        <v>15</v>
      </c>
      <c r="K163" s="10" t="s">
        <v>15</v>
      </c>
      <c r="L163" s="10" t="s">
        <v>67</v>
      </c>
      <c r="M163" s="10" t="s">
        <v>15</v>
      </c>
      <c r="N163" s="10" t="s">
        <v>18</v>
      </c>
      <c r="O163" s="10" t="s">
        <v>13020</v>
      </c>
      <c r="P163" s="10" t="s">
        <v>17</v>
      </c>
      <c r="Q163" s="2" t="s">
        <v>29</v>
      </c>
      <c r="R163" s="27" t="str">
        <f>VLOOKUP(Tabla1[[#This Row],[DETALLE ]],DATOS!L:M,2,0)</f>
        <v>PICKING</v>
      </c>
      <c r="S163" s="41" t="str">
        <f>IFERROR(IFERROR(VLOOKUP(Tabla1[[#This Row],[USUARIO PICKING ERROR]],DATOS!H:J,3,0),VLOOKUP(Tabla1[[#This Row],[USUARIO FILTRO ERROR]],DATOS!O:P,2,0)),"-")</f>
        <v>BENJAMIN LIZARBE</v>
      </c>
      <c r="T163" s="27" t="str">
        <f>UPPER(VLOOKUP(Tabla1[[#This Row],[CODIGO]],DATOS!A:E,5,0))</f>
        <v>FLUJO CONTINUO</v>
      </c>
      <c r="U163" s="31">
        <f>(Tabla1[[#This Row],[CANTIDAD]])*(VLOOKUP(Tabla1[[#This Row],[CODIGO]],DATOS!A:D,4,0))</f>
        <v>160.44</v>
      </c>
      <c r="V163" s="31" t="str">
        <f>VLOOKUP(Tabla1[[#This Row],[CODIGO]],DATOS!A:C,3,0)</f>
        <v>ABARROTES NO COMESTIBLES</v>
      </c>
      <c r="W163" s="31" t="s">
        <v>13322</v>
      </c>
      <c r="X163" s="28" t="s">
        <v>21</v>
      </c>
      <c r="Y163" s="28" t="s">
        <v>13111</v>
      </c>
    </row>
    <row r="164" spans="1:25" ht="12" customHeight="1" x14ac:dyDescent="0.25">
      <c r="A164" s="46">
        <v>45686</v>
      </c>
      <c r="B164" s="2" t="s">
        <v>79</v>
      </c>
      <c r="C164" s="2">
        <v>7620854621</v>
      </c>
      <c r="D164" s="2">
        <v>700198001</v>
      </c>
      <c r="E164" s="2" t="s">
        <v>80</v>
      </c>
      <c r="F164" s="2">
        <v>12</v>
      </c>
      <c r="G164" s="2" t="s">
        <v>15</v>
      </c>
      <c r="H164" s="2" t="s">
        <v>17</v>
      </c>
      <c r="I164" s="75" t="s">
        <v>15</v>
      </c>
      <c r="J164" s="9" t="s">
        <v>15</v>
      </c>
      <c r="K164" s="10" t="s">
        <v>15</v>
      </c>
      <c r="L164" s="10" t="s">
        <v>27</v>
      </c>
      <c r="M164" s="10" t="s">
        <v>15</v>
      </c>
      <c r="N164" s="10" t="s">
        <v>18</v>
      </c>
      <c r="O164" s="10" t="s">
        <v>13020</v>
      </c>
      <c r="P164" s="10" t="s">
        <v>17</v>
      </c>
      <c r="Q164" s="2" t="s">
        <v>29</v>
      </c>
      <c r="R164" s="27" t="str">
        <f>VLOOKUP(Tabla1[[#This Row],[DETALLE ]],DATOS!L:M,2,0)</f>
        <v>PICKING</v>
      </c>
      <c r="S164" s="41" t="str">
        <f>IFERROR(IFERROR(VLOOKUP(Tabla1[[#This Row],[USUARIO PICKING ERROR]],DATOS!H:J,3,0),VLOOKUP(Tabla1[[#This Row],[USUARIO FILTRO ERROR]],DATOS!O:P,2,0)),"-")</f>
        <v>BENJAMIN LIZARBE</v>
      </c>
      <c r="T164" s="27" t="str">
        <f>UPPER(VLOOKUP(Tabla1[[#This Row],[CODIGO]],DATOS!A:E,5,0))</f>
        <v>FLUJO CONTINUO</v>
      </c>
      <c r="U164" s="31">
        <f>(Tabla1[[#This Row],[CANTIDAD]])*(VLOOKUP(Tabla1[[#This Row],[CODIGO]],DATOS!A:D,4,0))</f>
        <v>145.44</v>
      </c>
      <c r="V164" s="31" t="str">
        <f>VLOOKUP(Tabla1[[#This Row],[CODIGO]],DATOS!A:C,3,0)</f>
        <v>ABARROTES BEBIBLES</v>
      </c>
      <c r="W164" s="31" t="s">
        <v>13323</v>
      </c>
      <c r="X164" s="28" t="s">
        <v>21</v>
      </c>
      <c r="Y164" s="28" t="s">
        <v>13113</v>
      </c>
    </row>
    <row r="165" spans="1:25" ht="12" customHeight="1" x14ac:dyDescent="0.25">
      <c r="A165" s="46">
        <v>45687</v>
      </c>
      <c r="B165" s="2" t="s">
        <v>15</v>
      </c>
      <c r="C165" s="2" t="s">
        <v>15</v>
      </c>
      <c r="D165" s="2">
        <v>886904</v>
      </c>
      <c r="E165" s="2" t="s">
        <v>23</v>
      </c>
      <c r="F165" s="2">
        <v>1</v>
      </c>
      <c r="G165" s="2" t="s">
        <v>24</v>
      </c>
      <c r="H165" s="2" t="s">
        <v>25</v>
      </c>
      <c r="I165" s="75" t="s">
        <v>12940</v>
      </c>
      <c r="J165" s="9" t="s">
        <v>26</v>
      </c>
      <c r="K165" s="10">
        <v>7620861775</v>
      </c>
      <c r="L165" s="10" t="s">
        <v>27</v>
      </c>
      <c r="M165" s="10" t="s">
        <v>15</v>
      </c>
      <c r="N165" s="10" t="s">
        <v>18</v>
      </c>
      <c r="O165" s="10" t="s">
        <v>13093</v>
      </c>
      <c r="P165" s="10" t="s">
        <v>28</v>
      </c>
      <c r="Q165" s="2" t="s">
        <v>29</v>
      </c>
      <c r="R165" s="27" t="str">
        <f>VLOOKUP(Tabla1[[#This Row],[DETALLE ]],DATOS!L:M,2,0)</f>
        <v>PICKING</v>
      </c>
      <c r="S165" s="41" t="str">
        <f>IFERROR(IFERROR(VLOOKUP(Tabla1[[#This Row],[USUARIO PICKING ERROR]],DATOS!H:J,3,0),VLOOKUP(Tabla1[[#This Row],[USUARIO FILTRO ERROR]],DATOS!O:P,2,0)),"-")</f>
        <v>BENJAMIN LIZARBE</v>
      </c>
      <c r="T165" s="27" t="str">
        <f>UPPER(VLOOKUP(Tabla1[[#This Row],[CODIGO]],DATOS!A:E,5,0))</f>
        <v>FLUJO CONTINUO</v>
      </c>
      <c r="U165" s="31">
        <f>(Tabla1[[#This Row],[CANTIDAD]])*(VLOOKUP(Tabla1[[#This Row],[CODIGO]],DATOS!A:D,4,0))</f>
        <v>6.48</v>
      </c>
      <c r="V165" s="31" t="str">
        <f>VLOOKUP(Tabla1[[#This Row],[CODIGO]],DATOS!A:C,3,0)</f>
        <v>ABARROTES BEBIBLES</v>
      </c>
      <c r="W165" s="31" t="s">
        <v>13323</v>
      </c>
      <c r="X165" s="28" t="s">
        <v>13086</v>
      </c>
      <c r="Y165" s="28" t="s">
        <v>13113</v>
      </c>
    </row>
    <row r="166" spans="1:25" ht="12" customHeight="1" x14ac:dyDescent="0.25">
      <c r="A166" s="46">
        <v>45687</v>
      </c>
      <c r="B166" s="2" t="s">
        <v>15</v>
      </c>
      <c r="C166" s="2" t="s">
        <v>15</v>
      </c>
      <c r="D166" s="2">
        <v>886903</v>
      </c>
      <c r="E166" s="2" t="s">
        <v>31</v>
      </c>
      <c r="F166" s="2">
        <v>1</v>
      </c>
      <c r="G166" s="2" t="s">
        <v>24</v>
      </c>
      <c r="H166" s="2" t="s">
        <v>25</v>
      </c>
      <c r="I166" s="75" t="s">
        <v>12940</v>
      </c>
      <c r="J166" s="9" t="s">
        <v>26</v>
      </c>
      <c r="K166" s="10">
        <v>7620861775</v>
      </c>
      <c r="L166" s="10" t="s">
        <v>27</v>
      </c>
      <c r="M166" s="10" t="s">
        <v>15</v>
      </c>
      <c r="N166" s="10" t="s">
        <v>18</v>
      </c>
      <c r="O166" s="10" t="s">
        <v>13093</v>
      </c>
      <c r="P166" s="10" t="s">
        <v>28</v>
      </c>
      <c r="Q166" s="2" t="s">
        <v>29</v>
      </c>
      <c r="R166" s="27" t="str">
        <f>VLOOKUP(Tabla1[[#This Row],[DETALLE ]],DATOS!L:M,2,0)</f>
        <v>PICKING</v>
      </c>
      <c r="S166" s="41" t="str">
        <f>IFERROR(IFERROR(VLOOKUP(Tabla1[[#This Row],[USUARIO PICKING ERROR]],DATOS!H:J,3,0),VLOOKUP(Tabla1[[#This Row],[USUARIO FILTRO ERROR]],DATOS!O:P,2,0)),"-")</f>
        <v>BENJAMIN LIZARBE</v>
      </c>
      <c r="T166" s="27" t="str">
        <f>UPPER(VLOOKUP(Tabla1[[#This Row],[CODIGO]],DATOS!A:E,5,0))</f>
        <v>FLUJO CONTINUO</v>
      </c>
      <c r="U166" s="31">
        <f>(Tabla1[[#This Row],[CANTIDAD]])*(VLOOKUP(Tabla1[[#This Row],[CODIGO]],DATOS!A:D,4,0))</f>
        <v>6.48</v>
      </c>
      <c r="V166" s="31" t="str">
        <f>VLOOKUP(Tabla1[[#This Row],[CODIGO]],DATOS!A:C,3,0)</f>
        <v>ABARROTES BEBIBLES</v>
      </c>
      <c r="W166" s="31" t="s">
        <v>13323</v>
      </c>
      <c r="X166" s="28" t="s">
        <v>13086</v>
      </c>
      <c r="Y166" s="28" t="s">
        <v>13113</v>
      </c>
    </row>
    <row r="167" spans="1:25" ht="12" customHeight="1" x14ac:dyDescent="0.25">
      <c r="A167" s="46">
        <v>45687</v>
      </c>
      <c r="B167" s="2" t="s">
        <v>15</v>
      </c>
      <c r="C167" s="2" t="s">
        <v>15</v>
      </c>
      <c r="D167" s="2">
        <v>533997</v>
      </c>
      <c r="E167" s="2" t="s">
        <v>56</v>
      </c>
      <c r="F167" s="2">
        <v>3</v>
      </c>
      <c r="G167" s="2" t="s">
        <v>24</v>
      </c>
      <c r="H167" s="2" t="s">
        <v>25</v>
      </c>
      <c r="I167" s="75" t="s">
        <v>12940</v>
      </c>
      <c r="J167" s="9" t="s">
        <v>15</v>
      </c>
      <c r="K167" s="10" t="s">
        <v>15</v>
      </c>
      <c r="L167" s="10" t="s">
        <v>57</v>
      </c>
      <c r="M167" s="10" t="s">
        <v>15</v>
      </c>
      <c r="N167" s="10" t="s">
        <v>18</v>
      </c>
      <c r="O167" s="10" t="s">
        <v>13093</v>
      </c>
      <c r="P167" s="10" t="s">
        <v>25</v>
      </c>
      <c r="Q167" s="2" t="s">
        <v>39</v>
      </c>
      <c r="R167" s="27" t="str">
        <f>VLOOKUP(Tabla1[[#This Row],[DETALLE ]],DATOS!L:M,2,0)</f>
        <v>PICKING</v>
      </c>
      <c r="S167" s="41" t="str">
        <f>IFERROR(IFERROR(VLOOKUP(Tabla1[[#This Row],[USUARIO PICKING ERROR]],DATOS!H:J,3,0),VLOOKUP(Tabla1[[#This Row],[USUARIO FILTRO ERROR]],DATOS!O:P,2,0)),"-")</f>
        <v>DAVID PIÑAN</v>
      </c>
      <c r="T167" s="27" t="str">
        <f>UPPER(VLOOKUP(Tabla1[[#This Row],[CODIGO]],DATOS!A:E,5,0))</f>
        <v>FLUJO CONTINUO</v>
      </c>
      <c r="U167" s="31">
        <f>(Tabla1[[#This Row],[CANTIDAD]])*(VLOOKUP(Tabla1[[#This Row],[CODIGO]],DATOS!A:D,4,0))</f>
        <v>45.150000000000006</v>
      </c>
      <c r="V167" s="31" t="str">
        <f>VLOOKUP(Tabla1[[#This Row],[CODIGO]],DATOS!A:C,3,0)</f>
        <v>ABARROTES BEBIBLES</v>
      </c>
      <c r="W167" s="31" t="s">
        <v>13323</v>
      </c>
      <c r="X167" s="28" t="s">
        <v>21</v>
      </c>
      <c r="Y167" s="28" t="s">
        <v>13113</v>
      </c>
    </row>
    <row r="168" spans="1:25" ht="12" customHeight="1" x14ac:dyDescent="0.25">
      <c r="A168" s="46">
        <v>45687</v>
      </c>
      <c r="B168" s="2" t="s">
        <v>15</v>
      </c>
      <c r="C168" s="2" t="s">
        <v>15</v>
      </c>
      <c r="D168" s="2">
        <v>886904</v>
      </c>
      <c r="E168" s="2" t="s">
        <v>23</v>
      </c>
      <c r="F168" s="2">
        <v>1</v>
      </c>
      <c r="G168" s="2" t="s">
        <v>24</v>
      </c>
      <c r="H168" s="2" t="s">
        <v>25</v>
      </c>
      <c r="I168" s="75" t="s">
        <v>12940</v>
      </c>
      <c r="J168" s="9" t="s">
        <v>26</v>
      </c>
      <c r="K168" s="10">
        <v>7620861775</v>
      </c>
      <c r="L168" s="10" t="s">
        <v>27</v>
      </c>
      <c r="M168" s="10" t="s">
        <v>15</v>
      </c>
      <c r="N168" s="10" t="s">
        <v>18</v>
      </c>
      <c r="O168" s="10" t="s">
        <v>13093</v>
      </c>
      <c r="P168" s="10" t="s">
        <v>28</v>
      </c>
      <c r="Q168" s="2" t="s">
        <v>29</v>
      </c>
      <c r="R168" s="27" t="str">
        <f>VLOOKUP(Tabla1[[#This Row],[DETALLE ]],DATOS!L:M,2,0)</f>
        <v>PICKING</v>
      </c>
      <c r="S168" s="41" t="str">
        <f>IFERROR(IFERROR(VLOOKUP(Tabla1[[#This Row],[USUARIO PICKING ERROR]],DATOS!H:J,3,0),VLOOKUP(Tabla1[[#This Row],[USUARIO FILTRO ERROR]],DATOS!O:P,2,0)),"-")</f>
        <v>BENJAMIN LIZARBE</v>
      </c>
      <c r="T168" s="27" t="str">
        <f>UPPER(VLOOKUP(Tabla1[[#This Row],[CODIGO]],DATOS!A:E,5,0))</f>
        <v>FLUJO CONTINUO</v>
      </c>
      <c r="U168" s="31">
        <f>(Tabla1[[#This Row],[CANTIDAD]])*(VLOOKUP(Tabla1[[#This Row],[CODIGO]],DATOS!A:D,4,0))</f>
        <v>6.48</v>
      </c>
      <c r="V168" s="31" t="str">
        <f>VLOOKUP(Tabla1[[#This Row],[CODIGO]],DATOS!A:C,3,0)</f>
        <v>ABARROTES BEBIBLES</v>
      </c>
      <c r="W168" s="31" t="s">
        <v>13323</v>
      </c>
      <c r="X168" s="28" t="s">
        <v>13086</v>
      </c>
      <c r="Y168" s="28" t="s">
        <v>13113</v>
      </c>
    </row>
    <row r="169" spans="1:25" ht="12" customHeight="1" x14ac:dyDescent="0.25">
      <c r="A169" s="46">
        <v>45687</v>
      </c>
      <c r="B169" s="2" t="s">
        <v>15</v>
      </c>
      <c r="C169" s="2" t="s">
        <v>15</v>
      </c>
      <c r="D169" s="2">
        <v>886903</v>
      </c>
      <c r="E169" s="2" t="s">
        <v>31</v>
      </c>
      <c r="F169" s="2">
        <v>1</v>
      </c>
      <c r="G169" s="2" t="s">
        <v>24</v>
      </c>
      <c r="H169" s="2" t="s">
        <v>25</v>
      </c>
      <c r="I169" s="75" t="s">
        <v>12940</v>
      </c>
      <c r="J169" s="9" t="s">
        <v>26</v>
      </c>
      <c r="K169" s="10">
        <v>7620861775</v>
      </c>
      <c r="L169" s="10" t="s">
        <v>27</v>
      </c>
      <c r="M169" s="10" t="s">
        <v>15</v>
      </c>
      <c r="N169" s="10" t="s">
        <v>18</v>
      </c>
      <c r="O169" s="10" t="s">
        <v>13093</v>
      </c>
      <c r="P169" s="10" t="s">
        <v>28</v>
      </c>
      <c r="Q169" s="2" t="s">
        <v>29</v>
      </c>
      <c r="R169" s="27" t="str">
        <f>VLOOKUP(Tabla1[[#This Row],[DETALLE ]],DATOS!L:M,2,0)</f>
        <v>PICKING</v>
      </c>
      <c r="S169" s="41" t="str">
        <f>IFERROR(IFERROR(VLOOKUP(Tabla1[[#This Row],[USUARIO PICKING ERROR]],DATOS!H:J,3,0),VLOOKUP(Tabla1[[#This Row],[USUARIO FILTRO ERROR]],DATOS!O:P,2,0)),"-")</f>
        <v>BENJAMIN LIZARBE</v>
      </c>
      <c r="T169" s="27" t="str">
        <f>UPPER(VLOOKUP(Tabla1[[#This Row],[CODIGO]],DATOS!A:E,5,0))</f>
        <v>FLUJO CONTINUO</v>
      </c>
      <c r="U169" s="31">
        <f>(Tabla1[[#This Row],[CANTIDAD]])*(VLOOKUP(Tabla1[[#This Row],[CODIGO]],DATOS!A:D,4,0))</f>
        <v>6.48</v>
      </c>
      <c r="V169" s="31" t="str">
        <f>VLOOKUP(Tabla1[[#This Row],[CODIGO]],DATOS!A:C,3,0)</f>
        <v>ABARROTES BEBIBLES</v>
      </c>
      <c r="W169" s="31" t="s">
        <v>13323</v>
      </c>
      <c r="X169" s="28" t="s">
        <v>13086</v>
      </c>
      <c r="Y169" s="28" t="s">
        <v>13113</v>
      </c>
    </row>
    <row r="170" spans="1:25" ht="12" customHeight="1" x14ac:dyDescent="0.25">
      <c r="A170" s="46">
        <v>45687</v>
      </c>
      <c r="B170" s="2" t="s">
        <v>68</v>
      </c>
      <c r="C170" s="2">
        <v>7620854929</v>
      </c>
      <c r="D170" s="2">
        <v>753538006</v>
      </c>
      <c r="E170" s="2" t="s">
        <v>81</v>
      </c>
      <c r="F170" s="2">
        <v>24</v>
      </c>
      <c r="G170" s="2" t="s">
        <v>15</v>
      </c>
      <c r="H170" s="2" t="s">
        <v>17</v>
      </c>
      <c r="I170" s="75" t="s">
        <v>15</v>
      </c>
      <c r="J170" s="9" t="s">
        <v>15</v>
      </c>
      <c r="K170" s="10" t="s">
        <v>15</v>
      </c>
      <c r="L170" s="10" t="s">
        <v>82</v>
      </c>
      <c r="M170" s="10" t="s">
        <v>15</v>
      </c>
      <c r="N170" s="10" t="s">
        <v>18</v>
      </c>
      <c r="O170" s="10" t="s">
        <v>13020</v>
      </c>
      <c r="P170" s="10" t="s">
        <v>17</v>
      </c>
      <c r="Q170" s="2" t="s">
        <v>29</v>
      </c>
      <c r="R170" s="27" t="str">
        <f>VLOOKUP(Tabla1[[#This Row],[DETALLE ]],DATOS!L:M,2,0)</f>
        <v>PICKING</v>
      </c>
      <c r="S170" s="41" t="str">
        <f>IFERROR(IFERROR(VLOOKUP(Tabla1[[#This Row],[USUARIO PICKING ERROR]],DATOS!H:J,3,0),VLOOKUP(Tabla1[[#This Row],[USUARIO FILTRO ERROR]],DATOS!O:P,2,0)),"-")</f>
        <v>BENJAMIN LIZARBE</v>
      </c>
      <c r="T170" s="27" t="str">
        <f>UPPER(VLOOKUP(Tabla1[[#This Row],[CODIGO]],DATOS!A:E,5,0))</f>
        <v>FLUJO CONTINUO</v>
      </c>
      <c r="U170" s="31">
        <f>(Tabla1[[#This Row],[CANTIDAD]])*(VLOOKUP(Tabla1[[#This Row],[CODIGO]],DATOS!A:D,4,0))</f>
        <v>170.88</v>
      </c>
      <c r="V170" s="31" t="str">
        <f>VLOOKUP(Tabla1[[#This Row],[CODIGO]],DATOS!A:C,3,0)</f>
        <v>ABARROTES BEBIBLES</v>
      </c>
      <c r="W170" s="31" t="s">
        <v>13323</v>
      </c>
      <c r="X170" s="28" t="s">
        <v>21</v>
      </c>
      <c r="Y170" s="28" t="s">
        <v>13113</v>
      </c>
    </row>
    <row r="171" spans="1:25" ht="12" customHeight="1" x14ac:dyDescent="0.25">
      <c r="A171" s="46">
        <v>45688</v>
      </c>
      <c r="B171" s="2" t="s">
        <v>88</v>
      </c>
      <c r="C171" s="2">
        <v>7620866152</v>
      </c>
      <c r="D171" s="2">
        <v>1024863002</v>
      </c>
      <c r="E171" s="2" t="s">
        <v>89</v>
      </c>
      <c r="F171" s="2">
        <v>1</v>
      </c>
      <c r="G171" s="2" t="s">
        <v>15</v>
      </c>
      <c r="H171" s="2" t="s">
        <v>17</v>
      </c>
      <c r="I171" s="75" t="s">
        <v>15</v>
      </c>
      <c r="J171" s="9" t="s">
        <v>15</v>
      </c>
      <c r="K171" s="10" t="s">
        <v>15</v>
      </c>
      <c r="L171" s="10" t="s">
        <v>90</v>
      </c>
      <c r="M171" s="10" t="s">
        <v>15</v>
      </c>
      <c r="N171" s="10" t="s">
        <v>18</v>
      </c>
      <c r="O171" s="10" t="s">
        <v>13020</v>
      </c>
      <c r="P171" s="10" t="s">
        <v>17</v>
      </c>
      <c r="Q171" s="2" t="s">
        <v>29</v>
      </c>
      <c r="R171" s="27" t="str">
        <f>VLOOKUP(Tabla1[[#This Row],[DETALLE ]],DATOS!L:M,2,0)</f>
        <v>PICKING</v>
      </c>
      <c r="S171" s="41" t="str">
        <f>IFERROR(IFERROR(VLOOKUP(Tabla1[[#This Row],[USUARIO PICKING ERROR]],DATOS!H:J,3,0),VLOOKUP(Tabla1[[#This Row],[USUARIO FILTRO ERROR]],DATOS!O:P,2,0)),"-")</f>
        <v>BENJAMIN LIZARBE</v>
      </c>
      <c r="T171" s="27" t="str">
        <f>UPPER(VLOOKUP(Tabla1[[#This Row],[CODIGO]],DATOS!A:E,5,0))</f>
        <v>FLUJO CONTINUO</v>
      </c>
      <c r="U171" s="31">
        <f>(Tabla1[[#This Row],[CANTIDAD]])*(VLOOKUP(Tabla1[[#This Row],[CODIGO]],DATOS!A:D,4,0))</f>
        <v>4.49</v>
      </c>
      <c r="V171" s="31" t="str">
        <f>VLOOKUP(Tabla1[[#This Row],[CODIGO]],DATOS!A:C,3,0)</f>
        <v>ABARROTES BEBIBLES</v>
      </c>
      <c r="W171" s="31" t="s">
        <v>13323</v>
      </c>
      <c r="X171" s="28" t="s">
        <v>21</v>
      </c>
      <c r="Y171" s="28" t="s">
        <v>13113</v>
      </c>
    </row>
    <row r="172" spans="1:25" ht="12" customHeight="1" x14ac:dyDescent="0.25">
      <c r="A172" s="46">
        <v>45689</v>
      </c>
      <c r="B172" s="2" t="s">
        <v>15</v>
      </c>
      <c r="C172" s="2" t="s">
        <v>15</v>
      </c>
      <c r="D172" s="2">
        <v>62649</v>
      </c>
      <c r="E172" s="2" t="s">
        <v>32</v>
      </c>
      <c r="F172" s="2">
        <v>1</v>
      </c>
      <c r="G172" s="2" t="s">
        <v>15</v>
      </c>
      <c r="H172" s="2" t="s">
        <v>25</v>
      </c>
      <c r="I172" s="75" t="s">
        <v>15</v>
      </c>
      <c r="J172" s="9" t="s">
        <v>15</v>
      </c>
      <c r="K172" s="10" t="s">
        <v>15</v>
      </c>
      <c r="L172" s="10" t="s">
        <v>14</v>
      </c>
      <c r="M172" s="10" t="s">
        <v>15</v>
      </c>
      <c r="N172" s="10" t="s">
        <v>18</v>
      </c>
      <c r="O172" s="10" t="s">
        <v>13098</v>
      </c>
      <c r="P172" s="10" t="s">
        <v>25</v>
      </c>
      <c r="Q172" s="2" t="s">
        <v>14</v>
      </c>
      <c r="R172" s="27" t="str">
        <f>VLOOKUP(Tabla1[[#This Row],[DETALLE ]],DATOS!L:M,2,0)</f>
        <v>PICKING</v>
      </c>
      <c r="S172" s="41" t="str">
        <f>IFERROR(IFERROR(VLOOKUP(Tabla1[[#This Row],[USUARIO PICKING ERROR]],DATOS!H:J,3,0),VLOOKUP(Tabla1[[#This Row],[USUARIO FILTRO ERROR]],DATOS!O:P,2,0)),"-")</f>
        <v>ALMACEN</v>
      </c>
      <c r="T172" s="27" t="str">
        <f>UPPER(VLOOKUP(Tabla1[[#This Row],[CODIGO]],DATOS!A:E,5,0))</f>
        <v>ALMACENADO</v>
      </c>
      <c r="U172" s="31">
        <f>(Tabla1[[#This Row],[CANTIDAD]])*(VLOOKUP(Tabla1[[#This Row],[CODIGO]],DATOS!A:D,4,0))</f>
        <v>29.81</v>
      </c>
      <c r="V172" s="31" t="str">
        <f>VLOOKUP(Tabla1[[#This Row],[CODIGO]],DATOS!A:C,3,0)</f>
        <v>ABARROTES BEBIBLES</v>
      </c>
      <c r="W172" s="31" t="s">
        <v>13323</v>
      </c>
      <c r="X172" s="28" t="s">
        <v>21</v>
      </c>
      <c r="Y172" s="28" t="s">
        <v>13113</v>
      </c>
    </row>
    <row r="173" spans="1:25" ht="12" customHeight="1" x14ac:dyDescent="0.25">
      <c r="A173" s="46">
        <v>45689</v>
      </c>
      <c r="B173" s="2" t="s">
        <v>40</v>
      </c>
      <c r="C173" s="2">
        <v>7620867312</v>
      </c>
      <c r="D173" s="2">
        <v>1016328</v>
      </c>
      <c r="E173" s="2" t="s">
        <v>41</v>
      </c>
      <c r="F173" s="2">
        <v>24</v>
      </c>
      <c r="G173" s="2" t="s">
        <v>42</v>
      </c>
      <c r="H173" s="2" t="s">
        <v>17</v>
      </c>
      <c r="I173" s="75" t="s">
        <v>12940</v>
      </c>
      <c r="J173" s="9" t="s">
        <v>40</v>
      </c>
      <c r="K173" s="10">
        <v>7620866459</v>
      </c>
      <c r="L173" s="10" t="s">
        <v>43</v>
      </c>
      <c r="M173" s="10" t="s">
        <v>15</v>
      </c>
      <c r="N173" s="10" t="s">
        <v>18</v>
      </c>
      <c r="O173" s="10" t="s">
        <v>13020</v>
      </c>
      <c r="P173" s="10" t="s">
        <v>28</v>
      </c>
      <c r="Q173" s="2" t="s">
        <v>29</v>
      </c>
      <c r="R173" s="27" t="str">
        <f>VLOOKUP(Tabla1[[#This Row],[DETALLE ]],DATOS!L:M,2,0)</f>
        <v>PICKING</v>
      </c>
      <c r="S173" s="41" t="str">
        <f>IFERROR(IFERROR(VLOOKUP(Tabla1[[#This Row],[USUARIO PICKING ERROR]],DATOS!H:J,3,0),VLOOKUP(Tabla1[[#This Row],[USUARIO FILTRO ERROR]],DATOS!O:P,2,0)),"-")</f>
        <v>BENJAMIN LIZARBE</v>
      </c>
      <c r="T173" s="27" t="str">
        <f>UPPER(VLOOKUP(Tabla1[[#This Row],[CODIGO]],DATOS!A:E,5,0))</f>
        <v>FLUJO CONTINUO</v>
      </c>
      <c r="U173" s="31">
        <f>(Tabla1[[#This Row],[CANTIDAD]])*(VLOOKUP(Tabla1[[#This Row],[CODIGO]],DATOS!A:D,4,0))</f>
        <v>101.76</v>
      </c>
      <c r="V173" s="31" t="str">
        <f>VLOOKUP(Tabla1[[#This Row],[CODIGO]],DATOS!A:C,3,0)</f>
        <v>ABARROTES NO COMESTIBLES</v>
      </c>
      <c r="W173" s="31" t="s">
        <v>13323</v>
      </c>
      <c r="X173" s="28" t="s">
        <v>13086</v>
      </c>
      <c r="Y173" s="28" t="s">
        <v>13113</v>
      </c>
    </row>
    <row r="174" spans="1:25" ht="12" customHeight="1" x14ac:dyDescent="0.25">
      <c r="A174" s="46">
        <v>45689</v>
      </c>
      <c r="B174" s="2" t="s">
        <v>44</v>
      </c>
      <c r="C174" s="2">
        <v>7620863235</v>
      </c>
      <c r="D174" s="2">
        <v>1001398</v>
      </c>
      <c r="E174" s="2" t="s">
        <v>45</v>
      </c>
      <c r="F174" s="2">
        <v>6</v>
      </c>
      <c r="G174" s="2" t="s">
        <v>42</v>
      </c>
      <c r="H174" s="2" t="s">
        <v>17</v>
      </c>
      <c r="I174" s="75" t="s">
        <v>12940</v>
      </c>
      <c r="J174" s="9" t="s">
        <v>44</v>
      </c>
      <c r="K174" s="10">
        <v>7620863235</v>
      </c>
      <c r="L174" s="10" t="s">
        <v>84</v>
      </c>
      <c r="M174" s="10" t="s">
        <v>13014</v>
      </c>
      <c r="N174" s="10" t="s">
        <v>12957</v>
      </c>
      <c r="O174" s="10" t="s">
        <v>13100</v>
      </c>
      <c r="P174" s="10" t="s">
        <v>28</v>
      </c>
      <c r="Q174" s="2" t="s">
        <v>39</v>
      </c>
      <c r="R174" s="27" t="str">
        <f>VLOOKUP(Tabla1[[#This Row],[DETALLE ]],DATOS!L:M,2,0)</f>
        <v>FILTRO</v>
      </c>
      <c r="S174" s="41" t="str">
        <f>IFERROR(IFERROR(VLOOKUP(Tabla1[[#This Row],[USUARIO PICKING ERROR]],DATOS!H:J,3,0),VLOOKUP(Tabla1[[#This Row],[USUARIO FILTRO ERROR]],DATOS!O:P,2,0)),"-")</f>
        <v>DAVID PIÑAN</v>
      </c>
      <c r="T174" s="27" t="str">
        <f>UPPER(VLOOKUP(Tabla1[[#This Row],[CODIGO]],DATOS!A:E,5,0))</f>
        <v>FLUJO CONTINUO</v>
      </c>
      <c r="U174" s="31">
        <f>(Tabla1[[#This Row],[CANTIDAD]])*(VLOOKUP(Tabla1[[#This Row],[CODIGO]],DATOS!A:D,4,0))</f>
        <v>147.47999999999999</v>
      </c>
      <c r="V174" s="31" t="str">
        <f>VLOOKUP(Tabla1[[#This Row],[CODIGO]],DATOS!A:C,3,0)</f>
        <v>ABARROTES BEBIBLES</v>
      </c>
      <c r="W174" s="31" t="s">
        <v>13323</v>
      </c>
      <c r="X174" s="28" t="s">
        <v>13086</v>
      </c>
      <c r="Y174" s="28" t="s">
        <v>13113</v>
      </c>
    </row>
    <row r="175" spans="1:25" ht="12" customHeight="1" x14ac:dyDescent="0.25">
      <c r="A175" s="46">
        <v>45689</v>
      </c>
      <c r="B175" s="2" t="s">
        <v>50</v>
      </c>
      <c r="C175" s="2">
        <v>7620866315</v>
      </c>
      <c r="D175" s="2">
        <v>134526</v>
      </c>
      <c r="E175" s="2" t="s">
        <v>51</v>
      </c>
      <c r="F175" s="2">
        <v>1</v>
      </c>
      <c r="G175" s="2" t="s">
        <v>52</v>
      </c>
      <c r="H175" s="2" t="s">
        <v>25</v>
      </c>
      <c r="I175" s="75" t="s">
        <v>13140</v>
      </c>
      <c r="J175" s="9" t="s">
        <v>15</v>
      </c>
      <c r="K175" s="10" t="s">
        <v>15</v>
      </c>
      <c r="L175" s="10" t="s">
        <v>53</v>
      </c>
      <c r="M175" s="10" t="s">
        <v>15</v>
      </c>
      <c r="N175" s="10" t="s">
        <v>18</v>
      </c>
      <c r="O175" s="10" t="s">
        <v>13089</v>
      </c>
      <c r="P175" s="10" t="s">
        <v>25</v>
      </c>
      <c r="Q175" s="2" t="s">
        <v>39</v>
      </c>
      <c r="R175" s="27" t="str">
        <f>VLOOKUP(Tabla1[[#This Row],[DETALLE ]],DATOS!L:M,2,0)</f>
        <v>PICKING</v>
      </c>
      <c r="S175" s="41" t="str">
        <f>IFERROR(IFERROR(VLOOKUP(Tabla1[[#This Row],[USUARIO PICKING ERROR]],DATOS!H:J,3,0),VLOOKUP(Tabla1[[#This Row],[USUARIO FILTRO ERROR]],DATOS!O:P,2,0)),"-")</f>
        <v>DAVID PIÑAN</v>
      </c>
      <c r="T175" s="27" t="str">
        <f>UPPER(VLOOKUP(Tabla1[[#This Row],[CODIGO]],DATOS!A:E,5,0))</f>
        <v>FLUJO CONTINUO</v>
      </c>
      <c r="U175" s="31">
        <f>(Tabla1[[#This Row],[CANTIDAD]])*(VLOOKUP(Tabla1[[#This Row],[CODIGO]],DATOS!A:D,4,0))</f>
        <v>12.56</v>
      </c>
      <c r="V175" s="31" t="str">
        <f>VLOOKUP(Tabla1[[#This Row],[CODIGO]],DATOS!A:C,3,0)</f>
        <v>ABARROTES COMESTIBLES</v>
      </c>
      <c r="W175" s="31" t="s">
        <v>13323</v>
      </c>
      <c r="X175" s="28" t="s">
        <v>21</v>
      </c>
      <c r="Y175" s="28" t="s">
        <v>13113</v>
      </c>
    </row>
    <row r="176" spans="1:25" ht="12" customHeight="1" x14ac:dyDescent="0.25">
      <c r="A176" s="46">
        <v>45689</v>
      </c>
      <c r="B176" s="2" t="s">
        <v>58</v>
      </c>
      <c r="C176" s="2">
        <v>7620856031</v>
      </c>
      <c r="D176" s="2">
        <v>886904</v>
      </c>
      <c r="E176" s="2" t="s">
        <v>23</v>
      </c>
      <c r="F176" s="2">
        <v>6</v>
      </c>
      <c r="G176" s="2" t="s">
        <v>24</v>
      </c>
      <c r="H176" s="2" t="s">
        <v>25</v>
      </c>
      <c r="I176" s="75" t="s">
        <v>12940</v>
      </c>
      <c r="J176" s="9" t="s">
        <v>15</v>
      </c>
      <c r="K176" s="10" t="s">
        <v>15</v>
      </c>
      <c r="L176" s="10" t="s">
        <v>59</v>
      </c>
      <c r="M176" s="10" t="s">
        <v>15</v>
      </c>
      <c r="N176" s="10" t="s">
        <v>18</v>
      </c>
      <c r="O176" s="10" t="s">
        <v>13093</v>
      </c>
      <c r="P176" s="10" t="s">
        <v>25</v>
      </c>
      <c r="Q176" s="2" t="s">
        <v>39</v>
      </c>
      <c r="R176" s="27" t="str">
        <f>VLOOKUP(Tabla1[[#This Row],[DETALLE ]],DATOS!L:M,2,0)</f>
        <v>PICKING</v>
      </c>
      <c r="S176" s="41" t="str">
        <f>IFERROR(IFERROR(VLOOKUP(Tabla1[[#This Row],[USUARIO PICKING ERROR]],DATOS!H:J,3,0),VLOOKUP(Tabla1[[#This Row],[USUARIO FILTRO ERROR]],DATOS!O:P,2,0)),"-")</f>
        <v>DAVID PIÑAN</v>
      </c>
      <c r="T176" s="27" t="str">
        <f>UPPER(VLOOKUP(Tabla1[[#This Row],[CODIGO]],DATOS!A:E,5,0))</f>
        <v>FLUJO CONTINUO</v>
      </c>
      <c r="U176" s="31">
        <f>(Tabla1[[#This Row],[CANTIDAD]])*(VLOOKUP(Tabla1[[#This Row],[CODIGO]],DATOS!A:D,4,0))</f>
        <v>38.880000000000003</v>
      </c>
      <c r="V176" s="31" t="str">
        <f>VLOOKUP(Tabla1[[#This Row],[CODIGO]],DATOS!A:C,3,0)</f>
        <v>ABARROTES BEBIBLES</v>
      </c>
      <c r="W176" s="31" t="s">
        <v>13323</v>
      </c>
      <c r="X176" s="28" t="s">
        <v>21</v>
      </c>
      <c r="Y176" s="28" t="s">
        <v>13113</v>
      </c>
    </row>
    <row r="177" spans="1:25" ht="12" customHeight="1" x14ac:dyDescent="0.25">
      <c r="A177" s="46">
        <v>45689</v>
      </c>
      <c r="B177" s="2" t="s">
        <v>15</v>
      </c>
      <c r="C177" s="2" t="s">
        <v>15</v>
      </c>
      <c r="D177" s="2">
        <v>1023462</v>
      </c>
      <c r="E177" s="2" t="s">
        <v>61</v>
      </c>
      <c r="F177" s="2">
        <v>1</v>
      </c>
      <c r="G177" s="2" t="s">
        <v>15</v>
      </c>
      <c r="H177" s="2" t="s">
        <v>25</v>
      </c>
      <c r="I177" s="75" t="s">
        <v>15</v>
      </c>
      <c r="J177" s="9" t="s">
        <v>15</v>
      </c>
      <c r="K177" s="10" t="s">
        <v>15</v>
      </c>
      <c r="L177" s="10" t="s">
        <v>14</v>
      </c>
      <c r="M177" s="10" t="s">
        <v>15</v>
      </c>
      <c r="N177" s="10" t="s">
        <v>18</v>
      </c>
      <c r="O177" s="10" t="s">
        <v>13098</v>
      </c>
      <c r="P177" s="10" t="s">
        <v>25</v>
      </c>
      <c r="Q177" s="2" t="s">
        <v>14</v>
      </c>
      <c r="R177" s="27" t="str">
        <f>VLOOKUP(Tabla1[[#This Row],[DETALLE ]],DATOS!L:M,2,0)</f>
        <v>PICKING</v>
      </c>
      <c r="S177" s="41" t="str">
        <f>IFERROR(IFERROR(VLOOKUP(Tabla1[[#This Row],[USUARIO PICKING ERROR]],DATOS!H:J,3,0),VLOOKUP(Tabla1[[#This Row],[USUARIO FILTRO ERROR]],DATOS!O:P,2,0)),"-")</f>
        <v>ALMACEN</v>
      </c>
      <c r="T177" s="27" t="str">
        <f>UPPER(VLOOKUP(Tabla1[[#This Row],[CODIGO]],DATOS!A:E,5,0))</f>
        <v>ALMACENADO</v>
      </c>
      <c r="U177" s="31">
        <f>(Tabla1[[#This Row],[CANTIDAD]])*(VLOOKUP(Tabla1[[#This Row],[CODIGO]],DATOS!A:D,4,0))</f>
        <v>57.01</v>
      </c>
      <c r="V177" s="31" t="str">
        <f>VLOOKUP(Tabla1[[#This Row],[CODIGO]],DATOS!A:C,3,0)</f>
        <v>ABARROTES BEBIBLES</v>
      </c>
      <c r="W177" s="31" t="s">
        <v>13323</v>
      </c>
      <c r="X177" s="28" t="s">
        <v>21</v>
      </c>
      <c r="Y177" s="28" t="s">
        <v>13113</v>
      </c>
    </row>
    <row r="178" spans="1:25" ht="12" customHeight="1" x14ac:dyDescent="0.25">
      <c r="A178" s="46">
        <v>45689</v>
      </c>
      <c r="B178" s="2" t="s">
        <v>58</v>
      </c>
      <c r="C178" s="2">
        <v>7620856031</v>
      </c>
      <c r="D178" s="2">
        <v>3863001</v>
      </c>
      <c r="E178" s="2" t="s">
        <v>62</v>
      </c>
      <c r="F178" s="2">
        <v>1</v>
      </c>
      <c r="G178" s="2" t="s">
        <v>24</v>
      </c>
      <c r="H178" s="2" t="s">
        <v>25</v>
      </c>
      <c r="I178" s="75" t="s">
        <v>12940</v>
      </c>
      <c r="J178" s="9" t="s">
        <v>15</v>
      </c>
      <c r="K178" s="10" t="s">
        <v>15</v>
      </c>
      <c r="L178" s="10" t="s">
        <v>63</v>
      </c>
      <c r="M178" s="10" t="s">
        <v>15</v>
      </c>
      <c r="N178" s="10" t="s">
        <v>18</v>
      </c>
      <c r="O178" s="10" t="s">
        <v>13093</v>
      </c>
      <c r="P178" s="10" t="s">
        <v>25</v>
      </c>
      <c r="Q178" s="2" t="s">
        <v>39</v>
      </c>
      <c r="R178" s="27" t="str">
        <f>VLOOKUP(Tabla1[[#This Row],[DETALLE ]],DATOS!L:M,2,0)</f>
        <v>PICKING</v>
      </c>
      <c r="S178" s="41" t="str">
        <f>IFERROR(IFERROR(VLOOKUP(Tabla1[[#This Row],[USUARIO PICKING ERROR]],DATOS!H:J,3,0),VLOOKUP(Tabla1[[#This Row],[USUARIO FILTRO ERROR]],DATOS!O:P,2,0)),"-")</f>
        <v>DAVID PIÑAN</v>
      </c>
      <c r="T178" s="27" t="str">
        <f>UPPER(VLOOKUP(Tabla1[[#This Row],[CODIGO]],DATOS!A:E,5,0))</f>
        <v>FLUJO CONTINUO</v>
      </c>
      <c r="U178" s="31">
        <f>(Tabla1[[#This Row],[CANTIDAD]])*(VLOOKUP(Tabla1[[#This Row],[CODIGO]],DATOS!A:D,4,0))</f>
        <v>12.9</v>
      </c>
      <c r="V178" s="31" t="str">
        <f>VLOOKUP(Tabla1[[#This Row],[CODIGO]],DATOS!A:C,3,0)</f>
        <v>ABARROTES BEBIBLES</v>
      </c>
      <c r="W178" s="31" t="s">
        <v>13323</v>
      </c>
      <c r="X178" s="28" t="s">
        <v>21</v>
      </c>
      <c r="Y178" s="28" t="s">
        <v>13113</v>
      </c>
    </row>
    <row r="179" spans="1:25" ht="12" customHeight="1" x14ac:dyDescent="0.25">
      <c r="A179" s="46">
        <v>45689</v>
      </c>
      <c r="B179" s="2" t="s">
        <v>58</v>
      </c>
      <c r="C179" s="2">
        <v>7620856031</v>
      </c>
      <c r="D179" s="2">
        <v>130674001</v>
      </c>
      <c r="E179" s="2" t="s">
        <v>103</v>
      </c>
      <c r="F179" s="2">
        <v>3</v>
      </c>
      <c r="G179" s="2" t="s">
        <v>24</v>
      </c>
      <c r="H179" s="2" t="s">
        <v>25</v>
      </c>
      <c r="I179" s="75" t="s">
        <v>12940</v>
      </c>
      <c r="J179" s="9" t="s">
        <v>15</v>
      </c>
      <c r="K179" s="10" t="s">
        <v>15</v>
      </c>
      <c r="L179" s="10" t="s">
        <v>104</v>
      </c>
      <c r="M179" s="10" t="s">
        <v>15</v>
      </c>
      <c r="N179" s="10" t="s">
        <v>18</v>
      </c>
      <c r="O179" s="10" t="s">
        <v>13093</v>
      </c>
      <c r="P179" s="10" t="s">
        <v>25</v>
      </c>
      <c r="Q179" s="2" t="s">
        <v>39</v>
      </c>
      <c r="R179" s="27" t="str">
        <f>VLOOKUP(Tabla1[[#This Row],[DETALLE ]],DATOS!L:M,2,0)</f>
        <v>PICKING</v>
      </c>
      <c r="S179" s="41" t="str">
        <f>IFERROR(IFERROR(VLOOKUP(Tabla1[[#This Row],[USUARIO PICKING ERROR]],DATOS!H:J,3,0),VLOOKUP(Tabla1[[#This Row],[USUARIO FILTRO ERROR]],DATOS!O:P,2,0)),"-")</f>
        <v>DAVID PIÑAN</v>
      </c>
      <c r="T179" s="27" t="str">
        <f>UPPER(VLOOKUP(Tabla1[[#This Row],[CODIGO]],DATOS!A:E,5,0))</f>
        <v>FLUJO CONTINUO</v>
      </c>
      <c r="U179" s="31">
        <f>(Tabla1[[#This Row],[CANTIDAD]])*(VLOOKUP(Tabla1[[#This Row],[CODIGO]],DATOS!A:D,4,0))</f>
        <v>57.989999999999995</v>
      </c>
      <c r="V179" s="31" t="str">
        <f>VLOOKUP(Tabla1[[#This Row],[CODIGO]],DATOS!A:C,3,0)</f>
        <v>ABARROTES BEBIBLES</v>
      </c>
      <c r="W179" s="31" t="s">
        <v>13323</v>
      </c>
      <c r="X179" s="28" t="s">
        <v>21</v>
      </c>
      <c r="Y179" s="28" t="s">
        <v>13113</v>
      </c>
    </row>
    <row r="180" spans="1:25" ht="12" customHeight="1" x14ac:dyDescent="0.25">
      <c r="A180" s="46">
        <v>45689</v>
      </c>
      <c r="B180" s="2" t="s">
        <v>15</v>
      </c>
      <c r="C180" s="2" t="s">
        <v>15</v>
      </c>
      <c r="D180" s="2">
        <v>752676001</v>
      </c>
      <c r="E180" s="2" t="s">
        <v>105</v>
      </c>
      <c r="F180" s="2">
        <v>3</v>
      </c>
      <c r="G180" s="2" t="s">
        <v>15</v>
      </c>
      <c r="H180" s="2" t="s">
        <v>25</v>
      </c>
      <c r="I180" s="75" t="s">
        <v>15</v>
      </c>
      <c r="J180" s="9" t="s">
        <v>15</v>
      </c>
      <c r="K180" s="10" t="s">
        <v>15</v>
      </c>
      <c r="L180" s="10" t="s">
        <v>14</v>
      </c>
      <c r="M180" s="10" t="s">
        <v>15</v>
      </c>
      <c r="N180" s="10" t="s">
        <v>18</v>
      </c>
      <c r="O180" s="10" t="s">
        <v>13093</v>
      </c>
      <c r="P180" s="10" t="s">
        <v>25</v>
      </c>
      <c r="Q180" s="2" t="s">
        <v>14</v>
      </c>
      <c r="R180" s="27" t="str">
        <f>VLOOKUP(Tabla1[[#This Row],[DETALLE ]],DATOS!L:M,2,0)</f>
        <v>PICKING</v>
      </c>
      <c r="S180" s="41" t="str">
        <f>IFERROR(IFERROR(VLOOKUP(Tabla1[[#This Row],[USUARIO PICKING ERROR]],DATOS!H:J,3,0),VLOOKUP(Tabla1[[#This Row],[USUARIO FILTRO ERROR]],DATOS!O:P,2,0)),"-")</f>
        <v>ALMACEN</v>
      </c>
      <c r="T180" s="27" t="str">
        <f>UPPER(VLOOKUP(Tabla1[[#This Row],[CODIGO]],DATOS!A:E,5,0))</f>
        <v>FLUJO CONTINUO</v>
      </c>
      <c r="U180" s="31">
        <f>(Tabla1[[#This Row],[CANTIDAD]])*(VLOOKUP(Tabla1[[#This Row],[CODIGO]],DATOS!A:D,4,0))</f>
        <v>139.41</v>
      </c>
      <c r="V180" s="31" t="str">
        <f>VLOOKUP(Tabla1[[#This Row],[CODIGO]],DATOS!A:C,3,0)</f>
        <v>ABARROTES BEBIBLES</v>
      </c>
      <c r="W180" s="31" t="s">
        <v>13323</v>
      </c>
      <c r="X180" s="28" t="s">
        <v>21</v>
      </c>
      <c r="Y180" s="28" t="s">
        <v>13113</v>
      </c>
    </row>
    <row r="181" spans="1:25" ht="12" customHeight="1" x14ac:dyDescent="0.25">
      <c r="A181" s="46">
        <v>45689</v>
      </c>
      <c r="B181" s="2" t="s">
        <v>40</v>
      </c>
      <c r="C181" s="2">
        <v>7620867312</v>
      </c>
      <c r="D181" s="2">
        <v>1016328</v>
      </c>
      <c r="E181" s="2" t="s">
        <v>41</v>
      </c>
      <c r="F181" s="2">
        <v>24</v>
      </c>
      <c r="G181" s="2" t="s">
        <v>42</v>
      </c>
      <c r="H181" s="2" t="s">
        <v>17</v>
      </c>
      <c r="I181" s="75" t="s">
        <v>12940</v>
      </c>
      <c r="J181" s="9" t="s">
        <v>40</v>
      </c>
      <c r="K181" s="10">
        <v>7620866459</v>
      </c>
      <c r="L181" s="10" t="s">
        <v>43</v>
      </c>
      <c r="M181" s="10" t="s">
        <v>15</v>
      </c>
      <c r="N181" s="10" t="s">
        <v>18</v>
      </c>
      <c r="O181" s="10" t="s">
        <v>13020</v>
      </c>
      <c r="P181" s="10" t="s">
        <v>28</v>
      </c>
      <c r="Q181" s="2" t="s">
        <v>29</v>
      </c>
      <c r="R181" s="27" t="str">
        <f>VLOOKUP(Tabla1[[#This Row],[DETALLE ]],DATOS!L:M,2,0)</f>
        <v>PICKING</v>
      </c>
      <c r="S181" s="41" t="str">
        <f>IFERROR(IFERROR(VLOOKUP(Tabla1[[#This Row],[USUARIO PICKING ERROR]],DATOS!H:J,3,0),VLOOKUP(Tabla1[[#This Row],[USUARIO FILTRO ERROR]],DATOS!O:P,2,0)),"-")</f>
        <v>BENJAMIN LIZARBE</v>
      </c>
      <c r="T181" s="27" t="str">
        <f>UPPER(VLOOKUP(Tabla1[[#This Row],[CODIGO]],DATOS!A:E,5,0))</f>
        <v>FLUJO CONTINUO</v>
      </c>
      <c r="U181" s="31">
        <f>(Tabla1[[#This Row],[CANTIDAD]])*(VLOOKUP(Tabla1[[#This Row],[CODIGO]],DATOS!A:D,4,0))</f>
        <v>101.76</v>
      </c>
      <c r="V181" s="31" t="str">
        <f>VLOOKUP(Tabla1[[#This Row],[CODIGO]],DATOS!A:C,3,0)</f>
        <v>ABARROTES NO COMESTIBLES</v>
      </c>
      <c r="W181" s="31" t="s">
        <v>13323</v>
      </c>
      <c r="X181" s="28" t="s">
        <v>13086</v>
      </c>
      <c r="Y181" s="28" t="s">
        <v>13113</v>
      </c>
    </row>
    <row r="182" spans="1:25" ht="12" customHeight="1" x14ac:dyDescent="0.25">
      <c r="A182" s="46">
        <v>45690</v>
      </c>
      <c r="B182" s="2" t="s">
        <v>65</v>
      </c>
      <c r="C182" s="2">
        <v>7620866128</v>
      </c>
      <c r="D182" s="2">
        <v>1033106</v>
      </c>
      <c r="E182" s="2" t="s">
        <v>77</v>
      </c>
      <c r="F182" s="2">
        <v>18</v>
      </c>
      <c r="G182" s="2" t="s">
        <v>15</v>
      </c>
      <c r="H182" s="2" t="s">
        <v>17</v>
      </c>
      <c r="I182" s="75" t="s">
        <v>15</v>
      </c>
      <c r="J182" s="9" t="s">
        <v>15</v>
      </c>
      <c r="K182" s="10" t="s">
        <v>15</v>
      </c>
      <c r="L182" s="10" t="s">
        <v>78</v>
      </c>
      <c r="M182" s="10" t="s">
        <v>15</v>
      </c>
      <c r="N182" s="10" t="s">
        <v>18</v>
      </c>
      <c r="O182" s="10" t="s">
        <v>13020</v>
      </c>
      <c r="P182" s="10" t="s">
        <v>17</v>
      </c>
      <c r="Q182" s="2" t="s">
        <v>29</v>
      </c>
      <c r="R182" s="27" t="str">
        <f>VLOOKUP(Tabla1[[#This Row],[DETALLE ]],DATOS!L:M,2,0)</f>
        <v>PICKING</v>
      </c>
      <c r="S182" s="41" t="str">
        <f>IFERROR(IFERROR(VLOOKUP(Tabla1[[#This Row],[USUARIO PICKING ERROR]],DATOS!H:J,3,0),VLOOKUP(Tabla1[[#This Row],[USUARIO FILTRO ERROR]],DATOS!O:P,2,0)),"-")</f>
        <v>BENJAMIN LIZARBE</v>
      </c>
      <c r="T182" s="27" t="str">
        <f>UPPER(VLOOKUP(Tabla1[[#This Row],[CODIGO]],DATOS!A:E,5,0))</f>
        <v>FLUJO CONTINUO</v>
      </c>
      <c r="U182" s="31">
        <f>(Tabla1[[#This Row],[CANTIDAD]])*(VLOOKUP(Tabla1[[#This Row],[CODIGO]],DATOS!A:D,4,0))</f>
        <v>103.14000000000001</v>
      </c>
      <c r="V182" s="31" t="str">
        <f>VLOOKUP(Tabla1[[#This Row],[CODIGO]],DATOS!A:C,3,0)</f>
        <v>ABARROTES COMESTIBLES</v>
      </c>
      <c r="W182" s="31" t="s">
        <v>13323</v>
      </c>
      <c r="X182" s="28" t="s">
        <v>21</v>
      </c>
      <c r="Y182" s="28" t="s">
        <v>13113</v>
      </c>
    </row>
    <row r="183" spans="1:25" ht="12" customHeight="1" x14ac:dyDescent="0.25">
      <c r="A183" s="46">
        <v>45691</v>
      </c>
      <c r="B183" s="2" t="s">
        <v>15</v>
      </c>
      <c r="C183" s="2" t="s">
        <v>15</v>
      </c>
      <c r="D183" s="2">
        <v>242006</v>
      </c>
      <c r="E183" s="2" t="s">
        <v>16</v>
      </c>
      <c r="F183" s="2">
        <v>1</v>
      </c>
      <c r="G183" s="2" t="s">
        <v>15</v>
      </c>
      <c r="H183" s="2" t="s">
        <v>17</v>
      </c>
      <c r="I183" s="75" t="s">
        <v>15</v>
      </c>
      <c r="J183" s="9" t="s">
        <v>15</v>
      </c>
      <c r="K183" s="10" t="s">
        <v>15</v>
      </c>
      <c r="L183" s="10" t="s">
        <v>14</v>
      </c>
      <c r="M183" s="10" t="s">
        <v>15</v>
      </c>
      <c r="N183" s="10" t="s">
        <v>18</v>
      </c>
      <c r="O183" s="10" t="s">
        <v>13021</v>
      </c>
      <c r="P183" s="10" t="s">
        <v>17</v>
      </c>
      <c r="Q183" s="2" t="s">
        <v>14</v>
      </c>
      <c r="R183" s="27" t="str">
        <f>VLOOKUP(Tabla1[[#This Row],[DETALLE ]],DATOS!L:M,2,0)</f>
        <v>PICKING</v>
      </c>
      <c r="S183" s="41" t="str">
        <f>IFERROR(IFERROR(VLOOKUP(Tabla1[[#This Row],[USUARIO PICKING ERROR]],DATOS!H:J,3,0),VLOOKUP(Tabla1[[#This Row],[USUARIO FILTRO ERROR]],DATOS!O:P,2,0)),"-")</f>
        <v>ALMACEN</v>
      </c>
      <c r="T183" s="27" t="str">
        <f>UPPER(VLOOKUP(Tabla1[[#This Row],[CODIGO]],DATOS!A:E,5,0))</f>
        <v>ALMACENADO</v>
      </c>
      <c r="U183" s="31">
        <f>(Tabla1[[#This Row],[CANTIDAD]])*(VLOOKUP(Tabla1[[#This Row],[CODIGO]],DATOS!A:D,4,0))</f>
        <v>103.97</v>
      </c>
      <c r="V183" s="31" t="str">
        <f>VLOOKUP(Tabla1[[#This Row],[CODIGO]],DATOS!A:C,3,0)</f>
        <v>ABARROTES BEBIBLES</v>
      </c>
      <c r="W183" s="31" t="s">
        <v>13323</v>
      </c>
      <c r="X183" s="28" t="s">
        <v>21</v>
      </c>
      <c r="Y183" s="28" t="s">
        <v>13113</v>
      </c>
    </row>
    <row r="184" spans="1:25" ht="12" customHeight="1" x14ac:dyDescent="0.25">
      <c r="A184" s="46">
        <v>45691</v>
      </c>
      <c r="B184" s="2" t="s">
        <v>15</v>
      </c>
      <c r="C184" s="2" t="s">
        <v>15</v>
      </c>
      <c r="D184" s="2">
        <v>343322</v>
      </c>
      <c r="E184" s="2" t="s">
        <v>22</v>
      </c>
      <c r="F184" s="2">
        <v>12</v>
      </c>
      <c r="G184" s="2" t="s">
        <v>15</v>
      </c>
      <c r="H184" s="2" t="s">
        <v>17</v>
      </c>
      <c r="I184" s="75" t="s">
        <v>15</v>
      </c>
      <c r="J184" s="9" t="s">
        <v>15</v>
      </c>
      <c r="K184" s="10" t="s">
        <v>15</v>
      </c>
      <c r="L184" s="10" t="s">
        <v>14</v>
      </c>
      <c r="M184" s="10" t="s">
        <v>15</v>
      </c>
      <c r="N184" s="10" t="s">
        <v>18</v>
      </c>
      <c r="O184" s="10" t="s">
        <v>13021</v>
      </c>
      <c r="P184" s="10" t="s">
        <v>17</v>
      </c>
      <c r="Q184" s="2" t="s">
        <v>14</v>
      </c>
      <c r="R184" s="27" t="str">
        <f>VLOOKUP(Tabla1[[#This Row],[DETALLE ]],DATOS!L:M,2,0)</f>
        <v>PICKING</v>
      </c>
      <c r="S184" s="41" t="str">
        <f>IFERROR(IFERROR(VLOOKUP(Tabla1[[#This Row],[USUARIO PICKING ERROR]],DATOS!H:J,3,0),VLOOKUP(Tabla1[[#This Row],[USUARIO FILTRO ERROR]],DATOS!O:P,2,0)),"-")</f>
        <v>ALMACEN</v>
      </c>
      <c r="T184" s="27" t="str">
        <f>UPPER(VLOOKUP(Tabla1[[#This Row],[CODIGO]],DATOS!A:E,5,0))</f>
        <v>ALMACENADO</v>
      </c>
      <c r="U184" s="31">
        <f>(Tabla1[[#This Row],[CANTIDAD]])*(VLOOKUP(Tabla1[[#This Row],[CODIGO]],DATOS!A:D,4,0))</f>
        <v>121.19999999999999</v>
      </c>
      <c r="V184" s="31" t="str">
        <f>VLOOKUP(Tabla1[[#This Row],[CODIGO]],DATOS!A:C,3,0)</f>
        <v>ABARROTES COMESTIBLES</v>
      </c>
      <c r="W184" s="31" t="s">
        <v>13323</v>
      </c>
      <c r="X184" s="28" t="s">
        <v>21</v>
      </c>
      <c r="Y184" s="28" t="s">
        <v>13113</v>
      </c>
    </row>
    <row r="185" spans="1:25" ht="12" customHeight="1" x14ac:dyDescent="0.25">
      <c r="A185" s="46">
        <v>45691</v>
      </c>
      <c r="B185" s="2" t="s">
        <v>68</v>
      </c>
      <c r="C185" s="2">
        <v>7620867413</v>
      </c>
      <c r="D185" s="2">
        <v>1009409</v>
      </c>
      <c r="E185" s="2" t="s">
        <v>69</v>
      </c>
      <c r="F185" s="2">
        <v>2</v>
      </c>
      <c r="G185" s="2" t="s">
        <v>15</v>
      </c>
      <c r="H185" s="2" t="s">
        <v>25</v>
      </c>
      <c r="I185" s="75" t="s">
        <v>15</v>
      </c>
      <c r="J185" s="9" t="s">
        <v>70</v>
      </c>
      <c r="K185" s="10">
        <v>7620864680</v>
      </c>
      <c r="L185" s="10" t="s">
        <v>38</v>
      </c>
      <c r="M185" s="10" t="s">
        <v>15</v>
      </c>
      <c r="N185" s="10" t="s">
        <v>18</v>
      </c>
      <c r="O185" s="10" t="s">
        <v>13093</v>
      </c>
      <c r="P185" s="10" t="s">
        <v>28</v>
      </c>
      <c r="Q185" s="2" t="s">
        <v>39</v>
      </c>
      <c r="R185" s="27" t="str">
        <f>VLOOKUP(Tabla1[[#This Row],[DETALLE ]],DATOS!L:M,2,0)</f>
        <v>PICKING</v>
      </c>
      <c r="S185" s="41" t="str">
        <f>IFERROR(IFERROR(VLOOKUP(Tabla1[[#This Row],[USUARIO PICKING ERROR]],DATOS!H:J,3,0),VLOOKUP(Tabla1[[#This Row],[USUARIO FILTRO ERROR]],DATOS!O:P,2,0)),"-")</f>
        <v>DAVID PIÑAN</v>
      </c>
      <c r="T185" s="27" t="str">
        <f>UPPER(VLOOKUP(Tabla1[[#This Row],[CODIGO]],DATOS!A:E,5,0))</f>
        <v>FLUJO CONTINUO</v>
      </c>
      <c r="U185" s="31">
        <f>(Tabla1[[#This Row],[CANTIDAD]])*(VLOOKUP(Tabla1[[#This Row],[CODIGO]],DATOS!A:D,4,0))</f>
        <v>30.24</v>
      </c>
      <c r="V185" s="31" t="str">
        <f>VLOOKUP(Tabla1[[#This Row],[CODIGO]],DATOS!A:C,3,0)</f>
        <v>ABARROTES BEBIBLES</v>
      </c>
      <c r="W185" s="31" t="s">
        <v>13323</v>
      </c>
      <c r="X185" s="28" t="s">
        <v>13086</v>
      </c>
      <c r="Y185" s="28" t="s">
        <v>13113</v>
      </c>
    </row>
    <row r="186" spans="1:25" ht="12" customHeight="1" x14ac:dyDescent="0.25">
      <c r="A186" s="46">
        <v>45691</v>
      </c>
      <c r="B186" s="2" t="s">
        <v>71</v>
      </c>
      <c r="C186" s="2">
        <v>7620867313</v>
      </c>
      <c r="D186" s="2">
        <v>560913</v>
      </c>
      <c r="E186" s="2" t="s">
        <v>72</v>
      </c>
      <c r="F186" s="2">
        <v>2</v>
      </c>
      <c r="G186" s="2" t="s">
        <v>24</v>
      </c>
      <c r="H186" s="2" t="s">
        <v>25</v>
      </c>
      <c r="I186" s="75" t="s">
        <v>12940</v>
      </c>
      <c r="J186" s="9" t="s">
        <v>73</v>
      </c>
      <c r="K186" s="10">
        <v>7620861995</v>
      </c>
      <c r="L186" s="10" t="s">
        <v>59</v>
      </c>
      <c r="M186" s="10" t="s">
        <v>15</v>
      </c>
      <c r="N186" s="10" t="s">
        <v>18</v>
      </c>
      <c r="O186" s="10" t="s">
        <v>13093</v>
      </c>
      <c r="P186" s="10" t="s">
        <v>28</v>
      </c>
      <c r="Q186" s="2" t="s">
        <v>39</v>
      </c>
      <c r="R186" s="27" t="str">
        <f>VLOOKUP(Tabla1[[#This Row],[DETALLE ]],DATOS!L:M,2,0)</f>
        <v>PICKING</v>
      </c>
      <c r="S186" s="41" t="str">
        <f>IFERROR(IFERROR(VLOOKUP(Tabla1[[#This Row],[USUARIO PICKING ERROR]],DATOS!H:J,3,0),VLOOKUP(Tabla1[[#This Row],[USUARIO FILTRO ERROR]],DATOS!O:P,2,0)),"-")</f>
        <v>DAVID PIÑAN</v>
      </c>
      <c r="T186" s="27" t="str">
        <f>UPPER(VLOOKUP(Tabla1[[#This Row],[CODIGO]],DATOS!A:E,5,0))</f>
        <v>FLUJO CONTINUO</v>
      </c>
      <c r="U186" s="31">
        <f>(Tabla1[[#This Row],[CANTIDAD]])*(VLOOKUP(Tabla1[[#This Row],[CODIGO]],DATOS!A:D,4,0))</f>
        <v>50.28</v>
      </c>
      <c r="V186" s="31" t="str">
        <f>VLOOKUP(Tabla1[[#This Row],[CODIGO]],DATOS!A:C,3,0)</f>
        <v>ABARROTES BEBIBLES</v>
      </c>
      <c r="W186" s="31" t="s">
        <v>13323</v>
      </c>
      <c r="X186" s="28" t="s">
        <v>13086</v>
      </c>
      <c r="Y186" s="28" t="s">
        <v>13113</v>
      </c>
    </row>
    <row r="187" spans="1:25" ht="12" customHeight="1" x14ac:dyDescent="0.25">
      <c r="A187" s="46">
        <v>45691</v>
      </c>
      <c r="B187" s="2" t="s">
        <v>15</v>
      </c>
      <c r="C187" s="2" t="s">
        <v>15</v>
      </c>
      <c r="D187" s="2">
        <v>485926</v>
      </c>
      <c r="E187" s="2" t="s">
        <v>64</v>
      </c>
      <c r="F187" s="2">
        <v>12</v>
      </c>
      <c r="G187" s="2" t="s">
        <v>15</v>
      </c>
      <c r="H187" s="2" t="s">
        <v>17</v>
      </c>
      <c r="I187" s="75" t="s">
        <v>15</v>
      </c>
      <c r="J187" s="9" t="s">
        <v>15</v>
      </c>
      <c r="K187" s="10" t="s">
        <v>15</v>
      </c>
      <c r="L187" s="10" t="s">
        <v>14</v>
      </c>
      <c r="M187" s="10" t="s">
        <v>15</v>
      </c>
      <c r="N187" s="10" t="s">
        <v>18</v>
      </c>
      <c r="O187" s="10" t="s">
        <v>13097</v>
      </c>
      <c r="P187" s="10" t="s">
        <v>17</v>
      </c>
      <c r="Q187" s="2" t="s">
        <v>14</v>
      </c>
      <c r="R187" s="27" t="str">
        <f>VLOOKUP(Tabla1[[#This Row],[DETALLE ]],DATOS!L:M,2,0)</f>
        <v>PICKING</v>
      </c>
      <c r="S187" s="41" t="str">
        <f>IFERROR(IFERROR(VLOOKUP(Tabla1[[#This Row],[USUARIO PICKING ERROR]],DATOS!H:J,3,0),VLOOKUP(Tabla1[[#This Row],[USUARIO FILTRO ERROR]],DATOS!O:P,2,0)),"-")</f>
        <v>ALMACEN</v>
      </c>
      <c r="T187" s="27" t="str">
        <f>UPPER(VLOOKUP(Tabla1[[#This Row],[CODIGO]],DATOS!A:E,5,0))</f>
        <v>ALMACENADO</v>
      </c>
      <c r="U187" s="31">
        <f>(Tabla1[[#This Row],[CANTIDAD]])*(VLOOKUP(Tabla1[[#This Row],[CODIGO]],DATOS!A:D,4,0))</f>
        <v>116.39999999999999</v>
      </c>
      <c r="V187" s="31" t="str">
        <f>VLOOKUP(Tabla1[[#This Row],[CODIGO]],DATOS!A:C,3,0)</f>
        <v>ABARROTES COMESTIBLES</v>
      </c>
      <c r="W187" s="31" t="s">
        <v>13323</v>
      </c>
      <c r="X187" s="28" t="s">
        <v>21</v>
      </c>
      <c r="Y187" s="28" t="s">
        <v>13113</v>
      </c>
    </row>
    <row r="188" spans="1:25" ht="12" customHeight="1" x14ac:dyDescent="0.25">
      <c r="A188" s="46">
        <v>45691</v>
      </c>
      <c r="B188" s="2" t="s">
        <v>15</v>
      </c>
      <c r="C188" s="2" t="s">
        <v>15</v>
      </c>
      <c r="D188" s="2">
        <v>754391</v>
      </c>
      <c r="E188" s="2" t="s">
        <v>134</v>
      </c>
      <c r="F188" s="2">
        <v>24</v>
      </c>
      <c r="G188" s="2" t="s">
        <v>15</v>
      </c>
      <c r="H188" s="2" t="s">
        <v>25</v>
      </c>
      <c r="I188" s="75" t="s">
        <v>15</v>
      </c>
      <c r="J188" s="9" t="s">
        <v>15</v>
      </c>
      <c r="K188" s="10" t="s">
        <v>15</v>
      </c>
      <c r="L188" s="10" t="s">
        <v>14</v>
      </c>
      <c r="M188" s="10" t="s">
        <v>15</v>
      </c>
      <c r="N188" s="10" t="s">
        <v>18</v>
      </c>
      <c r="O188" s="10" t="s">
        <v>13098</v>
      </c>
      <c r="P188" s="10" t="s">
        <v>25</v>
      </c>
      <c r="Q188" s="2" t="s">
        <v>14</v>
      </c>
      <c r="R188" s="27" t="str">
        <f>VLOOKUP(Tabla1[[#This Row],[DETALLE ]],DATOS!L:M,2,0)</f>
        <v>PICKING</v>
      </c>
      <c r="S188" s="41" t="str">
        <f>IFERROR(IFERROR(VLOOKUP(Tabla1[[#This Row],[USUARIO PICKING ERROR]],DATOS!H:J,3,0),VLOOKUP(Tabla1[[#This Row],[USUARIO FILTRO ERROR]],DATOS!O:P,2,0)),"-")</f>
        <v>ALMACEN</v>
      </c>
      <c r="T188" s="27" t="str">
        <f>UPPER(VLOOKUP(Tabla1[[#This Row],[CODIGO]],DATOS!A:E,5,0))</f>
        <v>ALMACENADO</v>
      </c>
      <c r="U188" s="31">
        <f>(Tabla1[[#This Row],[CANTIDAD]])*(VLOOKUP(Tabla1[[#This Row],[CODIGO]],DATOS!A:D,4,0))</f>
        <v>120.96000000000001</v>
      </c>
      <c r="V188" s="31" t="str">
        <f>VLOOKUP(Tabla1[[#This Row],[CODIGO]],DATOS!A:C,3,0)</f>
        <v>ABARROTES COMESTIBLES</v>
      </c>
      <c r="W188" s="31" t="s">
        <v>13323</v>
      </c>
      <c r="X188" s="28" t="s">
        <v>21</v>
      </c>
      <c r="Y188" s="28" t="s">
        <v>13113</v>
      </c>
    </row>
    <row r="189" spans="1:25" ht="12" customHeight="1" x14ac:dyDescent="0.25">
      <c r="A189" s="46">
        <v>45691</v>
      </c>
      <c r="B189" s="2" t="s">
        <v>68</v>
      </c>
      <c r="C189" s="2">
        <v>7620867413</v>
      </c>
      <c r="D189" s="2">
        <v>1009409</v>
      </c>
      <c r="E189" s="2" t="s">
        <v>69</v>
      </c>
      <c r="F189" s="2">
        <v>2</v>
      </c>
      <c r="G189" s="2" t="s">
        <v>15</v>
      </c>
      <c r="H189" s="2" t="s">
        <v>25</v>
      </c>
      <c r="I189" s="75" t="s">
        <v>15</v>
      </c>
      <c r="J189" s="9" t="s">
        <v>70</v>
      </c>
      <c r="K189" s="10">
        <v>7620864680</v>
      </c>
      <c r="L189" s="10" t="s">
        <v>38</v>
      </c>
      <c r="M189" s="10" t="s">
        <v>15</v>
      </c>
      <c r="N189" s="10" t="s">
        <v>18</v>
      </c>
      <c r="O189" s="10" t="s">
        <v>13093</v>
      </c>
      <c r="P189" s="10" t="s">
        <v>28</v>
      </c>
      <c r="Q189" s="2" t="s">
        <v>39</v>
      </c>
      <c r="R189" s="27" t="str">
        <f>VLOOKUP(Tabla1[[#This Row],[DETALLE ]],DATOS!L:M,2,0)</f>
        <v>PICKING</v>
      </c>
      <c r="S189" s="41" t="str">
        <f>IFERROR(IFERROR(VLOOKUP(Tabla1[[#This Row],[USUARIO PICKING ERROR]],DATOS!H:J,3,0),VLOOKUP(Tabla1[[#This Row],[USUARIO FILTRO ERROR]],DATOS!O:P,2,0)),"-")</f>
        <v>DAVID PIÑAN</v>
      </c>
      <c r="T189" s="27" t="str">
        <f>UPPER(VLOOKUP(Tabla1[[#This Row],[CODIGO]],DATOS!A:E,5,0))</f>
        <v>FLUJO CONTINUO</v>
      </c>
      <c r="U189" s="31">
        <f>(Tabla1[[#This Row],[CANTIDAD]])*(VLOOKUP(Tabla1[[#This Row],[CODIGO]],DATOS!A:D,4,0))</f>
        <v>30.24</v>
      </c>
      <c r="V189" s="31" t="str">
        <f>VLOOKUP(Tabla1[[#This Row],[CODIGO]],DATOS!A:C,3,0)</f>
        <v>ABARROTES BEBIBLES</v>
      </c>
      <c r="W189" s="31" t="s">
        <v>13323</v>
      </c>
      <c r="X189" s="28" t="s">
        <v>13086</v>
      </c>
      <c r="Y189" s="28" t="s">
        <v>13113</v>
      </c>
    </row>
    <row r="190" spans="1:25" ht="12" customHeight="1" x14ac:dyDescent="0.25">
      <c r="A190" s="46">
        <v>45691</v>
      </c>
      <c r="B190" s="2" t="s">
        <v>71</v>
      </c>
      <c r="C190" s="2">
        <v>7620867313</v>
      </c>
      <c r="D190" s="2">
        <v>560913</v>
      </c>
      <c r="E190" s="2" t="s">
        <v>72</v>
      </c>
      <c r="F190" s="2">
        <v>2</v>
      </c>
      <c r="G190" s="2" t="s">
        <v>24</v>
      </c>
      <c r="H190" s="2" t="s">
        <v>25</v>
      </c>
      <c r="I190" s="75" t="s">
        <v>12940</v>
      </c>
      <c r="J190" s="9" t="s">
        <v>73</v>
      </c>
      <c r="K190" s="10">
        <v>7620861995</v>
      </c>
      <c r="L190" s="10" t="s">
        <v>27</v>
      </c>
      <c r="M190" s="10" t="s">
        <v>12991</v>
      </c>
      <c r="N190" s="10" t="s">
        <v>12957</v>
      </c>
      <c r="O190" s="10" t="s">
        <v>13094</v>
      </c>
      <c r="P190" s="10" t="s">
        <v>28</v>
      </c>
      <c r="Q190" s="2" t="s">
        <v>39</v>
      </c>
      <c r="R190" s="27" t="str">
        <f>VLOOKUP(Tabla1[[#This Row],[DETALLE ]],DATOS!L:M,2,0)</f>
        <v>FILTRO</v>
      </c>
      <c r="S190" s="41" t="str">
        <f>IFERROR(IFERROR(VLOOKUP(Tabla1[[#This Row],[USUARIO PICKING ERROR]],DATOS!H:J,3,0),VLOOKUP(Tabla1[[#This Row],[USUARIO FILTRO ERROR]],DATOS!O:P,2,0)),"-")</f>
        <v>BENJAMIN LIZARBE</v>
      </c>
      <c r="T190" s="27" t="str">
        <f>UPPER(VLOOKUP(Tabla1[[#This Row],[CODIGO]],DATOS!A:E,5,0))</f>
        <v>FLUJO CONTINUO</v>
      </c>
      <c r="U190" s="31">
        <f>(Tabla1[[#This Row],[CANTIDAD]])*(VLOOKUP(Tabla1[[#This Row],[CODIGO]],DATOS!A:D,4,0))</f>
        <v>50.28</v>
      </c>
      <c r="V190" s="31" t="str">
        <f>VLOOKUP(Tabla1[[#This Row],[CODIGO]],DATOS!A:C,3,0)</f>
        <v>ABARROTES BEBIBLES</v>
      </c>
      <c r="W190" s="31" t="s">
        <v>13323</v>
      </c>
      <c r="X190" s="28" t="s">
        <v>13086</v>
      </c>
      <c r="Y190" s="28" t="s">
        <v>13113</v>
      </c>
    </row>
    <row r="191" spans="1:25" ht="12" customHeight="1" x14ac:dyDescent="0.25">
      <c r="A191" s="46">
        <v>45691</v>
      </c>
      <c r="B191" s="2" t="s">
        <v>65</v>
      </c>
      <c r="C191" s="2">
        <v>7620866128</v>
      </c>
      <c r="D191" s="2">
        <v>929115</v>
      </c>
      <c r="E191" s="2" t="s">
        <v>66</v>
      </c>
      <c r="F191" s="2">
        <v>12</v>
      </c>
      <c r="G191" s="2" t="s">
        <v>15</v>
      </c>
      <c r="H191" s="2" t="s">
        <v>17</v>
      </c>
      <c r="I191" s="75" t="s">
        <v>15</v>
      </c>
      <c r="J191" s="9" t="s">
        <v>15</v>
      </c>
      <c r="K191" s="10" t="s">
        <v>15</v>
      </c>
      <c r="L191" s="10" t="s">
        <v>67</v>
      </c>
      <c r="M191" s="10" t="s">
        <v>15</v>
      </c>
      <c r="N191" s="10" t="s">
        <v>18</v>
      </c>
      <c r="O191" s="10" t="s">
        <v>13020</v>
      </c>
      <c r="P191" s="10" t="s">
        <v>17</v>
      </c>
      <c r="Q191" s="2" t="s">
        <v>29</v>
      </c>
      <c r="R191" s="27" t="str">
        <f>VLOOKUP(Tabla1[[#This Row],[DETALLE ]],DATOS!L:M,2,0)</f>
        <v>PICKING</v>
      </c>
      <c r="S191" s="41" t="str">
        <f>IFERROR(IFERROR(VLOOKUP(Tabla1[[#This Row],[USUARIO PICKING ERROR]],DATOS!H:J,3,0),VLOOKUP(Tabla1[[#This Row],[USUARIO FILTRO ERROR]],DATOS!O:P,2,0)),"-")</f>
        <v>BENJAMIN LIZARBE</v>
      </c>
      <c r="T191" s="27" t="str">
        <f>UPPER(VLOOKUP(Tabla1[[#This Row],[CODIGO]],DATOS!A:E,5,0))</f>
        <v>FLUJO CONTINUO</v>
      </c>
      <c r="U191" s="31">
        <f>(Tabla1[[#This Row],[CANTIDAD]])*(VLOOKUP(Tabla1[[#This Row],[CODIGO]],DATOS!A:D,4,0))</f>
        <v>94.56</v>
      </c>
      <c r="V191" s="31" t="str">
        <f>VLOOKUP(Tabla1[[#This Row],[CODIGO]],DATOS!A:C,3,0)</f>
        <v>ABARROTES COMESTIBLES</v>
      </c>
      <c r="W191" s="31" t="s">
        <v>13323</v>
      </c>
      <c r="X191" s="28" t="s">
        <v>21</v>
      </c>
      <c r="Y191" s="28" t="s">
        <v>13113</v>
      </c>
    </row>
    <row r="192" spans="1:25" ht="12" customHeight="1" x14ac:dyDescent="0.25">
      <c r="A192" s="46">
        <v>45691</v>
      </c>
      <c r="B192" s="2" t="s">
        <v>74</v>
      </c>
      <c r="C192" s="2">
        <v>7620866687</v>
      </c>
      <c r="D192" s="2">
        <v>968970</v>
      </c>
      <c r="E192" s="2" t="s">
        <v>75</v>
      </c>
      <c r="F192" s="2">
        <v>18</v>
      </c>
      <c r="G192" s="2" t="s">
        <v>15</v>
      </c>
      <c r="H192" s="2" t="s">
        <v>17</v>
      </c>
      <c r="I192" s="75" t="s">
        <v>15</v>
      </c>
      <c r="J192" s="9" t="s">
        <v>15</v>
      </c>
      <c r="K192" s="10" t="s">
        <v>15</v>
      </c>
      <c r="L192" s="10" t="s">
        <v>43</v>
      </c>
      <c r="M192" s="10" t="s">
        <v>15</v>
      </c>
      <c r="N192" s="10" t="s">
        <v>18</v>
      </c>
      <c r="O192" s="10" t="s">
        <v>13020</v>
      </c>
      <c r="P192" s="10" t="s">
        <v>17</v>
      </c>
      <c r="Q192" s="2" t="s">
        <v>29</v>
      </c>
      <c r="R192" s="27" t="str">
        <f>VLOOKUP(Tabla1[[#This Row],[DETALLE ]],DATOS!L:M,2,0)</f>
        <v>PICKING</v>
      </c>
      <c r="S192" s="41" t="str">
        <f>IFERROR(IFERROR(VLOOKUP(Tabla1[[#This Row],[USUARIO PICKING ERROR]],DATOS!H:J,3,0),VLOOKUP(Tabla1[[#This Row],[USUARIO FILTRO ERROR]],DATOS!O:P,2,0)),"-")</f>
        <v>BENJAMIN LIZARBE</v>
      </c>
      <c r="T192" s="27" t="str">
        <f>UPPER(VLOOKUP(Tabla1[[#This Row],[CODIGO]],DATOS!A:E,5,0))</f>
        <v>FLUJO CONTINUO</v>
      </c>
      <c r="U192" s="31">
        <f>(Tabla1[[#This Row],[CANTIDAD]])*(VLOOKUP(Tabla1[[#This Row],[CODIGO]],DATOS!A:D,4,0))</f>
        <v>163.98</v>
      </c>
      <c r="V192" s="31" t="str">
        <f>VLOOKUP(Tabla1[[#This Row],[CODIGO]],DATOS!A:C,3,0)</f>
        <v>ABARROTES NO COMESTIBLES</v>
      </c>
      <c r="W192" s="31" t="s">
        <v>13323</v>
      </c>
      <c r="X192" s="28" t="s">
        <v>21</v>
      </c>
      <c r="Y192" s="28" t="s">
        <v>13113</v>
      </c>
    </row>
    <row r="193" spans="1:25" ht="12" customHeight="1" x14ac:dyDescent="0.25">
      <c r="A193" s="46">
        <v>45693</v>
      </c>
      <c r="B193" s="2" t="s">
        <v>33</v>
      </c>
      <c r="C193" s="2">
        <v>7620853297</v>
      </c>
      <c r="D193" s="2">
        <v>355869</v>
      </c>
      <c r="E193" s="2" t="s">
        <v>34</v>
      </c>
      <c r="F193" s="2">
        <v>12</v>
      </c>
      <c r="G193" s="2" t="s">
        <v>15</v>
      </c>
      <c r="H193" s="2" t="s">
        <v>17</v>
      </c>
      <c r="I193" s="75" t="s">
        <v>15</v>
      </c>
      <c r="J193" s="9" t="s">
        <v>15</v>
      </c>
      <c r="K193" s="10" t="s">
        <v>15</v>
      </c>
      <c r="L193" s="10" t="s">
        <v>35</v>
      </c>
      <c r="M193" s="10" t="s">
        <v>15</v>
      </c>
      <c r="N193" s="10" t="s">
        <v>18</v>
      </c>
      <c r="O193" s="10" t="s">
        <v>13020</v>
      </c>
      <c r="P193" s="10" t="s">
        <v>17</v>
      </c>
      <c r="Q193" s="2" t="s">
        <v>29</v>
      </c>
      <c r="R193" s="27" t="str">
        <f>VLOOKUP(Tabla1[[#This Row],[DETALLE ]],DATOS!L:M,2,0)</f>
        <v>PICKING</v>
      </c>
      <c r="S193" s="41" t="str">
        <f>IFERROR(IFERROR(VLOOKUP(Tabla1[[#This Row],[USUARIO PICKING ERROR]],DATOS!H:J,3,0),VLOOKUP(Tabla1[[#This Row],[USUARIO FILTRO ERROR]],DATOS!O:P,2,0)),"-")</f>
        <v>BENJAMIN LIZARBE</v>
      </c>
      <c r="T193" s="27" t="str">
        <f>UPPER(VLOOKUP(Tabla1[[#This Row],[CODIGO]],DATOS!A:E,5,0))</f>
        <v>FLUJO CONTINUO</v>
      </c>
      <c r="U193" s="31">
        <f>(Tabla1[[#This Row],[CANTIDAD]])*(VLOOKUP(Tabla1[[#This Row],[CODIGO]],DATOS!A:D,4,0))</f>
        <v>160.44</v>
      </c>
      <c r="V193" s="31" t="str">
        <f>VLOOKUP(Tabla1[[#This Row],[CODIGO]],DATOS!A:C,3,0)</f>
        <v>ABARROTES NO COMESTIBLES</v>
      </c>
      <c r="W193" s="31" t="s">
        <v>13323</v>
      </c>
      <c r="X193" s="28" t="s">
        <v>21</v>
      </c>
      <c r="Y193" s="28" t="s">
        <v>13113</v>
      </c>
    </row>
    <row r="194" spans="1:25" ht="12" customHeight="1" x14ac:dyDescent="0.25">
      <c r="A194" s="46">
        <v>45694</v>
      </c>
      <c r="B194" s="2" t="s">
        <v>36</v>
      </c>
      <c r="C194" s="2">
        <v>7620853858</v>
      </c>
      <c r="D194" s="2">
        <v>396381</v>
      </c>
      <c r="E194" s="2" t="s">
        <v>37</v>
      </c>
      <c r="F194" s="2">
        <v>10</v>
      </c>
      <c r="G194" s="2" t="s">
        <v>15</v>
      </c>
      <c r="H194" s="2" t="s">
        <v>17</v>
      </c>
      <c r="I194" s="75" t="s">
        <v>15</v>
      </c>
      <c r="J194" s="9" t="s">
        <v>15</v>
      </c>
      <c r="K194" s="10" t="s">
        <v>15</v>
      </c>
      <c r="L194" s="10" t="s">
        <v>38</v>
      </c>
      <c r="M194" s="10" t="s">
        <v>15</v>
      </c>
      <c r="N194" s="10" t="s">
        <v>18</v>
      </c>
      <c r="O194" s="10" t="s">
        <v>13020</v>
      </c>
      <c r="P194" s="10" t="s">
        <v>17</v>
      </c>
      <c r="Q194" s="2" t="s">
        <v>39</v>
      </c>
      <c r="R194" s="27" t="str">
        <f>VLOOKUP(Tabla1[[#This Row],[DETALLE ]],DATOS!L:M,2,0)</f>
        <v>PICKING</v>
      </c>
      <c r="S194" s="41" t="str">
        <f>IFERROR(IFERROR(VLOOKUP(Tabla1[[#This Row],[USUARIO PICKING ERROR]],DATOS!H:J,3,0),VLOOKUP(Tabla1[[#This Row],[USUARIO FILTRO ERROR]],DATOS!O:P,2,0)),"-")</f>
        <v>DAVID PIÑAN</v>
      </c>
      <c r="T194" s="27" t="str">
        <f>UPPER(VLOOKUP(Tabla1[[#This Row],[CODIGO]],DATOS!A:E,5,0))</f>
        <v>FLUJO CONTINUO</v>
      </c>
      <c r="U194" s="31">
        <f>(Tabla1[[#This Row],[CANTIDAD]])*(VLOOKUP(Tabla1[[#This Row],[CODIGO]],DATOS!A:D,4,0))</f>
        <v>39.6</v>
      </c>
      <c r="V194" s="31" t="str">
        <f>VLOOKUP(Tabla1[[#This Row],[CODIGO]],DATOS!A:C,3,0)</f>
        <v>ABARROTES COMESTIBLES</v>
      </c>
      <c r="W194" s="31" t="s">
        <v>13323</v>
      </c>
      <c r="X194" s="28" t="s">
        <v>21</v>
      </c>
      <c r="Y194" s="28" t="s">
        <v>13113</v>
      </c>
    </row>
    <row r="195" spans="1:25" ht="12" customHeight="1" x14ac:dyDescent="0.25">
      <c r="A195" s="46">
        <v>45696</v>
      </c>
      <c r="B195" s="2" t="s">
        <v>65</v>
      </c>
      <c r="C195" s="2">
        <v>7620866643</v>
      </c>
      <c r="D195" s="2">
        <v>488676002</v>
      </c>
      <c r="E195" s="2" t="s">
        <v>91</v>
      </c>
      <c r="F195" s="2">
        <v>2</v>
      </c>
      <c r="G195" s="2" t="s">
        <v>15</v>
      </c>
      <c r="H195" s="2" t="s">
        <v>25</v>
      </c>
      <c r="I195" s="75" t="s">
        <v>15</v>
      </c>
      <c r="J195" s="9" t="s">
        <v>92</v>
      </c>
      <c r="K195" s="10">
        <v>7620867881</v>
      </c>
      <c r="L195" s="10" t="s">
        <v>38</v>
      </c>
      <c r="M195" s="10" t="s">
        <v>15</v>
      </c>
      <c r="N195" s="10" t="s">
        <v>18</v>
      </c>
      <c r="O195" s="10" t="s">
        <v>13093</v>
      </c>
      <c r="P195" s="10" t="s">
        <v>28</v>
      </c>
      <c r="Q195" s="2" t="s">
        <v>39</v>
      </c>
      <c r="R195" s="27" t="str">
        <f>VLOOKUP(Tabla1[[#This Row],[DETALLE ]],DATOS!L:M,2,0)</f>
        <v>PICKING</v>
      </c>
      <c r="S195" s="41" t="str">
        <f>IFERROR(IFERROR(VLOOKUP(Tabla1[[#This Row],[USUARIO PICKING ERROR]],DATOS!H:J,3,0),VLOOKUP(Tabla1[[#This Row],[USUARIO FILTRO ERROR]],DATOS!O:P,2,0)),"-")</f>
        <v>DAVID PIÑAN</v>
      </c>
      <c r="T195" s="27" t="str">
        <f>UPPER(VLOOKUP(Tabla1[[#This Row],[CODIGO]],DATOS!A:E,5,0))</f>
        <v>FLUJO CONTINUO</v>
      </c>
      <c r="U195" s="31">
        <f>(Tabla1[[#This Row],[CANTIDAD]])*(VLOOKUP(Tabla1[[#This Row],[CODIGO]],DATOS!A:D,4,0))</f>
        <v>102.42</v>
      </c>
      <c r="V195" s="31" t="str">
        <f>VLOOKUP(Tabla1[[#This Row],[CODIGO]],DATOS!A:C,3,0)</f>
        <v>ABARROTES BEBIBLES</v>
      </c>
      <c r="W195" s="31" t="s">
        <v>13323</v>
      </c>
      <c r="X195" s="28" t="s">
        <v>13086</v>
      </c>
      <c r="Y195" s="28" t="s">
        <v>13113</v>
      </c>
    </row>
    <row r="196" spans="1:25" ht="12" customHeight="1" x14ac:dyDescent="0.25">
      <c r="A196" s="46">
        <v>45696</v>
      </c>
      <c r="B196" s="2" t="s">
        <v>65</v>
      </c>
      <c r="C196" s="2">
        <v>7620866643</v>
      </c>
      <c r="D196" s="2">
        <v>488676002</v>
      </c>
      <c r="E196" s="2" t="s">
        <v>91</v>
      </c>
      <c r="F196" s="2">
        <v>2</v>
      </c>
      <c r="G196" s="2" t="s">
        <v>15</v>
      </c>
      <c r="H196" s="2" t="s">
        <v>25</v>
      </c>
      <c r="I196" s="75" t="s">
        <v>15</v>
      </c>
      <c r="J196" s="9" t="s">
        <v>92</v>
      </c>
      <c r="K196" s="10">
        <v>7620867881</v>
      </c>
      <c r="L196" s="10" t="s">
        <v>38</v>
      </c>
      <c r="M196" s="10" t="s">
        <v>15</v>
      </c>
      <c r="N196" s="10" t="s">
        <v>18</v>
      </c>
      <c r="O196" s="10" t="s">
        <v>13093</v>
      </c>
      <c r="P196" s="10" t="s">
        <v>28</v>
      </c>
      <c r="Q196" s="2" t="s">
        <v>39</v>
      </c>
      <c r="R196" s="27" t="str">
        <f>VLOOKUP(Tabla1[[#This Row],[DETALLE ]],DATOS!L:M,2,0)</f>
        <v>PICKING</v>
      </c>
      <c r="S196" s="41" t="str">
        <f>IFERROR(IFERROR(VLOOKUP(Tabla1[[#This Row],[USUARIO PICKING ERROR]],DATOS!H:J,3,0),VLOOKUP(Tabla1[[#This Row],[USUARIO FILTRO ERROR]],DATOS!O:P,2,0)),"-")</f>
        <v>DAVID PIÑAN</v>
      </c>
      <c r="T196" s="27" t="str">
        <f>UPPER(VLOOKUP(Tabla1[[#This Row],[CODIGO]],DATOS!A:E,5,0))</f>
        <v>FLUJO CONTINUO</v>
      </c>
      <c r="U196" s="31">
        <f>(Tabla1[[#This Row],[CANTIDAD]])*(VLOOKUP(Tabla1[[#This Row],[CODIGO]],DATOS!A:D,4,0))</f>
        <v>102.42</v>
      </c>
      <c r="V196" s="31" t="str">
        <f>VLOOKUP(Tabla1[[#This Row],[CODIGO]],DATOS!A:C,3,0)</f>
        <v>ABARROTES BEBIBLES</v>
      </c>
      <c r="W196" s="31" t="s">
        <v>13323</v>
      </c>
      <c r="X196" s="28" t="s">
        <v>13086</v>
      </c>
      <c r="Y196" s="28" t="s">
        <v>13113</v>
      </c>
    </row>
    <row r="197" spans="1:25" ht="12" customHeight="1" x14ac:dyDescent="0.25">
      <c r="A197" s="46">
        <v>45696</v>
      </c>
      <c r="B197" s="2" t="s">
        <v>76</v>
      </c>
      <c r="C197" s="2">
        <v>7620862771</v>
      </c>
      <c r="D197" s="2">
        <v>1009409</v>
      </c>
      <c r="E197" s="2" t="s">
        <v>69</v>
      </c>
      <c r="F197" s="2">
        <v>1</v>
      </c>
      <c r="G197" s="2" t="s">
        <v>15</v>
      </c>
      <c r="H197" s="2" t="s">
        <v>17</v>
      </c>
      <c r="I197" s="75" t="s">
        <v>15</v>
      </c>
      <c r="J197" s="9" t="s">
        <v>15</v>
      </c>
      <c r="K197" s="10" t="s">
        <v>15</v>
      </c>
      <c r="L197" s="10" t="s">
        <v>38</v>
      </c>
      <c r="M197" s="10" t="s">
        <v>15</v>
      </c>
      <c r="N197" s="10" t="s">
        <v>18</v>
      </c>
      <c r="O197" s="10" t="s">
        <v>13020</v>
      </c>
      <c r="P197" s="10" t="s">
        <v>17</v>
      </c>
      <c r="Q197" s="2" t="s">
        <v>39</v>
      </c>
      <c r="R197" s="27" t="str">
        <f>VLOOKUP(Tabla1[[#This Row],[DETALLE ]],DATOS!L:M,2,0)</f>
        <v>PICKING</v>
      </c>
      <c r="S197" s="41" t="str">
        <f>IFERROR(IFERROR(VLOOKUP(Tabla1[[#This Row],[USUARIO PICKING ERROR]],DATOS!H:J,3,0),VLOOKUP(Tabla1[[#This Row],[USUARIO FILTRO ERROR]],DATOS!O:P,2,0)),"-")</f>
        <v>DAVID PIÑAN</v>
      </c>
      <c r="T197" s="27" t="str">
        <f>UPPER(VLOOKUP(Tabla1[[#This Row],[CODIGO]],DATOS!A:E,5,0))</f>
        <v>FLUJO CONTINUO</v>
      </c>
      <c r="U197" s="31">
        <f>(Tabla1[[#This Row],[CANTIDAD]])*(VLOOKUP(Tabla1[[#This Row],[CODIGO]],DATOS!A:D,4,0))</f>
        <v>15.12</v>
      </c>
      <c r="V197" s="31" t="str">
        <f>VLOOKUP(Tabla1[[#This Row],[CODIGO]],DATOS!A:C,3,0)</f>
        <v>ABARROTES BEBIBLES</v>
      </c>
      <c r="W197" s="31" t="s">
        <v>13323</v>
      </c>
      <c r="X197" s="28" t="s">
        <v>21</v>
      </c>
      <c r="Y197" s="28" t="s">
        <v>13113</v>
      </c>
    </row>
    <row r="198" spans="1:25" ht="12" customHeight="1" x14ac:dyDescent="0.25">
      <c r="A198" s="46">
        <v>45698</v>
      </c>
      <c r="B198" s="2" t="s">
        <v>94</v>
      </c>
      <c r="C198" s="2">
        <v>7620861047</v>
      </c>
      <c r="D198" s="2">
        <v>514184</v>
      </c>
      <c r="E198" s="2" t="s">
        <v>95</v>
      </c>
      <c r="F198" s="2">
        <v>12</v>
      </c>
      <c r="G198" s="2" t="s">
        <v>96</v>
      </c>
      <c r="H198" s="2" t="s">
        <v>25</v>
      </c>
      <c r="I198" s="75" t="s">
        <v>12940</v>
      </c>
      <c r="J198" s="9" t="s">
        <v>15</v>
      </c>
      <c r="K198" s="10" t="s">
        <v>15</v>
      </c>
      <c r="L198" s="10" t="s">
        <v>38</v>
      </c>
      <c r="M198" s="10" t="s">
        <v>15</v>
      </c>
      <c r="N198" s="10" t="s">
        <v>18</v>
      </c>
      <c r="O198" s="10" t="s">
        <v>13093</v>
      </c>
      <c r="P198" s="10" t="s">
        <v>28</v>
      </c>
      <c r="Q198" s="2" t="s">
        <v>39</v>
      </c>
      <c r="R198" s="27" t="str">
        <f>VLOOKUP(Tabla1[[#This Row],[DETALLE ]],DATOS!L:M,2,0)</f>
        <v>PICKING</v>
      </c>
      <c r="S198" s="41" t="str">
        <f>IFERROR(IFERROR(VLOOKUP(Tabla1[[#This Row],[USUARIO PICKING ERROR]],DATOS!H:J,3,0),VLOOKUP(Tabla1[[#This Row],[USUARIO FILTRO ERROR]],DATOS!O:P,2,0)),"-")</f>
        <v>DAVID PIÑAN</v>
      </c>
      <c r="T198" s="27" t="str">
        <f>UPPER(VLOOKUP(Tabla1[[#This Row],[CODIGO]],DATOS!A:E,5,0))</f>
        <v>FLUJO CONTINUO</v>
      </c>
      <c r="U198" s="31">
        <f>(Tabla1[[#This Row],[CANTIDAD]])*(VLOOKUP(Tabla1[[#This Row],[CODIGO]],DATOS!A:D,4,0))</f>
        <v>249.84</v>
      </c>
      <c r="V198" s="31" t="str">
        <f>VLOOKUP(Tabla1[[#This Row],[CODIGO]],DATOS!A:C,3,0)</f>
        <v>ABARROTES BEBIBLES</v>
      </c>
      <c r="W198" s="31" t="s">
        <v>13323</v>
      </c>
      <c r="X198" s="28" t="s">
        <v>13086</v>
      </c>
      <c r="Y198" s="28" t="s">
        <v>13113</v>
      </c>
    </row>
    <row r="199" spans="1:25" ht="12" customHeight="1" x14ac:dyDescent="0.25">
      <c r="A199" s="46">
        <v>45698</v>
      </c>
      <c r="B199" s="2" t="s">
        <v>94</v>
      </c>
      <c r="C199" s="2">
        <v>7620861047</v>
      </c>
      <c r="D199" s="2">
        <v>3730</v>
      </c>
      <c r="E199" s="2" t="s">
        <v>97</v>
      </c>
      <c r="F199" s="2">
        <v>12</v>
      </c>
      <c r="G199" s="2" t="s">
        <v>96</v>
      </c>
      <c r="H199" s="2" t="s">
        <v>17</v>
      </c>
      <c r="I199" s="75" t="s">
        <v>12940</v>
      </c>
      <c r="J199" s="9" t="s">
        <v>15</v>
      </c>
      <c r="K199" s="10" t="s">
        <v>15</v>
      </c>
      <c r="L199" s="10" t="s">
        <v>98</v>
      </c>
      <c r="M199" s="10" t="s">
        <v>15</v>
      </c>
      <c r="N199" s="10" t="s">
        <v>18</v>
      </c>
      <c r="O199" s="10" t="s">
        <v>13020</v>
      </c>
      <c r="P199" s="10" t="s">
        <v>28</v>
      </c>
      <c r="Q199" s="2" t="s">
        <v>29</v>
      </c>
      <c r="R199" s="27" t="str">
        <f>VLOOKUP(Tabla1[[#This Row],[DETALLE ]],DATOS!L:M,2,0)</f>
        <v>PICKING</v>
      </c>
      <c r="S199" s="41" t="str">
        <f>IFERROR(IFERROR(VLOOKUP(Tabla1[[#This Row],[USUARIO PICKING ERROR]],DATOS!H:J,3,0),VLOOKUP(Tabla1[[#This Row],[USUARIO FILTRO ERROR]],DATOS!O:P,2,0)),"-")</f>
        <v>BENJAMIN LIZARBE</v>
      </c>
      <c r="T199" s="27" t="str">
        <f>UPPER(VLOOKUP(Tabla1[[#This Row],[CODIGO]],DATOS!A:E,5,0))</f>
        <v>FLUJO CONTINUO</v>
      </c>
      <c r="U199" s="31">
        <f>(Tabla1[[#This Row],[CANTIDAD]])*(VLOOKUP(Tabla1[[#This Row],[CODIGO]],DATOS!A:D,4,0))</f>
        <v>171.60000000000002</v>
      </c>
      <c r="V199" s="31" t="str">
        <f>VLOOKUP(Tabla1[[#This Row],[CODIGO]],DATOS!A:C,3,0)</f>
        <v>ABARROTES BEBIBLES</v>
      </c>
      <c r="W199" s="31" t="s">
        <v>13323</v>
      </c>
      <c r="X199" s="28" t="s">
        <v>13086</v>
      </c>
      <c r="Y199" s="28" t="s">
        <v>13113</v>
      </c>
    </row>
    <row r="200" spans="1:25" ht="12" customHeight="1" x14ac:dyDescent="0.25">
      <c r="A200" s="46">
        <v>45698</v>
      </c>
      <c r="B200" s="2" t="s">
        <v>94</v>
      </c>
      <c r="C200" s="2">
        <v>7620861047</v>
      </c>
      <c r="D200" s="2">
        <v>514184</v>
      </c>
      <c r="E200" s="2" t="s">
        <v>95</v>
      </c>
      <c r="F200" s="2">
        <v>12</v>
      </c>
      <c r="G200" s="2" t="s">
        <v>96</v>
      </c>
      <c r="H200" s="2" t="s">
        <v>25</v>
      </c>
      <c r="I200" s="75" t="s">
        <v>12940</v>
      </c>
      <c r="J200" s="9" t="s">
        <v>13007</v>
      </c>
      <c r="K200" s="10">
        <v>7620867801</v>
      </c>
      <c r="L200" s="10" t="s">
        <v>38</v>
      </c>
      <c r="M200" s="10" t="s">
        <v>15</v>
      </c>
      <c r="N200" s="10" t="s">
        <v>18</v>
      </c>
      <c r="O200" s="10" t="s">
        <v>13093</v>
      </c>
      <c r="P200" s="10" t="s">
        <v>28</v>
      </c>
      <c r="Q200" s="2" t="s">
        <v>39</v>
      </c>
      <c r="R200" s="27" t="str">
        <f>VLOOKUP(Tabla1[[#This Row],[DETALLE ]],DATOS!L:M,2,0)</f>
        <v>PICKING</v>
      </c>
      <c r="S200" s="41" t="str">
        <f>IFERROR(IFERROR(VLOOKUP(Tabla1[[#This Row],[USUARIO PICKING ERROR]],DATOS!H:J,3,0),VLOOKUP(Tabla1[[#This Row],[USUARIO FILTRO ERROR]],DATOS!O:P,2,0)),"-")</f>
        <v>DAVID PIÑAN</v>
      </c>
      <c r="T200" s="27" t="str">
        <f>UPPER(VLOOKUP(Tabla1[[#This Row],[CODIGO]],DATOS!A:E,5,0))</f>
        <v>FLUJO CONTINUO</v>
      </c>
      <c r="U200" s="31">
        <f>(Tabla1[[#This Row],[CANTIDAD]])*(VLOOKUP(Tabla1[[#This Row],[CODIGO]],DATOS!A:D,4,0))</f>
        <v>249.84</v>
      </c>
      <c r="V200" s="31" t="str">
        <f>VLOOKUP(Tabla1[[#This Row],[CODIGO]],DATOS!A:C,3,0)</f>
        <v>ABARROTES BEBIBLES</v>
      </c>
      <c r="W200" s="31" t="s">
        <v>13323</v>
      </c>
      <c r="X200" s="28" t="s">
        <v>13086</v>
      </c>
      <c r="Y200" s="28" t="s">
        <v>13113</v>
      </c>
    </row>
    <row r="201" spans="1:25" ht="12" customHeight="1" x14ac:dyDescent="0.25">
      <c r="A201" s="46">
        <v>45698</v>
      </c>
      <c r="B201" s="2" t="s">
        <v>94</v>
      </c>
      <c r="C201" s="2">
        <v>7620861047</v>
      </c>
      <c r="D201" s="2">
        <v>3730</v>
      </c>
      <c r="E201" s="2" t="s">
        <v>97</v>
      </c>
      <c r="F201" s="2">
        <v>12</v>
      </c>
      <c r="G201" s="2" t="s">
        <v>96</v>
      </c>
      <c r="H201" s="2" t="s">
        <v>17</v>
      </c>
      <c r="I201" s="75" t="s">
        <v>12940</v>
      </c>
      <c r="J201" s="9" t="s">
        <v>13000</v>
      </c>
      <c r="K201" s="10">
        <v>762085987</v>
      </c>
      <c r="L201" s="10" t="s">
        <v>98</v>
      </c>
      <c r="M201" s="10" t="s">
        <v>15</v>
      </c>
      <c r="N201" s="10" t="s">
        <v>18</v>
      </c>
      <c r="O201" s="10" t="s">
        <v>13020</v>
      </c>
      <c r="P201" s="10" t="s">
        <v>28</v>
      </c>
      <c r="Q201" s="2" t="s">
        <v>29</v>
      </c>
      <c r="R201" s="27" t="str">
        <f>VLOOKUP(Tabla1[[#This Row],[DETALLE ]],DATOS!L:M,2,0)</f>
        <v>PICKING</v>
      </c>
      <c r="S201" s="41" t="str">
        <f>IFERROR(IFERROR(VLOOKUP(Tabla1[[#This Row],[USUARIO PICKING ERROR]],DATOS!H:J,3,0),VLOOKUP(Tabla1[[#This Row],[USUARIO FILTRO ERROR]],DATOS!O:P,2,0)),"-")</f>
        <v>BENJAMIN LIZARBE</v>
      </c>
      <c r="T201" s="27" t="str">
        <f>UPPER(VLOOKUP(Tabla1[[#This Row],[CODIGO]],DATOS!A:E,5,0))</f>
        <v>FLUJO CONTINUO</v>
      </c>
      <c r="U201" s="31">
        <f>(Tabla1[[#This Row],[CANTIDAD]])*(VLOOKUP(Tabla1[[#This Row],[CODIGO]],DATOS!A:D,4,0))</f>
        <v>171.60000000000002</v>
      </c>
      <c r="V201" s="31" t="str">
        <f>VLOOKUP(Tabla1[[#This Row],[CODIGO]],DATOS!A:C,3,0)</f>
        <v>ABARROTES BEBIBLES</v>
      </c>
      <c r="W201" s="31" t="s">
        <v>13323</v>
      </c>
      <c r="X201" s="28" t="s">
        <v>13086</v>
      </c>
      <c r="Y201" s="28" t="s">
        <v>13113</v>
      </c>
    </row>
    <row r="202" spans="1:25" ht="12" customHeight="1" x14ac:dyDescent="0.25">
      <c r="A202" s="46">
        <v>45699</v>
      </c>
      <c r="B202" s="2" t="s">
        <v>46</v>
      </c>
      <c r="C202" s="2">
        <v>7620861508</v>
      </c>
      <c r="D202" s="2">
        <v>124941</v>
      </c>
      <c r="E202" s="2" t="s">
        <v>47</v>
      </c>
      <c r="F202" s="2">
        <v>3</v>
      </c>
      <c r="G202" s="2" t="s">
        <v>24</v>
      </c>
      <c r="H202" s="2" t="s">
        <v>25</v>
      </c>
      <c r="I202" s="75" t="s">
        <v>12940</v>
      </c>
      <c r="J202" s="9" t="s">
        <v>48</v>
      </c>
      <c r="K202" s="10">
        <v>7620861732</v>
      </c>
      <c r="L202" s="10" t="s">
        <v>12894</v>
      </c>
      <c r="M202" s="10" t="s">
        <v>49</v>
      </c>
      <c r="N202" s="10" t="s">
        <v>13090</v>
      </c>
      <c r="O202" s="10" t="s">
        <v>13099</v>
      </c>
      <c r="P202" s="10" t="s">
        <v>25</v>
      </c>
      <c r="Q202" s="2" t="s">
        <v>39</v>
      </c>
      <c r="R202" s="27" t="str">
        <f>VLOOKUP(Tabla1[[#This Row],[DETALLE ]],DATOS!L:M,2,0)</f>
        <v>PICKING / FILTRO</v>
      </c>
      <c r="S202" s="41" t="str">
        <f>IFERROR(IFERROR(VLOOKUP(Tabla1[[#This Row],[USUARIO PICKING ERROR]],DATOS!H:J,3,0),VLOOKUP(Tabla1[[#This Row],[USUARIO FILTRO ERROR]],DATOS!O:P,2,0)),"-")</f>
        <v>DAVID PIÑAN</v>
      </c>
      <c r="T202" s="27" t="str">
        <f>UPPER(VLOOKUP(Tabla1[[#This Row],[CODIGO]],DATOS!A:E,5,0))</f>
        <v>FLUJO CONTINUO</v>
      </c>
      <c r="U202" s="31">
        <f>(Tabla1[[#This Row],[CANTIDAD]])*(VLOOKUP(Tabla1[[#This Row],[CODIGO]],DATOS!A:D,4,0))</f>
        <v>157.32</v>
      </c>
      <c r="V202" s="31" t="str">
        <f>VLOOKUP(Tabla1[[#This Row],[CODIGO]],DATOS!A:C,3,0)</f>
        <v>ABARROTES BEBIBLES</v>
      </c>
      <c r="W202" s="31" t="s">
        <v>13323</v>
      </c>
      <c r="X202" s="28" t="s">
        <v>21</v>
      </c>
      <c r="Y202" s="28" t="s">
        <v>13113</v>
      </c>
    </row>
    <row r="203" spans="1:25" ht="12" customHeight="1" x14ac:dyDescent="0.25">
      <c r="A203" s="46">
        <v>45699</v>
      </c>
      <c r="B203" s="2" t="s">
        <v>99</v>
      </c>
      <c r="C203" s="2">
        <v>7620862629</v>
      </c>
      <c r="D203" s="2">
        <v>10522</v>
      </c>
      <c r="E203" s="2" t="s">
        <v>100</v>
      </c>
      <c r="F203" s="2">
        <v>6</v>
      </c>
      <c r="G203" s="2" t="s">
        <v>101</v>
      </c>
      <c r="H203" s="2" t="s">
        <v>17</v>
      </c>
      <c r="I203" s="75" t="s">
        <v>12940</v>
      </c>
      <c r="J203" s="9" t="s">
        <v>102</v>
      </c>
      <c r="K203" s="10" t="s">
        <v>15</v>
      </c>
      <c r="L203" s="10" t="s">
        <v>38</v>
      </c>
      <c r="M203" s="10" t="s">
        <v>15</v>
      </c>
      <c r="N203" s="10" t="s">
        <v>18</v>
      </c>
      <c r="O203" s="10" t="s">
        <v>13020</v>
      </c>
      <c r="P203" s="10" t="s">
        <v>28</v>
      </c>
      <c r="Q203" s="2" t="s">
        <v>39</v>
      </c>
      <c r="R203" s="27" t="str">
        <f>VLOOKUP(Tabla1[[#This Row],[DETALLE ]],DATOS!L:M,2,0)</f>
        <v>PICKING</v>
      </c>
      <c r="S203" s="41" t="str">
        <f>IFERROR(IFERROR(VLOOKUP(Tabla1[[#This Row],[USUARIO PICKING ERROR]],DATOS!H:J,3,0),VLOOKUP(Tabla1[[#This Row],[USUARIO FILTRO ERROR]],DATOS!O:P,2,0)),"-")</f>
        <v>DAVID PIÑAN</v>
      </c>
      <c r="T203" s="27" t="str">
        <f>UPPER(VLOOKUP(Tabla1[[#This Row],[CODIGO]],DATOS!A:E,5,0))</f>
        <v>FLUJO CONTINUO</v>
      </c>
      <c r="U203" s="31">
        <f>(Tabla1[[#This Row],[CANTIDAD]])*(VLOOKUP(Tabla1[[#This Row],[CODIGO]],DATOS!A:D,4,0))</f>
        <v>150.84</v>
      </c>
      <c r="V203" s="31" t="str">
        <f>VLOOKUP(Tabla1[[#This Row],[CODIGO]],DATOS!A:C,3,0)</f>
        <v>ABARROTES BEBIBLES</v>
      </c>
      <c r="W203" s="31" t="s">
        <v>13323</v>
      </c>
      <c r="X203" s="28" t="s">
        <v>13086</v>
      </c>
      <c r="Y203" s="28" t="s">
        <v>13113</v>
      </c>
    </row>
    <row r="204" spans="1:25" ht="12" customHeight="1" x14ac:dyDescent="0.25">
      <c r="A204" s="46">
        <v>45700</v>
      </c>
      <c r="B204" s="2" t="s">
        <v>36</v>
      </c>
      <c r="C204" s="2">
        <v>7620853861</v>
      </c>
      <c r="D204" s="2">
        <v>453712</v>
      </c>
      <c r="E204" s="2" t="s">
        <v>54</v>
      </c>
      <c r="F204" s="2">
        <v>1</v>
      </c>
      <c r="G204" s="2" t="s">
        <v>52</v>
      </c>
      <c r="H204" s="2" t="s">
        <v>25</v>
      </c>
      <c r="I204" s="75" t="s">
        <v>13140</v>
      </c>
      <c r="J204" s="9" t="s">
        <v>15</v>
      </c>
      <c r="K204" s="10" t="s">
        <v>15</v>
      </c>
      <c r="L204" s="10" t="s">
        <v>55</v>
      </c>
      <c r="M204" s="10" t="s">
        <v>15</v>
      </c>
      <c r="N204" s="10" t="s">
        <v>18</v>
      </c>
      <c r="O204" s="10" t="s">
        <v>13089</v>
      </c>
      <c r="P204" s="10" t="s">
        <v>25</v>
      </c>
      <c r="Q204" s="2" t="s">
        <v>29</v>
      </c>
      <c r="R204" s="27" t="str">
        <f>VLOOKUP(Tabla1[[#This Row],[DETALLE ]],DATOS!L:M,2,0)</f>
        <v>PICKING</v>
      </c>
      <c r="S204" s="41" t="str">
        <f>IFERROR(IFERROR(VLOOKUP(Tabla1[[#This Row],[USUARIO PICKING ERROR]],DATOS!H:J,3,0),VLOOKUP(Tabla1[[#This Row],[USUARIO FILTRO ERROR]],DATOS!O:P,2,0)),"-")</f>
        <v>BENJAMIN LIZARBE</v>
      </c>
      <c r="T204" s="27" t="str">
        <f>UPPER(VLOOKUP(Tabla1[[#This Row],[CODIGO]],DATOS!A:E,5,0))</f>
        <v>FLUJO CONTINUO</v>
      </c>
      <c r="U204" s="31">
        <f>(Tabla1[[#This Row],[CANTIDAD]])*(VLOOKUP(Tabla1[[#This Row],[CODIGO]],DATOS!A:D,4,0))</f>
        <v>7.53</v>
      </c>
      <c r="V204" s="31" t="str">
        <f>VLOOKUP(Tabla1[[#This Row],[CODIGO]],DATOS!A:C,3,0)</f>
        <v>BAZAR</v>
      </c>
      <c r="W204" s="31" t="s">
        <v>13323</v>
      </c>
      <c r="X204" s="28" t="s">
        <v>21</v>
      </c>
      <c r="Y204" s="28" t="s">
        <v>13113</v>
      </c>
    </row>
    <row r="205" spans="1:25" ht="12" customHeight="1" x14ac:dyDescent="0.25">
      <c r="A205" s="46">
        <v>45701</v>
      </c>
      <c r="B205" s="2" t="s">
        <v>106</v>
      </c>
      <c r="C205" s="2">
        <v>7640114812</v>
      </c>
      <c r="D205" s="2">
        <v>702115</v>
      </c>
      <c r="E205" s="2" t="s">
        <v>107</v>
      </c>
      <c r="F205" s="2">
        <v>6</v>
      </c>
      <c r="G205" s="2" t="s">
        <v>108</v>
      </c>
      <c r="H205" s="2" t="s">
        <v>17</v>
      </c>
      <c r="I205" s="75" t="s">
        <v>12940</v>
      </c>
      <c r="J205" s="9" t="s">
        <v>15</v>
      </c>
      <c r="K205" s="10" t="s">
        <v>15</v>
      </c>
      <c r="L205" s="10" t="s">
        <v>12897</v>
      </c>
      <c r="M205" s="10" t="s">
        <v>15</v>
      </c>
      <c r="N205" s="10" t="s">
        <v>18</v>
      </c>
      <c r="O205" s="10" t="s">
        <v>13021</v>
      </c>
      <c r="P205" s="10" t="s">
        <v>28</v>
      </c>
      <c r="Q205" s="2" t="s">
        <v>29</v>
      </c>
      <c r="R205" s="27" t="str">
        <f>VLOOKUP(Tabla1[[#This Row],[DETALLE ]],DATOS!L:M,2,0)</f>
        <v>PICKING</v>
      </c>
      <c r="S205" s="41" t="str">
        <f>IFERROR(IFERROR(VLOOKUP(Tabla1[[#This Row],[USUARIO PICKING ERROR]],DATOS!H:J,3,0),VLOOKUP(Tabla1[[#This Row],[USUARIO FILTRO ERROR]],DATOS!O:P,2,0)),"-")</f>
        <v>BENJAMIN LIZARBE</v>
      </c>
      <c r="T205" s="27" t="str">
        <f>UPPER(VLOOKUP(Tabla1[[#This Row],[CODIGO]],DATOS!A:E,5,0))</f>
        <v>ALMACENADO</v>
      </c>
      <c r="U205" s="31">
        <f>(Tabla1[[#This Row],[CANTIDAD]])*(VLOOKUP(Tabla1[[#This Row],[CODIGO]],DATOS!A:D,4,0))</f>
        <v>457.43999999999994</v>
      </c>
      <c r="V205" s="31" t="str">
        <f>VLOOKUP(Tabla1[[#This Row],[CODIGO]],DATOS!A:C,3,0)</f>
        <v>ABARROTES BEBIBLES</v>
      </c>
      <c r="W205" s="31" t="s">
        <v>13323</v>
      </c>
      <c r="X205" s="28" t="s">
        <v>13086</v>
      </c>
      <c r="Y205" s="28" t="s">
        <v>13113</v>
      </c>
    </row>
    <row r="206" spans="1:25" ht="12" customHeight="1" x14ac:dyDescent="0.25">
      <c r="A206" s="46">
        <v>45703</v>
      </c>
      <c r="B206" s="2" t="s">
        <v>114</v>
      </c>
      <c r="C206" s="2">
        <v>7620855936</v>
      </c>
      <c r="D206" s="2">
        <v>396035007</v>
      </c>
      <c r="E206" s="2" t="s">
        <v>116</v>
      </c>
      <c r="F206" s="2">
        <v>24</v>
      </c>
      <c r="G206" s="2" t="s">
        <v>15</v>
      </c>
      <c r="H206" s="2" t="s">
        <v>25</v>
      </c>
      <c r="I206" s="75" t="s">
        <v>15</v>
      </c>
      <c r="J206" s="9" t="s">
        <v>15</v>
      </c>
      <c r="K206" s="10" t="s">
        <v>15</v>
      </c>
      <c r="L206" s="10" t="s">
        <v>108</v>
      </c>
      <c r="M206" s="10" t="s">
        <v>15</v>
      </c>
      <c r="N206" s="10" t="s">
        <v>18</v>
      </c>
      <c r="O206" s="10" t="s">
        <v>13098</v>
      </c>
      <c r="P206" s="10" t="s">
        <v>25</v>
      </c>
      <c r="Q206" s="2" t="s">
        <v>29</v>
      </c>
      <c r="R206" s="27" t="str">
        <f>VLOOKUP(Tabla1[[#This Row],[DETALLE ]],DATOS!L:M,2,0)</f>
        <v>PICKING</v>
      </c>
      <c r="S206" s="41" t="str">
        <f>IFERROR(IFERROR(VLOOKUP(Tabla1[[#This Row],[USUARIO PICKING ERROR]],DATOS!H:J,3,0),VLOOKUP(Tabla1[[#This Row],[USUARIO FILTRO ERROR]],DATOS!O:P,2,0)),"-")</f>
        <v>BENJAMIN LIZARBE</v>
      </c>
      <c r="T206" s="27" t="str">
        <f>UPPER(VLOOKUP(Tabla1[[#This Row],[CODIGO]],DATOS!A:E,5,0))</f>
        <v>ALMACENADO</v>
      </c>
      <c r="U206" s="31">
        <f>(Tabla1[[#This Row],[CANTIDAD]])*(VLOOKUP(Tabla1[[#This Row],[CODIGO]],DATOS!A:D,4,0))</f>
        <v>66.239999999999995</v>
      </c>
      <c r="V206" s="31" t="str">
        <f>VLOOKUP(Tabla1[[#This Row],[CODIGO]],DATOS!A:C,3,0)</f>
        <v>ABARROTES COMESTIBLES</v>
      </c>
      <c r="W206" s="31" t="s">
        <v>13323</v>
      </c>
      <c r="X206" s="28" t="s">
        <v>21</v>
      </c>
      <c r="Y206" s="28" t="s">
        <v>13111</v>
      </c>
    </row>
    <row r="207" spans="1:25" ht="12" customHeight="1" x14ac:dyDescent="0.25">
      <c r="A207" s="46">
        <v>45703</v>
      </c>
      <c r="B207" s="2" t="s">
        <v>99</v>
      </c>
      <c r="C207" s="2">
        <v>7620871371</v>
      </c>
      <c r="D207" s="2">
        <v>197680</v>
      </c>
      <c r="E207" s="2" t="s">
        <v>117</v>
      </c>
      <c r="F207" s="2">
        <v>1</v>
      </c>
      <c r="G207" s="2" t="s">
        <v>15</v>
      </c>
      <c r="H207" s="2" t="s">
        <v>25</v>
      </c>
      <c r="I207" s="75" t="s">
        <v>15</v>
      </c>
      <c r="J207" s="9" t="s">
        <v>118</v>
      </c>
      <c r="K207" s="10">
        <v>7620866041</v>
      </c>
      <c r="L207" s="10" t="s">
        <v>55</v>
      </c>
      <c r="M207" s="10" t="s">
        <v>15</v>
      </c>
      <c r="N207" s="10" t="s">
        <v>18</v>
      </c>
      <c r="O207" s="10" t="s">
        <v>13093</v>
      </c>
      <c r="P207" s="10" t="s">
        <v>28</v>
      </c>
      <c r="Q207" s="2" t="s">
        <v>29</v>
      </c>
      <c r="R207" s="27" t="str">
        <f>VLOOKUP(Tabla1[[#This Row],[DETALLE ]],DATOS!L:M,2,0)</f>
        <v>PICKING</v>
      </c>
      <c r="S207" s="41" t="str">
        <f>IFERROR(IFERROR(VLOOKUP(Tabla1[[#This Row],[USUARIO PICKING ERROR]],DATOS!H:J,3,0),VLOOKUP(Tabla1[[#This Row],[USUARIO FILTRO ERROR]],DATOS!O:P,2,0)),"-")</f>
        <v>BENJAMIN LIZARBE</v>
      </c>
      <c r="T207" s="27" t="str">
        <f>UPPER(VLOOKUP(Tabla1[[#This Row],[CODIGO]],DATOS!A:E,5,0))</f>
        <v>FLUJO CONTINUO</v>
      </c>
      <c r="U207" s="31">
        <f>(Tabla1[[#This Row],[CANTIDAD]])*(VLOOKUP(Tabla1[[#This Row],[CODIGO]],DATOS!A:D,4,0))</f>
        <v>27.03</v>
      </c>
      <c r="V207" s="31" t="str">
        <f>VLOOKUP(Tabla1[[#This Row],[CODIGO]],DATOS!A:C,3,0)</f>
        <v>ABARROTES BEBIBLES</v>
      </c>
      <c r="W207" s="31" t="s">
        <v>13323</v>
      </c>
      <c r="X207" s="28" t="s">
        <v>13086</v>
      </c>
      <c r="Y207" s="28" t="s">
        <v>13111</v>
      </c>
    </row>
    <row r="208" spans="1:25" ht="12" customHeight="1" x14ac:dyDescent="0.25">
      <c r="A208" s="46">
        <v>45703</v>
      </c>
      <c r="B208" s="2" t="s">
        <v>74</v>
      </c>
      <c r="C208" s="2">
        <v>7620866684</v>
      </c>
      <c r="D208" s="2">
        <v>567862002</v>
      </c>
      <c r="E208" s="2" t="s">
        <v>119</v>
      </c>
      <c r="F208" s="2">
        <v>6</v>
      </c>
      <c r="G208" s="2" t="s">
        <v>101</v>
      </c>
      <c r="H208" s="2" t="s">
        <v>25</v>
      </c>
      <c r="I208" s="75" t="s">
        <v>12940</v>
      </c>
      <c r="J208" s="9" t="s">
        <v>74</v>
      </c>
      <c r="K208" s="10">
        <v>7620866684</v>
      </c>
      <c r="L208" s="10" t="s">
        <v>84</v>
      </c>
      <c r="M208" s="10" t="s">
        <v>101</v>
      </c>
      <c r="N208" s="10" t="s">
        <v>12957</v>
      </c>
      <c r="O208" s="10" t="s">
        <v>13094</v>
      </c>
      <c r="P208" s="10" t="s">
        <v>28</v>
      </c>
      <c r="Q208" s="2" t="s">
        <v>39</v>
      </c>
      <c r="R208" s="27" t="str">
        <f>VLOOKUP(Tabla1[[#This Row],[DETALLE ]],DATOS!L:M,2,0)</f>
        <v>FILTRO</v>
      </c>
      <c r="S208" s="41" t="str">
        <f>IFERROR(IFERROR(VLOOKUP(Tabla1[[#This Row],[USUARIO PICKING ERROR]],DATOS!H:J,3,0),VLOOKUP(Tabla1[[#This Row],[USUARIO FILTRO ERROR]],DATOS!O:P,2,0)),"-")</f>
        <v>DAVID PIÑAN</v>
      </c>
      <c r="T208" s="27" t="str">
        <f>UPPER(VLOOKUP(Tabla1[[#This Row],[CODIGO]],DATOS!A:E,5,0))</f>
        <v>FLUJO CONTINUO</v>
      </c>
      <c r="U208" s="31">
        <f>(Tabla1[[#This Row],[CANTIDAD]])*(VLOOKUP(Tabla1[[#This Row],[CODIGO]],DATOS!A:D,4,0))</f>
        <v>18.600000000000001</v>
      </c>
      <c r="V208" s="31" t="str">
        <f>VLOOKUP(Tabla1[[#This Row],[CODIGO]],DATOS!A:C,3,0)</f>
        <v>ABARROTES BEBIBLES</v>
      </c>
      <c r="W208" s="31" t="s">
        <v>13323</v>
      </c>
      <c r="X208" s="28" t="s">
        <v>13086</v>
      </c>
      <c r="Y208" s="28" t="s">
        <v>13111</v>
      </c>
    </row>
    <row r="209" spans="1:25" ht="12" customHeight="1" x14ac:dyDescent="0.25">
      <c r="A209" s="46">
        <v>45703</v>
      </c>
      <c r="B209" s="2" t="s">
        <v>111</v>
      </c>
      <c r="C209" s="2" t="s">
        <v>110</v>
      </c>
      <c r="D209" s="2">
        <v>892487</v>
      </c>
      <c r="E209" s="2" t="s">
        <v>112</v>
      </c>
      <c r="F209" s="2">
        <v>12</v>
      </c>
      <c r="G209" s="2" t="s">
        <v>52</v>
      </c>
      <c r="H209" s="2" t="s">
        <v>17</v>
      </c>
      <c r="I209" s="75" t="s">
        <v>13140</v>
      </c>
      <c r="J209" s="9" t="s">
        <v>15</v>
      </c>
      <c r="K209" s="10" t="s">
        <v>15</v>
      </c>
      <c r="L209" s="10" t="s">
        <v>113</v>
      </c>
      <c r="M209" s="10" t="s">
        <v>15</v>
      </c>
      <c r="N209" s="10" t="s">
        <v>18</v>
      </c>
      <c r="O209" s="10" t="s">
        <v>13164</v>
      </c>
      <c r="P209" s="10" t="s">
        <v>17</v>
      </c>
      <c r="Q209" s="2" t="s">
        <v>29</v>
      </c>
      <c r="R209" s="27" t="str">
        <f>VLOOKUP(Tabla1[[#This Row],[DETALLE ]],DATOS!L:M,2,0)</f>
        <v>PICKING</v>
      </c>
      <c r="S209" s="41" t="str">
        <f>IFERROR(IFERROR(VLOOKUP(Tabla1[[#This Row],[USUARIO PICKING ERROR]],DATOS!H:J,3,0),VLOOKUP(Tabla1[[#This Row],[USUARIO FILTRO ERROR]],DATOS!O:P,2,0)),"-")</f>
        <v>BENJAMIN LIZARBE</v>
      </c>
      <c r="T209" s="27" t="str">
        <f>UPPER(VLOOKUP(Tabla1[[#This Row],[CODIGO]],DATOS!A:E,5,0))</f>
        <v>ALMACENADO</v>
      </c>
      <c r="U209" s="31">
        <f>(Tabla1[[#This Row],[CANTIDAD]])*(VLOOKUP(Tabla1[[#This Row],[CODIGO]],DATOS!A:D,4,0))</f>
        <v>40.799999999999997</v>
      </c>
      <c r="V209" s="31" t="str">
        <f>VLOOKUP(Tabla1[[#This Row],[CODIGO]],DATOS!A:C,3,0)</f>
        <v>ABARROTES COMESTIBLES</v>
      </c>
      <c r="W209" s="31" t="s">
        <v>13323</v>
      </c>
      <c r="X209" s="28" t="s">
        <v>21</v>
      </c>
      <c r="Y209" s="28" t="s">
        <v>13111</v>
      </c>
    </row>
    <row r="210" spans="1:25" ht="12" customHeight="1" x14ac:dyDescent="0.25">
      <c r="A210" s="46">
        <v>45703</v>
      </c>
      <c r="B210" s="2" t="s">
        <v>114</v>
      </c>
      <c r="C210" s="2">
        <v>7640114492</v>
      </c>
      <c r="D210" s="2">
        <v>396035004</v>
      </c>
      <c r="E210" s="2" t="s">
        <v>115</v>
      </c>
      <c r="F210" s="2">
        <v>24</v>
      </c>
      <c r="G210" s="2" t="s">
        <v>52</v>
      </c>
      <c r="H210" s="2" t="s">
        <v>17</v>
      </c>
      <c r="I210" s="75" t="s">
        <v>13140</v>
      </c>
      <c r="J210" s="9" t="s">
        <v>15</v>
      </c>
      <c r="K210" s="10" t="s">
        <v>15</v>
      </c>
      <c r="L210" s="10" t="s">
        <v>108</v>
      </c>
      <c r="M210" s="10" t="s">
        <v>15</v>
      </c>
      <c r="N210" s="10" t="s">
        <v>18</v>
      </c>
      <c r="O210" s="10" t="s">
        <v>13164</v>
      </c>
      <c r="P210" s="10" t="s">
        <v>17</v>
      </c>
      <c r="Q210" s="2" t="s">
        <v>29</v>
      </c>
      <c r="R210" s="27" t="str">
        <f>VLOOKUP(Tabla1[[#This Row],[DETALLE ]],DATOS!L:M,2,0)</f>
        <v>PICKING</v>
      </c>
      <c r="S210" s="41" t="str">
        <f>IFERROR(IFERROR(VLOOKUP(Tabla1[[#This Row],[USUARIO PICKING ERROR]],DATOS!H:J,3,0),VLOOKUP(Tabla1[[#This Row],[USUARIO FILTRO ERROR]],DATOS!O:P,2,0)),"-")</f>
        <v>BENJAMIN LIZARBE</v>
      </c>
      <c r="T210" s="27" t="str">
        <f>UPPER(VLOOKUP(Tabla1[[#This Row],[CODIGO]],DATOS!A:E,5,0))</f>
        <v>ALMACENADO</v>
      </c>
      <c r="U210" s="31">
        <f>(Tabla1[[#This Row],[CANTIDAD]])*(VLOOKUP(Tabla1[[#This Row],[CODIGO]],DATOS!A:D,4,0))</f>
        <v>66.239999999999995</v>
      </c>
      <c r="V210" s="31" t="str">
        <f>VLOOKUP(Tabla1[[#This Row],[CODIGO]],DATOS!A:C,3,0)</f>
        <v>ABARROTES COMESTIBLES</v>
      </c>
      <c r="W210" s="31" t="s">
        <v>13323</v>
      </c>
      <c r="X210" s="28" t="s">
        <v>21</v>
      </c>
      <c r="Y210" s="28" t="s">
        <v>13111</v>
      </c>
    </row>
    <row r="211" spans="1:25" ht="12" customHeight="1" x14ac:dyDescent="0.25">
      <c r="A211" s="46">
        <v>45705</v>
      </c>
      <c r="B211" s="2" t="s">
        <v>13127</v>
      </c>
      <c r="C211" s="2" t="s">
        <v>15</v>
      </c>
      <c r="D211" s="2">
        <v>754391</v>
      </c>
      <c r="E211" s="2" t="s">
        <v>134</v>
      </c>
      <c r="F211" s="2">
        <v>24</v>
      </c>
      <c r="G211" s="2" t="s">
        <v>15</v>
      </c>
      <c r="H211" s="2" t="s">
        <v>17</v>
      </c>
      <c r="I211" s="75" t="s">
        <v>15</v>
      </c>
      <c r="J211" s="9" t="s">
        <v>15</v>
      </c>
      <c r="K211" s="10" t="s">
        <v>15</v>
      </c>
      <c r="L211" s="10" t="s">
        <v>15</v>
      </c>
      <c r="M211" s="10" t="s">
        <v>15</v>
      </c>
      <c r="N211" s="10" t="s">
        <v>13123</v>
      </c>
      <c r="O211" s="10" t="s">
        <v>13134</v>
      </c>
      <c r="P211" s="10" t="s">
        <v>17</v>
      </c>
      <c r="Q211" s="2" t="s">
        <v>29</v>
      </c>
      <c r="R211" s="27" t="str">
        <f>VLOOKUP(Tabla1[[#This Row],[DETALLE ]],DATOS!L:M,2,0)</f>
        <v>INVENTARIO</v>
      </c>
      <c r="S211" s="41" t="s">
        <v>12941</v>
      </c>
      <c r="T211" s="27" t="str">
        <f>UPPER(VLOOKUP(Tabla1[[#This Row],[CODIGO]],DATOS!A:E,5,0))</f>
        <v>ALMACENADO</v>
      </c>
      <c r="U211" s="31">
        <f>(Tabla1[[#This Row],[CANTIDAD]])*(VLOOKUP(Tabla1[[#This Row],[CODIGO]],DATOS!A:D,4,0))</f>
        <v>120.96000000000001</v>
      </c>
      <c r="V211" s="31" t="str">
        <f>VLOOKUP(Tabla1[[#This Row],[CODIGO]],DATOS!A:C,3,0)</f>
        <v>ABARROTES COMESTIBLES</v>
      </c>
      <c r="W211" s="31" t="s">
        <v>13323</v>
      </c>
      <c r="X211" s="28" t="s">
        <v>21</v>
      </c>
      <c r="Y211" s="28" t="s">
        <v>13111</v>
      </c>
    </row>
    <row r="212" spans="1:25" ht="12" customHeight="1" x14ac:dyDescent="0.25">
      <c r="A212" s="46">
        <v>45705</v>
      </c>
      <c r="B212" s="2" t="s">
        <v>88</v>
      </c>
      <c r="C212" s="2">
        <v>7620870136</v>
      </c>
      <c r="D212" s="2">
        <v>786927</v>
      </c>
      <c r="E212" s="2" t="s">
        <v>120</v>
      </c>
      <c r="F212" s="2">
        <v>6</v>
      </c>
      <c r="G212" s="2" t="s">
        <v>52</v>
      </c>
      <c r="H212" s="2" t="s">
        <v>17</v>
      </c>
      <c r="I212" s="75" t="s">
        <v>13140</v>
      </c>
      <c r="J212" s="9" t="s">
        <v>15</v>
      </c>
      <c r="K212" s="10" t="s">
        <v>15</v>
      </c>
      <c r="L212" s="10" t="s">
        <v>121</v>
      </c>
      <c r="M212" s="10" t="s">
        <v>15</v>
      </c>
      <c r="N212" s="10" t="s">
        <v>18</v>
      </c>
      <c r="O212" s="10" t="s">
        <v>13164</v>
      </c>
      <c r="P212" s="10" t="s">
        <v>17</v>
      </c>
      <c r="Q212" s="2" t="s">
        <v>29</v>
      </c>
      <c r="R212" s="27" t="str">
        <f>VLOOKUP(Tabla1[[#This Row],[DETALLE ]],DATOS!L:M,2,0)</f>
        <v>PICKING</v>
      </c>
      <c r="S212" s="41" t="str">
        <f>IFERROR(IFERROR(VLOOKUP(Tabla1[[#This Row],[USUARIO PICKING ERROR]],DATOS!H:J,3,0),VLOOKUP(Tabla1[[#This Row],[USUARIO FILTRO ERROR]],DATOS!O:P,2,0)),"-")</f>
        <v>BENJAMIN LIZARBE</v>
      </c>
      <c r="T212" s="27" t="str">
        <f>UPPER(VLOOKUP(Tabla1[[#This Row],[CODIGO]],DATOS!A:E,5,0))</f>
        <v>FLUJO CONTINUO</v>
      </c>
      <c r="U212" s="31">
        <f>(Tabla1[[#This Row],[CANTIDAD]])*(VLOOKUP(Tabla1[[#This Row],[CODIGO]],DATOS!A:D,4,0))</f>
        <v>51.54</v>
      </c>
      <c r="V212" s="31" t="str">
        <f>VLOOKUP(Tabla1[[#This Row],[CODIGO]],DATOS!A:C,3,0)</f>
        <v>ABARROTES NO COMESTIBLES</v>
      </c>
      <c r="W212" s="31" t="s">
        <v>13323</v>
      </c>
      <c r="X212" s="28" t="s">
        <v>21</v>
      </c>
      <c r="Y212" s="28" t="s">
        <v>13111</v>
      </c>
    </row>
    <row r="213" spans="1:25" ht="12" customHeight="1" x14ac:dyDescent="0.25">
      <c r="A213" s="46">
        <v>45705</v>
      </c>
      <c r="B213" s="2" t="s">
        <v>88</v>
      </c>
      <c r="C213" s="2">
        <v>7620870136</v>
      </c>
      <c r="D213" s="2">
        <v>454506</v>
      </c>
      <c r="E213" s="2" t="s">
        <v>122</v>
      </c>
      <c r="F213" s="2">
        <v>12</v>
      </c>
      <c r="G213" s="2" t="s">
        <v>52</v>
      </c>
      <c r="H213" s="2" t="s">
        <v>25</v>
      </c>
      <c r="I213" s="75" t="s">
        <v>13140</v>
      </c>
      <c r="J213" s="9" t="s">
        <v>15</v>
      </c>
      <c r="K213" s="10" t="s">
        <v>15</v>
      </c>
      <c r="L213" s="10" t="s">
        <v>123</v>
      </c>
      <c r="M213" s="10" t="s">
        <v>15</v>
      </c>
      <c r="N213" s="10" t="s">
        <v>18</v>
      </c>
      <c r="O213" s="10" t="s">
        <v>13089</v>
      </c>
      <c r="P213" s="10" t="s">
        <v>25</v>
      </c>
      <c r="Q213" s="2" t="s">
        <v>39</v>
      </c>
      <c r="R213" s="27" t="str">
        <f>VLOOKUP(Tabla1[[#This Row],[DETALLE ]],DATOS!L:M,2,0)</f>
        <v>PICKING</v>
      </c>
      <c r="S213" s="41" t="str">
        <f>IFERROR(IFERROR(VLOOKUP(Tabla1[[#This Row],[USUARIO PICKING ERROR]],DATOS!H:J,3,0),VLOOKUP(Tabla1[[#This Row],[USUARIO FILTRO ERROR]],DATOS!O:P,2,0)),"-")</f>
        <v>DAVID PIÑAN</v>
      </c>
      <c r="T213" s="27" t="str">
        <f>UPPER(VLOOKUP(Tabla1[[#This Row],[CODIGO]],DATOS!A:E,5,0))</f>
        <v>FLUJO CONTINUO</v>
      </c>
      <c r="U213" s="31">
        <f>(Tabla1[[#This Row],[CANTIDAD]])*(VLOOKUP(Tabla1[[#This Row],[CODIGO]],DATOS!A:D,4,0))</f>
        <v>72.36</v>
      </c>
      <c r="V213" s="31" t="str">
        <f>VLOOKUP(Tabla1[[#This Row],[CODIGO]],DATOS!A:C,3,0)</f>
        <v>ABARROTES NO COMESTIBLES</v>
      </c>
      <c r="W213" s="31" t="s">
        <v>13323</v>
      </c>
      <c r="X213" s="28" t="s">
        <v>21</v>
      </c>
      <c r="Y213" s="28" t="s">
        <v>13111</v>
      </c>
    </row>
    <row r="214" spans="1:25" ht="12" customHeight="1" x14ac:dyDescent="0.25">
      <c r="A214" s="46">
        <v>45705</v>
      </c>
      <c r="B214" s="2" t="s">
        <v>124</v>
      </c>
      <c r="C214" s="2">
        <v>7620867356</v>
      </c>
      <c r="D214" s="2">
        <v>441661</v>
      </c>
      <c r="E214" s="2" t="s">
        <v>125</v>
      </c>
      <c r="F214" s="2">
        <v>6</v>
      </c>
      <c r="G214" s="2" t="s">
        <v>126</v>
      </c>
      <c r="H214" s="2" t="s">
        <v>17</v>
      </c>
      <c r="I214" s="75" t="s">
        <v>12940</v>
      </c>
      <c r="J214" s="9" t="s">
        <v>33</v>
      </c>
      <c r="K214" s="10">
        <v>7620854879</v>
      </c>
      <c r="L214" s="10" t="s">
        <v>55</v>
      </c>
      <c r="M214" s="10" t="s">
        <v>15</v>
      </c>
      <c r="N214" s="10" t="s">
        <v>18</v>
      </c>
      <c r="O214" s="10" t="s">
        <v>13020</v>
      </c>
      <c r="P214" s="10" t="s">
        <v>28</v>
      </c>
      <c r="Q214" s="2" t="s">
        <v>29</v>
      </c>
      <c r="R214" s="27" t="str">
        <f>VLOOKUP(Tabla1[[#This Row],[DETALLE ]],DATOS!L:M,2,0)</f>
        <v>PICKING</v>
      </c>
      <c r="S214" s="41" t="str">
        <f>IFERROR(IFERROR(VLOOKUP(Tabla1[[#This Row],[USUARIO PICKING ERROR]],DATOS!H:J,3,0),VLOOKUP(Tabla1[[#This Row],[USUARIO FILTRO ERROR]],DATOS!O:P,2,0)),"-")</f>
        <v>BENJAMIN LIZARBE</v>
      </c>
      <c r="T214" s="27" t="str">
        <f>UPPER(VLOOKUP(Tabla1[[#This Row],[CODIGO]],DATOS!A:E,5,0))</f>
        <v>FLUJO CONTINUO</v>
      </c>
      <c r="U214" s="31">
        <f>(Tabla1[[#This Row],[CANTIDAD]])*(VLOOKUP(Tabla1[[#This Row],[CODIGO]],DATOS!A:D,4,0))</f>
        <v>1083.6600000000001</v>
      </c>
      <c r="V214" s="31" t="str">
        <f>VLOOKUP(Tabla1[[#This Row],[CODIGO]],DATOS!A:C,3,0)</f>
        <v>ABARROTES BEBIBLES</v>
      </c>
      <c r="W214" s="31" t="s">
        <v>13323</v>
      </c>
      <c r="X214" s="28" t="s">
        <v>13086</v>
      </c>
      <c r="Y214" s="28" t="s">
        <v>13111</v>
      </c>
    </row>
    <row r="215" spans="1:25" ht="12" customHeight="1" x14ac:dyDescent="0.25">
      <c r="A215" s="46">
        <v>45705</v>
      </c>
      <c r="B215" s="2" t="s">
        <v>12963</v>
      </c>
      <c r="C215" s="2" t="s">
        <v>12962</v>
      </c>
      <c r="D215" s="2">
        <v>768476</v>
      </c>
      <c r="E215" s="2" t="s">
        <v>4652</v>
      </c>
      <c r="F215" s="2">
        <v>3</v>
      </c>
      <c r="G215" s="2" t="s">
        <v>15</v>
      </c>
      <c r="H215" s="2" t="s">
        <v>25</v>
      </c>
      <c r="I215" s="75" t="s">
        <v>15</v>
      </c>
      <c r="J215" s="9" t="s">
        <v>15</v>
      </c>
      <c r="K215" s="10" t="s">
        <v>15</v>
      </c>
      <c r="L215" s="10" t="s">
        <v>98</v>
      </c>
      <c r="M215" s="10" t="s">
        <v>13016</v>
      </c>
      <c r="N215" s="10" t="s">
        <v>13090</v>
      </c>
      <c r="O215" s="10" t="s">
        <v>13092</v>
      </c>
      <c r="P215" s="10" t="s">
        <v>25</v>
      </c>
      <c r="Q215" s="2" t="s">
        <v>29</v>
      </c>
      <c r="R215" s="27" t="str">
        <f>VLOOKUP(Tabla1[[#This Row],[DETALLE ]],DATOS!L:M,2,0)</f>
        <v>PICKING / FILTRO</v>
      </c>
      <c r="S215" s="41" t="str">
        <f>IFERROR(IFERROR(VLOOKUP(Tabla1[[#This Row],[USUARIO PICKING ERROR]],DATOS!H:J,3,0),VLOOKUP(Tabla1[[#This Row],[USUARIO FILTRO ERROR]],DATOS!O:P,2,0)),"-")</f>
        <v>BENJAMIN LIZARBE</v>
      </c>
      <c r="T215" s="27" t="str">
        <f>UPPER(VLOOKUP(Tabla1[[#This Row],[CODIGO]],DATOS!A:E,5,0))</f>
        <v>ALMACENADO</v>
      </c>
      <c r="U215" s="31">
        <f>(Tabla1[[#This Row],[CANTIDAD]])*(VLOOKUP(Tabla1[[#This Row],[CODIGO]],DATOS!A:D,4,0))</f>
        <v>115.28999999999999</v>
      </c>
      <c r="V215" s="31" t="str">
        <f>VLOOKUP(Tabla1[[#This Row],[CODIGO]],DATOS!A:C,3,0)</f>
        <v>ABARROTES BEBIBLES</v>
      </c>
      <c r="W215" s="31" t="s">
        <v>13323</v>
      </c>
      <c r="X215" s="28" t="s">
        <v>21</v>
      </c>
      <c r="Y215" s="28" t="s">
        <v>13111</v>
      </c>
    </row>
    <row r="216" spans="1:25" ht="12" customHeight="1" x14ac:dyDescent="0.25">
      <c r="A216" s="46">
        <v>45705</v>
      </c>
      <c r="B216" s="2" t="s">
        <v>13127</v>
      </c>
      <c r="C216" s="2" t="s">
        <v>15</v>
      </c>
      <c r="D216" s="2">
        <v>4724</v>
      </c>
      <c r="E216" s="2" t="s">
        <v>717</v>
      </c>
      <c r="F216" s="2">
        <v>1</v>
      </c>
      <c r="G216" s="2" t="s">
        <v>15</v>
      </c>
      <c r="H216" s="2" t="s">
        <v>25</v>
      </c>
      <c r="I216" s="75" t="s">
        <v>15</v>
      </c>
      <c r="J216" s="9" t="s">
        <v>15</v>
      </c>
      <c r="K216" s="10" t="s">
        <v>15</v>
      </c>
      <c r="L216" s="10" t="s">
        <v>15</v>
      </c>
      <c r="M216" s="10" t="s">
        <v>15</v>
      </c>
      <c r="N216" s="10" t="s">
        <v>18</v>
      </c>
      <c r="O216" s="10" t="s">
        <v>13135</v>
      </c>
      <c r="P216" s="10" t="s">
        <v>25</v>
      </c>
      <c r="Q216" s="2" t="s">
        <v>29</v>
      </c>
      <c r="R216" s="27" t="str">
        <f>VLOOKUP(Tabla1[[#This Row],[DETALLE ]],DATOS!L:M,2,0)</f>
        <v>PICKING</v>
      </c>
      <c r="S216" s="41" t="s">
        <v>12941</v>
      </c>
      <c r="T216" s="27" t="str">
        <f>UPPER(VLOOKUP(Tabla1[[#This Row],[CODIGO]],DATOS!A:E,5,0))</f>
        <v>ALMACENADO</v>
      </c>
      <c r="U216" s="31">
        <f>(Tabla1[[#This Row],[CANTIDAD]])*(VLOOKUP(Tabla1[[#This Row],[CODIGO]],DATOS!A:D,4,0))</f>
        <v>1.3</v>
      </c>
      <c r="V216" s="31" t="str">
        <f>VLOOKUP(Tabla1[[#This Row],[CODIGO]],DATOS!A:C,3,0)</f>
        <v>ABARROTES COMESTIBLES</v>
      </c>
      <c r="W216" s="31" t="s">
        <v>13323</v>
      </c>
      <c r="X216" s="28" t="s">
        <v>21</v>
      </c>
      <c r="Y216" s="28" t="s">
        <v>13111</v>
      </c>
    </row>
    <row r="217" spans="1:25" ht="12" customHeight="1" x14ac:dyDescent="0.25">
      <c r="A217" s="46">
        <v>45705</v>
      </c>
      <c r="B217" s="2" t="s">
        <v>13127</v>
      </c>
      <c r="C217" s="2" t="s">
        <v>15</v>
      </c>
      <c r="D217" s="2">
        <v>4694</v>
      </c>
      <c r="E217" s="2" t="s">
        <v>706</v>
      </c>
      <c r="F217" s="2">
        <v>1</v>
      </c>
      <c r="G217" s="2" t="s">
        <v>15</v>
      </c>
      <c r="H217" s="2" t="s">
        <v>25</v>
      </c>
      <c r="I217" s="75" t="s">
        <v>15</v>
      </c>
      <c r="J217" s="9" t="s">
        <v>15</v>
      </c>
      <c r="K217" s="10" t="s">
        <v>15</v>
      </c>
      <c r="L217" s="10" t="s">
        <v>15</v>
      </c>
      <c r="M217" s="10" t="s">
        <v>15</v>
      </c>
      <c r="N217" s="10" t="s">
        <v>18</v>
      </c>
      <c r="O217" s="10" t="s">
        <v>13135</v>
      </c>
      <c r="P217" s="10" t="s">
        <v>25</v>
      </c>
      <c r="Q217" s="2" t="s">
        <v>29</v>
      </c>
      <c r="R217" s="27" t="str">
        <f>VLOOKUP(Tabla1[[#This Row],[DETALLE ]],DATOS!L:M,2,0)</f>
        <v>PICKING</v>
      </c>
      <c r="S217" s="41" t="s">
        <v>12941</v>
      </c>
      <c r="T217" s="27" t="str">
        <f>UPPER(VLOOKUP(Tabla1[[#This Row],[CODIGO]],DATOS!A:E,5,0))</f>
        <v>ALMACENADO</v>
      </c>
      <c r="U217" s="31">
        <f>(Tabla1[[#This Row],[CANTIDAD]])*(VLOOKUP(Tabla1[[#This Row],[CODIGO]],DATOS!A:D,4,0))</f>
        <v>2.61</v>
      </c>
      <c r="V217" s="31" t="str">
        <f>VLOOKUP(Tabla1[[#This Row],[CODIGO]],DATOS!A:C,3,0)</f>
        <v>ABARROTES COMESTIBLES</v>
      </c>
      <c r="W217" s="31" t="s">
        <v>13323</v>
      </c>
      <c r="X217" s="28" t="s">
        <v>21</v>
      </c>
      <c r="Y217" s="28" t="s">
        <v>13111</v>
      </c>
    </row>
    <row r="218" spans="1:25" ht="12" customHeight="1" x14ac:dyDescent="0.25">
      <c r="A218" s="46">
        <v>45705</v>
      </c>
      <c r="B218" s="2" t="s">
        <v>13127</v>
      </c>
      <c r="C218" s="2" t="s">
        <v>15</v>
      </c>
      <c r="D218" s="2">
        <v>4262</v>
      </c>
      <c r="E218" s="2" t="s">
        <v>466</v>
      </c>
      <c r="F218" s="2">
        <v>30</v>
      </c>
      <c r="G218" s="2" t="s">
        <v>15</v>
      </c>
      <c r="H218" s="2" t="s">
        <v>25</v>
      </c>
      <c r="I218" s="75" t="s">
        <v>13142</v>
      </c>
      <c r="J218" s="9" t="s">
        <v>15</v>
      </c>
      <c r="K218" s="10" t="s">
        <v>15</v>
      </c>
      <c r="L218" s="10" t="s">
        <v>15</v>
      </c>
      <c r="M218" s="10" t="s">
        <v>15</v>
      </c>
      <c r="N218" s="10" t="s">
        <v>18</v>
      </c>
      <c r="O218" s="10" t="s">
        <v>13135</v>
      </c>
      <c r="P218" s="10" t="s">
        <v>25</v>
      </c>
      <c r="Q218" s="2" t="s">
        <v>29</v>
      </c>
      <c r="R218" s="27" t="str">
        <f>VLOOKUP(Tabla1[[#This Row],[DETALLE ]],DATOS!L:M,2,0)</f>
        <v>PICKING</v>
      </c>
      <c r="S218" s="41" t="s">
        <v>12941</v>
      </c>
      <c r="T218" s="27" t="str">
        <f>UPPER(VLOOKUP(Tabla1[[#This Row],[CODIGO]],DATOS!A:E,5,0))</f>
        <v>ALMACENADO</v>
      </c>
      <c r="U218" s="31">
        <f>(Tabla1[[#This Row],[CANTIDAD]])*(VLOOKUP(Tabla1[[#This Row],[CODIGO]],DATOS!A:D,4,0))</f>
        <v>66</v>
      </c>
      <c r="V218" s="31" t="str">
        <f>VLOOKUP(Tabla1[[#This Row],[CODIGO]],DATOS!A:C,3,0)</f>
        <v>ABARROTES COMESTIBLES</v>
      </c>
      <c r="W218" s="31" t="s">
        <v>13323</v>
      </c>
      <c r="X218" s="28" t="s">
        <v>21</v>
      </c>
      <c r="Y218" s="28" t="s">
        <v>13111</v>
      </c>
    </row>
    <row r="219" spans="1:25" ht="12" customHeight="1" x14ac:dyDescent="0.25">
      <c r="A219" s="46">
        <v>45705</v>
      </c>
      <c r="B219" s="2" t="s">
        <v>13127</v>
      </c>
      <c r="C219" s="2" t="s">
        <v>15</v>
      </c>
      <c r="D219" s="2">
        <v>137964</v>
      </c>
      <c r="E219" s="2" t="s">
        <v>1123</v>
      </c>
      <c r="F219" s="2">
        <v>10</v>
      </c>
      <c r="G219" s="2" t="s">
        <v>15</v>
      </c>
      <c r="H219" s="2" t="s">
        <v>25</v>
      </c>
      <c r="I219" s="75" t="s">
        <v>13141</v>
      </c>
      <c r="J219" s="9" t="s">
        <v>15</v>
      </c>
      <c r="K219" s="10" t="s">
        <v>15</v>
      </c>
      <c r="L219" s="10" t="s">
        <v>14</v>
      </c>
      <c r="M219" s="10" t="s">
        <v>15</v>
      </c>
      <c r="N219" s="10" t="s">
        <v>13136</v>
      </c>
      <c r="O219" s="10" t="s">
        <v>13135</v>
      </c>
      <c r="P219" s="10" t="s">
        <v>25</v>
      </c>
      <c r="Q219" s="2" t="s">
        <v>29</v>
      </c>
      <c r="R219" s="27" t="str">
        <f>VLOOKUP(Tabla1[[#This Row],[DETALLE ]],DATOS!L:M,2,0)</f>
        <v>DESPACHO</v>
      </c>
      <c r="S219" s="41" t="str">
        <f>IFERROR(IFERROR(VLOOKUP(Tabla1[[#This Row],[USUARIO PICKING ERROR]],DATOS!H:J,3,0),VLOOKUP(Tabla1[[#This Row],[USUARIO FILTRO ERROR]],DATOS!O:P,2,0)),"-")</f>
        <v>ALMACEN</v>
      </c>
      <c r="T219" s="27" t="str">
        <f>UPPER(VLOOKUP(Tabla1[[#This Row],[CODIGO]],DATOS!A:E,5,0))</f>
        <v>FLUJO CONTINUO</v>
      </c>
      <c r="U219" s="31">
        <f>(Tabla1[[#This Row],[CANTIDAD]])*(VLOOKUP(Tabla1[[#This Row],[CODIGO]],DATOS!A:D,4,0))</f>
        <v>29.4</v>
      </c>
      <c r="V219" s="31" t="str">
        <f>VLOOKUP(Tabla1[[#This Row],[CODIGO]],DATOS!A:C,3,0)</f>
        <v>ABARROTES NO COMESTIBLES</v>
      </c>
      <c r="W219" s="31" t="s">
        <v>13323</v>
      </c>
      <c r="X219" s="28" t="s">
        <v>21</v>
      </c>
      <c r="Y219" s="28" t="s">
        <v>13111</v>
      </c>
    </row>
    <row r="220" spans="1:25" ht="12" customHeight="1" x14ac:dyDescent="0.25">
      <c r="A220" s="46">
        <v>45708</v>
      </c>
      <c r="B220" s="2" t="s">
        <v>65</v>
      </c>
      <c r="C220" s="2">
        <v>7620868444</v>
      </c>
      <c r="D220" s="2">
        <v>243288</v>
      </c>
      <c r="E220" s="2" t="s">
        <v>133</v>
      </c>
      <c r="F220" s="2">
        <v>3</v>
      </c>
      <c r="G220" s="2" t="s">
        <v>52</v>
      </c>
      <c r="H220" s="2" t="s">
        <v>17</v>
      </c>
      <c r="I220" s="75" t="s">
        <v>13140</v>
      </c>
      <c r="J220" s="9" t="s">
        <v>15</v>
      </c>
      <c r="K220" s="10" t="s">
        <v>15</v>
      </c>
      <c r="L220" s="10" t="s">
        <v>55</v>
      </c>
      <c r="M220" s="10" t="s">
        <v>15</v>
      </c>
      <c r="N220" s="10" t="s">
        <v>18</v>
      </c>
      <c r="O220" s="10" t="s">
        <v>13164</v>
      </c>
      <c r="P220" s="10" t="s">
        <v>17</v>
      </c>
      <c r="Q220" s="2" t="s">
        <v>29</v>
      </c>
      <c r="R220" s="27" t="str">
        <f>VLOOKUP(Tabla1[[#This Row],[DETALLE ]],DATOS!L:M,2,0)</f>
        <v>PICKING</v>
      </c>
      <c r="S220" s="41" t="str">
        <f>IFERROR(IFERROR(VLOOKUP(Tabla1[[#This Row],[USUARIO PICKING ERROR]],DATOS!H:J,3,0),VLOOKUP(Tabla1[[#This Row],[USUARIO FILTRO ERROR]],DATOS!O:P,2,0)),"-")</f>
        <v>BENJAMIN LIZARBE</v>
      </c>
      <c r="T220" s="27" t="str">
        <f>UPPER(VLOOKUP(Tabla1[[#This Row],[CODIGO]],DATOS!A:E,5,0))</f>
        <v>FLUJO CONTINUO</v>
      </c>
      <c r="U220" s="31">
        <f>(Tabla1[[#This Row],[CANTIDAD]])*(VLOOKUP(Tabla1[[#This Row],[CODIGO]],DATOS!A:D,4,0))</f>
        <v>83.91</v>
      </c>
      <c r="V220" s="31" t="str">
        <f>VLOOKUP(Tabla1[[#This Row],[CODIGO]],DATOS!A:C,3,0)</f>
        <v>ABARROTES COMESTIBLES</v>
      </c>
      <c r="W220" s="31" t="s">
        <v>13323</v>
      </c>
      <c r="X220" s="28" t="s">
        <v>21</v>
      </c>
      <c r="Y220" s="28" t="s">
        <v>13111</v>
      </c>
    </row>
    <row r="221" spans="1:25" ht="12" customHeight="1" x14ac:dyDescent="0.25">
      <c r="A221" s="46">
        <v>45708</v>
      </c>
      <c r="B221" s="2" t="s">
        <v>130</v>
      </c>
      <c r="C221" s="2" t="s">
        <v>129</v>
      </c>
      <c r="D221" s="2">
        <v>889644</v>
      </c>
      <c r="E221" s="2" t="s">
        <v>131</v>
      </c>
      <c r="F221" s="2">
        <v>1</v>
      </c>
      <c r="G221" s="2" t="s">
        <v>52</v>
      </c>
      <c r="H221" s="2" t="s">
        <v>17</v>
      </c>
      <c r="I221" s="75" t="s">
        <v>13140</v>
      </c>
      <c r="J221" s="9" t="s">
        <v>15</v>
      </c>
      <c r="K221" s="10" t="s">
        <v>15</v>
      </c>
      <c r="L221" s="10" t="s">
        <v>132</v>
      </c>
      <c r="M221" s="10" t="s">
        <v>15</v>
      </c>
      <c r="N221" s="10" t="s">
        <v>18</v>
      </c>
      <c r="O221" s="10" t="s">
        <v>13164</v>
      </c>
      <c r="P221" s="10" t="s">
        <v>17</v>
      </c>
      <c r="Q221" s="2" t="s">
        <v>29</v>
      </c>
      <c r="R221" s="27" t="str">
        <f>VLOOKUP(Tabla1[[#This Row],[DETALLE ]],DATOS!L:M,2,0)</f>
        <v>PICKING</v>
      </c>
      <c r="S221" s="41" t="str">
        <f>IFERROR(IFERROR(VLOOKUP(Tabla1[[#This Row],[USUARIO PICKING ERROR]],DATOS!H:J,3,0),VLOOKUP(Tabla1[[#This Row],[USUARIO FILTRO ERROR]],DATOS!O:P,2,0)),"-")</f>
        <v>BENJAMIN LIZARBE</v>
      </c>
      <c r="T221" s="27" t="str">
        <f>UPPER(VLOOKUP(Tabla1[[#This Row],[CODIGO]],DATOS!A:E,5,0))</f>
        <v>ALMACENADO</v>
      </c>
      <c r="U221" s="31">
        <f>(Tabla1[[#This Row],[CANTIDAD]])*(VLOOKUP(Tabla1[[#This Row],[CODIGO]],DATOS!A:D,4,0))</f>
        <v>9.24</v>
      </c>
      <c r="V221" s="31" t="str">
        <f>VLOOKUP(Tabla1[[#This Row],[CODIGO]],DATOS!A:C,3,0)</f>
        <v>ABARROTES COMESTIBLES</v>
      </c>
      <c r="W221" s="31" t="s">
        <v>13323</v>
      </c>
      <c r="X221" s="28" t="s">
        <v>21</v>
      </c>
      <c r="Y221" s="28" t="s">
        <v>13111</v>
      </c>
    </row>
    <row r="222" spans="1:25" ht="12" customHeight="1" x14ac:dyDescent="0.25">
      <c r="A222" s="46">
        <v>45708</v>
      </c>
      <c r="B222" s="2" t="s">
        <v>127</v>
      </c>
      <c r="C222" s="2">
        <v>7620855037</v>
      </c>
      <c r="D222" s="2">
        <v>3283</v>
      </c>
      <c r="E222" s="2" t="s">
        <v>128</v>
      </c>
      <c r="F222" s="2">
        <v>12</v>
      </c>
      <c r="G222" s="2" t="s">
        <v>15</v>
      </c>
      <c r="H222" s="2" t="s">
        <v>17</v>
      </c>
      <c r="I222" s="75" t="s">
        <v>15</v>
      </c>
      <c r="J222" s="9" t="s">
        <v>15</v>
      </c>
      <c r="K222" s="10" t="s">
        <v>15</v>
      </c>
      <c r="L222" s="10" t="s">
        <v>55</v>
      </c>
      <c r="M222" s="10" t="s">
        <v>15</v>
      </c>
      <c r="N222" s="10" t="s">
        <v>18</v>
      </c>
      <c r="O222" s="10" t="s">
        <v>13021</v>
      </c>
      <c r="P222" s="10" t="s">
        <v>28</v>
      </c>
      <c r="Q222" s="2" t="s">
        <v>29</v>
      </c>
      <c r="R222" s="27" t="str">
        <f>VLOOKUP(Tabla1[[#This Row],[DETALLE ]],DATOS!L:M,2,0)</f>
        <v>PICKING</v>
      </c>
      <c r="S222" s="41" t="str">
        <f>IFERROR(IFERROR(VLOOKUP(Tabla1[[#This Row],[USUARIO PICKING ERROR]],DATOS!H:J,3,0),VLOOKUP(Tabla1[[#This Row],[USUARIO FILTRO ERROR]],DATOS!O:P,2,0)),"-")</f>
        <v>BENJAMIN LIZARBE</v>
      </c>
      <c r="T222" s="27" t="str">
        <f>UPPER(VLOOKUP(Tabla1[[#This Row],[CODIGO]],DATOS!A:E,5,0))</f>
        <v>ALMACENADO</v>
      </c>
      <c r="U222" s="31">
        <f>(Tabla1[[#This Row],[CANTIDAD]])*(VLOOKUP(Tabla1[[#This Row],[CODIGO]],DATOS!A:D,4,0))</f>
        <v>60</v>
      </c>
      <c r="V222" s="31" t="str">
        <f>VLOOKUP(Tabla1[[#This Row],[CODIGO]],DATOS!A:C,3,0)</f>
        <v>ABARROTES COMESTIBLES</v>
      </c>
      <c r="W222" s="31" t="s">
        <v>13323</v>
      </c>
      <c r="X222" s="28" t="s">
        <v>13086</v>
      </c>
      <c r="Y222" s="28" t="s">
        <v>13111</v>
      </c>
    </row>
    <row r="223" spans="1:25" ht="12" customHeight="1" x14ac:dyDescent="0.25">
      <c r="A223" s="46">
        <v>45709</v>
      </c>
      <c r="B223" s="2" t="s">
        <v>13106</v>
      </c>
      <c r="C223" s="2">
        <v>7620869209</v>
      </c>
      <c r="D223" s="2">
        <v>373210</v>
      </c>
      <c r="E223" s="2" t="s">
        <v>1961</v>
      </c>
      <c r="F223" s="2">
        <v>1</v>
      </c>
      <c r="G223" s="2" t="s">
        <v>15</v>
      </c>
      <c r="H223" s="2" t="s">
        <v>17</v>
      </c>
      <c r="I223" s="75" t="s">
        <v>15</v>
      </c>
      <c r="J223" s="9" t="s">
        <v>15</v>
      </c>
      <c r="K223" s="10" t="s">
        <v>15</v>
      </c>
      <c r="L223" s="10" t="s">
        <v>12897</v>
      </c>
      <c r="M223" s="10" t="s">
        <v>15</v>
      </c>
      <c r="N223" s="10" t="s">
        <v>18</v>
      </c>
      <c r="O223" s="10" t="s">
        <v>13021</v>
      </c>
      <c r="P223" s="10" t="s">
        <v>17</v>
      </c>
      <c r="Q223" s="2" t="s">
        <v>29</v>
      </c>
      <c r="R223" s="27" t="str">
        <f>VLOOKUP(Tabla1[[#This Row],[DETALLE ]],DATOS!L:M,2,0)</f>
        <v>PICKING</v>
      </c>
      <c r="S223" s="41" t="str">
        <f>IFERROR(IFERROR(VLOOKUP(Tabla1[[#This Row],[USUARIO PICKING ERROR]],DATOS!H:J,3,0),VLOOKUP(Tabla1[[#This Row],[USUARIO FILTRO ERROR]],DATOS!O:P,2,0)),"-")</f>
        <v>BENJAMIN LIZARBE</v>
      </c>
      <c r="T223" s="27" t="str">
        <f>UPPER(VLOOKUP(Tabla1[[#This Row],[CODIGO]],DATOS!A:E,5,0))</f>
        <v>ALMACENADO</v>
      </c>
      <c r="U223" s="31">
        <f>(Tabla1[[#This Row],[CANTIDAD]])*(VLOOKUP(Tabla1[[#This Row],[CODIGO]],DATOS!A:D,4,0))</f>
        <v>2.71</v>
      </c>
      <c r="V223" s="31" t="str">
        <f>VLOOKUP(Tabla1[[#This Row],[CODIGO]],DATOS!A:C,3,0)</f>
        <v>ABARROTES COMESTIBLES</v>
      </c>
      <c r="W223" s="31" t="s">
        <v>13323</v>
      </c>
      <c r="X223" s="28" t="s">
        <v>21</v>
      </c>
      <c r="Y223" s="28" t="s">
        <v>13111</v>
      </c>
    </row>
    <row r="224" spans="1:25" ht="12" customHeight="1" x14ac:dyDescent="0.25">
      <c r="A224" s="46">
        <v>45709</v>
      </c>
      <c r="B224" s="2" t="s">
        <v>88</v>
      </c>
      <c r="C224" s="2">
        <v>7640114831</v>
      </c>
      <c r="D224" s="2">
        <v>4763</v>
      </c>
      <c r="E224" s="2" t="s">
        <v>767</v>
      </c>
      <c r="F224" s="2">
        <v>1</v>
      </c>
      <c r="G224" s="2" t="s">
        <v>52</v>
      </c>
      <c r="H224" s="2" t="s">
        <v>25</v>
      </c>
      <c r="I224" s="75" t="s">
        <v>13140</v>
      </c>
      <c r="J224" s="9" t="s">
        <v>15</v>
      </c>
      <c r="K224" s="10" t="s">
        <v>15</v>
      </c>
      <c r="L224" s="10" t="s">
        <v>132</v>
      </c>
      <c r="M224" s="10" t="s">
        <v>15</v>
      </c>
      <c r="N224" s="10" t="s">
        <v>18</v>
      </c>
      <c r="O224" s="10" t="s">
        <v>13089</v>
      </c>
      <c r="P224" s="10" t="s">
        <v>25</v>
      </c>
      <c r="Q224" s="2" t="s">
        <v>29</v>
      </c>
      <c r="R224" s="27" t="str">
        <f>VLOOKUP(Tabla1[[#This Row],[DETALLE ]],DATOS!L:M,2,0)</f>
        <v>PICKING</v>
      </c>
      <c r="S224" s="41" t="str">
        <f>IFERROR(IFERROR(VLOOKUP(Tabla1[[#This Row],[USUARIO PICKING ERROR]],DATOS!H:J,3,0),VLOOKUP(Tabla1[[#This Row],[USUARIO FILTRO ERROR]],DATOS!O:P,2,0)),"-")</f>
        <v>BENJAMIN LIZARBE</v>
      </c>
      <c r="T224" s="27" t="str">
        <f>UPPER(VLOOKUP(Tabla1[[#This Row],[CODIGO]],DATOS!A:E,5,0))</f>
        <v>ALMACENADO</v>
      </c>
      <c r="U224" s="31">
        <f>(Tabla1[[#This Row],[CANTIDAD]])*(VLOOKUP(Tabla1[[#This Row],[CODIGO]],DATOS!A:D,4,0))</f>
        <v>0.76</v>
      </c>
      <c r="V224" s="31" t="str">
        <f>VLOOKUP(Tabla1[[#This Row],[CODIGO]],DATOS!A:C,3,0)</f>
        <v>ABARROTES COMESTIBLES</v>
      </c>
      <c r="W224" s="31" t="s">
        <v>13323</v>
      </c>
      <c r="X224" s="28" t="s">
        <v>21</v>
      </c>
      <c r="Y224" s="28" t="s">
        <v>13111</v>
      </c>
    </row>
    <row r="225" spans="1:25" ht="12" customHeight="1" x14ac:dyDescent="0.25">
      <c r="A225" s="46">
        <v>45709</v>
      </c>
      <c r="B225" s="2" t="s">
        <v>12989</v>
      </c>
      <c r="C225" s="2">
        <v>7640114559</v>
      </c>
      <c r="D225" s="2">
        <v>891733</v>
      </c>
      <c r="E225" s="2" t="s">
        <v>5796</v>
      </c>
      <c r="F225" s="2">
        <v>1</v>
      </c>
      <c r="G225" s="2" t="s">
        <v>52</v>
      </c>
      <c r="H225" s="2" t="s">
        <v>25</v>
      </c>
      <c r="I225" s="75" t="s">
        <v>13140</v>
      </c>
      <c r="J225" s="9" t="s">
        <v>15</v>
      </c>
      <c r="K225" s="10" t="s">
        <v>15</v>
      </c>
      <c r="L225" s="10" t="s">
        <v>87</v>
      </c>
      <c r="M225" s="10" t="s">
        <v>15</v>
      </c>
      <c r="N225" s="10" t="s">
        <v>18</v>
      </c>
      <c r="O225" s="10" t="s">
        <v>13089</v>
      </c>
      <c r="P225" s="10" t="s">
        <v>25</v>
      </c>
      <c r="Q225" s="2" t="s">
        <v>29</v>
      </c>
      <c r="R225" s="27" t="str">
        <f>VLOOKUP(Tabla1[[#This Row],[DETALLE ]],DATOS!L:M,2,0)</f>
        <v>PICKING</v>
      </c>
      <c r="S225" s="41" t="str">
        <f>IFERROR(IFERROR(VLOOKUP(Tabla1[[#This Row],[USUARIO PICKING ERROR]],DATOS!H:J,3,0),VLOOKUP(Tabla1[[#This Row],[USUARIO FILTRO ERROR]],DATOS!O:P,2,0)),"-")</f>
        <v>BENJAMIN LIZARBE</v>
      </c>
      <c r="T225" s="27" t="str">
        <f>UPPER(VLOOKUP(Tabla1[[#This Row],[CODIGO]],DATOS!A:E,5,0))</f>
        <v>ALMACENADO</v>
      </c>
      <c r="U225" s="31">
        <f>(Tabla1[[#This Row],[CANTIDAD]])*(VLOOKUP(Tabla1[[#This Row],[CODIGO]],DATOS!A:D,4,0))</f>
        <v>22.99</v>
      </c>
      <c r="V225" s="31" t="str">
        <f>VLOOKUP(Tabla1[[#This Row],[CODIGO]],DATOS!A:C,3,0)</f>
        <v>ABARROTES COMESTIBLES</v>
      </c>
      <c r="W225" s="31" t="s">
        <v>13323</v>
      </c>
      <c r="X225" s="28" t="s">
        <v>21</v>
      </c>
      <c r="Y225" s="28" t="s">
        <v>13111</v>
      </c>
    </row>
    <row r="226" spans="1:25" ht="12" customHeight="1" x14ac:dyDescent="0.25">
      <c r="A226" s="46">
        <v>45710</v>
      </c>
      <c r="B226" s="2" t="s">
        <v>12986</v>
      </c>
      <c r="C226" s="2">
        <v>7620861690</v>
      </c>
      <c r="D226" s="2">
        <v>324677</v>
      </c>
      <c r="E226" s="2" t="s">
        <v>1576</v>
      </c>
      <c r="F226" s="2">
        <v>1</v>
      </c>
      <c r="G226" s="2" t="s">
        <v>96</v>
      </c>
      <c r="H226" s="2" t="s">
        <v>17</v>
      </c>
      <c r="I226" s="75" t="s">
        <v>12940</v>
      </c>
      <c r="J226" s="9" t="s">
        <v>15</v>
      </c>
      <c r="K226" s="10" t="s">
        <v>15</v>
      </c>
      <c r="L226" s="10" t="s">
        <v>67</v>
      </c>
      <c r="M226" s="10" t="s">
        <v>15</v>
      </c>
      <c r="N226" s="10" t="s">
        <v>18</v>
      </c>
      <c r="O226" s="10" t="s">
        <v>13103</v>
      </c>
      <c r="P226" s="10" t="s">
        <v>17</v>
      </c>
      <c r="Q226" s="2" t="s">
        <v>29</v>
      </c>
      <c r="R226" s="27" t="str">
        <f>VLOOKUP(Tabla1[[#This Row],[DETALLE ]],DATOS!L:M,2,0)</f>
        <v>PICKING</v>
      </c>
      <c r="S226" s="41" t="str">
        <f>IFERROR(IFERROR(VLOOKUP(Tabla1[[#This Row],[USUARIO PICKING ERROR]],DATOS!H:J,3,0),VLOOKUP(Tabla1[[#This Row],[USUARIO FILTRO ERROR]],DATOS!O:P,2,0)),"-")</f>
        <v>BENJAMIN LIZARBE</v>
      </c>
      <c r="T226" s="27" t="str">
        <f>UPPER(VLOOKUP(Tabla1[[#This Row],[CODIGO]],DATOS!A:E,5,0))</f>
        <v>FLUJO CONTINUO</v>
      </c>
      <c r="U226" s="31">
        <f>(Tabla1[[#This Row],[CANTIDAD]])*(VLOOKUP(Tabla1[[#This Row],[CODIGO]],DATOS!A:D,4,0))</f>
        <v>33.979999999999997</v>
      </c>
      <c r="V226" s="31" t="str">
        <f>VLOOKUP(Tabla1[[#This Row],[CODIGO]],DATOS!A:C,3,0)</f>
        <v>ABARROTES BEBIBLES</v>
      </c>
      <c r="W226" s="31" t="s">
        <v>13323</v>
      </c>
      <c r="X226" s="28" t="s">
        <v>21</v>
      </c>
      <c r="Y226" s="28" t="s">
        <v>13111</v>
      </c>
    </row>
    <row r="227" spans="1:25" ht="12" customHeight="1" x14ac:dyDescent="0.25">
      <c r="A227" s="46">
        <v>45710</v>
      </c>
      <c r="B227" s="2" t="s">
        <v>68</v>
      </c>
      <c r="C227" s="2">
        <v>7620871918</v>
      </c>
      <c r="D227" s="2">
        <v>544673</v>
      </c>
      <c r="E227" s="2" t="s">
        <v>2786</v>
      </c>
      <c r="F227" s="2">
        <v>12</v>
      </c>
      <c r="G227" s="2" t="s">
        <v>15</v>
      </c>
      <c r="H227" s="2" t="s">
        <v>17</v>
      </c>
      <c r="I227" s="75" t="s">
        <v>15</v>
      </c>
      <c r="J227" s="9" t="s">
        <v>15</v>
      </c>
      <c r="K227" s="10" t="s">
        <v>15</v>
      </c>
      <c r="L227" s="10" t="s">
        <v>82</v>
      </c>
      <c r="M227" s="10" t="s">
        <v>15</v>
      </c>
      <c r="N227" s="10" t="s">
        <v>13027</v>
      </c>
      <c r="O227" s="10" t="s">
        <v>13091</v>
      </c>
      <c r="P227" s="10" t="s">
        <v>28</v>
      </c>
      <c r="Q227" s="2" t="s">
        <v>29</v>
      </c>
      <c r="R227" s="27" t="str">
        <f>VLOOKUP(Tabla1[[#This Row],[DETALLE ]],DATOS!L:M,2,0)</f>
        <v>CRUCE DE ORIGEN</v>
      </c>
      <c r="S227" s="41" t="str">
        <f>IFERROR(IFERROR(VLOOKUP(Tabla1[[#This Row],[USUARIO PICKING ERROR]],DATOS!H:J,3,0),VLOOKUP(Tabla1[[#This Row],[USUARIO FILTRO ERROR]],DATOS!O:P,2,0)),"-")</f>
        <v>BENJAMIN LIZARBE</v>
      </c>
      <c r="T227" s="27" t="str">
        <f>UPPER(VLOOKUP(Tabla1[[#This Row],[CODIGO]],DATOS!A:E,5,0))</f>
        <v>FLUJO CONTINUO</v>
      </c>
      <c r="U227" s="31">
        <f>(Tabla1[[#This Row],[CANTIDAD]])*(VLOOKUP(Tabla1[[#This Row],[CODIGO]],DATOS!A:D,4,0))</f>
        <v>284.39999999999998</v>
      </c>
      <c r="V227" s="31" t="str">
        <f>VLOOKUP(Tabla1[[#This Row],[CODIGO]],DATOS!A:C,3,0)</f>
        <v>ABARROTES BEBIBLES</v>
      </c>
      <c r="W227" s="31" t="s">
        <v>13323</v>
      </c>
      <c r="X227" s="28" t="s">
        <v>13086</v>
      </c>
      <c r="Y227" s="28" t="s">
        <v>13111</v>
      </c>
    </row>
    <row r="228" spans="1:25" ht="12" customHeight="1" x14ac:dyDescent="0.25">
      <c r="A228" s="46">
        <v>45710</v>
      </c>
      <c r="B228" s="2" t="s">
        <v>13024</v>
      </c>
      <c r="C228" s="2">
        <v>7620855120</v>
      </c>
      <c r="D228" s="2">
        <v>477507005</v>
      </c>
      <c r="E228" s="2" t="s">
        <v>9693</v>
      </c>
      <c r="F228" s="2">
        <v>2</v>
      </c>
      <c r="G228" s="2" t="s">
        <v>15</v>
      </c>
      <c r="H228" s="2" t="s">
        <v>17</v>
      </c>
      <c r="I228" s="75" t="s">
        <v>15</v>
      </c>
      <c r="J228" s="9" t="s">
        <v>127</v>
      </c>
      <c r="K228" s="10">
        <v>7620855036</v>
      </c>
      <c r="L228" s="10" t="s">
        <v>38</v>
      </c>
      <c r="M228" s="10" t="s">
        <v>15</v>
      </c>
      <c r="N228" s="10" t="s">
        <v>18</v>
      </c>
      <c r="O228" s="10" t="s">
        <v>13369</v>
      </c>
      <c r="P228" s="10" t="s">
        <v>28</v>
      </c>
      <c r="Q228" s="2" t="s">
        <v>39</v>
      </c>
      <c r="R228" s="27" t="str">
        <f>VLOOKUP(Tabla1[[#This Row],[DETALLE ]],DATOS!L:M,2,0)</f>
        <v>PICKING</v>
      </c>
      <c r="S228" s="41" t="str">
        <f>IFERROR(IFERROR(VLOOKUP(Tabla1[[#This Row],[USUARIO PICKING ERROR]],DATOS!H:J,3,0),VLOOKUP(Tabla1[[#This Row],[USUARIO FILTRO ERROR]],DATOS!O:P,2,0)),"-")</f>
        <v>DAVID PIÑAN</v>
      </c>
      <c r="T228" s="27" t="str">
        <f>UPPER(VLOOKUP(Tabla1[[#This Row],[CODIGO]],DATOS!A:E,5,0))</f>
        <v>FLUJO CONTINUO</v>
      </c>
      <c r="U228" s="31">
        <f>(Tabla1[[#This Row],[CANTIDAD]])*(VLOOKUP(Tabla1[[#This Row],[CODIGO]],DATOS!A:D,4,0))</f>
        <v>180</v>
      </c>
      <c r="V228" s="31" t="str">
        <f>VLOOKUP(Tabla1[[#This Row],[CODIGO]],DATOS!A:C,3,0)</f>
        <v>ABARROTES BEBIBLES</v>
      </c>
      <c r="W228" s="31" t="s">
        <v>13323</v>
      </c>
      <c r="X228" s="28" t="s">
        <v>13086</v>
      </c>
      <c r="Y228" s="28" t="s">
        <v>13111</v>
      </c>
    </row>
    <row r="229" spans="1:25" ht="12" customHeight="1" x14ac:dyDescent="0.25">
      <c r="A229" s="46">
        <v>45710</v>
      </c>
      <c r="B229" s="2" t="s">
        <v>94</v>
      </c>
      <c r="C229" s="2">
        <v>7620869843</v>
      </c>
      <c r="D229" s="2">
        <v>1035922</v>
      </c>
      <c r="E229" s="2" t="s">
        <v>13025</v>
      </c>
      <c r="F229" s="2">
        <v>12</v>
      </c>
      <c r="G229" s="2" t="s">
        <v>15</v>
      </c>
      <c r="H229" s="2" t="s">
        <v>17</v>
      </c>
      <c r="I229" s="75" t="s">
        <v>15</v>
      </c>
      <c r="J229" s="9" t="s">
        <v>13026</v>
      </c>
      <c r="K229" s="10" t="s">
        <v>15</v>
      </c>
      <c r="L229" s="10" t="s">
        <v>27</v>
      </c>
      <c r="M229" s="10" t="s">
        <v>15</v>
      </c>
      <c r="N229" s="10" t="s">
        <v>18</v>
      </c>
      <c r="O229" s="10" t="s">
        <v>13103</v>
      </c>
      <c r="P229" s="10" t="s">
        <v>28</v>
      </c>
      <c r="Q229" s="2" t="s">
        <v>29</v>
      </c>
      <c r="R229" s="27" t="str">
        <f>VLOOKUP(Tabla1[[#This Row],[DETALLE ]],DATOS!L:M,2,0)</f>
        <v>PICKING</v>
      </c>
      <c r="S229" s="41" t="str">
        <f>IFERROR(IFERROR(VLOOKUP(Tabla1[[#This Row],[USUARIO PICKING ERROR]],DATOS!H:J,3,0),VLOOKUP(Tabla1[[#This Row],[USUARIO FILTRO ERROR]],DATOS!O:P,2,0)),"-")</f>
        <v>BENJAMIN LIZARBE</v>
      </c>
      <c r="T229" s="27" t="str">
        <f>UPPER(VLOOKUP(Tabla1[[#This Row],[CODIGO]],DATOS!A:E,5,0))</f>
        <v>FLUJO CONTINUO</v>
      </c>
      <c r="U229" s="31">
        <f>(Tabla1[[#This Row],[CANTIDAD]])*(VLOOKUP(Tabla1[[#This Row],[CODIGO]],DATOS!A:D,4,0))</f>
        <v>297.36</v>
      </c>
      <c r="V229" s="31" t="str">
        <f>VLOOKUP(Tabla1[[#This Row],[CODIGO]],DATOS!A:C,3,0)</f>
        <v>ABARROTES BEBIBLES</v>
      </c>
      <c r="W229" s="31" t="s">
        <v>13323</v>
      </c>
      <c r="X229" s="28" t="s">
        <v>13086</v>
      </c>
      <c r="Y229" s="28" t="s">
        <v>13111</v>
      </c>
    </row>
    <row r="230" spans="1:25" ht="12" customHeight="1" x14ac:dyDescent="0.25">
      <c r="A230" s="46">
        <v>45710</v>
      </c>
      <c r="B230" s="2" t="s">
        <v>68</v>
      </c>
      <c r="C230" s="2">
        <v>7620871918</v>
      </c>
      <c r="D230" s="2">
        <v>484887</v>
      </c>
      <c r="E230" s="2" t="s">
        <v>2375</v>
      </c>
      <c r="F230" s="2">
        <v>12</v>
      </c>
      <c r="G230" s="2" t="s">
        <v>15</v>
      </c>
      <c r="H230" s="2" t="s">
        <v>25</v>
      </c>
      <c r="I230" s="75" t="s">
        <v>15</v>
      </c>
      <c r="J230" s="9" t="s">
        <v>15</v>
      </c>
      <c r="K230" s="10" t="s">
        <v>15</v>
      </c>
      <c r="L230" s="10" t="s">
        <v>67</v>
      </c>
      <c r="M230" s="10" t="s">
        <v>15</v>
      </c>
      <c r="N230" s="10" t="s">
        <v>13027</v>
      </c>
      <c r="O230" s="10" t="s">
        <v>13091</v>
      </c>
      <c r="P230" s="10" t="s">
        <v>28</v>
      </c>
      <c r="Q230" s="2" t="s">
        <v>29</v>
      </c>
      <c r="R230" s="27" t="str">
        <f>VLOOKUP(Tabla1[[#This Row],[DETALLE ]],DATOS!L:M,2,0)</f>
        <v>CRUCE DE ORIGEN</v>
      </c>
      <c r="S230" s="41" t="str">
        <f>IFERROR(IFERROR(VLOOKUP(Tabla1[[#This Row],[USUARIO PICKING ERROR]],DATOS!H:J,3,0),VLOOKUP(Tabla1[[#This Row],[USUARIO FILTRO ERROR]],DATOS!O:P,2,0)),"-")</f>
        <v>BENJAMIN LIZARBE</v>
      </c>
      <c r="T230" s="27" t="str">
        <f>UPPER(VLOOKUP(Tabla1[[#This Row],[CODIGO]],DATOS!A:E,5,0))</f>
        <v>FLUJO CONTINUO</v>
      </c>
      <c r="U230" s="31">
        <f>(Tabla1[[#This Row],[CANTIDAD]])*(VLOOKUP(Tabla1[[#This Row],[CODIGO]],DATOS!A:D,4,0))</f>
        <v>284.39999999999998</v>
      </c>
      <c r="V230" s="31" t="str">
        <f>VLOOKUP(Tabla1[[#This Row],[CODIGO]],DATOS!A:C,3,0)</f>
        <v>ABARROTES BEBIBLES</v>
      </c>
      <c r="W230" s="31" t="s">
        <v>13323</v>
      </c>
      <c r="X230" s="28" t="s">
        <v>13086</v>
      </c>
      <c r="Y230" s="28" t="s">
        <v>13111</v>
      </c>
    </row>
    <row r="231" spans="1:25" ht="12" customHeight="1" x14ac:dyDescent="0.25">
      <c r="A231" s="46">
        <v>45710</v>
      </c>
      <c r="B231" s="2" t="s">
        <v>127</v>
      </c>
      <c r="C231" s="2">
        <v>7620855036</v>
      </c>
      <c r="D231" s="2">
        <v>10414</v>
      </c>
      <c r="E231" s="2" t="s">
        <v>536</v>
      </c>
      <c r="F231" s="2">
        <v>2</v>
      </c>
      <c r="G231" s="2" t="s">
        <v>15</v>
      </c>
      <c r="H231" s="2" t="s">
        <v>25</v>
      </c>
      <c r="I231" s="75" t="s">
        <v>15</v>
      </c>
      <c r="J231" s="9" t="s">
        <v>13024</v>
      </c>
      <c r="K231" s="10">
        <v>7620855120</v>
      </c>
      <c r="L231" s="10" t="s">
        <v>121</v>
      </c>
      <c r="M231" s="10" t="s">
        <v>49</v>
      </c>
      <c r="N231" s="10" t="s">
        <v>12957</v>
      </c>
      <c r="O231" s="10" t="s">
        <v>13104</v>
      </c>
      <c r="P231" s="10" t="s">
        <v>28</v>
      </c>
      <c r="Q231" s="2" t="s">
        <v>39</v>
      </c>
      <c r="R231" s="27" t="str">
        <f>VLOOKUP(Tabla1[[#This Row],[DETALLE ]],DATOS!L:M,2,0)</f>
        <v>FILTRO</v>
      </c>
      <c r="S231" s="41" t="str">
        <f>IFERROR(IFERROR(VLOOKUP(Tabla1[[#This Row],[USUARIO PICKING ERROR]],DATOS!H:J,3,0),VLOOKUP(Tabla1[[#This Row],[USUARIO FILTRO ERROR]],DATOS!O:P,2,0)),"-")</f>
        <v>BENJAMIN LIZARBE</v>
      </c>
      <c r="T231" s="27" t="str">
        <f>UPPER(VLOOKUP(Tabla1[[#This Row],[CODIGO]],DATOS!A:E,5,0))</f>
        <v>FLUJO CONTINUO</v>
      </c>
      <c r="U231" s="31">
        <f>(Tabla1[[#This Row],[CANTIDAD]])*(VLOOKUP(Tabla1[[#This Row],[CODIGO]],DATOS!A:D,4,0))</f>
        <v>152.56</v>
      </c>
      <c r="V231" s="31" t="str">
        <f>VLOOKUP(Tabla1[[#This Row],[CODIGO]],DATOS!A:C,3,0)</f>
        <v>ABARROTES BEBIBLES</v>
      </c>
      <c r="W231" s="31" t="s">
        <v>13323</v>
      </c>
      <c r="X231" s="28" t="s">
        <v>13086</v>
      </c>
      <c r="Y231" s="28" t="s">
        <v>13111</v>
      </c>
    </row>
    <row r="232" spans="1:25" ht="12" customHeight="1" x14ac:dyDescent="0.25">
      <c r="A232" s="46">
        <v>45710</v>
      </c>
      <c r="B232" s="2" t="s">
        <v>127</v>
      </c>
      <c r="C232" s="2">
        <v>7620855036</v>
      </c>
      <c r="D232" s="2">
        <v>27931</v>
      </c>
      <c r="E232" s="2" t="s">
        <v>766</v>
      </c>
      <c r="F232" s="2">
        <v>2</v>
      </c>
      <c r="G232" s="2" t="s">
        <v>15</v>
      </c>
      <c r="H232" s="2" t="s">
        <v>25</v>
      </c>
      <c r="I232" s="75" t="s">
        <v>15</v>
      </c>
      <c r="J232" s="9" t="s">
        <v>13024</v>
      </c>
      <c r="K232" s="10">
        <v>7620855120</v>
      </c>
      <c r="L232" s="10" t="s">
        <v>27</v>
      </c>
      <c r="M232" s="10" t="s">
        <v>49</v>
      </c>
      <c r="N232" s="10" t="s">
        <v>12957</v>
      </c>
      <c r="O232" s="10" t="s">
        <v>13104</v>
      </c>
      <c r="P232" s="10" t="s">
        <v>28</v>
      </c>
      <c r="Q232" s="2" t="s">
        <v>39</v>
      </c>
      <c r="R232" s="27" t="str">
        <f>VLOOKUP(Tabla1[[#This Row],[DETALLE ]],DATOS!L:M,2,0)</f>
        <v>FILTRO</v>
      </c>
      <c r="S232" s="41" t="str">
        <f>IFERROR(IFERROR(VLOOKUP(Tabla1[[#This Row],[USUARIO PICKING ERROR]],DATOS!H:J,3,0),VLOOKUP(Tabla1[[#This Row],[USUARIO FILTRO ERROR]],DATOS!O:P,2,0)),"-")</f>
        <v>BENJAMIN LIZARBE</v>
      </c>
      <c r="T232" s="27" t="str">
        <f>UPPER(VLOOKUP(Tabla1[[#This Row],[CODIGO]],DATOS!A:E,5,0))</f>
        <v>FLUJO CONTINUO</v>
      </c>
      <c r="U232" s="31">
        <f>(Tabla1[[#This Row],[CANTIDAD]])*(VLOOKUP(Tabla1[[#This Row],[CODIGO]],DATOS!A:D,4,0))</f>
        <v>161.41999999999999</v>
      </c>
      <c r="V232" s="31" t="str">
        <f>VLOOKUP(Tabla1[[#This Row],[CODIGO]],DATOS!A:C,3,0)</f>
        <v>ABARROTES BEBIBLES</v>
      </c>
      <c r="W232" s="31" t="s">
        <v>13323</v>
      </c>
      <c r="X232" s="28" t="s">
        <v>13086</v>
      </c>
      <c r="Y232" s="28" t="s">
        <v>13111</v>
      </c>
    </row>
    <row r="233" spans="1:25" ht="12" customHeight="1" x14ac:dyDescent="0.25">
      <c r="A233" s="46">
        <v>45710</v>
      </c>
      <c r="B233" s="2" t="s">
        <v>106</v>
      </c>
      <c r="C233" s="2">
        <v>7620872071</v>
      </c>
      <c r="D233" s="2">
        <v>484887</v>
      </c>
      <c r="E233" s="2" t="s">
        <v>2375</v>
      </c>
      <c r="F233" s="2">
        <v>24</v>
      </c>
      <c r="G233" s="2" t="s">
        <v>13105</v>
      </c>
      <c r="H233" s="2" t="s">
        <v>25</v>
      </c>
      <c r="I233" s="75" t="s">
        <v>12940</v>
      </c>
      <c r="J233" s="9" t="s">
        <v>15</v>
      </c>
      <c r="K233" s="10" t="s">
        <v>15</v>
      </c>
      <c r="L233" s="10" t="s">
        <v>82</v>
      </c>
      <c r="M233" s="10" t="s">
        <v>15</v>
      </c>
      <c r="N233" s="10" t="s">
        <v>13027</v>
      </c>
      <c r="O233" s="10" t="s">
        <v>13091</v>
      </c>
      <c r="P233" s="10" t="s">
        <v>28</v>
      </c>
      <c r="Q233" s="2" t="s">
        <v>29</v>
      </c>
      <c r="R233" s="27" t="str">
        <f>VLOOKUP(Tabla1[[#This Row],[DETALLE ]],DATOS!L:M,2,0)</f>
        <v>CRUCE DE ORIGEN</v>
      </c>
      <c r="S233" s="41" t="str">
        <f>IFERROR(IFERROR(VLOOKUP(Tabla1[[#This Row],[USUARIO PICKING ERROR]],DATOS!H:J,3,0),VLOOKUP(Tabla1[[#This Row],[USUARIO FILTRO ERROR]],DATOS!O:P,2,0)),"-")</f>
        <v>BENJAMIN LIZARBE</v>
      </c>
      <c r="T233" s="27" t="str">
        <f>UPPER(VLOOKUP(Tabla1[[#This Row],[CODIGO]],DATOS!A:E,5,0))</f>
        <v>FLUJO CONTINUO</v>
      </c>
      <c r="U233" s="31">
        <f>(Tabla1[[#This Row],[CANTIDAD]])*(VLOOKUP(Tabla1[[#This Row],[CODIGO]],DATOS!A:D,4,0))</f>
        <v>568.79999999999995</v>
      </c>
      <c r="V233" s="31" t="str">
        <f>VLOOKUP(Tabla1[[#This Row],[CODIGO]],DATOS!A:C,3,0)</f>
        <v>ABARROTES BEBIBLES</v>
      </c>
      <c r="W233" s="31" t="s">
        <v>13323</v>
      </c>
      <c r="X233" s="28" t="s">
        <v>13086</v>
      </c>
      <c r="Y233" s="28" t="s">
        <v>13111</v>
      </c>
    </row>
    <row r="234" spans="1:25" ht="12" customHeight="1" x14ac:dyDescent="0.25">
      <c r="A234" s="46">
        <v>45710</v>
      </c>
      <c r="B234" s="2" t="s">
        <v>106</v>
      </c>
      <c r="C234" s="2">
        <v>7620872071</v>
      </c>
      <c r="D234" s="2">
        <v>544673</v>
      </c>
      <c r="E234" s="2" t="s">
        <v>2786</v>
      </c>
      <c r="F234" s="2">
        <v>24</v>
      </c>
      <c r="G234" s="2" t="s">
        <v>13105</v>
      </c>
      <c r="H234" s="2" t="s">
        <v>17</v>
      </c>
      <c r="I234" s="75" t="s">
        <v>12940</v>
      </c>
      <c r="J234" s="9" t="s">
        <v>15</v>
      </c>
      <c r="K234" s="10" t="s">
        <v>15</v>
      </c>
      <c r="L234" s="10" t="s">
        <v>82</v>
      </c>
      <c r="M234" s="10" t="s">
        <v>15</v>
      </c>
      <c r="N234" s="10" t="s">
        <v>13027</v>
      </c>
      <c r="O234" s="10" t="s">
        <v>13091</v>
      </c>
      <c r="P234" s="10" t="s">
        <v>28</v>
      </c>
      <c r="Q234" s="2" t="s">
        <v>29</v>
      </c>
      <c r="R234" s="27" t="str">
        <f>VLOOKUP(Tabla1[[#This Row],[DETALLE ]],DATOS!L:M,2,0)</f>
        <v>CRUCE DE ORIGEN</v>
      </c>
      <c r="S234" s="41" t="str">
        <f>IFERROR(IFERROR(VLOOKUP(Tabla1[[#This Row],[USUARIO PICKING ERROR]],DATOS!H:J,3,0),VLOOKUP(Tabla1[[#This Row],[USUARIO FILTRO ERROR]],DATOS!O:P,2,0)),"-")</f>
        <v>BENJAMIN LIZARBE</v>
      </c>
      <c r="T234" s="27" t="str">
        <f>UPPER(VLOOKUP(Tabla1[[#This Row],[CODIGO]],DATOS!A:E,5,0))</f>
        <v>FLUJO CONTINUO</v>
      </c>
      <c r="U234" s="31">
        <f>(Tabla1[[#This Row],[CANTIDAD]])*(VLOOKUP(Tabla1[[#This Row],[CODIGO]],DATOS!A:D,4,0))</f>
        <v>568.79999999999995</v>
      </c>
      <c r="V234" s="31" t="str">
        <f>VLOOKUP(Tabla1[[#This Row],[CODIGO]],DATOS!A:C,3,0)</f>
        <v>ABARROTES BEBIBLES</v>
      </c>
      <c r="W234" s="31" t="s">
        <v>13323</v>
      </c>
      <c r="X234" s="28" t="s">
        <v>13086</v>
      </c>
      <c r="Y234" s="28" t="s">
        <v>13111</v>
      </c>
    </row>
    <row r="235" spans="1:25" ht="12" customHeight="1" x14ac:dyDescent="0.25">
      <c r="A235" s="46">
        <v>45712</v>
      </c>
      <c r="B235" s="2" t="s">
        <v>13122</v>
      </c>
      <c r="C235" s="2" t="s">
        <v>15</v>
      </c>
      <c r="D235" s="2">
        <v>996299</v>
      </c>
      <c r="E235" s="2" t="s">
        <v>8136</v>
      </c>
      <c r="F235" s="2">
        <v>1</v>
      </c>
      <c r="G235" s="2" t="s">
        <v>15</v>
      </c>
      <c r="H235" s="2" t="s">
        <v>17</v>
      </c>
      <c r="I235" s="75" t="s">
        <v>15</v>
      </c>
      <c r="J235" s="9" t="s">
        <v>15</v>
      </c>
      <c r="K235" s="10" t="s">
        <v>15</v>
      </c>
      <c r="L235" s="10" t="s">
        <v>13124</v>
      </c>
      <c r="M235" s="10" t="s">
        <v>15</v>
      </c>
      <c r="N235" s="10" t="s">
        <v>13123</v>
      </c>
      <c r="O235" s="10" t="s">
        <v>13133</v>
      </c>
      <c r="P235" s="10" t="s">
        <v>17</v>
      </c>
      <c r="Q235" s="2" t="s">
        <v>29</v>
      </c>
      <c r="R235" s="27" t="str">
        <f>VLOOKUP(Tabla1[[#This Row],[DETALLE ]],DATOS!L:M,2,0)</f>
        <v>INVENTARIO</v>
      </c>
      <c r="S235" s="41" t="str">
        <f>IFERROR(IFERROR(VLOOKUP(Tabla1[[#This Row],[USUARIO PICKING ERROR]],DATOS!H:J,3,0),VLOOKUP(Tabla1[[#This Row],[USUARIO FILTRO ERROR]],DATOS!O:P,2,0)),"-")</f>
        <v>FRANCIS MANDUJANO</v>
      </c>
      <c r="T235" s="27" t="str">
        <f>UPPER(VLOOKUP(Tabla1[[#This Row],[CODIGO]],DATOS!A:E,5,0))</f>
        <v>FLUJO CONTINUO</v>
      </c>
      <c r="U235" s="31">
        <f>(Tabla1[[#This Row],[CANTIDAD]])*(VLOOKUP(Tabla1[[#This Row],[CODIGO]],DATOS!A:D,4,0))</f>
        <v>5</v>
      </c>
      <c r="V235" s="31" t="str">
        <f>VLOOKUP(Tabla1[[#This Row],[CODIGO]],DATOS!A:C,3,0)</f>
        <v>ABARROTES BEBIBLES</v>
      </c>
      <c r="W235" s="31" t="s">
        <v>13323</v>
      </c>
      <c r="X235" s="28" t="s">
        <v>21</v>
      </c>
      <c r="Y235" s="28" t="s">
        <v>13111</v>
      </c>
    </row>
    <row r="236" spans="1:25" ht="12" customHeight="1" x14ac:dyDescent="0.25">
      <c r="A236" s="46">
        <v>45712</v>
      </c>
      <c r="B236" s="2" t="s">
        <v>12980</v>
      </c>
      <c r="C236" s="2">
        <v>7640114810</v>
      </c>
      <c r="D236" s="2">
        <v>373674</v>
      </c>
      <c r="E236" s="2" t="s">
        <v>2013</v>
      </c>
      <c r="F236" s="2">
        <v>1</v>
      </c>
      <c r="G236" s="2" t="s">
        <v>52</v>
      </c>
      <c r="H236" s="2" t="s">
        <v>25</v>
      </c>
      <c r="I236" s="75" t="s">
        <v>13140</v>
      </c>
      <c r="J236" s="9" t="s">
        <v>15</v>
      </c>
      <c r="K236" s="10" t="s">
        <v>15</v>
      </c>
      <c r="L236" s="10" t="s">
        <v>87</v>
      </c>
      <c r="M236" s="10" t="s">
        <v>15</v>
      </c>
      <c r="N236" s="10" t="s">
        <v>18</v>
      </c>
      <c r="O236" s="10" t="s">
        <v>13089</v>
      </c>
      <c r="P236" s="10" t="s">
        <v>25</v>
      </c>
      <c r="Q236" s="2" t="s">
        <v>29</v>
      </c>
      <c r="R236" s="27" t="str">
        <f>VLOOKUP(Tabla1[[#This Row],[DETALLE ]],DATOS!L:M,2,0)</f>
        <v>PICKING</v>
      </c>
      <c r="S236" s="41" t="str">
        <f>IFERROR(IFERROR(VLOOKUP(Tabla1[[#This Row],[USUARIO PICKING ERROR]],DATOS!H:J,3,0),VLOOKUP(Tabla1[[#This Row],[USUARIO FILTRO ERROR]],DATOS!O:P,2,0)),"-")</f>
        <v>BENJAMIN LIZARBE</v>
      </c>
      <c r="T236" s="27" t="str">
        <f>UPPER(VLOOKUP(Tabla1[[#This Row],[CODIGO]],DATOS!A:E,5,0))</f>
        <v>ALMACENADO</v>
      </c>
      <c r="U236" s="31">
        <f>(Tabla1[[#This Row],[CANTIDAD]])*(VLOOKUP(Tabla1[[#This Row],[CODIGO]],DATOS!A:D,4,0))</f>
        <v>5.08</v>
      </c>
      <c r="V236" s="31" t="str">
        <f>VLOOKUP(Tabla1[[#This Row],[CODIGO]],DATOS!A:C,3,0)</f>
        <v>ABARROTES COMESTIBLES</v>
      </c>
      <c r="W236" s="31" t="s">
        <v>13323</v>
      </c>
      <c r="X236" s="28" t="s">
        <v>21</v>
      </c>
      <c r="Y236" s="28" t="s">
        <v>13111</v>
      </c>
    </row>
    <row r="237" spans="1:25" ht="12" customHeight="1" x14ac:dyDescent="0.25">
      <c r="A237" s="46">
        <v>45713</v>
      </c>
      <c r="B237" s="2" t="s">
        <v>13122</v>
      </c>
      <c r="C237" s="2" t="s">
        <v>15</v>
      </c>
      <c r="D237" s="2">
        <v>182247</v>
      </c>
      <c r="E237" s="2" t="s">
        <v>1231</v>
      </c>
      <c r="F237" s="2">
        <v>1</v>
      </c>
      <c r="G237" s="2" t="s">
        <v>15</v>
      </c>
      <c r="H237" s="2" t="s">
        <v>17</v>
      </c>
      <c r="I237" s="75" t="s">
        <v>15</v>
      </c>
      <c r="J237" s="9" t="s">
        <v>15</v>
      </c>
      <c r="K237" s="10" t="s">
        <v>15</v>
      </c>
      <c r="L237" s="10" t="s">
        <v>13124</v>
      </c>
      <c r="M237" s="10" t="s">
        <v>15</v>
      </c>
      <c r="N237" s="10" t="s">
        <v>13123</v>
      </c>
      <c r="O237" s="10" t="s">
        <v>13125</v>
      </c>
      <c r="P237" s="10" t="s">
        <v>17</v>
      </c>
      <c r="Q237" s="2" t="s">
        <v>29</v>
      </c>
      <c r="R237" s="27" t="str">
        <f>VLOOKUP(Tabla1[[#This Row],[DETALLE ]],DATOS!L:M,2,0)</f>
        <v>INVENTARIO</v>
      </c>
      <c r="S237" s="41" t="str">
        <f>IFERROR(IFERROR(VLOOKUP(Tabla1[[#This Row],[USUARIO PICKING ERROR]],DATOS!H:J,3,0),VLOOKUP(Tabla1[[#This Row],[USUARIO FILTRO ERROR]],DATOS!O:P,2,0)),"-")</f>
        <v>FRANCIS MANDUJANO</v>
      </c>
      <c r="T237" s="27" t="str">
        <f>UPPER(VLOOKUP(Tabla1[[#This Row],[CODIGO]],DATOS!A:E,5,0))</f>
        <v>FLUJO CONTINUO</v>
      </c>
      <c r="U237" s="31">
        <f>(Tabla1[[#This Row],[CANTIDAD]])*(VLOOKUP(Tabla1[[#This Row],[CODIGO]],DATOS!A:D,4,0))</f>
        <v>46.75</v>
      </c>
      <c r="V237" s="31" t="str">
        <f>VLOOKUP(Tabla1[[#This Row],[CODIGO]],DATOS!A:C,3,0)</f>
        <v>ABARROTES BEBIBLES</v>
      </c>
      <c r="W237" s="31" t="s">
        <v>13323</v>
      </c>
      <c r="X237" s="28" t="s">
        <v>21</v>
      </c>
      <c r="Y237" s="28" t="s">
        <v>13111</v>
      </c>
    </row>
    <row r="238" spans="1:25" ht="12" customHeight="1" x14ac:dyDescent="0.25">
      <c r="A238" s="46">
        <v>45713</v>
      </c>
      <c r="B238" s="2" t="s">
        <v>15</v>
      </c>
      <c r="C238" s="2" t="s">
        <v>15</v>
      </c>
      <c r="D238" s="2">
        <v>457824003</v>
      </c>
      <c r="E238" s="2" t="s">
        <v>9645</v>
      </c>
      <c r="F238" s="2">
        <v>12</v>
      </c>
      <c r="G238" s="2" t="s">
        <v>15</v>
      </c>
      <c r="H238" s="2" t="s">
        <v>25</v>
      </c>
      <c r="I238" s="75" t="s">
        <v>15</v>
      </c>
      <c r="J238" s="9" t="s">
        <v>12984</v>
      </c>
      <c r="K238" s="10">
        <v>7620822436</v>
      </c>
      <c r="L238" s="10" t="s">
        <v>12890</v>
      </c>
      <c r="M238" s="10" t="s">
        <v>15</v>
      </c>
      <c r="N238" s="10" t="s">
        <v>18</v>
      </c>
      <c r="O238" s="10" t="s">
        <v>13103</v>
      </c>
      <c r="P238" s="10" t="s">
        <v>28</v>
      </c>
      <c r="Q238" s="2" t="s">
        <v>39</v>
      </c>
      <c r="R238" s="27" t="str">
        <f>VLOOKUP(Tabla1[[#This Row],[DETALLE ]],DATOS!L:M,2,0)</f>
        <v>PICKING</v>
      </c>
      <c r="S238" s="41" t="str">
        <f>IFERROR(IFERROR(VLOOKUP(Tabla1[[#This Row],[USUARIO PICKING ERROR]],DATOS!H:J,3,0),VLOOKUP(Tabla1[[#This Row],[USUARIO FILTRO ERROR]],DATOS!O:P,2,0)),"-")</f>
        <v>DAVID PIÑAN</v>
      </c>
      <c r="T238" s="27" t="str">
        <f>UPPER(VLOOKUP(Tabla1[[#This Row],[CODIGO]],DATOS!A:E,5,0))</f>
        <v>FLUJO CONTINUO</v>
      </c>
      <c r="U238" s="31">
        <f>(Tabla1[[#This Row],[CANTIDAD]])*(VLOOKUP(Tabla1[[#This Row],[CODIGO]],DATOS!A:D,4,0))</f>
        <v>147.72</v>
      </c>
      <c r="V238" s="31" t="str">
        <f>VLOOKUP(Tabla1[[#This Row],[CODIGO]],DATOS!A:C,3,0)</f>
        <v>ABARROTES NO COMESTIBLES</v>
      </c>
      <c r="W238" s="31" t="s">
        <v>13323</v>
      </c>
      <c r="X238" s="28" t="s">
        <v>13086</v>
      </c>
      <c r="Y238" s="28" t="s">
        <v>13111</v>
      </c>
    </row>
    <row r="239" spans="1:25" ht="12" customHeight="1" x14ac:dyDescent="0.25">
      <c r="A239" s="46">
        <v>45713</v>
      </c>
      <c r="B239" s="2" t="s">
        <v>65</v>
      </c>
      <c r="C239" s="2">
        <v>7640114727</v>
      </c>
      <c r="D239" s="2">
        <v>531948</v>
      </c>
      <c r="E239" s="2" t="s">
        <v>2965</v>
      </c>
      <c r="F239" s="2">
        <v>24</v>
      </c>
      <c r="G239" s="2" t="s">
        <v>52</v>
      </c>
      <c r="H239" s="2" t="s">
        <v>25</v>
      </c>
      <c r="I239" s="75" t="s">
        <v>13140</v>
      </c>
      <c r="J239" s="9" t="s">
        <v>15</v>
      </c>
      <c r="K239" s="10" t="s">
        <v>15</v>
      </c>
      <c r="L239" s="10" t="s">
        <v>14</v>
      </c>
      <c r="M239" s="10" t="s">
        <v>15</v>
      </c>
      <c r="N239" s="10" t="s">
        <v>18</v>
      </c>
      <c r="O239" s="10" t="s">
        <v>13164</v>
      </c>
      <c r="P239" s="10" t="s">
        <v>25</v>
      </c>
      <c r="Q239" s="2" t="s">
        <v>29</v>
      </c>
      <c r="R239" s="27" t="str">
        <f>VLOOKUP(Tabla1[[#This Row],[DETALLE ]],DATOS!L:M,2,0)</f>
        <v>PICKING</v>
      </c>
      <c r="S239" s="41" t="str">
        <f>IFERROR(IFERROR(VLOOKUP(Tabla1[[#This Row],[USUARIO PICKING ERROR]],DATOS!H:J,3,0),VLOOKUP(Tabla1[[#This Row],[USUARIO FILTRO ERROR]],DATOS!O:P,2,0)),"-")</f>
        <v>ALMACEN</v>
      </c>
      <c r="T239" s="27" t="str">
        <f>UPPER(VLOOKUP(Tabla1[[#This Row],[CODIGO]],DATOS!A:E,5,0))</f>
        <v>ALMACENADO</v>
      </c>
      <c r="U239" s="31">
        <f>(Tabla1[[#This Row],[CANTIDAD]])*(VLOOKUP(Tabla1[[#This Row],[CODIGO]],DATOS!A:D,4,0))</f>
        <v>247.44</v>
      </c>
      <c r="V239" s="31" t="str">
        <f>VLOOKUP(Tabla1[[#This Row],[CODIGO]],DATOS!A:C,3,0)</f>
        <v>ABARROTES COMESTIBLES</v>
      </c>
      <c r="W239" s="31" t="s">
        <v>13323</v>
      </c>
      <c r="X239" s="28" t="s">
        <v>21</v>
      </c>
      <c r="Y239" s="28" t="s">
        <v>13111</v>
      </c>
    </row>
    <row r="240" spans="1:25" ht="12" customHeight="1" x14ac:dyDescent="0.25">
      <c r="A240" s="46">
        <v>45713</v>
      </c>
      <c r="B240" s="2" t="s">
        <v>44</v>
      </c>
      <c r="C240" s="2">
        <v>7640114837</v>
      </c>
      <c r="D240" s="2">
        <v>59568004</v>
      </c>
      <c r="E240" s="2" t="s">
        <v>9287</v>
      </c>
      <c r="F240" s="2">
        <v>3</v>
      </c>
      <c r="G240" s="2" t="s">
        <v>13118</v>
      </c>
      <c r="H240" s="2" t="s">
        <v>25</v>
      </c>
      <c r="I240" s="75" t="s">
        <v>12940</v>
      </c>
      <c r="J240" s="9" t="s">
        <v>118</v>
      </c>
      <c r="K240" s="10">
        <v>7640114728</v>
      </c>
      <c r="L240" s="10" t="s">
        <v>12910</v>
      </c>
      <c r="M240" s="10" t="s">
        <v>15</v>
      </c>
      <c r="N240" s="10" t="s">
        <v>18</v>
      </c>
      <c r="O240" s="10" t="s">
        <v>13103</v>
      </c>
      <c r="P240" s="10" t="s">
        <v>28</v>
      </c>
      <c r="Q240" s="2" t="s">
        <v>29</v>
      </c>
      <c r="R240" s="27" t="str">
        <f>VLOOKUP(Tabla1[[#This Row],[DETALLE ]],DATOS!L:M,2,0)</f>
        <v>PICKING</v>
      </c>
      <c r="S240" s="41" t="str">
        <f>IFERROR(IFERROR(VLOOKUP(Tabla1[[#This Row],[USUARIO PICKING ERROR]],DATOS!H:J,3,0),VLOOKUP(Tabla1[[#This Row],[USUARIO FILTRO ERROR]],DATOS!O:P,2,0)),"-")</f>
        <v>BENJAMIN LIZARBE</v>
      </c>
      <c r="T240" s="27" t="str">
        <f>UPPER(VLOOKUP(Tabla1[[#This Row],[CODIGO]],DATOS!A:E,5,0))</f>
        <v>ALMACENADO</v>
      </c>
      <c r="U240" s="31">
        <f>(Tabla1[[#This Row],[CANTIDAD]])*(VLOOKUP(Tabla1[[#This Row],[CODIGO]],DATOS!A:D,4,0))</f>
        <v>177.18</v>
      </c>
      <c r="V240" s="31" t="str">
        <f>VLOOKUP(Tabla1[[#This Row],[CODIGO]],DATOS!A:C,3,0)</f>
        <v>ABARROTES BEBIBLES</v>
      </c>
      <c r="W240" s="31" t="s">
        <v>13323</v>
      </c>
      <c r="X240" s="28" t="s">
        <v>13086</v>
      </c>
      <c r="Y240" s="28" t="s">
        <v>13111</v>
      </c>
    </row>
    <row r="241" spans="1:25" ht="12" customHeight="1" x14ac:dyDescent="0.25">
      <c r="A241" s="46">
        <v>45714</v>
      </c>
      <c r="B241" s="2" t="s">
        <v>12986</v>
      </c>
      <c r="C241" s="2">
        <v>7620853567</v>
      </c>
      <c r="D241" s="2">
        <v>333396</v>
      </c>
      <c r="E241" s="2" t="s">
        <v>1621</v>
      </c>
      <c r="F241" s="2">
        <v>24</v>
      </c>
      <c r="G241" s="2" t="s">
        <v>52</v>
      </c>
      <c r="H241" s="2" t="s">
        <v>25</v>
      </c>
      <c r="I241" s="75" t="s">
        <v>13140</v>
      </c>
      <c r="J241" s="9" t="s">
        <v>15</v>
      </c>
      <c r="K241" s="10" t="s">
        <v>15</v>
      </c>
      <c r="L241" s="10" t="s">
        <v>13121</v>
      </c>
      <c r="M241" s="10" t="s">
        <v>15</v>
      </c>
      <c r="N241" s="10" t="s">
        <v>18</v>
      </c>
      <c r="O241" s="10" t="s">
        <v>13089</v>
      </c>
      <c r="P241" s="10" t="s">
        <v>25</v>
      </c>
      <c r="Q241" s="2" t="s">
        <v>29</v>
      </c>
      <c r="R241" s="27" t="str">
        <f>VLOOKUP(Tabla1[[#This Row],[DETALLE ]],DATOS!L:M,2,0)</f>
        <v>PICKING</v>
      </c>
      <c r="S241" s="41" t="s">
        <v>12941</v>
      </c>
      <c r="T241" s="27" t="str">
        <f>UPPER(VLOOKUP(Tabla1[[#This Row],[CODIGO]],DATOS!A:E,5,0))</f>
        <v>FLUJO CONTINUO</v>
      </c>
      <c r="U241" s="31">
        <f>(Tabla1[[#This Row],[CANTIDAD]])*(VLOOKUP(Tabla1[[#This Row],[CODIGO]],DATOS!A:D,4,0))</f>
        <v>171.12</v>
      </c>
      <c r="V241" s="31" t="str">
        <f>VLOOKUP(Tabla1[[#This Row],[CODIGO]],DATOS!A:C,3,0)</f>
        <v>ABARROTES COMESTIBLES</v>
      </c>
      <c r="W241" s="31" t="s">
        <v>13323</v>
      </c>
      <c r="X241" s="28" t="s">
        <v>21</v>
      </c>
      <c r="Y241" s="28" t="s">
        <v>13111</v>
      </c>
    </row>
    <row r="242" spans="1:25" ht="12" customHeight="1" x14ac:dyDescent="0.25">
      <c r="A242" s="46">
        <v>45715</v>
      </c>
      <c r="B242" s="2" t="s">
        <v>65</v>
      </c>
      <c r="C242" s="2">
        <v>7640088201</v>
      </c>
      <c r="D242" s="2">
        <v>449851002</v>
      </c>
      <c r="E242" s="2" t="s">
        <v>9873</v>
      </c>
      <c r="F242" s="2">
        <v>24</v>
      </c>
      <c r="G242" s="2" t="s">
        <v>52</v>
      </c>
      <c r="H242" s="2" t="s">
        <v>25</v>
      </c>
      <c r="I242" s="75" t="s">
        <v>13140</v>
      </c>
      <c r="J242" s="9" t="s">
        <v>15</v>
      </c>
      <c r="K242" s="10" t="s">
        <v>15</v>
      </c>
      <c r="L242" s="10" t="s">
        <v>132</v>
      </c>
      <c r="M242" s="10" t="s">
        <v>15</v>
      </c>
      <c r="N242" s="10" t="s">
        <v>18</v>
      </c>
      <c r="O242" s="10" t="s">
        <v>13143</v>
      </c>
      <c r="P242" s="10" t="s">
        <v>28</v>
      </c>
      <c r="Q242" s="2" t="s">
        <v>29</v>
      </c>
      <c r="R242" s="27" t="str">
        <f>VLOOKUP(Tabla1[[#This Row],[DETALLE ]],DATOS!L:M,2,0)</f>
        <v>PICKING</v>
      </c>
      <c r="S242" s="41" t="str">
        <f>IFERROR(IFERROR(VLOOKUP(Tabla1[[#This Row],[USUARIO PICKING ERROR]],DATOS!H:J,3,0),VLOOKUP(Tabla1[[#This Row],[USUARIO FILTRO ERROR]],DATOS!O:P,2,0)),"-")</f>
        <v>BENJAMIN LIZARBE</v>
      </c>
      <c r="T242" s="27" t="str">
        <f>UPPER(VLOOKUP(Tabla1[[#This Row],[CODIGO]],DATOS!A:E,5,0))</f>
        <v>ALMACENADO</v>
      </c>
      <c r="U242" s="31">
        <f>(Tabla1[[#This Row],[CANTIDAD]])*(VLOOKUP(Tabla1[[#This Row],[CODIGO]],DATOS!A:D,4,0))</f>
        <v>39.599999999999994</v>
      </c>
      <c r="V242" s="31" t="str">
        <f>VLOOKUP(Tabla1[[#This Row],[CODIGO]],DATOS!A:C,3,0)</f>
        <v>ABARROTES COMESTIBLES</v>
      </c>
      <c r="W242" s="31" t="s">
        <v>13324</v>
      </c>
      <c r="X242" s="28" t="s">
        <v>13086</v>
      </c>
      <c r="Y242" s="28" t="s">
        <v>13113</v>
      </c>
    </row>
    <row r="243" spans="1:25" ht="12" customHeight="1" x14ac:dyDescent="0.25">
      <c r="A243" s="46">
        <v>45716</v>
      </c>
      <c r="B243" s="2" t="s">
        <v>13139</v>
      </c>
      <c r="C243" s="2">
        <v>7620868999</v>
      </c>
      <c r="D243" s="2">
        <v>976061</v>
      </c>
      <c r="E243" s="2" t="s">
        <v>7147</v>
      </c>
      <c r="F243" s="2">
        <v>24</v>
      </c>
      <c r="G243" s="2" t="s">
        <v>52</v>
      </c>
      <c r="H243" s="2" t="s">
        <v>17</v>
      </c>
      <c r="I243" s="75" t="s">
        <v>13140</v>
      </c>
      <c r="J243" s="9" t="s">
        <v>15</v>
      </c>
      <c r="K243" s="10" t="s">
        <v>15</v>
      </c>
      <c r="L243" s="10" t="s">
        <v>14</v>
      </c>
      <c r="M243" s="10" t="s">
        <v>15</v>
      </c>
      <c r="N243" s="10" t="s">
        <v>18</v>
      </c>
      <c r="O243" s="10" t="s">
        <v>13103</v>
      </c>
      <c r="P243" s="10" t="s">
        <v>28</v>
      </c>
      <c r="Q243" s="2" t="s">
        <v>14</v>
      </c>
      <c r="R243" s="27" t="str">
        <f>VLOOKUP(Tabla1[[#This Row],[DETALLE ]],DATOS!L:M,2,0)</f>
        <v>PICKING</v>
      </c>
      <c r="S243" s="41" t="str">
        <f>IFERROR(IFERROR(VLOOKUP(Tabla1[[#This Row],[USUARIO PICKING ERROR]],DATOS!H:J,3,0),VLOOKUP(Tabla1[[#This Row],[USUARIO FILTRO ERROR]],DATOS!O:P,2,0)),"-")</f>
        <v>ALMACEN</v>
      </c>
      <c r="T243" s="27" t="str">
        <f>UPPER(VLOOKUP(Tabla1[[#This Row],[CODIGO]],DATOS!A:E,5,0))</f>
        <v>FLUJO CONTINUO</v>
      </c>
      <c r="U243" s="31">
        <f>(Tabla1[[#This Row],[CANTIDAD]])*(VLOOKUP(Tabla1[[#This Row],[CODIGO]],DATOS!A:D,4,0))</f>
        <v>62.88</v>
      </c>
      <c r="V243" s="31" t="str">
        <f>VLOOKUP(Tabla1[[#This Row],[CODIGO]],DATOS!A:C,3,0)</f>
        <v>ABARROTES COMESTIBLES</v>
      </c>
      <c r="W243" s="31" t="s">
        <v>13324</v>
      </c>
      <c r="X243" s="28" t="s">
        <v>13086</v>
      </c>
      <c r="Y243" s="28" t="s">
        <v>13113</v>
      </c>
    </row>
    <row r="244" spans="1:25" ht="12" customHeight="1" x14ac:dyDescent="0.25">
      <c r="A244" s="46">
        <v>45717</v>
      </c>
      <c r="B244" s="2" t="s">
        <v>13120</v>
      </c>
      <c r="C244" s="2">
        <v>7620766425</v>
      </c>
      <c r="D244" s="2">
        <v>1004094</v>
      </c>
      <c r="E244" s="2" t="s">
        <v>8465</v>
      </c>
      <c r="F244" s="2">
        <v>6</v>
      </c>
      <c r="G244" s="2" t="s">
        <v>24</v>
      </c>
      <c r="H244" s="2" t="s">
        <v>25</v>
      </c>
      <c r="I244" s="75" t="s">
        <v>12940</v>
      </c>
      <c r="J244" s="9" t="s">
        <v>15</v>
      </c>
      <c r="K244" s="10" t="s">
        <v>15</v>
      </c>
      <c r="L244" s="10" t="s">
        <v>132</v>
      </c>
      <c r="M244" s="10" t="s">
        <v>15</v>
      </c>
      <c r="N244" s="10" t="s">
        <v>18</v>
      </c>
      <c r="O244" s="10" t="s">
        <v>13103</v>
      </c>
      <c r="P244" s="10" t="s">
        <v>25</v>
      </c>
      <c r="Q244" s="2" t="s">
        <v>29</v>
      </c>
      <c r="R244" s="27" t="str">
        <f>VLOOKUP(Tabla1[[#This Row],[DETALLE ]],DATOS!L:M,2,0)</f>
        <v>PICKING</v>
      </c>
      <c r="S244" s="41" t="str">
        <f>IFERROR(IFERROR(VLOOKUP(Tabla1[[#This Row],[USUARIO PICKING ERROR]],DATOS!H:J,3,0),VLOOKUP(Tabla1[[#This Row],[USUARIO FILTRO ERROR]],DATOS!O:P,2,0)),"-")</f>
        <v>BENJAMIN LIZARBE</v>
      </c>
      <c r="T244" s="27" t="str">
        <f>UPPER(VLOOKUP(Tabla1[[#This Row],[CODIGO]],DATOS!A:E,5,0))</f>
        <v>FLUJO CONTINUO</v>
      </c>
      <c r="U244" s="31">
        <f>(Tabla1[[#This Row],[CANTIDAD]])*(VLOOKUP(Tabla1[[#This Row],[CODIGO]],DATOS!A:D,4,0))</f>
        <v>125.03999999999999</v>
      </c>
      <c r="V244" s="31" t="str">
        <f>VLOOKUP(Tabla1[[#This Row],[CODIGO]],DATOS!A:C,3,0)</f>
        <v>ABARROTES BEBIBLES</v>
      </c>
      <c r="W244" s="31" t="s">
        <v>13324</v>
      </c>
      <c r="X244" s="28" t="s">
        <v>13086</v>
      </c>
      <c r="Y244" s="28" t="s">
        <v>13113</v>
      </c>
    </row>
    <row r="245" spans="1:25" ht="12" customHeight="1" x14ac:dyDescent="0.25">
      <c r="A245" s="46">
        <v>45717</v>
      </c>
      <c r="B245" s="2" t="s">
        <v>13127</v>
      </c>
      <c r="C245" s="2" t="s">
        <v>15</v>
      </c>
      <c r="D245" s="2">
        <v>973213</v>
      </c>
      <c r="E245" s="2" t="s">
        <v>6885</v>
      </c>
      <c r="F245" s="2">
        <v>2</v>
      </c>
      <c r="G245" s="2" t="s">
        <v>15</v>
      </c>
      <c r="H245" s="2" t="s">
        <v>17</v>
      </c>
      <c r="I245" s="75" t="s">
        <v>13129</v>
      </c>
      <c r="J245" s="9" t="s">
        <v>15</v>
      </c>
      <c r="K245" s="10" t="s">
        <v>15</v>
      </c>
      <c r="L245" s="10" t="s">
        <v>15</v>
      </c>
      <c r="M245" s="10" t="s">
        <v>13132</v>
      </c>
      <c r="N245" s="10" t="s">
        <v>13128</v>
      </c>
      <c r="O245" s="10" t="s">
        <v>13130</v>
      </c>
      <c r="P245" s="10" t="s">
        <v>28</v>
      </c>
      <c r="Q245" s="2" t="s">
        <v>29</v>
      </c>
      <c r="R245" s="27" t="str">
        <f>VLOOKUP(Tabla1[[#This Row],[DETALLE ]],DATOS!L:M,2,0)</f>
        <v>RECEPCION</v>
      </c>
      <c r="S245" s="41" t="s">
        <v>13131</v>
      </c>
      <c r="T245" s="27" t="str">
        <f>UPPER(VLOOKUP(Tabla1[[#This Row],[CODIGO]],DATOS!A:E,5,0))</f>
        <v>FLUJO CONTINUO</v>
      </c>
      <c r="U245" s="31">
        <f>(Tabla1[[#This Row],[CANTIDAD]])*(VLOOKUP(Tabla1[[#This Row],[CODIGO]],DATOS!A:D,4,0))</f>
        <v>220.88</v>
      </c>
      <c r="V245" s="31" t="str">
        <f>VLOOKUP(Tabla1[[#This Row],[CODIGO]],DATOS!A:C,3,0)</f>
        <v>ABARROTES BEBIBLES</v>
      </c>
      <c r="W245" s="31" t="s">
        <v>13324</v>
      </c>
      <c r="X245" s="28" t="s">
        <v>13086</v>
      </c>
      <c r="Y245" s="28" t="s">
        <v>13113</v>
      </c>
    </row>
    <row r="246" spans="1:25" ht="12" customHeight="1" x14ac:dyDescent="0.25">
      <c r="A246" s="46">
        <v>45717</v>
      </c>
      <c r="B246" s="2" t="s">
        <v>13127</v>
      </c>
      <c r="C246" s="2" t="s">
        <v>15</v>
      </c>
      <c r="D246" s="2">
        <v>947268</v>
      </c>
      <c r="E246" s="2" t="s">
        <v>5927</v>
      </c>
      <c r="F246" s="2">
        <v>10</v>
      </c>
      <c r="G246" s="2" t="s">
        <v>15</v>
      </c>
      <c r="H246" s="2" t="s">
        <v>25</v>
      </c>
      <c r="I246" s="75" t="s">
        <v>13146</v>
      </c>
      <c r="J246" s="9" t="s">
        <v>15</v>
      </c>
      <c r="K246" s="10" t="s">
        <v>15</v>
      </c>
      <c r="L246" s="10" t="s">
        <v>12935</v>
      </c>
      <c r="M246" s="10" t="s">
        <v>15</v>
      </c>
      <c r="N246" s="10" t="s">
        <v>13136</v>
      </c>
      <c r="O246" s="10" t="s">
        <v>13151</v>
      </c>
      <c r="P246" s="10" t="s">
        <v>25</v>
      </c>
      <c r="Q246" s="2" t="s">
        <v>29</v>
      </c>
      <c r="R246" s="27" t="str">
        <f>VLOOKUP(Tabla1[[#This Row],[DETALLE ]],DATOS!L:M,2,0)</f>
        <v>DESPACHO</v>
      </c>
      <c r="S246" s="41" t="str">
        <f>IFERROR(IFERROR(VLOOKUP(Tabla1[[#This Row],[USUARIO PICKING ERROR]],DATOS!H:J,3,0),VLOOKUP(Tabla1[[#This Row],[USUARIO FILTRO ERROR]],DATOS!O:P,2,0)),"-")</f>
        <v>BENJAMIN LIZARBE</v>
      </c>
      <c r="T246" s="27" t="str">
        <f>UPPER(VLOOKUP(Tabla1[[#This Row],[CODIGO]],DATOS!A:E,5,0))</f>
        <v>FLUJO CONTINUO</v>
      </c>
      <c r="U246" s="31">
        <f>(Tabla1[[#This Row],[CANTIDAD]])*(VLOOKUP(Tabla1[[#This Row],[CODIGO]],DATOS!A:D,4,0))</f>
        <v>180.79999999999998</v>
      </c>
      <c r="V246" s="31" t="str">
        <f>VLOOKUP(Tabla1[[#This Row],[CODIGO]],DATOS!A:C,3,0)</f>
        <v>ABARROTES COMESTIBLES</v>
      </c>
      <c r="W246" s="31" t="s">
        <v>13324</v>
      </c>
      <c r="X246" s="28" t="s">
        <v>13086</v>
      </c>
      <c r="Y246" s="28" t="s">
        <v>13113</v>
      </c>
    </row>
    <row r="247" spans="1:25" ht="12" customHeight="1" x14ac:dyDescent="0.25">
      <c r="A247" s="46">
        <v>45717</v>
      </c>
      <c r="B247" s="2" t="s">
        <v>13023</v>
      </c>
      <c r="C247" s="2">
        <v>7620858467</v>
      </c>
      <c r="D247" s="2">
        <v>198754</v>
      </c>
      <c r="E247" s="2" t="s">
        <v>1297</v>
      </c>
      <c r="F247" s="2">
        <v>1</v>
      </c>
      <c r="G247" s="2" t="s">
        <v>101</v>
      </c>
      <c r="H247" s="2" t="s">
        <v>17</v>
      </c>
      <c r="I247" s="75" t="s">
        <v>12940</v>
      </c>
      <c r="J247" s="9" t="s">
        <v>15</v>
      </c>
      <c r="K247" s="10" t="s">
        <v>15</v>
      </c>
      <c r="L247" s="10" t="s">
        <v>121</v>
      </c>
      <c r="M247" s="10" t="s">
        <v>15</v>
      </c>
      <c r="N247" s="10" t="s">
        <v>18</v>
      </c>
      <c r="O247" s="10" t="s">
        <v>13103</v>
      </c>
      <c r="P247" s="10" t="s">
        <v>17</v>
      </c>
      <c r="Q247" s="2" t="s">
        <v>29</v>
      </c>
      <c r="R247" s="27" t="str">
        <f>VLOOKUP(Tabla1[[#This Row],[DETALLE ]],DATOS!L:M,2,0)</f>
        <v>PICKING</v>
      </c>
      <c r="S247" s="41" t="str">
        <f>IFERROR(IFERROR(VLOOKUP(Tabla1[[#This Row],[USUARIO PICKING ERROR]],DATOS!H:J,3,0),VLOOKUP(Tabla1[[#This Row],[USUARIO FILTRO ERROR]],DATOS!O:P,2,0)),"-")</f>
        <v>BENJAMIN LIZARBE</v>
      </c>
      <c r="T247" s="27" t="str">
        <f>UPPER(VLOOKUP(Tabla1[[#This Row],[CODIGO]],DATOS!A:E,5,0))</f>
        <v>FLUJO CONTINUO</v>
      </c>
      <c r="U247" s="31">
        <f>(Tabla1[[#This Row],[CANTIDAD]])*(VLOOKUP(Tabla1[[#This Row],[CODIGO]],DATOS!A:D,4,0))</f>
        <v>21.57</v>
      </c>
      <c r="V247" s="31" t="str">
        <f>VLOOKUP(Tabla1[[#This Row],[CODIGO]],DATOS!A:C,3,0)</f>
        <v>ABARROTES BEBIBLES</v>
      </c>
      <c r="W247" s="31" t="s">
        <v>13324</v>
      </c>
      <c r="X247" s="28" t="s">
        <v>13086</v>
      </c>
      <c r="Y247" s="28" t="s">
        <v>13113</v>
      </c>
    </row>
    <row r="248" spans="1:25" ht="12" customHeight="1" x14ac:dyDescent="0.25">
      <c r="A248" s="46">
        <v>45717</v>
      </c>
      <c r="B248" s="2" t="s">
        <v>15</v>
      </c>
      <c r="C248" s="2" t="s">
        <v>15</v>
      </c>
      <c r="D248" s="2">
        <v>4724</v>
      </c>
      <c r="E248" s="2" t="s">
        <v>13156</v>
      </c>
      <c r="F248" s="2">
        <v>2</v>
      </c>
      <c r="G248" s="2" t="s">
        <v>15</v>
      </c>
      <c r="H248" s="2" t="s">
        <v>25</v>
      </c>
      <c r="I248" s="75" t="s">
        <v>19</v>
      </c>
      <c r="J248" s="9" t="s">
        <v>15</v>
      </c>
      <c r="K248" s="10" t="s">
        <v>15</v>
      </c>
      <c r="L248" s="10" t="s">
        <v>14</v>
      </c>
      <c r="M248" s="10" t="s">
        <v>15</v>
      </c>
      <c r="N248" s="10" t="s">
        <v>18</v>
      </c>
      <c r="O248" s="10" t="s">
        <v>13157</v>
      </c>
      <c r="P248" s="10" t="s">
        <v>25</v>
      </c>
      <c r="Q248" s="2" t="s">
        <v>29</v>
      </c>
      <c r="R248" s="27" t="str">
        <f>VLOOKUP(Tabla1[[#This Row],[DETALLE ]],DATOS!L:M,2,0)</f>
        <v>PICKING</v>
      </c>
      <c r="S248" s="41" t="str">
        <f>IFERROR(IFERROR(VLOOKUP(Tabla1[[#This Row],[USUARIO PICKING ERROR]],DATOS!H:J,3,0),VLOOKUP(Tabla1[[#This Row],[USUARIO FILTRO ERROR]],DATOS!O:P,2,0)),"-")</f>
        <v>ALMACEN</v>
      </c>
      <c r="T248" s="27" t="str">
        <f>UPPER(VLOOKUP(Tabla1[[#This Row],[CODIGO]],DATOS!A:E,5,0))</f>
        <v>ALMACENADO</v>
      </c>
      <c r="U248" s="31">
        <f>(Tabla1[[#This Row],[CANTIDAD]])*(VLOOKUP(Tabla1[[#This Row],[CODIGO]],DATOS!A:D,4,0))</f>
        <v>2.6</v>
      </c>
      <c r="V248" s="31" t="str">
        <f>VLOOKUP(Tabla1[[#This Row],[CODIGO]],DATOS!A:C,3,0)</f>
        <v>ABARROTES COMESTIBLES</v>
      </c>
      <c r="W248" s="31" t="s">
        <v>13324</v>
      </c>
      <c r="X248" s="28" t="s">
        <v>13086</v>
      </c>
      <c r="Y248" s="28" t="s">
        <v>13113</v>
      </c>
    </row>
    <row r="249" spans="1:25" ht="12" customHeight="1" x14ac:dyDescent="0.25">
      <c r="A249" s="46">
        <v>45717</v>
      </c>
      <c r="B249" s="2" t="s">
        <v>15</v>
      </c>
      <c r="C249" s="2" t="s">
        <v>15</v>
      </c>
      <c r="D249" s="2">
        <v>720060</v>
      </c>
      <c r="E249" s="2" t="s">
        <v>3409</v>
      </c>
      <c r="F249" s="2">
        <v>4</v>
      </c>
      <c r="G249" s="2" t="s">
        <v>15</v>
      </c>
      <c r="H249" s="2" t="s">
        <v>25</v>
      </c>
      <c r="I249" s="75" t="s">
        <v>19</v>
      </c>
      <c r="J249" s="9" t="s">
        <v>15</v>
      </c>
      <c r="K249" s="10" t="s">
        <v>15</v>
      </c>
      <c r="L249" s="10" t="s">
        <v>14</v>
      </c>
      <c r="M249" s="10" t="s">
        <v>15</v>
      </c>
      <c r="N249" s="10" t="s">
        <v>18</v>
      </c>
      <c r="O249" s="10" t="s">
        <v>13157</v>
      </c>
      <c r="P249" s="10" t="s">
        <v>25</v>
      </c>
      <c r="Q249" s="2" t="s">
        <v>29</v>
      </c>
      <c r="R249" s="27" t="str">
        <f>VLOOKUP(Tabla1[[#This Row],[DETALLE ]],DATOS!L:M,2,0)</f>
        <v>PICKING</v>
      </c>
      <c r="S249" s="41" t="str">
        <f>IFERROR(IFERROR(VLOOKUP(Tabla1[[#This Row],[USUARIO PICKING ERROR]],DATOS!H:J,3,0),VLOOKUP(Tabla1[[#This Row],[USUARIO FILTRO ERROR]],DATOS!O:P,2,0)),"-")</f>
        <v>ALMACEN</v>
      </c>
      <c r="T249" s="27" t="str">
        <f>UPPER(VLOOKUP(Tabla1[[#This Row],[CODIGO]],DATOS!A:E,5,0))</f>
        <v>FLUJO CONTINUO</v>
      </c>
      <c r="U249" s="31">
        <f>(Tabla1[[#This Row],[CANTIDAD]])*(VLOOKUP(Tabla1[[#This Row],[CODIGO]],DATOS!A:D,4,0))</f>
        <v>44.72</v>
      </c>
      <c r="V249" s="31" t="str">
        <f>VLOOKUP(Tabla1[[#This Row],[CODIGO]],DATOS!A:C,3,0)</f>
        <v>ABARROTES NO COMESTIBLES</v>
      </c>
      <c r="W249" s="31" t="s">
        <v>13324</v>
      </c>
      <c r="X249" s="28" t="s">
        <v>13086</v>
      </c>
      <c r="Y249" s="28" t="s">
        <v>13113</v>
      </c>
    </row>
    <row r="250" spans="1:25" ht="12" customHeight="1" x14ac:dyDescent="0.25">
      <c r="A250" s="46">
        <v>45717</v>
      </c>
      <c r="B250" s="2" t="s">
        <v>15</v>
      </c>
      <c r="C250" s="2" t="s">
        <v>15</v>
      </c>
      <c r="D250" s="2">
        <v>703087</v>
      </c>
      <c r="E250" s="2" t="s">
        <v>3215</v>
      </c>
      <c r="F250" s="2">
        <v>1</v>
      </c>
      <c r="G250" s="2" t="s">
        <v>15</v>
      </c>
      <c r="H250" s="2" t="s">
        <v>25</v>
      </c>
      <c r="I250" s="75" t="s">
        <v>19</v>
      </c>
      <c r="J250" s="9" t="s">
        <v>15</v>
      </c>
      <c r="K250" s="10" t="s">
        <v>15</v>
      </c>
      <c r="L250" s="10" t="s">
        <v>14</v>
      </c>
      <c r="M250" s="10" t="s">
        <v>15</v>
      </c>
      <c r="N250" s="10" t="s">
        <v>18</v>
      </c>
      <c r="O250" s="10" t="s">
        <v>13157</v>
      </c>
      <c r="P250" s="10" t="s">
        <v>25</v>
      </c>
      <c r="Q250" s="2" t="s">
        <v>29</v>
      </c>
      <c r="R250" s="27" t="str">
        <f>VLOOKUP(Tabla1[[#This Row],[DETALLE ]],DATOS!L:M,2,0)</f>
        <v>PICKING</v>
      </c>
      <c r="S250" s="41" t="str">
        <f>IFERROR(IFERROR(VLOOKUP(Tabla1[[#This Row],[USUARIO PICKING ERROR]],DATOS!H:J,3,0),VLOOKUP(Tabla1[[#This Row],[USUARIO FILTRO ERROR]],DATOS!O:P,2,0)),"-")</f>
        <v>ALMACEN</v>
      </c>
      <c r="T250" s="27" t="str">
        <f>UPPER(VLOOKUP(Tabla1[[#This Row],[CODIGO]],DATOS!A:E,5,0))</f>
        <v>FLUJO CONTINUO</v>
      </c>
      <c r="U250" s="31">
        <f>(Tabla1[[#This Row],[CANTIDAD]])*(VLOOKUP(Tabla1[[#This Row],[CODIGO]],DATOS!A:D,4,0))</f>
        <v>7.3</v>
      </c>
      <c r="V250" s="31" t="str">
        <f>VLOOKUP(Tabla1[[#This Row],[CODIGO]],DATOS!A:C,3,0)</f>
        <v>ABARROTES COMESTIBLES</v>
      </c>
      <c r="W250" s="31" t="s">
        <v>13324</v>
      </c>
      <c r="X250" s="28" t="s">
        <v>13086</v>
      </c>
      <c r="Y250" s="28" t="s">
        <v>13113</v>
      </c>
    </row>
    <row r="251" spans="1:25" ht="12" customHeight="1" x14ac:dyDescent="0.25">
      <c r="A251" s="46">
        <v>45717</v>
      </c>
      <c r="B251" s="2" t="s">
        <v>13106</v>
      </c>
      <c r="C251" s="2">
        <v>7620870799</v>
      </c>
      <c r="D251" s="2">
        <v>1018031</v>
      </c>
      <c r="E251" s="2" t="s">
        <v>10620</v>
      </c>
      <c r="F251" s="2">
        <v>1</v>
      </c>
      <c r="G251" s="2" t="s">
        <v>24</v>
      </c>
      <c r="H251" s="2" t="s">
        <v>17</v>
      </c>
      <c r="I251" s="75" t="s">
        <v>12940</v>
      </c>
      <c r="J251" s="9" t="s">
        <v>15</v>
      </c>
      <c r="K251" s="10" t="s">
        <v>15</v>
      </c>
      <c r="L251" s="10" t="s">
        <v>121</v>
      </c>
      <c r="M251" s="10" t="s">
        <v>15</v>
      </c>
      <c r="N251" s="10" t="s">
        <v>18</v>
      </c>
      <c r="O251" s="10" t="s">
        <v>13103</v>
      </c>
      <c r="P251" s="10" t="s">
        <v>17</v>
      </c>
      <c r="Q251" s="2" t="s">
        <v>29</v>
      </c>
      <c r="R251" s="27" t="str">
        <f>VLOOKUP(Tabla1[[#This Row],[DETALLE ]],DATOS!L:M,2,0)</f>
        <v>PICKING</v>
      </c>
      <c r="S251" s="41" t="str">
        <f>IFERROR(IFERROR(VLOOKUP(Tabla1[[#This Row],[USUARIO PICKING ERROR]],DATOS!H:J,3,0),VLOOKUP(Tabla1[[#This Row],[USUARIO FILTRO ERROR]],DATOS!O:P,2,0)),"-")</f>
        <v>BENJAMIN LIZARBE</v>
      </c>
      <c r="T251" s="27" t="str">
        <f>UPPER(VLOOKUP(Tabla1[[#This Row],[CODIGO]],DATOS!A:E,5,0))</f>
        <v>FLUJO CONTINUO</v>
      </c>
      <c r="U251" s="31">
        <f>(Tabla1[[#This Row],[CANTIDAD]])*(VLOOKUP(Tabla1[[#This Row],[CODIGO]],DATOS!A:D,4,0))</f>
        <v>12</v>
      </c>
      <c r="V251" s="31" t="str">
        <f>VLOOKUP(Tabla1[[#This Row],[CODIGO]],DATOS!A:C,3,0)</f>
        <v>ABARROTES NO COMESTIBLES</v>
      </c>
      <c r="W251" s="31" t="s">
        <v>13324</v>
      </c>
      <c r="X251" s="28" t="s">
        <v>13086</v>
      </c>
      <c r="Y251" s="28" t="s">
        <v>13113</v>
      </c>
    </row>
    <row r="252" spans="1:25" ht="12" customHeight="1" x14ac:dyDescent="0.25">
      <c r="A252" s="46">
        <v>45719</v>
      </c>
      <c r="B252" s="2" t="s">
        <v>13127</v>
      </c>
      <c r="C252" s="2" t="s">
        <v>15</v>
      </c>
      <c r="D252" s="2">
        <v>705073</v>
      </c>
      <c r="E252" s="2" t="s">
        <v>3666</v>
      </c>
      <c r="F252" s="2">
        <v>12</v>
      </c>
      <c r="G252" s="2" t="s">
        <v>15</v>
      </c>
      <c r="H252" s="2" t="s">
        <v>25</v>
      </c>
      <c r="I252" s="75" t="s">
        <v>13142</v>
      </c>
      <c r="J252" s="9" t="s">
        <v>15</v>
      </c>
      <c r="K252" s="10" t="s">
        <v>15</v>
      </c>
      <c r="L252" s="10" t="s">
        <v>15</v>
      </c>
      <c r="M252" s="10" t="s">
        <v>15</v>
      </c>
      <c r="N252" s="10" t="s">
        <v>18</v>
      </c>
      <c r="O252" s="10" t="s">
        <v>13145</v>
      </c>
      <c r="P252" s="10" t="s">
        <v>25</v>
      </c>
      <c r="Q252" s="2" t="s">
        <v>29</v>
      </c>
      <c r="R252" s="27" t="str">
        <f>VLOOKUP(Tabla1[[#This Row],[DETALLE ]],DATOS!L:M,2,0)</f>
        <v>PICKING</v>
      </c>
      <c r="S252" s="41" t="s">
        <v>12941</v>
      </c>
      <c r="T252" s="27" t="str">
        <f>UPPER(VLOOKUP(Tabla1[[#This Row],[CODIGO]],DATOS!A:E,5,0))</f>
        <v>ALMACENADO</v>
      </c>
      <c r="U252" s="31">
        <f>(Tabla1[[#This Row],[CANTIDAD]])*(VLOOKUP(Tabla1[[#This Row],[CODIGO]],DATOS!A:D,4,0))</f>
        <v>165.60000000000002</v>
      </c>
      <c r="V252" s="31" t="str">
        <f>VLOOKUP(Tabla1[[#This Row],[CODIGO]],DATOS!A:C,3,0)</f>
        <v>ABARROTES COMESTIBLES</v>
      </c>
      <c r="W252" s="31" t="s">
        <v>13324</v>
      </c>
      <c r="X252" s="28" t="s">
        <v>13086</v>
      </c>
      <c r="Y252" s="28" t="s">
        <v>13113</v>
      </c>
    </row>
    <row r="253" spans="1:25" ht="12" customHeight="1" x14ac:dyDescent="0.25">
      <c r="A253" s="46">
        <v>45720</v>
      </c>
      <c r="B253" s="2" t="s">
        <v>12974</v>
      </c>
      <c r="C253" s="2">
        <v>7620872280</v>
      </c>
      <c r="D253" s="2">
        <v>720332</v>
      </c>
      <c r="E253" s="2" t="s">
        <v>3419</v>
      </c>
      <c r="F253" s="2">
        <v>12</v>
      </c>
      <c r="G253" s="2" t="s">
        <v>52</v>
      </c>
      <c r="H253" s="2" t="s">
        <v>25</v>
      </c>
      <c r="I253" s="75" t="s">
        <v>13140</v>
      </c>
      <c r="J253" s="9" t="s">
        <v>15</v>
      </c>
      <c r="K253" s="10" t="s">
        <v>15</v>
      </c>
      <c r="L253" s="10" t="s">
        <v>98</v>
      </c>
      <c r="M253" s="10" t="s">
        <v>15</v>
      </c>
      <c r="N253" s="10" t="s">
        <v>18</v>
      </c>
      <c r="O253" s="10" t="s">
        <v>13144</v>
      </c>
      <c r="P253" s="10" t="s">
        <v>25</v>
      </c>
      <c r="Q253" s="2" t="s">
        <v>29</v>
      </c>
      <c r="R253" s="27" t="str">
        <f>VLOOKUP(Tabla1[[#This Row],[DETALLE ]],DATOS!L:M,2,0)</f>
        <v>PICKING</v>
      </c>
      <c r="S253" s="41" t="str">
        <f>IFERROR(IFERROR(VLOOKUP(Tabla1[[#This Row],[USUARIO PICKING ERROR]],DATOS!H:J,3,0),VLOOKUP(Tabla1[[#This Row],[USUARIO FILTRO ERROR]],DATOS!O:P,2,0)),"-")</f>
        <v>BENJAMIN LIZARBE</v>
      </c>
      <c r="T253" s="27" t="str">
        <f>UPPER(VLOOKUP(Tabla1[[#This Row],[CODIGO]],DATOS!A:E,5,0))</f>
        <v>FLUJO CONTINUO</v>
      </c>
      <c r="U253" s="31">
        <f>(Tabla1[[#This Row],[CANTIDAD]])*(VLOOKUP(Tabla1[[#This Row],[CODIGO]],DATOS!A:D,4,0))</f>
        <v>160.44</v>
      </c>
      <c r="V253" s="31" t="str">
        <f>VLOOKUP(Tabla1[[#This Row],[CODIGO]],DATOS!A:C,3,0)</f>
        <v>ABARROTES NO COMESTIBLES</v>
      </c>
      <c r="W253" s="31" t="s">
        <v>13324</v>
      </c>
      <c r="X253" s="28" t="s">
        <v>13086</v>
      </c>
      <c r="Y253" s="28" t="s">
        <v>13113</v>
      </c>
    </row>
    <row r="254" spans="1:25" ht="12" customHeight="1" x14ac:dyDescent="0.25">
      <c r="A254" s="46">
        <v>45720</v>
      </c>
      <c r="B254" s="2" t="s">
        <v>12974</v>
      </c>
      <c r="C254" s="2">
        <v>7620872280</v>
      </c>
      <c r="D254" s="2">
        <v>767555</v>
      </c>
      <c r="E254" s="2" t="s">
        <v>4035</v>
      </c>
      <c r="F254" s="2">
        <v>12</v>
      </c>
      <c r="G254" s="2" t="s">
        <v>52</v>
      </c>
      <c r="H254" s="2" t="s">
        <v>17</v>
      </c>
      <c r="I254" s="75" t="s">
        <v>13140</v>
      </c>
      <c r="J254" s="9" t="s">
        <v>15</v>
      </c>
      <c r="K254" s="10" t="s">
        <v>15</v>
      </c>
      <c r="L254" s="10" t="s">
        <v>98</v>
      </c>
      <c r="M254" s="10" t="s">
        <v>15</v>
      </c>
      <c r="N254" s="10" t="s">
        <v>18</v>
      </c>
      <c r="O254" s="10" t="s">
        <v>13164</v>
      </c>
      <c r="P254" s="10" t="s">
        <v>17</v>
      </c>
      <c r="Q254" s="2" t="s">
        <v>29</v>
      </c>
      <c r="R254" s="27" t="str">
        <f>VLOOKUP(Tabla1[[#This Row],[DETALLE ]],DATOS!L:M,2,0)</f>
        <v>PICKING</v>
      </c>
      <c r="S254" s="41" t="str">
        <f>IFERROR(IFERROR(VLOOKUP(Tabla1[[#This Row],[USUARIO PICKING ERROR]],DATOS!H:J,3,0),VLOOKUP(Tabla1[[#This Row],[USUARIO FILTRO ERROR]],DATOS!O:P,2,0)),"-")</f>
        <v>BENJAMIN LIZARBE</v>
      </c>
      <c r="T254" s="27" t="str">
        <f>UPPER(VLOOKUP(Tabla1[[#This Row],[CODIGO]],DATOS!A:E,5,0))</f>
        <v>FLUJO CONTINUO</v>
      </c>
      <c r="U254" s="31">
        <f>(Tabla1[[#This Row],[CANTIDAD]])*(VLOOKUP(Tabla1[[#This Row],[CODIGO]],DATOS!A:D,4,0))</f>
        <v>141.60000000000002</v>
      </c>
      <c r="V254" s="31" t="str">
        <f>VLOOKUP(Tabla1[[#This Row],[CODIGO]],DATOS!A:C,3,0)</f>
        <v>ABARROTES NO COMESTIBLES</v>
      </c>
      <c r="W254" s="31" t="s">
        <v>13324</v>
      </c>
      <c r="X254" s="28" t="s">
        <v>13086</v>
      </c>
      <c r="Y254" s="28" t="s">
        <v>13113</v>
      </c>
    </row>
    <row r="255" spans="1:25" ht="12" customHeight="1" x14ac:dyDescent="0.25">
      <c r="A255" s="46">
        <v>45721</v>
      </c>
      <c r="B255" s="2" t="s">
        <v>70</v>
      </c>
      <c r="C255" s="2">
        <v>7620869470</v>
      </c>
      <c r="D255" s="2">
        <v>251169</v>
      </c>
      <c r="E255" s="2" t="s">
        <v>1472</v>
      </c>
      <c r="F255" s="2">
        <v>1</v>
      </c>
      <c r="G255" s="2" t="s">
        <v>15</v>
      </c>
      <c r="H255" s="2" t="s">
        <v>25</v>
      </c>
      <c r="I255" s="75" t="s">
        <v>12940</v>
      </c>
      <c r="J255" s="9" t="s">
        <v>65</v>
      </c>
      <c r="K255" s="10">
        <v>7620866652</v>
      </c>
      <c r="L255" s="10" t="s">
        <v>84</v>
      </c>
      <c r="M255" s="10" t="s">
        <v>15</v>
      </c>
      <c r="N255" s="10" t="s">
        <v>18</v>
      </c>
      <c r="O255" s="10" t="s">
        <v>13103</v>
      </c>
      <c r="P255" s="10" t="s">
        <v>28</v>
      </c>
      <c r="Q255" s="2" t="s">
        <v>39</v>
      </c>
      <c r="R255" s="27" t="str">
        <f>VLOOKUP(Tabla1[[#This Row],[DETALLE ]],DATOS!L:M,2,0)</f>
        <v>PICKING</v>
      </c>
      <c r="S255" s="41" t="str">
        <f>IFERROR(IFERROR(VLOOKUP(Tabla1[[#This Row],[USUARIO PICKING ERROR]],DATOS!H:J,3,0),VLOOKUP(Tabla1[[#This Row],[USUARIO FILTRO ERROR]],DATOS!O:P,2,0)),"-")</f>
        <v>DAVID PIÑAN</v>
      </c>
      <c r="T255" s="27" t="str">
        <f>UPPER(VLOOKUP(Tabla1[[#This Row],[CODIGO]],DATOS!A:E,5,0))</f>
        <v>FLUJO CONTINUO</v>
      </c>
      <c r="U255" s="31">
        <f>(Tabla1[[#This Row],[CANTIDAD]])*(VLOOKUP(Tabla1[[#This Row],[CODIGO]],DATOS!A:D,4,0))</f>
        <v>117.4</v>
      </c>
      <c r="V255" s="31" t="str">
        <f>VLOOKUP(Tabla1[[#This Row],[CODIGO]],DATOS!A:C,3,0)</f>
        <v>ABARROTES BEBIBLES</v>
      </c>
      <c r="W255" s="31" t="s">
        <v>13324</v>
      </c>
      <c r="X255" s="28" t="s">
        <v>13086</v>
      </c>
      <c r="Y255" s="28" t="s">
        <v>13113</v>
      </c>
    </row>
    <row r="256" spans="1:25" ht="12" customHeight="1" x14ac:dyDescent="0.25">
      <c r="A256" s="46">
        <v>45721</v>
      </c>
      <c r="B256" s="2" t="s">
        <v>70</v>
      </c>
      <c r="C256" s="2">
        <v>7620869470</v>
      </c>
      <c r="D256" s="2">
        <v>401611</v>
      </c>
      <c r="E256" s="2" t="s">
        <v>1873</v>
      </c>
      <c r="F256" s="2">
        <v>1</v>
      </c>
      <c r="G256" s="2" t="s">
        <v>15</v>
      </c>
      <c r="H256" s="2" t="s">
        <v>25</v>
      </c>
      <c r="I256" s="75" t="s">
        <v>12940</v>
      </c>
      <c r="J256" s="9" t="s">
        <v>65</v>
      </c>
      <c r="K256" s="10">
        <v>7620866652</v>
      </c>
      <c r="L256" s="10" t="s">
        <v>84</v>
      </c>
      <c r="M256" s="10" t="s">
        <v>15</v>
      </c>
      <c r="N256" s="10" t="s">
        <v>18</v>
      </c>
      <c r="O256" s="10" t="s">
        <v>13103</v>
      </c>
      <c r="P256" s="10" t="s">
        <v>28</v>
      </c>
      <c r="Q256" s="2" t="s">
        <v>39</v>
      </c>
      <c r="R256" s="27" t="str">
        <f>VLOOKUP(Tabla1[[#This Row],[DETALLE ]],DATOS!L:M,2,0)</f>
        <v>PICKING</v>
      </c>
      <c r="S256" s="41" t="str">
        <f>IFERROR(IFERROR(VLOOKUP(Tabla1[[#This Row],[USUARIO PICKING ERROR]],DATOS!H:J,3,0),VLOOKUP(Tabla1[[#This Row],[USUARIO FILTRO ERROR]],DATOS!O:P,2,0)),"-")</f>
        <v>DAVID PIÑAN</v>
      </c>
      <c r="T256" s="27" t="str">
        <f>UPPER(VLOOKUP(Tabla1[[#This Row],[CODIGO]],DATOS!A:E,5,0))</f>
        <v>FLUJO CONTINUO</v>
      </c>
      <c r="U256" s="31">
        <f>(Tabla1[[#This Row],[CANTIDAD]])*(VLOOKUP(Tabla1[[#This Row],[CODIGO]],DATOS!A:D,4,0))</f>
        <v>73.37</v>
      </c>
      <c r="V256" s="31" t="str">
        <f>VLOOKUP(Tabla1[[#This Row],[CODIGO]],DATOS!A:C,3,0)</f>
        <v>ABARROTES BEBIBLES</v>
      </c>
      <c r="W256" s="31" t="s">
        <v>13324</v>
      </c>
      <c r="X256" s="28" t="s">
        <v>13086</v>
      </c>
      <c r="Y256" s="28" t="s">
        <v>13113</v>
      </c>
    </row>
    <row r="257" spans="1:25" ht="12" customHeight="1" x14ac:dyDescent="0.25">
      <c r="A257" s="46">
        <v>45721</v>
      </c>
      <c r="B257" s="2" t="s">
        <v>70</v>
      </c>
      <c r="C257" s="2">
        <v>7620869470</v>
      </c>
      <c r="D257" s="2">
        <v>284207</v>
      </c>
      <c r="E257" s="2" t="s">
        <v>1521</v>
      </c>
      <c r="F257" s="2">
        <v>6</v>
      </c>
      <c r="G257" s="2" t="s">
        <v>15</v>
      </c>
      <c r="H257" s="2" t="s">
        <v>25</v>
      </c>
      <c r="I257" s="75" t="s">
        <v>12940</v>
      </c>
      <c r="J257" s="9" t="s">
        <v>65</v>
      </c>
      <c r="K257" s="10">
        <v>7620866652</v>
      </c>
      <c r="L257" s="10" t="s">
        <v>84</v>
      </c>
      <c r="M257" s="10" t="s">
        <v>15</v>
      </c>
      <c r="N257" s="10" t="s">
        <v>18</v>
      </c>
      <c r="O257" s="10" t="s">
        <v>13103</v>
      </c>
      <c r="P257" s="10" t="s">
        <v>28</v>
      </c>
      <c r="Q257" s="2" t="s">
        <v>39</v>
      </c>
      <c r="R257" s="27" t="str">
        <f>VLOOKUP(Tabla1[[#This Row],[DETALLE ]],DATOS!L:M,2,0)</f>
        <v>PICKING</v>
      </c>
      <c r="S257" s="41" t="str">
        <f>IFERROR(IFERROR(VLOOKUP(Tabla1[[#This Row],[USUARIO PICKING ERROR]],DATOS!H:J,3,0),VLOOKUP(Tabla1[[#This Row],[USUARIO FILTRO ERROR]],DATOS!O:P,2,0)),"-")</f>
        <v>DAVID PIÑAN</v>
      </c>
      <c r="T257" s="27" t="str">
        <f>UPPER(VLOOKUP(Tabla1[[#This Row],[CODIGO]],DATOS!A:E,5,0))</f>
        <v>FLUJO CONTINUO</v>
      </c>
      <c r="U257" s="31">
        <f>(Tabla1[[#This Row],[CANTIDAD]])*(VLOOKUP(Tabla1[[#This Row],[CODIGO]],DATOS!A:D,4,0))</f>
        <v>292.5</v>
      </c>
      <c r="V257" s="31" t="str">
        <f>VLOOKUP(Tabla1[[#This Row],[CODIGO]],DATOS!A:C,3,0)</f>
        <v>ABARROTES BEBIBLES</v>
      </c>
      <c r="W257" s="31" t="s">
        <v>13324</v>
      </c>
      <c r="X257" s="28" t="s">
        <v>13086</v>
      </c>
      <c r="Y257" s="28" t="s">
        <v>13113</v>
      </c>
    </row>
    <row r="258" spans="1:25" ht="12" customHeight="1" x14ac:dyDescent="0.25">
      <c r="A258" s="46">
        <v>45721</v>
      </c>
      <c r="B258" s="2" t="s">
        <v>15</v>
      </c>
      <c r="C258" s="2" t="s">
        <v>15</v>
      </c>
      <c r="D258" s="2">
        <v>270474</v>
      </c>
      <c r="E258" s="2" t="s">
        <v>1507</v>
      </c>
      <c r="F258" s="2">
        <v>4</v>
      </c>
      <c r="G258" s="2" t="s">
        <v>15</v>
      </c>
      <c r="H258" s="2" t="s">
        <v>25</v>
      </c>
      <c r="I258" s="75" t="s">
        <v>12940</v>
      </c>
      <c r="J258" s="9" t="s">
        <v>12987</v>
      </c>
      <c r="K258" s="10">
        <v>7620871037</v>
      </c>
      <c r="L258" s="10" t="s">
        <v>67</v>
      </c>
      <c r="M258" s="10" t="s">
        <v>15</v>
      </c>
      <c r="N258" s="10" t="s">
        <v>18</v>
      </c>
      <c r="O258" s="10" t="s">
        <v>13103</v>
      </c>
      <c r="P258" s="10" t="s">
        <v>28</v>
      </c>
      <c r="Q258" s="2" t="s">
        <v>29</v>
      </c>
      <c r="R258" s="27" t="str">
        <f>VLOOKUP(Tabla1[[#This Row],[DETALLE ]],DATOS!L:M,2,0)</f>
        <v>PICKING</v>
      </c>
      <c r="S258" s="41" t="str">
        <f>IFERROR(IFERROR(VLOOKUP(Tabla1[[#This Row],[USUARIO PICKING ERROR]],DATOS!H:J,3,0),VLOOKUP(Tabla1[[#This Row],[USUARIO FILTRO ERROR]],DATOS!O:P,2,0)),"-")</f>
        <v>BENJAMIN LIZARBE</v>
      </c>
      <c r="T258" s="27" t="str">
        <f>UPPER(VLOOKUP(Tabla1[[#This Row],[CODIGO]],DATOS!A:E,5,0))</f>
        <v>FLUJO CONTINUO</v>
      </c>
      <c r="U258" s="31">
        <f>(Tabla1[[#This Row],[CANTIDAD]])*(VLOOKUP(Tabla1[[#This Row],[CODIGO]],DATOS!A:D,4,0))</f>
        <v>80.400000000000006</v>
      </c>
      <c r="V258" s="31" t="str">
        <f>VLOOKUP(Tabla1[[#This Row],[CODIGO]],DATOS!A:C,3,0)</f>
        <v>ABARROTES BEBIBLES</v>
      </c>
      <c r="W258" s="31" t="s">
        <v>13324</v>
      </c>
      <c r="X258" s="28" t="s">
        <v>13086</v>
      </c>
      <c r="Y258" s="28" t="s">
        <v>13113</v>
      </c>
    </row>
    <row r="259" spans="1:25" ht="12" customHeight="1" x14ac:dyDescent="0.25">
      <c r="A259" s="46">
        <v>45721</v>
      </c>
      <c r="B259" s="2" t="s">
        <v>12989</v>
      </c>
      <c r="C259" s="2">
        <v>7620870331</v>
      </c>
      <c r="D259" s="2">
        <v>441374</v>
      </c>
      <c r="E259" s="2" t="s">
        <v>2110</v>
      </c>
      <c r="F259" s="2">
        <v>1</v>
      </c>
      <c r="G259" s="2" t="s">
        <v>52</v>
      </c>
      <c r="H259" s="2" t="s">
        <v>17</v>
      </c>
      <c r="I259" s="75" t="s">
        <v>13140</v>
      </c>
      <c r="J259" s="9" t="s">
        <v>15</v>
      </c>
      <c r="K259" s="10" t="s">
        <v>15</v>
      </c>
      <c r="L259" s="10" t="s">
        <v>12935</v>
      </c>
      <c r="M259" s="10" t="s">
        <v>15</v>
      </c>
      <c r="N259" s="10" t="s">
        <v>18</v>
      </c>
      <c r="O259" s="10" t="s">
        <v>13164</v>
      </c>
      <c r="P259" s="10" t="s">
        <v>17</v>
      </c>
      <c r="Q259" s="2" t="s">
        <v>29</v>
      </c>
      <c r="R259" s="27" t="str">
        <f>VLOOKUP(Tabla1[[#This Row],[DETALLE ]],DATOS!L:M,2,0)</f>
        <v>PICKING</v>
      </c>
      <c r="S259" s="41" t="str">
        <f>IFERROR(IFERROR(VLOOKUP(Tabla1[[#This Row],[USUARIO PICKING ERROR]],DATOS!H:J,3,0),VLOOKUP(Tabla1[[#This Row],[USUARIO FILTRO ERROR]],DATOS!O:P,2,0)),"-")</f>
        <v>BENJAMIN LIZARBE</v>
      </c>
      <c r="T259" s="27" t="str">
        <f>UPPER(VLOOKUP(Tabla1[[#This Row],[CODIGO]],DATOS!A:E,5,0))</f>
        <v>FLUJO CONTINUO</v>
      </c>
      <c r="U259" s="31">
        <f>(Tabla1[[#This Row],[CANTIDAD]])*(VLOOKUP(Tabla1[[#This Row],[CODIGO]],DATOS!A:D,4,0))</f>
        <v>7.43</v>
      </c>
      <c r="V259" s="31" t="str">
        <f>VLOOKUP(Tabla1[[#This Row],[CODIGO]],DATOS!A:C,3,0)</f>
        <v>ABARROTES NO COMESTIBLES</v>
      </c>
      <c r="W259" s="31" t="s">
        <v>13324</v>
      </c>
      <c r="X259" s="28" t="s">
        <v>13086</v>
      </c>
      <c r="Y259" s="28" t="s">
        <v>13113</v>
      </c>
    </row>
    <row r="260" spans="1:25" ht="12" customHeight="1" x14ac:dyDescent="0.25">
      <c r="A260" s="46">
        <v>45721</v>
      </c>
      <c r="B260" s="2" t="s">
        <v>111</v>
      </c>
      <c r="C260" s="2">
        <v>7640114916</v>
      </c>
      <c r="D260" s="2">
        <v>70841001</v>
      </c>
      <c r="E260" s="2" t="s">
        <v>9570</v>
      </c>
      <c r="F260" s="2">
        <v>12</v>
      </c>
      <c r="G260" s="2" t="s">
        <v>52</v>
      </c>
      <c r="H260" s="2" t="s">
        <v>17</v>
      </c>
      <c r="I260" s="75" t="s">
        <v>13140</v>
      </c>
      <c r="J260" s="9" t="s">
        <v>15</v>
      </c>
      <c r="K260" s="10" t="s">
        <v>15</v>
      </c>
      <c r="L260" s="10" t="s">
        <v>12910</v>
      </c>
      <c r="M260" s="10" t="s">
        <v>15</v>
      </c>
      <c r="N260" s="10" t="s">
        <v>18</v>
      </c>
      <c r="O260" s="10" t="s">
        <v>13164</v>
      </c>
      <c r="P260" s="10" t="s">
        <v>17</v>
      </c>
      <c r="Q260" s="2" t="s">
        <v>29</v>
      </c>
      <c r="R260" s="27" t="str">
        <f>VLOOKUP(Tabla1[[#This Row],[DETALLE ]],DATOS!L:M,2,0)</f>
        <v>PICKING</v>
      </c>
      <c r="S260" s="41" t="str">
        <f>IFERROR(IFERROR(VLOOKUP(Tabla1[[#This Row],[USUARIO PICKING ERROR]],DATOS!H:J,3,0),VLOOKUP(Tabla1[[#This Row],[USUARIO FILTRO ERROR]],DATOS!O:P,2,0)),"-")</f>
        <v>BENJAMIN LIZARBE</v>
      </c>
      <c r="T260" s="27" t="str">
        <f>UPPER(VLOOKUP(Tabla1[[#This Row],[CODIGO]],DATOS!A:E,5,0))</f>
        <v>ALMACENADO</v>
      </c>
      <c r="U260" s="31">
        <f>(Tabla1[[#This Row],[CANTIDAD]])*(VLOOKUP(Tabla1[[#This Row],[CODIGO]],DATOS!A:D,4,0))</f>
        <v>30.72</v>
      </c>
      <c r="V260" s="31" t="str">
        <f>VLOOKUP(Tabla1[[#This Row],[CODIGO]],DATOS!A:C,3,0)</f>
        <v>ABARROTES COMESTIBLES</v>
      </c>
      <c r="W260" s="31" t="s">
        <v>13324</v>
      </c>
      <c r="X260" s="28" t="s">
        <v>13086</v>
      </c>
      <c r="Y260" s="28" t="s">
        <v>13113</v>
      </c>
    </row>
    <row r="261" spans="1:25" ht="12" customHeight="1" x14ac:dyDescent="0.25">
      <c r="A261" s="46">
        <v>45721</v>
      </c>
      <c r="B261" s="2" t="s">
        <v>111</v>
      </c>
      <c r="C261" s="2">
        <v>7640114916</v>
      </c>
      <c r="D261" s="2">
        <v>396035001</v>
      </c>
      <c r="E261" s="2" t="s">
        <v>9684</v>
      </c>
      <c r="F261" s="2">
        <v>72</v>
      </c>
      <c r="G261" s="2" t="s">
        <v>52</v>
      </c>
      <c r="H261" s="2" t="s">
        <v>17</v>
      </c>
      <c r="I261" s="75" t="s">
        <v>13140</v>
      </c>
      <c r="J261" s="9" t="s">
        <v>15</v>
      </c>
      <c r="K261" s="10" t="s">
        <v>15</v>
      </c>
      <c r="L261" s="10" t="s">
        <v>12910</v>
      </c>
      <c r="M261" s="10" t="s">
        <v>15</v>
      </c>
      <c r="N261" s="10" t="s">
        <v>18</v>
      </c>
      <c r="O261" s="10" t="s">
        <v>13164</v>
      </c>
      <c r="P261" s="10" t="s">
        <v>17</v>
      </c>
      <c r="Q261" s="2" t="s">
        <v>29</v>
      </c>
      <c r="R261" s="27" t="str">
        <f>VLOOKUP(Tabla1[[#This Row],[DETALLE ]],DATOS!L:M,2,0)</f>
        <v>PICKING</v>
      </c>
      <c r="S261" s="41" t="str">
        <f>IFERROR(IFERROR(VLOOKUP(Tabla1[[#This Row],[USUARIO PICKING ERROR]],DATOS!H:J,3,0),VLOOKUP(Tabla1[[#This Row],[USUARIO FILTRO ERROR]],DATOS!O:P,2,0)),"-")</f>
        <v>BENJAMIN LIZARBE</v>
      </c>
      <c r="T261" s="27" t="str">
        <f>UPPER(VLOOKUP(Tabla1[[#This Row],[CODIGO]],DATOS!A:E,5,0))</f>
        <v>ALMACENADO</v>
      </c>
      <c r="U261" s="31">
        <f>(Tabla1[[#This Row],[CANTIDAD]])*(VLOOKUP(Tabla1[[#This Row],[CODIGO]],DATOS!A:D,4,0))</f>
        <v>198.71999999999997</v>
      </c>
      <c r="V261" s="31" t="str">
        <f>VLOOKUP(Tabla1[[#This Row],[CODIGO]],DATOS!A:C,3,0)</f>
        <v>ABARROTES COMESTIBLES</v>
      </c>
      <c r="W261" s="31" t="s">
        <v>13324</v>
      </c>
      <c r="X261" s="28" t="s">
        <v>13086</v>
      </c>
      <c r="Y261" s="28" t="s">
        <v>13113</v>
      </c>
    </row>
    <row r="262" spans="1:25" ht="12" customHeight="1" x14ac:dyDescent="0.25">
      <c r="A262" s="46">
        <v>45721</v>
      </c>
      <c r="B262" s="2" t="s">
        <v>15</v>
      </c>
      <c r="C262" s="2" t="s">
        <v>15</v>
      </c>
      <c r="D262" s="2">
        <v>549257</v>
      </c>
      <c r="E262" s="2" t="s">
        <v>2854</v>
      </c>
      <c r="F262" s="2">
        <v>20</v>
      </c>
      <c r="G262" s="2" t="s">
        <v>15</v>
      </c>
      <c r="H262" s="2" t="s">
        <v>25</v>
      </c>
      <c r="I262" s="75" t="s">
        <v>12940</v>
      </c>
      <c r="J262" s="9" t="s">
        <v>15</v>
      </c>
      <c r="K262" s="10" t="s">
        <v>15</v>
      </c>
      <c r="L262" s="10" t="s">
        <v>14</v>
      </c>
      <c r="M262" s="10" t="s">
        <v>15</v>
      </c>
      <c r="N262" s="10" t="s">
        <v>18</v>
      </c>
      <c r="O262" s="10" t="s">
        <v>13103</v>
      </c>
      <c r="P262" s="10" t="s">
        <v>25</v>
      </c>
      <c r="Q262" s="2" t="s">
        <v>29</v>
      </c>
      <c r="R262" s="27" t="str">
        <f>VLOOKUP(Tabla1[[#This Row],[DETALLE ]],DATOS!L:M,2,0)</f>
        <v>PICKING</v>
      </c>
      <c r="S262" s="41" t="str">
        <f>IFERROR(IFERROR(VLOOKUP(Tabla1[[#This Row],[USUARIO PICKING ERROR]],DATOS!H:J,3,0),VLOOKUP(Tabla1[[#This Row],[USUARIO FILTRO ERROR]],DATOS!O:P,2,0)),"-")</f>
        <v>ALMACEN</v>
      </c>
      <c r="T262" s="27" t="str">
        <f>UPPER(VLOOKUP(Tabla1[[#This Row],[CODIGO]],DATOS!A:E,5,0))</f>
        <v>FLUJO CONTINUO</v>
      </c>
      <c r="U262" s="31">
        <f>(Tabla1[[#This Row],[CANTIDAD]])*(VLOOKUP(Tabla1[[#This Row],[CODIGO]],DATOS!A:D,4,0))</f>
        <v>136.4</v>
      </c>
      <c r="V262" s="31" t="str">
        <f>VLOOKUP(Tabla1[[#This Row],[CODIGO]],DATOS!A:C,3,0)</f>
        <v>ABARROTES COMESTIBLES</v>
      </c>
      <c r="W262" s="31" t="s">
        <v>13324</v>
      </c>
      <c r="X262" s="28" t="s">
        <v>13086</v>
      </c>
      <c r="Y262" s="28" t="s">
        <v>13113</v>
      </c>
    </row>
    <row r="263" spans="1:25" ht="12" customHeight="1" x14ac:dyDescent="0.25">
      <c r="A263" s="46">
        <v>45721</v>
      </c>
      <c r="B263" s="2" t="s">
        <v>15</v>
      </c>
      <c r="C263" s="2" t="s">
        <v>15</v>
      </c>
      <c r="D263" s="2">
        <v>163493</v>
      </c>
      <c r="E263" s="2" t="s">
        <v>1175</v>
      </c>
      <c r="F263" s="2">
        <v>4</v>
      </c>
      <c r="G263" s="2" t="s">
        <v>15</v>
      </c>
      <c r="H263" s="2" t="s">
        <v>25</v>
      </c>
      <c r="I263" s="75" t="s">
        <v>19</v>
      </c>
      <c r="J263" s="9" t="s">
        <v>15</v>
      </c>
      <c r="K263" s="10" t="s">
        <v>15</v>
      </c>
      <c r="L263" s="10" t="s">
        <v>14</v>
      </c>
      <c r="M263" s="10" t="s">
        <v>15</v>
      </c>
      <c r="N263" s="10" t="s">
        <v>18</v>
      </c>
      <c r="O263" s="10" t="s">
        <v>13103</v>
      </c>
      <c r="P263" s="10" t="s">
        <v>25</v>
      </c>
      <c r="Q263" s="2" t="s">
        <v>29</v>
      </c>
      <c r="R263" s="27" t="str">
        <f>VLOOKUP(Tabla1[[#This Row],[DETALLE ]],DATOS!L:M,2,0)</f>
        <v>PICKING</v>
      </c>
      <c r="S263" s="41" t="str">
        <f>IFERROR(IFERROR(VLOOKUP(Tabla1[[#This Row],[USUARIO PICKING ERROR]],DATOS!H:J,3,0),VLOOKUP(Tabla1[[#This Row],[USUARIO FILTRO ERROR]],DATOS!O:P,2,0)),"-")</f>
        <v>ALMACEN</v>
      </c>
      <c r="T263" s="27" t="str">
        <f>UPPER(VLOOKUP(Tabla1[[#This Row],[CODIGO]],DATOS!A:E,5,0))</f>
        <v>FLUJO CONTINUO</v>
      </c>
      <c r="U263" s="31">
        <f>(Tabla1[[#This Row],[CANTIDAD]])*(VLOOKUP(Tabla1[[#This Row],[CODIGO]],DATOS!A:D,4,0))</f>
        <v>31.72</v>
      </c>
      <c r="V263" s="31" t="str">
        <f>VLOOKUP(Tabla1[[#This Row],[CODIGO]],DATOS!A:C,3,0)</f>
        <v>ABARROTES COMESTIBLES</v>
      </c>
      <c r="W263" s="31" t="s">
        <v>13324</v>
      </c>
      <c r="X263" s="28" t="s">
        <v>13086</v>
      </c>
      <c r="Y263" s="28" t="s">
        <v>13113</v>
      </c>
    </row>
    <row r="264" spans="1:25" ht="12" customHeight="1" x14ac:dyDescent="0.25">
      <c r="A264" s="46">
        <v>45722</v>
      </c>
      <c r="B264" s="2" t="s">
        <v>130</v>
      </c>
      <c r="C264" s="2">
        <v>7620869498</v>
      </c>
      <c r="D264" s="2">
        <v>1022098</v>
      </c>
      <c r="E264" s="2" t="s">
        <v>12014</v>
      </c>
      <c r="F264" s="2">
        <v>6</v>
      </c>
      <c r="G264" s="2" t="s">
        <v>12992</v>
      </c>
      <c r="H264" s="2" t="s">
        <v>17</v>
      </c>
      <c r="I264" s="75" t="s">
        <v>12940</v>
      </c>
      <c r="J264" s="9" t="s">
        <v>88</v>
      </c>
      <c r="K264" s="10">
        <v>7620869423</v>
      </c>
      <c r="L264" s="10" t="s">
        <v>12894</v>
      </c>
      <c r="M264" s="10" t="s">
        <v>15</v>
      </c>
      <c r="N264" s="10" t="s">
        <v>18</v>
      </c>
      <c r="O264" s="10" t="s">
        <v>13103</v>
      </c>
      <c r="P264" s="10" t="s">
        <v>28</v>
      </c>
      <c r="Q264" s="2" t="str">
        <f>IFERROR(VLOOKUP(Tabla1[[#This Row],[USUARIO PICKING ERROR]],DATOS!H:I,2,0)," ")</f>
        <v>TARDE</v>
      </c>
      <c r="R264" s="27" t="str">
        <f>VLOOKUP(Tabla1[[#This Row],[DETALLE ]],DATOS!L:M,2,0)</f>
        <v>PICKING</v>
      </c>
      <c r="S264" s="41" t="str">
        <f>IFERROR(IFERROR(VLOOKUP(Tabla1[[#This Row],[USUARIO PICKING ERROR]],DATOS!H:J,3,0),VLOOKUP(Tabla1[[#This Row],[USUARIO FILTRO ERROR]],DATOS!O:P,2,0)),"-")</f>
        <v>DAVID PIÑAN</v>
      </c>
      <c r="T264" s="27" t="str">
        <f>UPPER(VLOOKUP(Tabla1[[#This Row],[CODIGO]],DATOS!A:E,5,0))</f>
        <v>FLUJO CONTINUO</v>
      </c>
      <c r="U264" s="31">
        <f>(Tabla1[[#This Row],[CANTIDAD]])*(VLOOKUP(Tabla1[[#This Row],[CODIGO]],DATOS!A:D,4,0))</f>
        <v>312.29999999999995</v>
      </c>
      <c r="V264" s="31" t="str">
        <f>VLOOKUP(Tabla1[[#This Row],[CODIGO]],DATOS!A:C,3,0)</f>
        <v>ABARROTES BEBIBLES</v>
      </c>
      <c r="W264" s="31" t="s">
        <v>13324</v>
      </c>
      <c r="X264" s="28" t="s">
        <v>13086</v>
      </c>
      <c r="Y264" s="28" t="s">
        <v>13113</v>
      </c>
    </row>
    <row r="265" spans="1:25" ht="12" customHeight="1" x14ac:dyDescent="0.25">
      <c r="A265" s="46">
        <v>45722</v>
      </c>
      <c r="B265" s="2" t="s">
        <v>94</v>
      </c>
      <c r="C265" s="2">
        <v>7620869847</v>
      </c>
      <c r="D265" s="2">
        <v>733609002</v>
      </c>
      <c r="E265" s="2" t="s">
        <v>10064</v>
      </c>
      <c r="F265" s="2">
        <v>1</v>
      </c>
      <c r="G265" s="2" t="s">
        <v>12992</v>
      </c>
      <c r="H265" s="2" t="s">
        <v>17</v>
      </c>
      <c r="I265" s="75" t="s">
        <v>12940</v>
      </c>
      <c r="J265" s="9" t="s">
        <v>12980</v>
      </c>
      <c r="K265" s="10">
        <v>7620869613</v>
      </c>
      <c r="L265" s="10" t="s">
        <v>38</v>
      </c>
      <c r="M265" s="10" t="s">
        <v>15</v>
      </c>
      <c r="N265" s="10" t="s">
        <v>18</v>
      </c>
      <c r="O265" s="10" t="s">
        <v>13103</v>
      </c>
      <c r="P265" s="10" t="s">
        <v>28</v>
      </c>
      <c r="Q265" s="2" t="str">
        <f>IFERROR(VLOOKUP(Tabla1[[#This Row],[USUARIO PICKING ERROR]],DATOS!H:I,2,0)," ")</f>
        <v>TARDE</v>
      </c>
      <c r="R265" s="27" t="str">
        <f>VLOOKUP(Tabla1[[#This Row],[DETALLE ]],DATOS!L:M,2,0)</f>
        <v>PICKING</v>
      </c>
      <c r="S265" s="41" t="str">
        <f>IFERROR(IFERROR(VLOOKUP(Tabla1[[#This Row],[USUARIO PICKING ERROR]],DATOS!H:J,3,0),VLOOKUP(Tabla1[[#This Row],[USUARIO FILTRO ERROR]],DATOS!O:P,2,0)),"-")</f>
        <v>DAVID PIÑAN</v>
      </c>
      <c r="T265" s="27" t="str">
        <f>UPPER(VLOOKUP(Tabla1[[#This Row],[CODIGO]],DATOS!A:E,5,0))</f>
        <v>FLUJO CONTINUO</v>
      </c>
      <c r="U265" s="31">
        <f>(Tabla1[[#This Row],[CANTIDAD]])*(VLOOKUP(Tabla1[[#This Row],[CODIGO]],DATOS!A:D,4,0))</f>
        <v>17.22</v>
      </c>
      <c r="V265" s="31" t="str">
        <f>VLOOKUP(Tabla1[[#This Row],[CODIGO]],DATOS!A:C,3,0)</f>
        <v>ABARROTES BEBIBLES</v>
      </c>
      <c r="W265" s="31" t="s">
        <v>13324</v>
      </c>
      <c r="X265" s="28" t="s">
        <v>13086</v>
      </c>
      <c r="Y265" s="28" t="s">
        <v>13113</v>
      </c>
    </row>
    <row r="266" spans="1:25" ht="12" customHeight="1" x14ac:dyDescent="0.25">
      <c r="A266" s="46">
        <v>45722</v>
      </c>
      <c r="B266" s="2" t="s">
        <v>88</v>
      </c>
      <c r="C266" s="2">
        <v>7620869422</v>
      </c>
      <c r="D266" s="2">
        <v>350187</v>
      </c>
      <c r="E266" s="2" t="s">
        <v>1671</v>
      </c>
      <c r="F266" s="2">
        <v>6</v>
      </c>
      <c r="G266" s="2" t="s">
        <v>15</v>
      </c>
      <c r="H266" s="2" t="s">
        <v>17</v>
      </c>
      <c r="I266" s="75" t="s">
        <v>12940</v>
      </c>
      <c r="J266" s="9" t="s">
        <v>13148</v>
      </c>
      <c r="K266" s="10">
        <v>7620871461</v>
      </c>
      <c r="L266" s="10" t="s">
        <v>27</v>
      </c>
      <c r="M266" s="10" t="s">
        <v>15</v>
      </c>
      <c r="N266" s="10" t="s">
        <v>18</v>
      </c>
      <c r="O266" s="10" t="s">
        <v>13103</v>
      </c>
      <c r="P266" s="10" t="s">
        <v>28</v>
      </c>
      <c r="Q266" s="2" t="str">
        <f>IFERROR(VLOOKUP(Tabla1[[#This Row],[USUARIO PICKING ERROR]],DATOS!H:I,2,0)," ")</f>
        <v>MAÑANA</v>
      </c>
      <c r="R266" s="27" t="str">
        <f>VLOOKUP(Tabla1[[#This Row],[DETALLE ]],DATOS!L:M,2,0)</f>
        <v>PICKING</v>
      </c>
      <c r="S266" s="41" t="str">
        <f>IFERROR(IFERROR(VLOOKUP(Tabla1[[#This Row],[USUARIO PICKING ERROR]],DATOS!H:J,3,0),VLOOKUP(Tabla1[[#This Row],[USUARIO FILTRO ERROR]],DATOS!O:P,2,0)),"-")</f>
        <v>BENJAMIN LIZARBE</v>
      </c>
      <c r="T266" s="27" t="str">
        <f>UPPER(VLOOKUP(Tabla1[[#This Row],[CODIGO]],DATOS!A:E,5,0))</f>
        <v>FLUJO CONTINUO</v>
      </c>
      <c r="U266" s="31">
        <f>(Tabla1[[#This Row],[CANTIDAD]])*(VLOOKUP(Tabla1[[#This Row],[CODIGO]],DATOS!A:D,4,0))</f>
        <v>127.5</v>
      </c>
      <c r="V266" s="31" t="str">
        <f>VLOOKUP(Tabla1[[#This Row],[CODIGO]],DATOS!A:C,3,0)</f>
        <v>ABARROTES BEBIBLES</v>
      </c>
      <c r="W266" s="31" t="s">
        <v>13324</v>
      </c>
      <c r="X266" s="28" t="s">
        <v>13086</v>
      </c>
      <c r="Y266" s="28" t="s">
        <v>13113</v>
      </c>
    </row>
    <row r="267" spans="1:25" ht="12" customHeight="1" x14ac:dyDescent="0.25">
      <c r="A267" s="46">
        <v>45722</v>
      </c>
      <c r="B267" s="2" t="s">
        <v>48</v>
      </c>
      <c r="C267" s="2">
        <v>7620861735</v>
      </c>
      <c r="D267" s="2">
        <v>337637</v>
      </c>
      <c r="E267" s="2" t="s">
        <v>1627</v>
      </c>
      <c r="F267" s="2">
        <v>2</v>
      </c>
      <c r="G267" s="2" t="s">
        <v>12992</v>
      </c>
      <c r="H267" s="2" t="s">
        <v>17</v>
      </c>
      <c r="I267" s="75" t="s">
        <v>12940</v>
      </c>
      <c r="J267" s="9" t="s">
        <v>13006</v>
      </c>
      <c r="K267" s="10">
        <v>7620872545</v>
      </c>
      <c r="L267" s="10" t="s">
        <v>13147</v>
      </c>
      <c r="M267" s="10" t="s">
        <v>15</v>
      </c>
      <c r="N267" s="10" t="s">
        <v>18</v>
      </c>
      <c r="O267" s="10" t="s">
        <v>13103</v>
      </c>
      <c r="P267" s="10" t="s">
        <v>28</v>
      </c>
      <c r="Q267" s="2" t="str">
        <f>IFERROR(VLOOKUP(Tabla1[[#This Row],[USUARIO PICKING ERROR]],DATOS!H:I,2,0)," ")</f>
        <v>TARDE</v>
      </c>
      <c r="R267" s="27" t="str">
        <f>VLOOKUP(Tabla1[[#This Row],[DETALLE ]],DATOS!L:M,2,0)</f>
        <v>PICKING</v>
      </c>
      <c r="S267" s="41" t="str">
        <f>IFERROR(IFERROR(VLOOKUP(Tabla1[[#This Row],[USUARIO PICKING ERROR]],DATOS!H:J,3,0),VLOOKUP(Tabla1[[#This Row],[USUARIO FILTRO ERROR]],DATOS!O:P,2,0)),"-")</f>
        <v>DAVID PIÑAN</v>
      </c>
      <c r="T267" s="27" t="str">
        <f>UPPER(VLOOKUP(Tabla1[[#This Row],[CODIGO]],DATOS!A:E,5,0))</f>
        <v>FLUJO CONTINUO</v>
      </c>
      <c r="U267" s="31">
        <f>(Tabla1[[#This Row],[CANTIDAD]])*(VLOOKUP(Tabla1[[#This Row],[CODIGO]],DATOS!A:D,4,0))</f>
        <v>159.82</v>
      </c>
      <c r="V267" s="31" t="str">
        <f>VLOOKUP(Tabla1[[#This Row],[CODIGO]],DATOS!A:C,3,0)</f>
        <v>ABARROTES BEBIBLES</v>
      </c>
      <c r="W267" s="31" t="s">
        <v>13324</v>
      </c>
      <c r="X267" s="28" t="s">
        <v>13086</v>
      </c>
      <c r="Y267" s="28" t="s">
        <v>13113</v>
      </c>
    </row>
    <row r="268" spans="1:25" ht="12" customHeight="1" x14ac:dyDescent="0.25">
      <c r="A268" s="46">
        <v>45723</v>
      </c>
      <c r="B268" s="2" t="s">
        <v>15</v>
      </c>
      <c r="C268" s="2" t="s">
        <v>15</v>
      </c>
      <c r="D268" s="2">
        <v>14277</v>
      </c>
      <c r="E268" s="2" t="s">
        <v>83</v>
      </c>
      <c r="F268" s="2">
        <v>1</v>
      </c>
      <c r="G268" s="2" t="s">
        <v>15</v>
      </c>
      <c r="H268" s="2" t="s">
        <v>17</v>
      </c>
      <c r="I268" s="75" t="s">
        <v>19</v>
      </c>
      <c r="J268" s="9" t="s">
        <v>15</v>
      </c>
      <c r="K268" s="10" t="s">
        <v>15</v>
      </c>
      <c r="L268" s="10" t="s">
        <v>12935</v>
      </c>
      <c r="M268" s="10" t="s">
        <v>15</v>
      </c>
      <c r="N268" s="10" t="s">
        <v>18</v>
      </c>
      <c r="O268" s="10" t="s">
        <v>13163</v>
      </c>
      <c r="P268" s="10" t="s">
        <v>17</v>
      </c>
      <c r="Q268" s="2" t="str">
        <f>IFERROR(VLOOKUP(Tabla1[[#This Row],[USUARIO PICKING ERROR]],DATOS!H:I,2,0)," ")</f>
        <v>MAÑANA</v>
      </c>
      <c r="R268" s="27" t="s">
        <v>19</v>
      </c>
      <c r="S268" s="41" t="str">
        <f>IFERROR(IFERROR(VLOOKUP(Tabla1[[#This Row],[USUARIO PICKING ERROR]],DATOS!H:J,3,0),VLOOKUP(Tabla1[[#This Row],[USUARIO FILTRO ERROR]],DATOS!O:P,2,0)),"-")</f>
        <v>BENJAMIN LIZARBE</v>
      </c>
      <c r="T268" s="27" t="str">
        <f>UPPER(VLOOKUP(Tabla1[[#This Row],[CODIGO]],DATOS!A:E,5,0))</f>
        <v>FLUJO CONTINUO</v>
      </c>
      <c r="U268" s="31">
        <f>(Tabla1[[#This Row],[CANTIDAD]])*(VLOOKUP(Tabla1[[#This Row],[CODIGO]],DATOS!A:D,4,0))</f>
        <v>43.98</v>
      </c>
      <c r="V268" s="31" t="str">
        <f>VLOOKUP(Tabla1[[#This Row],[CODIGO]],DATOS!A:C,3,0)</f>
        <v>ABARROTES BEBIBLES</v>
      </c>
      <c r="W268" s="31" t="s">
        <v>13324</v>
      </c>
      <c r="X268" s="28" t="s">
        <v>13086</v>
      </c>
      <c r="Y268" s="28" t="s">
        <v>13113</v>
      </c>
    </row>
    <row r="269" spans="1:25" ht="12" customHeight="1" x14ac:dyDescent="0.25">
      <c r="A269" s="46">
        <v>45723</v>
      </c>
      <c r="B269" s="2" t="s">
        <v>12985</v>
      </c>
      <c r="C269" s="2">
        <v>7620864559</v>
      </c>
      <c r="D269" s="2">
        <v>733609001</v>
      </c>
      <c r="E269" s="2" t="s">
        <v>10063</v>
      </c>
      <c r="F269" s="2">
        <v>1</v>
      </c>
      <c r="G269" s="2" t="s">
        <v>49</v>
      </c>
      <c r="H269" s="2" t="s">
        <v>25</v>
      </c>
      <c r="I269" s="75" t="s">
        <v>12940</v>
      </c>
      <c r="J269" s="9" t="s">
        <v>12976</v>
      </c>
      <c r="K269" s="10">
        <v>7620872554</v>
      </c>
      <c r="L269" s="10" t="s">
        <v>12894</v>
      </c>
      <c r="M269" s="10" t="s">
        <v>49</v>
      </c>
      <c r="N269" s="10" t="s">
        <v>12957</v>
      </c>
      <c r="O269" s="10" t="s">
        <v>13104</v>
      </c>
      <c r="P269" s="10" t="s">
        <v>25</v>
      </c>
      <c r="Q269" s="2" t="str">
        <f>IFERROR(VLOOKUP(Tabla1[[#This Row],[USUARIO PICKING ERROR]],DATOS!H:I,2,0)," ")</f>
        <v>TARDE</v>
      </c>
      <c r="R269" s="27" t="str">
        <f>VLOOKUP(Tabla1[[#This Row],[DETALLE ]],DATOS!L:M,2,0)</f>
        <v>FILTRO</v>
      </c>
      <c r="S269" s="41" t="str">
        <f>IFERROR(IFERROR(VLOOKUP(Tabla1[[#This Row],[USUARIO PICKING ERROR]],DATOS!H:J,3,0),VLOOKUP(Tabla1[[#This Row],[USUARIO FILTRO ERROR]],DATOS!O:P,2,0)),"-")</f>
        <v>DAVID PIÑAN</v>
      </c>
      <c r="T269" s="27" t="str">
        <f>UPPER(VLOOKUP(Tabla1[[#This Row],[CODIGO]],DATOS!A:E,5,0))</f>
        <v>FLUJO CONTINUO</v>
      </c>
      <c r="U269" s="31">
        <f>(Tabla1[[#This Row],[CANTIDAD]])*(VLOOKUP(Tabla1[[#This Row],[CODIGO]],DATOS!A:D,4,0))</f>
        <v>17.22</v>
      </c>
      <c r="V269" s="31" t="str">
        <f>VLOOKUP(Tabla1[[#This Row],[CODIGO]],DATOS!A:C,3,0)</f>
        <v>ABARROTES BEBIBLES</v>
      </c>
      <c r="W269" s="31" t="s">
        <v>13324</v>
      </c>
      <c r="X269" s="28" t="s">
        <v>13086</v>
      </c>
      <c r="Y269" s="28" t="s">
        <v>13113</v>
      </c>
    </row>
    <row r="270" spans="1:25" ht="12" customHeight="1" x14ac:dyDescent="0.25">
      <c r="A270" s="46">
        <v>45723</v>
      </c>
      <c r="B270" s="2" t="s">
        <v>12985</v>
      </c>
      <c r="C270" s="2">
        <v>7620864559</v>
      </c>
      <c r="D270" s="2">
        <v>886902</v>
      </c>
      <c r="E270" s="2" t="s">
        <v>4897</v>
      </c>
      <c r="F270" s="2">
        <v>1</v>
      </c>
      <c r="G270" s="2" t="s">
        <v>49</v>
      </c>
      <c r="H270" s="2" t="s">
        <v>25</v>
      </c>
      <c r="I270" s="75" t="s">
        <v>12940</v>
      </c>
      <c r="J270" s="9" t="s">
        <v>12976</v>
      </c>
      <c r="K270" s="10">
        <v>7620872554</v>
      </c>
      <c r="L270" s="10" t="s">
        <v>90</v>
      </c>
      <c r="M270" s="10" t="s">
        <v>49</v>
      </c>
      <c r="N270" s="10" t="s">
        <v>12957</v>
      </c>
      <c r="O270" s="10" t="s">
        <v>13104</v>
      </c>
      <c r="P270" s="10" t="s">
        <v>25</v>
      </c>
      <c r="Q270" s="2" t="str">
        <f>IFERROR(VLOOKUP(Tabla1[[#This Row],[USUARIO PICKING ERROR]],DATOS!H:I,2,0)," ")</f>
        <v>MAÑANA</v>
      </c>
      <c r="R270" s="27" t="str">
        <f>VLOOKUP(Tabla1[[#This Row],[DETALLE ]],DATOS!L:M,2,0)</f>
        <v>FILTRO</v>
      </c>
      <c r="S270" s="41" t="str">
        <f>IFERROR(IFERROR(VLOOKUP(Tabla1[[#This Row],[USUARIO PICKING ERROR]],DATOS!H:J,3,0),VLOOKUP(Tabla1[[#This Row],[USUARIO FILTRO ERROR]],DATOS!O:P,2,0)),"-")</f>
        <v>BENJAMIN LIZARBE</v>
      </c>
      <c r="T270" s="27" t="str">
        <f>UPPER(VLOOKUP(Tabla1[[#This Row],[CODIGO]],DATOS!A:E,5,0))</f>
        <v>FLUJO CONTINUO</v>
      </c>
      <c r="U270" s="31">
        <f>(Tabla1[[#This Row],[CANTIDAD]])*(VLOOKUP(Tabla1[[#This Row],[CODIGO]],DATOS!A:D,4,0))</f>
        <v>6.48</v>
      </c>
      <c r="V270" s="31" t="str">
        <f>VLOOKUP(Tabla1[[#This Row],[CODIGO]],DATOS!A:C,3,0)</f>
        <v>ABARROTES BEBIBLES</v>
      </c>
      <c r="W270" s="31" t="s">
        <v>13324</v>
      </c>
      <c r="X270" s="28" t="s">
        <v>13086</v>
      </c>
      <c r="Y270" s="28" t="s">
        <v>13113</v>
      </c>
    </row>
    <row r="271" spans="1:25" ht="12" customHeight="1" x14ac:dyDescent="0.25">
      <c r="A271" s="46">
        <v>45723</v>
      </c>
      <c r="B271" s="2" t="s">
        <v>12985</v>
      </c>
      <c r="C271" s="2">
        <v>7620864559</v>
      </c>
      <c r="D271" s="2">
        <v>492717</v>
      </c>
      <c r="E271" s="2" t="s">
        <v>2419</v>
      </c>
      <c r="F271" s="2">
        <v>7</v>
      </c>
      <c r="G271" s="2" t="s">
        <v>49</v>
      </c>
      <c r="H271" s="2" t="s">
        <v>25</v>
      </c>
      <c r="I271" s="75" t="s">
        <v>12940</v>
      </c>
      <c r="J271" s="9" t="s">
        <v>12976</v>
      </c>
      <c r="K271" s="10">
        <v>7620872554</v>
      </c>
      <c r="L271" s="10" t="s">
        <v>12894</v>
      </c>
      <c r="M271" s="10" t="s">
        <v>49</v>
      </c>
      <c r="N271" s="10" t="s">
        <v>12957</v>
      </c>
      <c r="O271" s="10" t="s">
        <v>13104</v>
      </c>
      <c r="P271" s="10" t="s">
        <v>25</v>
      </c>
      <c r="Q271" s="2" t="str">
        <f>IFERROR(VLOOKUP(Tabla1[[#This Row],[USUARIO PICKING ERROR]],DATOS!H:I,2,0)," ")</f>
        <v>TARDE</v>
      </c>
      <c r="R271" s="27" t="str">
        <f>VLOOKUP(Tabla1[[#This Row],[DETALLE ]],DATOS!L:M,2,0)</f>
        <v>FILTRO</v>
      </c>
      <c r="S271" s="41" t="str">
        <f>IFERROR(IFERROR(VLOOKUP(Tabla1[[#This Row],[USUARIO PICKING ERROR]],DATOS!H:J,3,0),VLOOKUP(Tabla1[[#This Row],[USUARIO FILTRO ERROR]],DATOS!O:P,2,0)),"-")</f>
        <v>DAVID PIÑAN</v>
      </c>
      <c r="T271" s="27" t="str">
        <f>UPPER(VLOOKUP(Tabla1[[#This Row],[CODIGO]],DATOS!A:E,5,0))</f>
        <v>FLUJO CONTINUO</v>
      </c>
      <c r="U271" s="31">
        <f>(Tabla1[[#This Row],[CANTIDAD]])*(VLOOKUP(Tabla1[[#This Row],[CODIGO]],DATOS!A:D,4,0))</f>
        <v>181.01999999999998</v>
      </c>
      <c r="V271" s="31" t="str">
        <f>VLOOKUP(Tabla1[[#This Row],[CODIGO]],DATOS!A:C,3,0)</f>
        <v>ABARROTES BEBIBLES</v>
      </c>
      <c r="W271" s="31" t="s">
        <v>13324</v>
      </c>
      <c r="X271" s="28" t="s">
        <v>13086</v>
      </c>
      <c r="Y271" s="28" t="s">
        <v>13113</v>
      </c>
    </row>
    <row r="272" spans="1:25" ht="12" customHeight="1" x14ac:dyDescent="0.25">
      <c r="A272" s="46">
        <v>45723</v>
      </c>
      <c r="B272" s="2" t="s">
        <v>12985</v>
      </c>
      <c r="C272" s="2">
        <v>7620864559</v>
      </c>
      <c r="D272" s="2">
        <v>533998</v>
      </c>
      <c r="E272" s="2" t="s">
        <v>2685</v>
      </c>
      <c r="F272" s="2">
        <v>1</v>
      </c>
      <c r="G272" s="2" t="s">
        <v>49</v>
      </c>
      <c r="H272" s="2" t="s">
        <v>25</v>
      </c>
      <c r="I272" s="75" t="s">
        <v>12940</v>
      </c>
      <c r="J272" s="9" t="s">
        <v>13149</v>
      </c>
      <c r="K272" s="10">
        <v>7620867808</v>
      </c>
      <c r="L272" s="10" t="s">
        <v>84</v>
      </c>
      <c r="M272" s="10" t="s">
        <v>15</v>
      </c>
      <c r="N272" s="10" t="s">
        <v>18</v>
      </c>
      <c r="O272" s="10" t="s">
        <v>13103</v>
      </c>
      <c r="P272" s="10" t="s">
        <v>28</v>
      </c>
      <c r="Q272" s="2" t="str">
        <f>IFERROR(VLOOKUP(Tabla1[[#This Row],[USUARIO PICKING ERROR]],DATOS!H:I,2,0)," ")</f>
        <v>TARDE</v>
      </c>
      <c r="R272" s="27" t="str">
        <f>VLOOKUP(Tabla1[[#This Row],[DETALLE ]],DATOS!L:M,2,0)</f>
        <v>PICKING</v>
      </c>
      <c r="S272" s="41" t="str">
        <f>IFERROR(IFERROR(VLOOKUP(Tabla1[[#This Row],[USUARIO PICKING ERROR]],DATOS!H:J,3,0),VLOOKUP(Tabla1[[#This Row],[USUARIO FILTRO ERROR]],DATOS!O:P,2,0)),"-")</f>
        <v>DAVID PIÑAN</v>
      </c>
      <c r="T272" s="27" t="str">
        <f>UPPER(VLOOKUP(Tabla1[[#This Row],[CODIGO]],DATOS!A:E,5,0))</f>
        <v>FLUJO CONTINUO</v>
      </c>
      <c r="U272" s="31">
        <f>(Tabla1[[#This Row],[CANTIDAD]])*(VLOOKUP(Tabla1[[#This Row],[CODIGO]],DATOS!A:D,4,0))</f>
        <v>15.05</v>
      </c>
      <c r="V272" s="31" t="str">
        <f>VLOOKUP(Tabla1[[#This Row],[CODIGO]],DATOS!A:C,3,0)</f>
        <v>ABARROTES BEBIBLES</v>
      </c>
      <c r="W272" s="31" t="s">
        <v>13324</v>
      </c>
      <c r="X272" s="28" t="s">
        <v>13086</v>
      </c>
      <c r="Y272" s="28" t="s">
        <v>13113</v>
      </c>
    </row>
    <row r="273" spans="1:25" ht="12" customHeight="1" x14ac:dyDescent="0.25">
      <c r="A273" s="46">
        <v>45723</v>
      </c>
      <c r="B273" s="2" t="s">
        <v>12985</v>
      </c>
      <c r="C273" s="2">
        <v>7620864559</v>
      </c>
      <c r="D273" s="2">
        <v>972582</v>
      </c>
      <c r="E273" s="2" t="s">
        <v>6793</v>
      </c>
      <c r="F273" s="2">
        <v>2</v>
      </c>
      <c r="G273" s="2" t="s">
        <v>49</v>
      </c>
      <c r="H273" s="2" t="s">
        <v>25</v>
      </c>
      <c r="I273" s="75" t="s">
        <v>12940</v>
      </c>
      <c r="J273" s="9" t="s">
        <v>12976</v>
      </c>
      <c r="K273" s="10">
        <v>7620872554</v>
      </c>
      <c r="L273" s="10" t="s">
        <v>12894</v>
      </c>
      <c r="M273" s="10" t="s">
        <v>49</v>
      </c>
      <c r="N273" s="10" t="s">
        <v>12957</v>
      </c>
      <c r="O273" s="10" t="s">
        <v>13104</v>
      </c>
      <c r="P273" s="10" t="s">
        <v>25</v>
      </c>
      <c r="Q273" s="2" t="str">
        <f>IFERROR(VLOOKUP(Tabla1[[#This Row],[USUARIO PICKING ERROR]],DATOS!H:I,2,0)," ")</f>
        <v>TARDE</v>
      </c>
      <c r="R273" s="27" t="str">
        <f>VLOOKUP(Tabla1[[#This Row],[DETALLE ]],DATOS!L:M,2,0)</f>
        <v>FILTRO</v>
      </c>
      <c r="S273" s="41" t="str">
        <f>IFERROR(IFERROR(VLOOKUP(Tabla1[[#This Row],[USUARIO PICKING ERROR]],DATOS!H:J,3,0),VLOOKUP(Tabla1[[#This Row],[USUARIO FILTRO ERROR]],DATOS!O:P,2,0)),"-")</f>
        <v>DAVID PIÑAN</v>
      </c>
      <c r="T273" s="27" t="str">
        <f>UPPER(VLOOKUP(Tabla1[[#This Row],[CODIGO]],DATOS!A:E,5,0))</f>
        <v>FLUJO CONTINUO</v>
      </c>
      <c r="U273" s="31">
        <f>(Tabla1[[#This Row],[CANTIDAD]])*(VLOOKUP(Tabla1[[#This Row],[CODIGO]],DATOS!A:D,4,0))</f>
        <v>24.48</v>
      </c>
      <c r="V273" s="31" t="str">
        <f>VLOOKUP(Tabla1[[#This Row],[CODIGO]],DATOS!A:C,3,0)</f>
        <v>ABARROTES BEBIBLES</v>
      </c>
      <c r="W273" s="31" t="s">
        <v>13324</v>
      </c>
      <c r="X273" s="28" t="s">
        <v>13086</v>
      </c>
      <c r="Y273" s="28" t="s">
        <v>13113</v>
      </c>
    </row>
    <row r="274" spans="1:25" ht="12" customHeight="1" x14ac:dyDescent="0.25">
      <c r="A274" s="46">
        <v>45723</v>
      </c>
      <c r="B274" s="2" t="s">
        <v>12989</v>
      </c>
      <c r="C274" s="2">
        <v>7620866656</v>
      </c>
      <c r="D274" s="2">
        <v>733609002</v>
      </c>
      <c r="E274" s="2" t="s">
        <v>10064</v>
      </c>
      <c r="F274" s="2">
        <v>1</v>
      </c>
      <c r="G274" s="2" t="s">
        <v>15</v>
      </c>
      <c r="H274" s="2" t="s">
        <v>17</v>
      </c>
      <c r="I274" s="75" t="s">
        <v>12940</v>
      </c>
      <c r="J274" s="9" t="s">
        <v>15</v>
      </c>
      <c r="K274" s="10" t="s">
        <v>15</v>
      </c>
      <c r="L274" s="10" t="s">
        <v>38</v>
      </c>
      <c r="M274" s="10" t="s">
        <v>15</v>
      </c>
      <c r="N274" s="10" t="s">
        <v>12957</v>
      </c>
      <c r="O274" s="10" t="s">
        <v>13100</v>
      </c>
      <c r="P274" s="10" t="s">
        <v>28</v>
      </c>
      <c r="Q274" s="2" t="str">
        <f>IFERROR(VLOOKUP(Tabla1[[#This Row],[USUARIO PICKING ERROR]],DATOS!H:I,2,0)," ")</f>
        <v>TARDE</v>
      </c>
      <c r="R274" s="27" t="str">
        <f>VLOOKUP(Tabla1[[#This Row],[DETALLE ]],DATOS!L:M,2,0)</f>
        <v>FILTRO</v>
      </c>
      <c r="S274" s="41" t="str">
        <f>IFERROR(IFERROR(VLOOKUP(Tabla1[[#This Row],[USUARIO PICKING ERROR]],DATOS!H:J,3,0),VLOOKUP(Tabla1[[#This Row],[USUARIO FILTRO ERROR]],DATOS!O:P,2,0)),"-")</f>
        <v>DAVID PIÑAN</v>
      </c>
      <c r="T274" s="27" t="str">
        <f>UPPER(VLOOKUP(Tabla1[[#This Row],[CODIGO]],DATOS!A:E,5,0))</f>
        <v>FLUJO CONTINUO</v>
      </c>
      <c r="U274" s="31">
        <f>(Tabla1[[#This Row],[CANTIDAD]])*(VLOOKUP(Tabla1[[#This Row],[CODIGO]],DATOS!A:D,4,0))</f>
        <v>17.22</v>
      </c>
      <c r="V274" s="31" t="str">
        <f>VLOOKUP(Tabla1[[#This Row],[CODIGO]],DATOS!A:C,3,0)</f>
        <v>ABARROTES BEBIBLES</v>
      </c>
      <c r="W274" s="31" t="s">
        <v>13324</v>
      </c>
      <c r="X274" s="28" t="s">
        <v>13086</v>
      </c>
      <c r="Y274" s="28" t="s">
        <v>13113</v>
      </c>
    </row>
    <row r="275" spans="1:25" ht="12" customHeight="1" x14ac:dyDescent="0.25">
      <c r="A275" s="46">
        <v>45723</v>
      </c>
      <c r="B275" s="2" t="s">
        <v>15</v>
      </c>
      <c r="C275" s="2" t="s">
        <v>15</v>
      </c>
      <c r="D275" s="2">
        <v>326543</v>
      </c>
      <c r="E275" s="2" t="s">
        <v>1600</v>
      </c>
      <c r="F275" s="2">
        <v>8</v>
      </c>
      <c r="G275" s="2" t="s">
        <v>15</v>
      </c>
      <c r="H275" s="2" t="s">
        <v>17</v>
      </c>
      <c r="I275" s="75" t="s">
        <v>19</v>
      </c>
      <c r="J275" s="9" t="s">
        <v>15</v>
      </c>
      <c r="K275" s="10" t="s">
        <v>15</v>
      </c>
      <c r="L275" s="10" t="s">
        <v>57</v>
      </c>
      <c r="M275" s="10" t="s">
        <v>15</v>
      </c>
      <c r="N275" s="10" t="s">
        <v>13128</v>
      </c>
      <c r="O275" s="10" t="s">
        <v>13165</v>
      </c>
      <c r="P275" s="10" t="s">
        <v>28</v>
      </c>
      <c r="Q275" s="2" t="str">
        <f>IFERROR(VLOOKUP(Tabla1[[#This Row],[USUARIO PICKING ERROR]],DATOS!H:I,2,0)," ")</f>
        <v>TARDE</v>
      </c>
      <c r="R275" s="27" t="s">
        <v>13129</v>
      </c>
      <c r="S275" s="41" t="str">
        <f>IFERROR(IFERROR(VLOOKUP(Tabla1[[#This Row],[USUARIO PICKING ERROR]],DATOS!H:J,3,0),VLOOKUP(Tabla1[[#This Row],[USUARIO FILTRO ERROR]],DATOS!O:P,2,0)),"-")</f>
        <v>DAVID PIÑAN</v>
      </c>
      <c r="T275" s="27" t="str">
        <f>UPPER(VLOOKUP(Tabla1[[#This Row],[CODIGO]],DATOS!A:E,5,0))</f>
        <v>FLUJO CONTINUO</v>
      </c>
      <c r="U275" s="31">
        <f>(Tabla1[[#This Row],[CANTIDAD]])*(VLOOKUP(Tabla1[[#This Row],[CODIGO]],DATOS!A:D,4,0))</f>
        <v>33.200000000000003</v>
      </c>
      <c r="V275" s="31" t="str">
        <f>VLOOKUP(Tabla1[[#This Row],[CODIGO]],DATOS!A:C,3,0)</f>
        <v>ABARROTES NO COMESTIBLES</v>
      </c>
      <c r="W275" s="31" t="s">
        <v>13324</v>
      </c>
      <c r="X275" s="28" t="s">
        <v>13086</v>
      </c>
      <c r="Y275" s="28" t="s">
        <v>13113</v>
      </c>
    </row>
    <row r="276" spans="1:25" ht="12" customHeight="1" x14ac:dyDescent="0.25">
      <c r="A276" s="46">
        <v>45723</v>
      </c>
      <c r="B276" s="2" t="s">
        <v>12970</v>
      </c>
      <c r="C276" s="2">
        <v>7620869511</v>
      </c>
      <c r="D276" s="2">
        <v>254685</v>
      </c>
      <c r="E276" s="2" t="s">
        <v>1481</v>
      </c>
      <c r="F276" s="2">
        <v>2</v>
      </c>
      <c r="G276" s="2" t="s">
        <v>13150</v>
      </c>
      <c r="H276" s="2" t="s">
        <v>17</v>
      </c>
      <c r="I276" s="75" t="s">
        <v>12940</v>
      </c>
      <c r="J276" s="9" t="s">
        <v>12970</v>
      </c>
      <c r="K276" s="10">
        <v>7620869511</v>
      </c>
      <c r="L276" s="10" t="s">
        <v>12894</v>
      </c>
      <c r="M276" s="10" t="s">
        <v>13150</v>
      </c>
      <c r="N276" s="10" t="s">
        <v>12957</v>
      </c>
      <c r="O276" s="10" t="s">
        <v>13100</v>
      </c>
      <c r="P276" s="10" t="s">
        <v>28</v>
      </c>
      <c r="Q276" s="2" t="str">
        <f>IFERROR(VLOOKUP(Tabla1[[#This Row],[USUARIO PICKING ERROR]],DATOS!H:I,2,0)," ")</f>
        <v>TARDE</v>
      </c>
      <c r="R276" s="27" t="str">
        <f>VLOOKUP(Tabla1[[#This Row],[DETALLE ]],DATOS!L:M,2,0)</f>
        <v>FILTRO</v>
      </c>
      <c r="S276" s="41" t="str">
        <f>IFERROR(IFERROR(VLOOKUP(Tabla1[[#This Row],[USUARIO PICKING ERROR]],DATOS!H:J,3,0),VLOOKUP(Tabla1[[#This Row],[USUARIO FILTRO ERROR]],DATOS!O:P,2,0)),"-")</f>
        <v>DAVID PIÑAN</v>
      </c>
      <c r="T276" s="27" t="str">
        <f>UPPER(VLOOKUP(Tabla1[[#This Row],[CODIGO]],DATOS!A:E,5,0))</f>
        <v>FLUJO CONTINUO</v>
      </c>
      <c r="U276" s="31">
        <f>(Tabla1[[#This Row],[CANTIDAD]])*(VLOOKUP(Tabla1[[#This Row],[CODIGO]],DATOS!A:D,4,0))</f>
        <v>73.819999999999993</v>
      </c>
      <c r="V276" s="31" t="str">
        <f>VLOOKUP(Tabla1[[#This Row],[CODIGO]],DATOS!A:C,3,0)</f>
        <v>ABARROTES BEBIBLES</v>
      </c>
      <c r="W276" s="31" t="s">
        <v>13324</v>
      </c>
      <c r="X276" s="28" t="s">
        <v>13086</v>
      </c>
      <c r="Y276" s="28" t="s">
        <v>13113</v>
      </c>
    </row>
    <row r="277" spans="1:25" ht="12" customHeight="1" x14ac:dyDescent="0.25">
      <c r="A277" s="46">
        <v>45724</v>
      </c>
      <c r="B277" s="2" t="s">
        <v>13026</v>
      </c>
      <c r="C277" s="2">
        <v>7620869923</v>
      </c>
      <c r="D277" s="2">
        <v>740037</v>
      </c>
      <c r="E277" s="2" t="s">
        <v>3683</v>
      </c>
      <c r="F277" s="2">
        <v>3</v>
      </c>
      <c r="G277" s="2" t="s">
        <v>24</v>
      </c>
      <c r="H277" s="2" t="s">
        <v>17</v>
      </c>
      <c r="I277" s="75" t="s">
        <v>12940</v>
      </c>
      <c r="J277" s="9" t="s">
        <v>58</v>
      </c>
      <c r="K277" s="10">
        <v>7620869849</v>
      </c>
      <c r="L277" s="10" t="s">
        <v>12894</v>
      </c>
      <c r="M277" s="10" t="s">
        <v>15</v>
      </c>
      <c r="N277" s="10" t="s">
        <v>18</v>
      </c>
      <c r="O277" s="10" t="s">
        <v>13103</v>
      </c>
      <c r="P277" s="10" t="s">
        <v>28</v>
      </c>
      <c r="Q277" s="2" t="str">
        <f>IFERROR(VLOOKUP(Tabla1[[#This Row],[USUARIO PICKING ERROR]],DATOS!H:I,2,0)," ")</f>
        <v>TARDE</v>
      </c>
      <c r="R277" s="27" t="str">
        <f>VLOOKUP(Tabla1[[#This Row],[DETALLE ]],DATOS!L:M,2,0)</f>
        <v>PICKING</v>
      </c>
      <c r="S277" s="41" t="str">
        <f>IFERROR(IFERROR(VLOOKUP(Tabla1[[#This Row],[USUARIO PICKING ERROR]],DATOS!H:J,3,0),VLOOKUP(Tabla1[[#This Row],[USUARIO FILTRO ERROR]],DATOS!O:P,2,0)),"-")</f>
        <v>DAVID PIÑAN</v>
      </c>
      <c r="T277" s="27" t="str">
        <f>UPPER(VLOOKUP(Tabla1[[#This Row],[CODIGO]],DATOS!A:E,5,0))</f>
        <v>FLUJO CONTINUO</v>
      </c>
      <c r="U277" s="31">
        <f>(Tabla1[[#This Row],[CANTIDAD]])*(VLOOKUP(Tabla1[[#This Row],[CODIGO]],DATOS!A:D,4,0))</f>
        <v>242.39999999999998</v>
      </c>
      <c r="V277" s="31" t="str">
        <f>VLOOKUP(Tabla1[[#This Row],[CODIGO]],DATOS!A:C,3,0)</f>
        <v>ABARROTES BEBIBLES</v>
      </c>
      <c r="W277" s="31" t="s">
        <v>13324</v>
      </c>
      <c r="X277" s="28" t="s">
        <v>13086</v>
      </c>
      <c r="Y277" s="28" t="s">
        <v>13113</v>
      </c>
    </row>
    <row r="278" spans="1:25" ht="12" customHeight="1" x14ac:dyDescent="0.25">
      <c r="A278" s="46">
        <v>45724</v>
      </c>
      <c r="B278" s="2" t="s">
        <v>13026</v>
      </c>
      <c r="C278" s="2">
        <v>7620869923</v>
      </c>
      <c r="D278" s="2">
        <v>10504</v>
      </c>
      <c r="E278" s="2" t="s">
        <v>560</v>
      </c>
      <c r="F278" s="2">
        <v>6</v>
      </c>
      <c r="G278" s="2" t="s">
        <v>24</v>
      </c>
      <c r="H278" s="2" t="s">
        <v>17</v>
      </c>
      <c r="I278" s="75" t="s">
        <v>12940</v>
      </c>
      <c r="J278" s="9" t="s">
        <v>58</v>
      </c>
      <c r="K278" s="10">
        <v>7620869849</v>
      </c>
      <c r="L278" s="10" t="s">
        <v>27</v>
      </c>
      <c r="M278" s="10" t="s">
        <v>15</v>
      </c>
      <c r="N278" s="10" t="s">
        <v>18</v>
      </c>
      <c r="O278" s="10" t="s">
        <v>13103</v>
      </c>
      <c r="P278" s="10" t="s">
        <v>28</v>
      </c>
      <c r="Q278" s="2" t="str">
        <f>IFERROR(VLOOKUP(Tabla1[[#This Row],[USUARIO PICKING ERROR]],DATOS!H:I,2,0)," ")</f>
        <v>MAÑANA</v>
      </c>
      <c r="R278" s="27" t="str">
        <f>VLOOKUP(Tabla1[[#This Row],[DETALLE ]],DATOS!L:M,2,0)</f>
        <v>PICKING</v>
      </c>
      <c r="S278" s="41" t="str">
        <f>IFERROR(IFERROR(VLOOKUP(Tabla1[[#This Row],[USUARIO PICKING ERROR]],DATOS!H:J,3,0),VLOOKUP(Tabla1[[#This Row],[USUARIO FILTRO ERROR]],DATOS!O:P,2,0)),"-")</f>
        <v>BENJAMIN LIZARBE</v>
      </c>
      <c r="T278" s="27" t="str">
        <f>UPPER(VLOOKUP(Tabla1[[#This Row],[CODIGO]],DATOS!A:E,5,0))</f>
        <v>FLUJO CONTINUO</v>
      </c>
      <c r="U278" s="31">
        <f>(Tabla1[[#This Row],[CANTIDAD]])*(VLOOKUP(Tabla1[[#This Row],[CODIGO]],DATOS!A:D,4,0))</f>
        <v>203.82</v>
      </c>
      <c r="V278" s="31" t="str">
        <f>VLOOKUP(Tabla1[[#This Row],[CODIGO]],DATOS!A:C,3,0)</f>
        <v>ABARROTES BEBIBLES</v>
      </c>
      <c r="W278" s="31" t="s">
        <v>13324</v>
      </c>
      <c r="X278" s="28" t="s">
        <v>13086</v>
      </c>
      <c r="Y278" s="28" t="s">
        <v>13113</v>
      </c>
    </row>
    <row r="279" spans="1:25" ht="12" customHeight="1" x14ac:dyDescent="0.25">
      <c r="A279" s="46">
        <v>45724</v>
      </c>
      <c r="B279" s="2" t="s">
        <v>12970</v>
      </c>
      <c r="C279" s="2">
        <v>7620869518</v>
      </c>
      <c r="D279" s="2">
        <v>369393</v>
      </c>
      <c r="E279" s="2" t="s">
        <v>1767</v>
      </c>
      <c r="F279" s="2">
        <v>1</v>
      </c>
      <c r="G279" s="2" t="s">
        <v>15</v>
      </c>
      <c r="H279" s="2" t="s">
        <v>25</v>
      </c>
      <c r="I279" s="75" t="s">
        <v>12940</v>
      </c>
      <c r="J279" s="9" t="s">
        <v>79</v>
      </c>
      <c r="K279" s="10">
        <v>7620869600</v>
      </c>
      <c r="L279" s="10" t="s">
        <v>27</v>
      </c>
      <c r="M279" s="10" t="s">
        <v>15</v>
      </c>
      <c r="N279" s="10" t="s">
        <v>18</v>
      </c>
      <c r="O279" s="10" t="s">
        <v>13103</v>
      </c>
      <c r="P279" s="10" t="s">
        <v>28</v>
      </c>
      <c r="Q279" s="2" t="str">
        <f>IFERROR(VLOOKUP(Tabla1[[#This Row],[USUARIO PICKING ERROR]],DATOS!H:I,2,0)," ")</f>
        <v>MAÑANA</v>
      </c>
      <c r="R279" s="27" t="str">
        <f>VLOOKUP(Tabla1[[#This Row],[DETALLE ]],DATOS!L:M,2,0)</f>
        <v>PICKING</v>
      </c>
      <c r="S279" s="41" t="str">
        <f>IFERROR(IFERROR(VLOOKUP(Tabla1[[#This Row],[USUARIO PICKING ERROR]],DATOS!H:J,3,0),VLOOKUP(Tabla1[[#This Row],[USUARIO FILTRO ERROR]],DATOS!O:P,2,0)),"-")</f>
        <v>BENJAMIN LIZARBE</v>
      </c>
      <c r="T279" s="27" t="str">
        <f>UPPER(VLOOKUP(Tabla1[[#This Row],[CODIGO]],DATOS!A:E,5,0))</f>
        <v>FLUJO CONTINUO</v>
      </c>
      <c r="U279" s="31">
        <f>(Tabla1[[#This Row],[CANTIDAD]])*(VLOOKUP(Tabla1[[#This Row],[CODIGO]],DATOS!A:D,4,0))</f>
        <v>28.06</v>
      </c>
      <c r="V279" s="31" t="str">
        <f>VLOOKUP(Tabla1[[#This Row],[CODIGO]],DATOS!A:C,3,0)</f>
        <v>ABARROTES BEBIBLES</v>
      </c>
      <c r="W279" s="31" t="s">
        <v>13324</v>
      </c>
      <c r="X279" s="28" t="s">
        <v>13086</v>
      </c>
      <c r="Y279" s="28" t="s">
        <v>13113</v>
      </c>
    </row>
    <row r="280" spans="1:25" ht="12" customHeight="1" x14ac:dyDescent="0.25">
      <c r="A280" s="46">
        <v>45724</v>
      </c>
      <c r="B280" s="2" t="s">
        <v>12970</v>
      </c>
      <c r="C280" s="2">
        <v>7620869518</v>
      </c>
      <c r="D280" s="2">
        <v>902566</v>
      </c>
      <c r="E280" s="2" t="s">
        <v>5174</v>
      </c>
      <c r="F280" s="2">
        <v>4</v>
      </c>
      <c r="G280" s="2" t="s">
        <v>15</v>
      </c>
      <c r="H280" s="2" t="s">
        <v>25</v>
      </c>
      <c r="I280" s="75" t="s">
        <v>12940</v>
      </c>
      <c r="J280" s="9" t="s">
        <v>15</v>
      </c>
      <c r="K280" s="10" t="s">
        <v>15</v>
      </c>
      <c r="L280" s="10" t="s">
        <v>90</v>
      </c>
      <c r="M280" s="10" t="s">
        <v>15</v>
      </c>
      <c r="N280" s="10" t="s">
        <v>18</v>
      </c>
      <c r="O280" s="10" t="s">
        <v>13103</v>
      </c>
      <c r="P280" s="10" t="s">
        <v>25</v>
      </c>
      <c r="Q280" s="2" t="str">
        <f>IFERROR(VLOOKUP(Tabla1[[#This Row],[USUARIO PICKING ERROR]],DATOS!H:I,2,0)," ")</f>
        <v>MAÑANA</v>
      </c>
      <c r="R280" s="27" t="str">
        <f>VLOOKUP(Tabla1[[#This Row],[DETALLE ]],DATOS!L:M,2,0)</f>
        <v>PICKING</v>
      </c>
      <c r="S280" s="41" t="str">
        <f>IFERROR(IFERROR(VLOOKUP(Tabla1[[#This Row],[USUARIO PICKING ERROR]],DATOS!H:J,3,0),VLOOKUP(Tabla1[[#This Row],[USUARIO FILTRO ERROR]],DATOS!O:P,2,0)),"-")</f>
        <v>BENJAMIN LIZARBE</v>
      </c>
      <c r="T280" s="27" t="str">
        <f>UPPER(VLOOKUP(Tabla1[[#This Row],[CODIGO]],DATOS!A:E,5,0))</f>
        <v>FLUJO CONTINUO</v>
      </c>
      <c r="U280" s="31">
        <f>(Tabla1[[#This Row],[CANTIDAD]])*(VLOOKUP(Tabla1[[#This Row],[CODIGO]],DATOS!A:D,4,0))</f>
        <v>83.12</v>
      </c>
      <c r="V280" s="31" t="str">
        <f>VLOOKUP(Tabla1[[#This Row],[CODIGO]],DATOS!A:C,3,0)</f>
        <v>ABARROTES BEBIBLES</v>
      </c>
      <c r="W280" s="31" t="s">
        <v>13324</v>
      </c>
      <c r="X280" s="28" t="s">
        <v>13086</v>
      </c>
      <c r="Y280" s="28" t="s">
        <v>13113</v>
      </c>
    </row>
    <row r="281" spans="1:25" ht="12" customHeight="1" x14ac:dyDescent="0.25">
      <c r="A281" s="46">
        <v>45724</v>
      </c>
      <c r="B281" s="2" t="s">
        <v>12970</v>
      </c>
      <c r="C281" s="2">
        <v>7620869518</v>
      </c>
      <c r="D281" s="2">
        <v>531411</v>
      </c>
      <c r="E281" s="2" t="s">
        <v>2643</v>
      </c>
      <c r="F281" s="2">
        <v>6</v>
      </c>
      <c r="G281" s="2" t="s">
        <v>15</v>
      </c>
      <c r="H281" s="2" t="s">
        <v>25</v>
      </c>
      <c r="I281" s="75" t="s">
        <v>12940</v>
      </c>
      <c r="J281" s="9" t="s">
        <v>79</v>
      </c>
      <c r="K281" s="10">
        <v>7620869600</v>
      </c>
      <c r="L281" s="10" t="s">
        <v>98</v>
      </c>
      <c r="M281" s="10" t="s">
        <v>15</v>
      </c>
      <c r="N281" s="10" t="s">
        <v>18</v>
      </c>
      <c r="O281" s="10" t="s">
        <v>13103</v>
      </c>
      <c r="P281" s="10" t="s">
        <v>28</v>
      </c>
      <c r="Q281" s="2" t="str">
        <f>IFERROR(VLOOKUP(Tabla1[[#This Row],[USUARIO PICKING ERROR]],DATOS!H:I,2,0)," ")</f>
        <v>MAÑANA</v>
      </c>
      <c r="R281" s="27" t="str">
        <f>VLOOKUP(Tabla1[[#This Row],[DETALLE ]],DATOS!L:M,2,0)</f>
        <v>PICKING</v>
      </c>
      <c r="S281" s="41" t="str">
        <f>IFERROR(IFERROR(VLOOKUP(Tabla1[[#This Row],[USUARIO PICKING ERROR]],DATOS!H:J,3,0),VLOOKUP(Tabla1[[#This Row],[USUARIO FILTRO ERROR]],DATOS!O:P,2,0)),"-")</f>
        <v>BENJAMIN LIZARBE</v>
      </c>
      <c r="T281" s="27" t="str">
        <f>UPPER(VLOOKUP(Tabla1[[#This Row],[CODIGO]],DATOS!A:E,5,0))</f>
        <v>FLUJO CONTINUO</v>
      </c>
      <c r="U281" s="31">
        <f>(Tabla1[[#This Row],[CANTIDAD]])*(VLOOKUP(Tabla1[[#This Row],[CODIGO]],DATOS!A:D,4,0))</f>
        <v>186.42000000000002</v>
      </c>
      <c r="V281" s="31" t="str">
        <f>VLOOKUP(Tabla1[[#This Row],[CODIGO]],DATOS!A:C,3,0)</f>
        <v>ABARROTES BEBIBLES</v>
      </c>
      <c r="W281" s="31" t="s">
        <v>13324</v>
      </c>
      <c r="X281" s="28" t="s">
        <v>13086</v>
      </c>
      <c r="Y281" s="28" t="s">
        <v>13113</v>
      </c>
    </row>
    <row r="282" spans="1:25" ht="12" customHeight="1" x14ac:dyDescent="0.25">
      <c r="A282" s="46">
        <v>45724</v>
      </c>
      <c r="B282" s="2" t="s">
        <v>12970</v>
      </c>
      <c r="C282" s="2">
        <v>7620869518</v>
      </c>
      <c r="D282" s="2">
        <v>220018</v>
      </c>
      <c r="E282" s="2" t="s">
        <v>1348</v>
      </c>
      <c r="F282" s="2">
        <v>1</v>
      </c>
      <c r="G282" s="2" t="s">
        <v>15</v>
      </c>
      <c r="H282" s="2" t="s">
        <v>25</v>
      </c>
      <c r="I282" s="75" t="s">
        <v>12940</v>
      </c>
      <c r="J282" s="9" t="s">
        <v>68</v>
      </c>
      <c r="K282" s="10">
        <v>7620871909</v>
      </c>
      <c r="L282" s="10" t="s">
        <v>90</v>
      </c>
      <c r="M282" s="10" t="s">
        <v>15</v>
      </c>
      <c r="N282" s="10" t="s">
        <v>18</v>
      </c>
      <c r="O282" s="10" t="s">
        <v>13103</v>
      </c>
      <c r="P282" s="10" t="s">
        <v>28</v>
      </c>
      <c r="Q282" s="2" t="str">
        <f>IFERROR(VLOOKUP(Tabla1[[#This Row],[USUARIO PICKING ERROR]],DATOS!H:I,2,0)," ")</f>
        <v>MAÑANA</v>
      </c>
      <c r="R282" s="27" t="str">
        <f>VLOOKUP(Tabla1[[#This Row],[DETALLE ]],DATOS!L:M,2,0)</f>
        <v>PICKING</v>
      </c>
      <c r="S282" s="41" t="str">
        <f>IFERROR(IFERROR(VLOOKUP(Tabla1[[#This Row],[USUARIO PICKING ERROR]],DATOS!H:J,3,0),VLOOKUP(Tabla1[[#This Row],[USUARIO FILTRO ERROR]],DATOS!O:P,2,0)),"-")</f>
        <v>BENJAMIN LIZARBE</v>
      </c>
      <c r="T282" s="27" t="str">
        <f>UPPER(VLOOKUP(Tabla1[[#This Row],[CODIGO]],DATOS!A:E,5,0))</f>
        <v>FLUJO CONTINUO</v>
      </c>
      <c r="U282" s="31">
        <f>(Tabla1[[#This Row],[CANTIDAD]])*(VLOOKUP(Tabla1[[#This Row],[CODIGO]],DATOS!A:D,4,0))</f>
        <v>32.6</v>
      </c>
      <c r="V282" s="31" t="str">
        <f>VLOOKUP(Tabla1[[#This Row],[CODIGO]],DATOS!A:C,3,0)</f>
        <v>ABARROTES BEBIBLES</v>
      </c>
      <c r="W282" s="31" t="s">
        <v>13324</v>
      </c>
      <c r="X282" s="28" t="s">
        <v>13086</v>
      </c>
      <c r="Y282" s="28" t="s">
        <v>13113</v>
      </c>
    </row>
    <row r="283" spans="1:25" ht="12" customHeight="1" x14ac:dyDescent="0.25">
      <c r="A283" s="46">
        <v>45724</v>
      </c>
      <c r="B283" s="2" t="s">
        <v>12970</v>
      </c>
      <c r="C283" s="2">
        <v>7620869518</v>
      </c>
      <c r="D283" s="2">
        <v>369393</v>
      </c>
      <c r="E283" s="2" t="s">
        <v>1767</v>
      </c>
      <c r="F283" s="2">
        <v>5</v>
      </c>
      <c r="G283" s="2" t="s">
        <v>15</v>
      </c>
      <c r="H283" s="2" t="s">
        <v>25</v>
      </c>
      <c r="I283" s="75" t="s">
        <v>12940</v>
      </c>
      <c r="J283" s="9" t="s">
        <v>79</v>
      </c>
      <c r="K283" s="10">
        <v>7620869600</v>
      </c>
      <c r="L283" s="10" t="s">
        <v>27</v>
      </c>
      <c r="M283" s="10" t="s">
        <v>15</v>
      </c>
      <c r="N283" s="10" t="s">
        <v>18</v>
      </c>
      <c r="O283" s="10" t="s">
        <v>13103</v>
      </c>
      <c r="P283" s="10" t="s">
        <v>28</v>
      </c>
      <c r="Q283" s="2" t="str">
        <f>IFERROR(VLOOKUP(Tabla1[[#This Row],[USUARIO PICKING ERROR]],DATOS!H:I,2,0)," ")</f>
        <v>MAÑANA</v>
      </c>
      <c r="R283" s="27" t="str">
        <f>VLOOKUP(Tabla1[[#This Row],[DETALLE ]],DATOS!L:M,2,0)</f>
        <v>PICKING</v>
      </c>
      <c r="S283" s="41" t="str">
        <f>IFERROR(IFERROR(VLOOKUP(Tabla1[[#This Row],[USUARIO PICKING ERROR]],DATOS!H:J,3,0),VLOOKUP(Tabla1[[#This Row],[USUARIO FILTRO ERROR]],DATOS!O:P,2,0)),"-")</f>
        <v>BENJAMIN LIZARBE</v>
      </c>
      <c r="T283" s="27" t="str">
        <f>UPPER(VLOOKUP(Tabla1[[#This Row],[CODIGO]],DATOS!A:E,5,0))</f>
        <v>FLUJO CONTINUO</v>
      </c>
      <c r="U283" s="31">
        <f>(Tabla1[[#This Row],[CANTIDAD]])*(VLOOKUP(Tabla1[[#This Row],[CODIGO]],DATOS!A:D,4,0))</f>
        <v>140.29999999999998</v>
      </c>
      <c r="V283" s="31" t="str">
        <f>VLOOKUP(Tabla1[[#This Row],[CODIGO]],DATOS!A:C,3,0)</f>
        <v>ABARROTES BEBIBLES</v>
      </c>
      <c r="W283" s="31" t="s">
        <v>13324</v>
      </c>
      <c r="X283" s="28" t="s">
        <v>13086</v>
      </c>
      <c r="Y283" s="28" t="s">
        <v>13113</v>
      </c>
    </row>
    <row r="284" spans="1:25" ht="12" customHeight="1" x14ac:dyDescent="0.25">
      <c r="A284" s="46">
        <v>45724</v>
      </c>
      <c r="B284" s="2" t="s">
        <v>12970</v>
      </c>
      <c r="C284" s="2">
        <v>7620869518</v>
      </c>
      <c r="D284" s="2">
        <v>3775</v>
      </c>
      <c r="E284" s="2" t="s">
        <v>360</v>
      </c>
      <c r="F284" s="2">
        <v>3</v>
      </c>
      <c r="G284" s="2" t="s">
        <v>15</v>
      </c>
      <c r="H284" s="2" t="s">
        <v>25</v>
      </c>
      <c r="I284" s="75" t="s">
        <v>12940</v>
      </c>
      <c r="J284" s="9" t="s">
        <v>79</v>
      </c>
      <c r="K284" s="10">
        <v>7620869600</v>
      </c>
      <c r="L284" s="10" t="s">
        <v>27</v>
      </c>
      <c r="M284" s="10" t="s">
        <v>15</v>
      </c>
      <c r="N284" s="10" t="s">
        <v>18</v>
      </c>
      <c r="O284" s="10" t="s">
        <v>13103</v>
      </c>
      <c r="P284" s="10" t="s">
        <v>28</v>
      </c>
      <c r="Q284" s="2" t="str">
        <f>IFERROR(VLOOKUP(Tabla1[[#This Row],[USUARIO PICKING ERROR]],DATOS!H:I,2,0)," ")</f>
        <v>MAÑANA</v>
      </c>
      <c r="R284" s="27" t="str">
        <f>VLOOKUP(Tabla1[[#This Row],[DETALLE ]],DATOS!L:M,2,0)</f>
        <v>PICKING</v>
      </c>
      <c r="S284" s="41" t="str">
        <f>IFERROR(IFERROR(VLOOKUP(Tabla1[[#This Row],[USUARIO PICKING ERROR]],DATOS!H:J,3,0),VLOOKUP(Tabla1[[#This Row],[USUARIO FILTRO ERROR]],DATOS!O:P,2,0)),"-")</f>
        <v>BENJAMIN LIZARBE</v>
      </c>
      <c r="T284" s="27" t="str">
        <f>UPPER(VLOOKUP(Tabla1[[#This Row],[CODIGO]],DATOS!A:E,5,0))</f>
        <v>FLUJO CONTINUO</v>
      </c>
      <c r="U284" s="31">
        <f>(Tabla1[[#This Row],[CANTIDAD]])*(VLOOKUP(Tabla1[[#This Row],[CODIGO]],DATOS!A:D,4,0))</f>
        <v>103.19999999999999</v>
      </c>
      <c r="V284" s="31" t="str">
        <f>VLOOKUP(Tabla1[[#This Row],[CODIGO]],DATOS!A:C,3,0)</f>
        <v>ABARROTES BEBIBLES</v>
      </c>
      <c r="W284" s="31" t="s">
        <v>13324</v>
      </c>
      <c r="X284" s="28" t="s">
        <v>13086</v>
      </c>
      <c r="Y284" s="28" t="s">
        <v>13113</v>
      </c>
    </row>
    <row r="285" spans="1:25" ht="12" customHeight="1" x14ac:dyDescent="0.25">
      <c r="A285" s="46">
        <v>45724</v>
      </c>
      <c r="B285" s="2" t="s">
        <v>12974</v>
      </c>
      <c r="C285" s="2">
        <v>7620864431</v>
      </c>
      <c r="D285" s="2">
        <v>788947</v>
      </c>
      <c r="E285" s="2" t="s">
        <v>4670</v>
      </c>
      <c r="F285" s="2">
        <v>24</v>
      </c>
      <c r="G285" s="2" t="s">
        <v>15</v>
      </c>
      <c r="H285" s="2" t="s">
        <v>17</v>
      </c>
      <c r="I285" s="75" t="s">
        <v>13140</v>
      </c>
      <c r="J285" s="9" t="s">
        <v>15</v>
      </c>
      <c r="K285" s="10" t="s">
        <v>15</v>
      </c>
      <c r="L285" s="10" t="s">
        <v>13153</v>
      </c>
      <c r="M285" s="10" t="s">
        <v>15</v>
      </c>
      <c r="N285" s="10" t="s">
        <v>18</v>
      </c>
      <c r="O285" s="10" t="s">
        <v>13103</v>
      </c>
      <c r="P285" s="10" t="s">
        <v>28</v>
      </c>
      <c r="Q285" s="2" t="str">
        <f>IFERROR(VLOOKUP(Tabla1[[#This Row],[USUARIO PICKING ERROR]],DATOS!H:I,2,0)," ")</f>
        <v>TARDE</v>
      </c>
      <c r="R285" s="27" t="str">
        <f>VLOOKUP(Tabla1[[#This Row],[DETALLE ]],DATOS!L:M,2,0)</f>
        <v>PICKING</v>
      </c>
      <c r="S285" s="41" t="str">
        <f>IFERROR(IFERROR(VLOOKUP(Tabla1[[#This Row],[USUARIO PICKING ERROR]],DATOS!H:J,3,0),VLOOKUP(Tabla1[[#This Row],[USUARIO FILTRO ERROR]],DATOS!O:P,2,0)),"-")</f>
        <v>DAVID PIÑAN</v>
      </c>
      <c r="T285" s="27" t="str">
        <f>UPPER(VLOOKUP(Tabla1[[#This Row],[CODIGO]],DATOS!A:E,5,0))</f>
        <v>FLUJO CONTINUO</v>
      </c>
      <c r="U285" s="31">
        <f>(Tabla1[[#This Row],[CANTIDAD]])*(VLOOKUP(Tabla1[[#This Row],[CODIGO]],DATOS!A:D,4,0))</f>
        <v>39.599999999999994</v>
      </c>
      <c r="V285" s="31" t="str">
        <f>VLOOKUP(Tabla1[[#This Row],[CODIGO]],DATOS!A:C,3,0)</f>
        <v>ABARROTES COMESTIBLES</v>
      </c>
      <c r="W285" s="31" t="s">
        <v>13324</v>
      </c>
      <c r="X285" s="28" t="s">
        <v>13086</v>
      </c>
      <c r="Y285" s="28" t="s">
        <v>13113</v>
      </c>
    </row>
    <row r="286" spans="1:25" ht="12" customHeight="1" x14ac:dyDescent="0.25">
      <c r="A286" s="46">
        <v>45724</v>
      </c>
      <c r="B286" s="2" t="s">
        <v>12974</v>
      </c>
      <c r="C286" s="2">
        <v>7620864431</v>
      </c>
      <c r="D286" s="2">
        <v>788950</v>
      </c>
      <c r="E286" s="2" t="s">
        <v>4673</v>
      </c>
      <c r="F286" s="2">
        <v>48</v>
      </c>
      <c r="G286" s="2" t="s">
        <v>15</v>
      </c>
      <c r="H286" s="2" t="s">
        <v>17</v>
      </c>
      <c r="I286" s="75" t="s">
        <v>13140</v>
      </c>
      <c r="J286" s="9" t="s">
        <v>15</v>
      </c>
      <c r="K286" s="10" t="s">
        <v>15</v>
      </c>
      <c r="L286" s="10" t="s">
        <v>12924</v>
      </c>
      <c r="M286" s="10" t="s">
        <v>15</v>
      </c>
      <c r="N286" s="10" t="s">
        <v>18</v>
      </c>
      <c r="O286" s="10" t="s">
        <v>13103</v>
      </c>
      <c r="P286" s="10" t="s">
        <v>28</v>
      </c>
      <c r="Q286" s="2" t="str">
        <f>IFERROR(VLOOKUP(Tabla1[[#This Row],[USUARIO PICKING ERROR]],DATOS!H:I,2,0)," ")</f>
        <v>TARDE</v>
      </c>
      <c r="R286" s="27" t="str">
        <f>VLOOKUP(Tabla1[[#This Row],[DETALLE ]],DATOS!L:M,2,0)</f>
        <v>PICKING</v>
      </c>
      <c r="S286" s="41" t="str">
        <f>IFERROR(IFERROR(VLOOKUP(Tabla1[[#This Row],[USUARIO PICKING ERROR]],DATOS!H:J,3,0),VLOOKUP(Tabla1[[#This Row],[USUARIO FILTRO ERROR]],DATOS!O:P,2,0)),"-")</f>
        <v>DAVID PIÑAN</v>
      </c>
      <c r="T286" s="27" t="str">
        <f>UPPER(VLOOKUP(Tabla1[[#This Row],[CODIGO]],DATOS!A:E,5,0))</f>
        <v>FLUJO CONTINUO</v>
      </c>
      <c r="U286" s="31">
        <f>(Tabla1[[#This Row],[CANTIDAD]])*(VLOOKUP(Tabla1[[#This Row],[CODIGO]],DATOS!A:D,4,0))</f>
        <v>81.599999999999994</v>
      </c>
      <c r="V286" s="31" t="str">
        <f>VLOOKUP(Tabla1[[#This Row],[CODIGO]],DATOS!A:C,3,0)</f>
        <v>ABARROTES COMESTIBLES</v>
      </c>
      <c r="W286" s="31" t="s">
        <v>13324</v>
      </c>
      <c r="X286" s="28" t="s">
        <v>13086</v>
      </c>
      <c r="Y286" s="28" t="s">
        <v>13113</v>
      </c>
    </row>
    <row r="287" spans="1:25" ht="12" customHeight="1" x14ac:dyDescent="0.25">
      <c r="A287" s="46">
        <v>45724</v>
      </c>
      <c r="B287" s="2" t="s">
        <v>12971</v>
      </c>
      <c r="C287" s="2">
        <v>7620853978</v>
      </c>
      <c r="D287" s="2">
        <v>4259</v>
      </c>
      <c r="E287" s="2" t="s">
        <v>465</v>
      </c>
      <c r="F287" s="2">
        <v>30</v>
      </c>
      <c r="G287" s="2" t="s">
        <v>15</v>
      </c>
      <c r="H287" s="2" t="s">
        <v>25</v>
      </c>
      <c r="I287" s="75" t="s">
        <v>13140</v>
      </c>
      <c r="J287" s="9" t="s">
        <v>15</v>
      </c>
      <c r="K287" s="10" t="s">
        <v>15</v>
      </c>
      <c r="L287" s="10" t="s">
        <v>12910</v>
      </c>
      <c r="M287" s="10" t="s">
        <v>15</v>
      </c>
      <c r="N287" s="10" t="s">
        <v>18</v>
      </c>
      <c r="O287" s="10" t="s">
        <v>13103</v>
      </c>
      <c r="P287" s="10" t="s">
        <v>25</v>
      </c>
      <c r="Q287" s="2" t="str">
        <f>IFERROR(VLOOKUP(Tabla1[[#This Row],[USUARIO PICKING ERROR]],DATOS!H:I,2,0)," ")</f>
        <v>MAÑANA</v>
      </c>
      <c r="R287" s="27" t="str">
        <f>VLOOKUP(Tabla1[[#This Row],[DETALLE ]],DATOS!L:M,2,0)</f>
        <v>PICKING</v>
      </c>
      <c r="S287" s="41" t="str">
        <f>IFERROR(IFERROR(VLOOKUP(Tabla1[[#This Row],[USUARIO PICKING ERROR]],DATOS!H:J,3,0),VLOOKUP(Tabla1[[#This Row],[USUARIO FILTRO ERROR]],DATOS!O:P,2,0)),"-")</f>
        <v>BENJAMIN LIZARBE</v>
      </c>
      <c r="T287" s="27" t="str">
        <f>UPPER(VLOOKUP(Tabla1[[#This Row],[CODIGO]],DATOS!A:E,5,0))</f>
        <v>ALMACENADO</v>
      </c>
      <c r="U287" s="31">
        <f>(Tabla1[[#This Row],[CANTIDAD]])*(VLOOKUP(Tabla1[[#This Row],[CODIGO]],DATOS!A:D,4,0))</f>
        <v>80.099999999999994</v>
      </c>
      <c r="V287" s="31" t="str">
        <f>VLOOKUP(Tabla1[[#This Row],[CODIGO]],DATOS!A:C,3,0)</f>
        <v>ABARROTES COMESTIBLES</v>
      </c>
      <c r="W287" s="31" t="s">
        <v>13324</v>
      </c>
      <c r="X287" s="28" t="s">
        <v>13086</v>
      </c>
      <c r="Y287" s="28" t="s">
        <v>13113</v>
      </c>
    </row>
    <row r="288" spans="1:25" ht="12" customHeight="1" x14ac:dyDescent="0.25">
      <c r="A288" s="46">
        <v>45724</v>
      </c>
      <c r="B288" s="2" t="s">
        <v>12970</v>
      </c>
      <c r="C288" s="2">
        <v>7620869518</v>
      </c>
      <c r="D288" s="2">
        <v>533998</v>
      </c>
      <c r="E288" s="2" t="s">
        <v>2685</v>
      </c>
      <c r="F288" s="2">
        <v>1</v>
      </c>
      <c r="G288" s="2" t="s">
        <v>12992</v>
      </c>
      <c r="H288" s="2" t="s">
        <v>25</v>
      </c>
      <c r="I288" s="75" t="s">
        <v>12940</v>
      </c>
      <c r="J288" s="9" t="s">
        <v>15</v>
      </c>
      <c r="K288" s="10" t="s">
        <v>15</v>
      </c>
      <c r="L288" s="10" t="s">
        <v>12894</v>
      </c>
      <c r="M288" s="10" t="s">
        <v>15</v>
      </c>
      <c r="N288" s="10" t="s">
        <v>18</v>
      </c>
      <c r="O288" s="10" t="s">
        <v>13103</v>
      </c>
      <c r="P288" s="10" t="s">
        <v>25</v>
      </c>
      <c r="Q288" s="2" t="s">
        <v>39</v>
      </c>
      <c r="R288" s="27" t="str">
        <f>VLOOKUP(Tabla1[[#This Row],[DETALLE ]],DATOS!L:M,2,0)</f>
        <v>PICKING</v>
      </c>
      <c r="S288" s="41" t="str">
        <f>IFERROR(IFERROR(VLOOKUP(Tabla1[[#This Row],[USUARIO PICKING ERROR]],DATOS!H:J,3,0),VLOOKUP(Tabla1[[#This Row],[USUARIO FILTRO ERROR]],DATOS!O:P,2,0)),"-")</f>
        <v>DAVID PIÑAN</v>
      </c>
      <c r="T288" s="27" t="str">
        <f>UPPER(VLOOKUP(Tabla1[[#This Row],[CODIGO]],DATOS!A:E,5,0))</f>
        <v>FLUJO CONTINUO</v>
      </c>
      <c r="U288" s="31">
        <f>(Tabla1[[#This Row],[CANTIDAD]])*(VLOOKUP(Tabla1[[#This Row],[CODIGO]],DATOS!A:D,4,0))</f>
        <v>15.05</v>
      </c>
      <c r="V288" s="31" t="str">
        <f>VLOOKUP(Tabla1[[#This Row],[CODIGO]],DATOS!A:C,3,0)</f>
        <v>ABARROTES BEBIBLES</v>
      </c>
      <c r="W288" s="31" t="s">
        <v>13324</v>
      </c>
      <c r="X288" s="28" t="s">
        <v>13086</v>
      </c>
      <c r="Y288" s="28" t="s">
        <v>13113</v>
      </c>
    </row>
    <row r="289" spans="1:25" ht="12" customHeight="1" x14ac:dyDescent="0.25">
      <c r="A289" s="46">
        <v>45724</v>
      </c>
      <c r="B289" s="2" t="s">
        <v>15</v>
      </c>
      <c r="C289" s="2" t="s">
        <v>15</v>
      </c>
      <c r="D289" s="2">
        <v>396035005</v>
      </c>
      <c r="E289" s="2" t="s">
        <v>9712</v>
      </c>
      <c r="F289" s="2">
        <v>48</v>
      </c>
      <c r="G289" s="2" t="s">
        <v>15</v>
      </c>
      <c r="H289" s="2" t="s">
        <v>17</v>
      </c>
      <c r="I289" s="75" t="s">
        <v>13140</v>
      </c>
      <c r="J289" s="9" t="s">
        <v>15</v>
      </c>
      <c r="K289" s="10" t="s">
        <v>15</v>
      </c>
      <c r="L289" s="10" t="s">
        <v>12910</v>
      </c>
      <c r="M289" s="10" t="s">
        <v>15</v>
      </c>
      <c r="N289" s="10" t="s">
        <v>18</v>
      </c>
      <c r="O289" s="10" t="s">
        <v>13164</v>
      </c>
      <c r="P289" s="10" t="s">
        <v>17</v>
      </c>
      <c r="Q289" s="2" t="s">
        <v>29</v>
      </c>
      <c r="R289" s="27" t="str">
        <f>VLOOKUP(Tabla1[[#This Row],[DETALLE ]],DATOS!L:M,2,0)</f>
        <v>PICKING</v>
      </c>
      <c r="S289" s="41" t="str">
        <f>IFERROR(IFERROR(VLOOKUP(Tabla1[[#This Row],[USUARIO PICKING ERROR]],DATOS!H:J,3,0),VLOOKUP(Tabla1[[#This Row],[USUARIO FILTRO ERROR]],DATOS!O:P,2,0)),"-")</f>
        <v>BENJAMIN LIZARBE</v>
      </c>
      <c r="T289" s="27" t="str">
        <f>UPPER(VLOOKUP(Tabla1[[#This Row],[CODIGO]],DATOS!A:E,5,0))</f>
        <v>ALMACENADO</v>
      </c>
      <c r="U289" s="31">
        <f>(Tabla1[[#This Row],[CANTIDAD]])*(VLOOKUP(Tabla1[[#This Row],[CODIGO]],DATOS!A:D,4,0))</f>
        <v>132.47999999999999</v>
      </c>
      <c r="V289" s="31" t="str">
        <f>VLOOKUP(Tabla1[[#This Row],[CODIGO]],DATOS!A:C,3,0)</f>
        <v>ABARROTES COMESTIBLES</v>
      </c>
      <c r="W289" s="31" t="s">
        <v>13324</v>
      </c>
      <c r="X289" s="28" t="s">
        <v>13086</v>
      </c>
      <c r="Y289" s="28" t="s">
        <v>13113</v>
      </c>
    </row>
    <row r="290" spans="1:25" ht="12" customHeight="1" x14ac:dyDescent="0.25">
      <c r="A290" s="46">
        <v>45726</v>
      </c>
      <c r="B290" s="2" t="s">
        <v>106</v>
      </c>
      <c r="C290" s="2">
        <v>7620872788</v>
      </c>
      <c r="D290" s="2">
        <v>492012</v>
      </c>
      <c r="E290" s="2" t="s">
        <v>2404</v>
      </c>
      <c r="F290" s="2">
        <v>2</v>
      </c>
      <c r="G290" s="2" t="s">
        <v>15</v>
      </c>
      <c r="H290" s="2" t="s">
        <v>17</v>
      </c>
      <c r="I290" s="75" t="s">
        <v>12940</v>
      </c>
      <c r="J290" s="9" t="s">
        <v>15</v>
      </c>
      <c r="K290" s="10" t="s">
        <v>15</v>
      </c>
      <c r="L290" s="10" t="s">
        <v>98</v>
      </c>
      <c r="M290" s="10" t="s">
        <v>15</v>
      </c>
      <c r="N290" s="10" t="s">
        <v>18</v>
      </c>
      <c r="O290" s="10" t="s">
        <v>13103</v>
      </c>
      <c r="P290" s="10" t="s">
        <v>17</v>
      </c>
      <c r="Q290" s="2" t="str">
        <f>IFERROR(VLOOKUP(Tabla1[[#This Row],[USUARIO PICKING ERROR]],DATOS!H:I,2,0)," ")</f>
        <v>MAÑANA</v>
      </c>
      <c r="R290" s="27" t="str">
        <f>VLOOKUP(Tabla1[[#This Row],[DETALLE ]],DATOS!L:M,2,0)</f>
        <v>PICKING</v>
      </c>
      <c r="S290" s="41" t="str">
        <f>IFERROR(IFERROR(VLOOKUP(Tabla1[[#This Row],[USUARIO PICKING ERROR]],DATOS!H:J,3,0),VLOOKUP(Tabla1[[#This Row],[USUARIO FILTRO ERROR]],DATOS!O:P,2,0)),"-")</f>
        <v>BENJAMIN LIZARBE</v>
      </c>
      <c r="T290" s="27" t="str">
        <f>UPPER(VLOOKUP(Tabla1[[#This Row],[CODIGO]],DATOS!A:E,5,0))</f>
        <v>FLUJO CONTINUO</v>
      </c>
      <c r="U290" s="31">
        <f>(Tabla1[[#This Row],[CANTIDAD]])*(VLOOKUP(Tabla1[[#This Row],[CODIGO]],DATOS!A:D,4,0))</f>
        <v>55.44</v>
      </c>
      <c r="V290" s="31" t="str">
        <f>VLOOKUP(Tabla1[[#This Row],[CODIGO]],DATOS!A:C,3,0)</f>
        <v>ABARROTES BEBIBLES</v>
      </c>
      <c r="W290" s="31" t="s">
        <v>13324</v>
      </c>
      <c r="X290" s="28" t="s">
        <v>13086</v>
      </c>
      <c r="Y290" s="28" t="s">
        <v>13113</v>
      </c>
    </row>
    <row r="291" spans="1:25" ht="12" customHeight="1" x14ac:dyDescent="0.25">
      <c r="A291" s="46">
        <v>45726</v>
      </c>
      <c r="B291" s="2" t="s">
        <v>13007</v>
      </c>
      <c r="C291" s="2">
        <v>7620820720</v>
      </c>
      <c r="D291" s="2">
        <v>17128</v>
      </c>
      <c r="E291" s="2" t="s">
        <v>656</v>
      </c>
      <c r="F291" s="2">
        <v>12</v>
      </c>
      <c r="G291" s="2" t="s">
        <v>15</v>
      </c>
      <c r="H291" s="2" t="s">
        <v>17</v>
      </c>
      <c r="I291" s="75" t="s">
        <v>12940</v>
      </c>
      <c r="J291" s="9" t="s">
        <v>13007</v>
      </c>
      <c r="K291" s="10">
        <v>7620820720</v>
      </c>
      <c r="L291" s="10" t="s">
        <v>38</v>
      </c>
      <c r="M291" s="10" t="s">
        <v>15</v>
      </c>
      <c r="N291" s="10" t="s">
        <v>12957</v>
      </c>
      <c r="O291" s="10" t="s">
        <v>13100</v>
      </c>
      <c r="P291" s="10" t="s">
        <v>28</v>
      </c>
      <c r="Q291" s="2" t="str">
        <f>IFERROR(VLOOKUP(Tabla1[[#This Row],[USUARIO PICKING ERROR]],DATOS!H:I,2,0)," ")</f>
        <v>TARDE</v>
      </c>
      <c r="R291" s="27" t="str">
        <f>VLOOKUP(Tabla1[[#This Row],[DETALLE ]],DATOS!L:M,2,0)</f>
        <v>FILTRO</v>
      </c>
      <c r="S291" s="41" t="str">
        <f>IFERROR(IFERROR(VLOOKUP(Tabla1[[#This Row],[USUARIO PICKING ERROR]],DATOS!H:J,3,0),VLOOKUP(Tabla1[[#This Row],[USUARIO FILTRO ERROR]],DATOS!O:P,2,0)),"-")</f>
        <v>DAVID PIÑAN</v>
      </c>
      <c r="T291" s="27" t="str">
        <f>UPPER(VLOOKUP(Tabla1[[#This Row],[CODIGO]],DATOS!A:E,5,0))</f>
        <v>FLUJO CONTINUO</v>
      </c>
      <c r="U291" s="31">
        <f>(Tabla1[[#This Row],[CANTIDAD]])*(VLOOKUP(Tabla1[[#This Row],[CODIGO]],DATOS!A:D,4,0))</f>
        <v>154.44</v>
      </c>
      <c r="V291" s="31" t="str">
        <f>VLOOKUP(Tabla1[[#This Row],[CODIGO]],DATOS!A:C,3,0)</f>
        <v>ABARROTES BEBIBLES</v>
      </c>
      <c r="W291" s="31" t="s">
        <v>13324</v>
      </c>
      <c r="X291" s="28" t="s">
        <v>13086</v>
      </c>
      <c r="Y291" s="28" t="s">
        <v>13113</v>
      </c>
    </row>
    <row r="292" spans="1:25" ht="12" customHeight="1" x14ac:dyDescent="0.25">
      <c r="A292" s="46">
        <v>45726</v>
      </c>
      <c r="B292" s="2" t="s">
        <v>15</v>
      </c>
      <c r="C292" s="2" t="s">
        <v>15</v>
      </c>
      <c r="D292" s="2">
        <v>531747</v>
      </c>
      <c r="E292" s="2" t="s">
        <v>2892</v>
      </c>
      <c r="F292" s="2">
        <v>6</v>
      </c>
      <c r="G292" s="2" t="s">
        <v>15</v>
      </c>
      <c r="H292" s="2" t="s">
        <v>25</v>
      </c>
      <c r="I292" s="75" t="s">
        <v>13142</v>
      </c>
      <c r="J292" s="9" t="s">
        <v>12980</v>
      </c>
      <c r="K292" s="10">
        <v>7640115056</v>
      </c>
      <c r="L292" s="10" t="s">
        <v>13152</v>
      </c>
      <c r="M292" s="10" t="s">
        <v>15</v>
      </c>
      <c r="N292" s="10" t="s">
        <v>18</v>
      </c>
      <c r="O292" s="10" t="s">
        <v>13103</v>
      </c>
      <c r="P292" s="10" t="s">
        <v>28</v>
      </c>
      <c r="Q292" s="2" t="str">
        <f>IFERROR(VLOOKUP(Tabla1[[#This Row],[USUARIO PICKING ERROR]],DATOS!H:I,2,0)," ")</f>
        <v>MAÑANA</v>
      </c>
      <c r="R292" s="27" t="str">
        <f>VLOOKUP(Tabla1[[#This Row],[DETALLE ]],DATOS!L:M,2,0)</f>
        <v>PICKING</v>
      </c>
      <c r="S292" s="41" t="str">
        <f>IFERROR(IFERROR(VLOOKUP(Tabla1[[#This Row],[USUARIO PICKING ERROR]],DATOS!H:J,3,0),VLOOKUP(Tabla1[[#This Row],[USUARIO FILTRO ERROR]],DATOS!O:P,2,0)),"-")</f>
        <v>BENJAMIN LIZARBE</v>
      </c>
      <c r="T292" s="27" t="str">
        <f>UPPER(VLOOKUP(Tabla1[[#This Row],[CODIGO]],DATOS!A:E,5,0))</f>
        <v>ALMACENADO</v>
      </c>
      <c r="U292" s="31">
        <f>(Tabla1[[#This Row],[CANTIDAD]])*(VLOOKUP(Tabla1[[#This Row],[CODIGO]],DATOS!A:D,4,0))</f>
        <v>47.519999999999996</v>
      </c>
      <c r="V292" s="31" t="str">
        <f>VLOOKUP(Tabla1[[#This Row],[CODIGO]],DATOS!A:C,3,0)</f>
        <v>ABARROTES COMESTIBLES</v>
      </c>
      <c r="W292" s="31" t="s">
        <v>13324</v>
      </c>
      <c r="X292" s="28" t="s">
        <v>13086</v>
      </c>
      <c r="Y292" s="28" t="s">
        <v>13113</v>
      </c>
    </row>
    <row r="293" spans="1:25" ht="12" customHeight="1" x14ac:dyDescent="0.25">
      <c r="A293" s="46">
        <v>45726</v>
      </c>
      <c r="B293" s="2" t="s">
        <v>15</v>
      </c>
      <c r="C293" s="2" t="s">
        <v>15</v>
      </c>
      <c r="D293" s="2">
        <v>1031958</v>
      </c>
      <c r="E293" s="2" t="s">
        <v>12801</v>
      </c>
      <c r="F293" s="2">
        <v>3</v>
      </c>
      <c r="G293" s="2" t="s">
        <v>15</v>
      </c>
      <c r="H293" s="2" t="s">
        <v>25</v>
      </c>
      <c r="I293" s="75" t="s">
        <v>13142</v>
      </c>
      <c r="J293" s="9" t="s">
        <v>12980</v>
      </c>
      <c r="K293" s="10">
        <v>7640115056</v>
      </c>
      <c r="L293" s="10" t="s">
        <v>13152</v>
      </c>
      <c r="M293" s="10" t="s">
        <v>15</v>
      </c>
      <c r="N293" s="10" t="s">
        <v>18</v>
      </c>
      <c r="O293" s="10" t="s">
        <v>13103</v>
      </c>
      <c r="P293" s="10" t="s">
        <v>28</v>
      </c>
      <c r="Q293" s="2" t="str">
        <f>IFERROR(VLOOKUP(Tabla1[[#This Row],[USUARIO PICKING ERROR]],DATOS!H:I,2,0)," ")</f>
        <v>MAÑANA</v>
      </c>
      <c r="R293" s="27" t="str">
        <f>VLOOKUP(Tabla1[[#This Row],[DETALLE ]],DATOS!L:M,2,0)</f>
        <v>PICKING</v>
      </c>
      <c r="S293" s="41" t="str">
        <f>IFERROR(IFERROR(VLOOKUP(Tabla1[[#This Row],[USUARIO PICKING ERROR]],DATOS!H:J,3,0),VLOOKUP(Tabla1[[#This Row],[USUARIO FILTRO ERROR]],DATOS!O:P,2,0)),"-")</f>
        <v>BENJAMIN LIZARBE</v>
      </c>
      <c r="T293" s="27" t="str">
        <f>UPPER(VLOOKUP(Tabla1[[#This Row],[CODIGO]],DATOS!A:E,5,0))</f>
        <v>ALMACENADO</v>
      </c>
      <c r="U293" s="31">
        <f>(Tabla1[[#This Row],[CANTIDAD]])*(VLOOKUP(Tabla1[[#This Row],[CODIGO]],DATOS!A:D,4,0))</f>
        <v>6.99</v>
      </c>
      <c r="V293" s="31" t="str">
        <f>VLOOKUP(Tabla1[[#This Row],[CODIGO]],DATOS!A:C,3,0)</f>
        <v>ABARROTES COMESTIBLES</v>
      </c>
      <c r="W293" s="31" t="s">
        <v>13324</v>
      </c>
      <c r="X293" s="28" t="s">
        <v>13086</v>
      </c>
      <c r="Y293" s="28" t="s">
        <v>13113</v>
      </c>
    </row>
    <row r="294" spans="1:25" ht="12" customHeight="1" x14ac:dyDescent="0.25">
      <c r="A294" s="46">
        <v>45726</v>
      </c>
      <c r="B294" s="2" t="s">
        <v>15</v>
      </c>
      <c r="C294" s="2" t="s">
        <v>15</v>
      </c>
      <c r="D294" s="2">
        <v>4750</v>
      </c>
      <c r="E294" s="2" t="s">
        <v>764</v>
      </c>
      <c r="F294" s="2">
        <v>10</v>
      </c>
      <c r="G294" s="2" t="s">
        <v>15</v>
      </c>
      <c r="H294" s="2" t="s">
        <v>25</v>
      </c>
      <c r="I294" s="75" t="s">
        <v>13142</v>
      </c>
      <c r="J294" s="9" t="s">
        <v>12980</v>
      </c>
      <c r="K294" s="10">
        <v>7640115056</v>
      </c>
      <c r="L294" s="10" t="s">
        <v>13152</v>
      </c>
      <c r="M294" s="10" t="s">
        <v>15</v>
      </c>
      <c r="N294" s="10" t="s">
        <v>18</v>
      </c>
      <c r="O294" s="10" t="s">
        <v>13103</v>
      </c>
      <c r="P294" s="10" t="s">
        <v>28</v>
      </c>
      <c r="Q294" s="2" t="str">
        <f>IFERROR(VLOOKUP(Tabla1[[#This Row],[USUARIO PICKING ERROR]],DATOS!H:I,2,0)," ")</f>
        <v>MAÑANA</v>
      </c>
      <c r="R294" s="27" t="str">
        <f>VLOOKUP(Tabla1[[#This Row],[DETALLE ]],DATOS!L:M,2,0)</f>
        <v>PICKING</v>
      </c>
      <c r="S294" s="41" t="str">
        <f>IFERROR(IFERROR(VLOOKUP(Tabla1[[#This Row],[USUARIO PICKING ERROR]],DATOS!H:J,3,0),VLOOKUP(Tabla1[[#This Row],[USUARIO FILTRO ERROR]],DATOS!O:P,2,0)),"-")</f>
        <v>BENJAMIN LIZARBE</v>
      </c>
      <c r="T294" s="27" t="str">
        <f>UPPER(VLOOKUP(Tabla1[[#This Row],[CODIGO]],DATOS!A:E,5,0))</f>
        <v>ALMACENADO</v>
      </c>
      <c r="U294" s="31">
        <f>(Tabla1[[#This Row],[CANTIDAD]])*(VLOOKUP(Tabla1[[#This Row],[CODIGO]],DATOS!A:D,4,0))</f>
        <v>19.099999999999998</v>
      </c>
      <c r="V294" s="31" t="str">
        <f>VLOOKUP(Tabla1[[#This Row],[CODIGO]],DATOS!A:C,3,0)</f>
        <v>ABARROTES COMESTIBLES</v>
      </c>
      <c r="W294" s="31" t="s">
        <v>13324</v>
      </c>
      <c r="X294" s="28" t="s">
        <v>13086</v>
      </c>
      <c r="Y294" s="28" t="s">
        <v>13113</v>
      </c>
    </row>
    <row r="295" spans="1:25" ht="12" customHeight="1" x14ac:dyDescent="0.25">
      <c r="A295" s="46">
        <v>45726</v>
      </c>
      <c r="B295" s="2" t="s">
        <v>15</v>
      </c>
      <c r="C295" s="2" t="s">
        <v>15</v>
      </c>
      <c r="D295" s="2">
        <v>536867</v>
      </c>
      <c r="E295" s="2" t="s">
        <v>2998</v>
      </c>
      <c r="F295" s="2">
        <v>12</v>
      </c>
      <c r="G295" s="2" t="s">
        <v>15</v>
      </c>
      <c r="H295" s="2" t="s">
        <v>25</v>
      </c>
      <c r="I295" s="75" t="s">
        <v>13142</v>
      </c>
      <c r="J295" s="9" t="s">
        <v>13106</v>
      </c>
      <c r="K295" s="10">
        <v>7620869205</v>
      </c>
      <c r="L295" s="10" t="s">
        <v>98</v>
      </c>
      <c r="M295" s="10" t="s">
        <v>15</v>
      </c>
      <c r="N295" s="10" t="s">
        <v>18</v>
      </c>
      <c r="O295" s="10" t="s">
        <v>13103</v>
      </c>
      <c r="P295" s="10" t="s">
        <v>28</v>
      </c>
      <c r="Q295" s="2" t="str">
        <f>IFERROR(VLOOKUP(Tabla1[[#This Row],[USUARIO PICKING ERROR]],DATOS!H:I,2,0)," ")</f>
        <v>MAÑANA</v>
      </c>
      <c r="R295" s="27" t="str">
        <f>VLOOKUP(Tabla1[[#This Row],[DETALLE ]],DATOS!L:M,2,0)</f>
        <v>PICKING</v>
      </c>
      <c r="S295" s="41" t="str">
        <f>IFERROR(IFERROR(VLOOKUP(Tabla1[[#This Row],[USUARIO PICKING ERROR]],DATOS!H:J,3,0),VLOOKUP(Tabla1[[#This Row],[USUARIO FILTRO ERROR]],DATOS!O:P,2,0)),"-")</f>
        <v>BENJAMIN LIZARBE</v>
      </c>
      <c r="T295" s="27" t="str">
        <f>UPPER(VLOOKUP(Tabla1[[#This Row],[CODIGO]],DATOS!A:E,5,0))</f>
        <v>ALMACENADO</v>
      </c>
      <c r="U295" s="31">
        <f>(Tabla1[[#This Row],[CANTIDAD]])*(VLOOKUP(Tabla1[[#This Row],[CODIGO]],DATOS!A:D,4,0))</f>
        <v>36.599999999999994</v>
      </c>
      <c r="V295" s="31" t="str">
        <f>VLOOKUP(Tabla1[[#This Row],[CODIGO]],DATOS!A:C,3,0)</f>
        <v>ABARROTES COMESTIBLES</v>
      </c>
      <c r="W295" s="31" t="s">
        <v>13324</v>
      </c>
      <c r="X295" s="28" t="s">
        <v>13086</v>
      </c>
      <c r="Y295" s="28" t="s">
        <v>13113</v>
      </c>
    </row>
    <row r="296" spans="1:25" ht="12" customHeight="1" x14ac:dyDescent="0.25">
      <c r="A296" s="46">
        <v>45726</v>
      </c>
      <c r="B296" s="2" t="s">
        <v>15</v>
      </c>
      <c r="C296" s="2" t="s">
        <v>15</v>
      </c>
      <c r="D296" s="2">
        <v>353468</v>
      </c>
      <c r="E296" s="2" t="s">
        <v>1759</v>
      </c>
      <c r="F296" s="2">
        <v>12</v>
      </c>
      <c r="G296" s="2" t="s">
        <v>15</v>
      </c>
      <c r="H296" s="2" t="s">
        <v>25</v>
      </c>
      <c r="I296" s="75" t="s">
        <v>13142</v>
      </c>
      <c r="J296" s="9" t="s">
        <v>15</v>
      </c>
      <c r="K296" s="10" t="s">
        <v>15</v>
      </c>
      <c r="L296" s="10" t="s">
        <v>14</v>
      </c>
      <c r="M296" s="10" t="s">
        <v>15</v>
      </c>
      <c r="N296" s="10" t="s">
        <v>18</v>
      </c>
      <c r="O296" s="10" t="s">
        <v>13103</v>
      </c>
      <c r="P296" s="10" t="s">
        <v>25</v>
      </c>
      <c r="Q296" s="2" t="str">
        <f>IFERROR(VLOOKUP(Tabla1[[#This Row],[USUARIO PICKING ERROR]],DATOS!H:I,2,0)," ")</f>
        <v>ALMACEN</v>
      </c>
      <c r="R296" s="27" t="str">
        <f>VLOOKUP(Tabla1[[#This Row],[DETALLE ]],DATOS!L:M,2,0)</f>
        <v>PICKING</v>
      </c>
      <c r="S296" s="41" t="str">
        <f>IFERROR(IFERROR(VLOOKUP(Tabla1[[#This Row],[USUARIO PICKING ERROR]],DATOS!H:J,3,0),VLOOKUP(Tabla1[[#This Row],[USUARIO FILTRO ERROR]],DATOS!O:P,2,0)),"-")</f>
        <v>ALMACEN</v>
      </c>
      <c r="T296" s="27" t="str">
        <f>UPPER(VLOOKUP(Tabla1[[#This Row],[CODIGO]],DATOS!A:E,5,0))</f>
        <v>ALMACENADO</v>
      </c>
      <c r="U296" s="31">
        <f>(Tabla1[[#This Row],[CANTIDAD]])*(VLOOKUP(Tabla1[[#This Row],[CODIGO]],DATOS!A:D,4,0))</f>
        <v>25.32</v>
      </c>
      <c r="V296" s="31" t="str">
        <f>VLOOKUP(Tabla1[[#This Row],[CODIGO]],DATOS!A:C,3,0)</f>
        <v>ABARROTES COMESTIBLES</v>
      </c>
      <c r="W296" s="31" t="s">
        <v>13324</v>
      </c>
      <c r="X296" s="28" t="s">
        <v>13086</v>
      </c>
      <c r="Y296" s="28" t="s">
        <v>13113</v>
      </c>
    </row>
    <row r="297" spans="1:25" ht="12" customHeight="1" x14ac:dyDescent="0.25">
      <c r="A297" s="46">
        <v>45727</v>
      </c>
      <c r="B297" s="2" t="s">
        <v>13154</v>
      </c>
      <c r="C297" s="2">
        <v>7620871126</v>
      </c>
      <c r="D297" s="2">
        <v>300751</v>
      </c>
      <c r="E297" s="2" t="s">
        <v>1545</v>
      </c>
      <c r="F297" s="2">
        <v>6</v>
      </c>
      <c r="G297" s="2" t="s">
        <v>15</v>
      </c>
      <c r="H297" s="2" t="s">
        <v>17</v>
      </c>
      <c r="I297" s="75" t="s">
        <v>12940</v>
      </c>
      <c r="J297" s="9" t="s">
        <v>15</v>
      </c>
      <c r="K297" s="10" t="s">
        <v>15</v>
      </c>
      <c r="L297" s="10" t="s">
        <v>38</v>
      </c>
      <c r="M297" s="10" t="s">
        <v>15</v>
      </c>
      <c r="N297" s="10" t="s">
        <v>18</v>
      </c>
      <c r="O297" s="10" t="s">
        <v>13103</v>
      </c>
      <c r="P297" s="10" t="s">
        <v>17</v>
      </c>
      <c r="Q297" s="2" t="str">
        <f>IFERROR(VLOOKUP(Tabla1[[#This Row],[USUARIO PICKING ERROR]],DATOS!H:I,2,0)," ")</f>
        <v>TARDE</v>
      </c>
      <c r="R297" s="27" t="str">
        <f>VLOOKUP(Tabla1[[#This Row],[DETALLE ]],DATOS!L:M,2,0)</f>
        <v>PICKING</v>
      </c>
      <c r="S297" s="41" t="str">
        <f>IFERROR(IFERROR(VLOOKUP(Tabla1[[#This Row],[USUARIO PICKING ERROR]],DATOS!H:J,3,0),VLOOKUP(Tabla1[[#This Row],[USUARIO FILTRO ERROR]],DATOS!O:P,2,0)),"-")</f>
        <v>DAVID PIÑAN</v>
      </c>
      <c r="T297" s="27" t="str">
        <f>UPPER(VLOOKUP(Tabla1[[#This Row],[CODIGO]],DATOS!A:E,5,0))</f>
        <v>FLUJO CONTINUO</v>
      </c>
      <c r="U297" s="31">
        <f>(Tabla1[[#This Row],[CANTIDAD]])*(VLOOKUP(Tabla1[[#This Row],[CODIGO]],DATOS!A:D,4,0))</f>
        <v>136.38</v>
      </c>
      <c r="V297" s="31" t="str">
        <f>VLOOKUP(Tabla1[[#This Row],[CODIGO]],DATOS!A:C,3,0)</f>
        <v>ABARROTES BEBIBLES</v>
      </c>
      <c r="W297" s="31" t="s">
        <v>13324</v>
      </c>
      <c r="X297" s="28" t="s">
        <v>13086</v>
      </c>
      <c r="Y297" s="28" t="s">
        <v>13113</v>
      </c>
    </row>
    <row r="298" spans="1:25" ht="12" customHeight="1" x14ac:dyDescent="0.25">
      <c r="A298" s="46">
        <v>45727</v>
      </c>
      <c r="B298" s="2" t="s">
        <v>15</v>
      </c>
      <c r="C298" s="2" t="s">
        <v>15</v>
      </c>
      <c r="D298" s="2">
        <v>979412</v>
      </c>
      <c r="E298" s="2" t="s">
        <v>7384</v>
      </c>
      <c r="F298" s="2">
        <v>6</v>
      </c>
      <c r="G298" s="2" t="s">
        <v>15</v>
      </c>
      <c r="H298" s="2" t="s">
        <v>17</v>
      </c>
      <c r="I298" s="75" t="s">
        <v>12940</v>
      </c>
      <c r="J298" s="9" t="s">
        <v>15</v>
      </c>
      <c r="K298" s="10" t="s">
        <v>15</v>
      </c>
      <c r="L298" s="10" t="s">
        <v>27</v>
      </c>
      <c r="M298" s="10" t="s">
        <v>15</v>
      </c>
      <c r="N298" s="10" t="s">
        <v>18</v>
      </c>
      <c r="O298" s="10" t="s">
        <v>13103</v>
      </c>
      <c r="P298" s="10" t="s">
        <v>28</v>
      </c>
      <c r="Q298" s="2" t="str">
        <f>IFERROR(VLOOKUP(Tabla1[[#This Row],[USUARIO PICKING ERROR]],DATOS!H:I,2,0)," ")</f>
        <v>MAÑANA</v>
      </c>
      <c r="R298" s="27" t="str">
        <f>VLOOKUP(Tabla1[[#This Row],[DETALLE ]],DATOS!L:M,2,0)</f>
        <v>PICKING</v>
      </c>
      <c r="S298" s="41" t="str">
        <f>IFERROR(IFERROR(VLOOKUP(Tabla1[[#This Row],[USUARIO PICKING ERROR]],DATOS!H:J,3,0),VLOOKUP(Tabla1[[#This Row],[USUARIO FILTRO ERROR]],DATOS!O:P,2,0)),"-")</f>
        <v>BENJAMIN LIZARBE</v>
      </c>
      <c r="T298" s="27" t="str">
        <f>UPPER(VLOOKUP(Tabla1[[#This Row],[CODIGO]],DATOS!A:E,5,0))</f>
        <v>FLUJO CONTINUO</v>
      </c>
      <c r="U298" s="31">
        <f>(Tabla1[[#This Row],[CANTIDAD]])*(VLOOKUP(Tabla1[[#This Row],[CODIGO]],DATOS!A:D,4,0))</f>
        <v>164.94</v>
      </c>
      <c r="V298" s="31" t="str">
        <f>VLOOKUP(Tabla1[[#This Row],[CODIGO]],DATOS!A:C,3,0)</f>
        <v>ABARROTES BEBIBLES</v>
      </c>
      <c r="W298" s="31" t="s">
        <v>13324</v>
      </c>
      <c r="X298" s="28" t="s">
        <v>13086</v>
      </c>
      <c r="Y298" s="28" t="s">
        <v>13113</v>
      </c>
    </row>
    <row r="299" spans="1:25" ht="12" customHeight="1" x14ac:dyDescent="0.25">
      <c r="A299" s="46">
        <v>45727</v>
      </c>
      <c r="B299" s="2" t="s">
        <v>65</v>
      </c>
      <c r="C299" s="2">
        <v>7620866656</v>
      </c>
      <c r="D299" s="2">
        <v>733609002</v>
      </c>
      <c r="E299" s="2" t="s">
        <v>10064</v>
      </c>
      <c r="F299" s="2">
        <v>1</v>
      </c>
      <c r="G299" s="2" t="s">
        <v>13150</v>
      </c>
      <c r="H299" s="2" t="s">
        <v>17</v>
      </c>
      <c r="I299" s="75" t="s">
        <v>12940</v>
      </c>
      <c r="J299" s="9" t="s">
        <v>65</v>
      </c>
      <c r="K299" s="10">
        <v>7620866656</v>
      </c>
      <c r="L299" s="10" t="s">
        <v>38</v>
      </c>
      <c r="M299" s="10" t="s">
        <v>13150</v>
      </c>
      <c r="N299" s="10" t="s">
        <v>12957</v>
      </c>
      <c r="O299" s="10" t="s">
        <v>13092</v>
      </c>
      <c r="P299" s="10" t="s">
        <v>28</v>
      </c>
      <c r="Q299" s="2" t="str">
        <f>IFERROR(VLOOKUP(Tabla1[[#This Row],[USUARIO PICKING ERROR]],DATOS!H:I,2,0)," ")</f>
        <v>TARDE</v>
      </c>
      <c r="R299" s="27" t="str">
        <f>VLOOKUP(Tabla1[[#This Row],[DETALLE ]],DATOS!L:M,2,0)</f>
        <v>FILTRO</v>
      </c>
      <c r="S299" s="41" t="str">
        <f>IFERROR(IFERROR(VLOOKUP(Tabla1[[#This Row],[USUARIO PICKING ERROR]],DATOS!H:J,3,0),VLOOKUP(Tabla1[[#This Row],[USUARIO FILTRO ERROR]],DATOS!O:P,2,0)),"-")</f>
        <v>DAVID PIÑAN</v>
      </c>
      <c r="T299" s="27" t="str">
        <f>UPPER(VLOOKUP(Tabla1[[#This Row],[CODIGO]],DATOS!A:E,5,0))</f>
        <v>FLUJO CONTINUO</v>
      </c>
      <c r="U299" s="31">
        <f>(Tabla1[[#This Row],[CANTIDAD]])*(VLOOKUP(Tabla1[[#This Row],[CODIGO]],DATOS!A:D,4,0))</f>
        <v>17.22</v>
      </c>
      <c r="V299" s="31" t="str">
        <f>VLOOKUP(Tabla1[[#This Row],[CODIGO]],DATOS!A:C,3,0)</f>
        <v>ABARROTES BEBIBLES</v>
      </c>
      <c r="W299" s="31" t="s">
        <v>13324</v>
      </c>
      <c r="X299" s="28" t="s">
        <v>13086</v>
      </c>
      <c r="Y299" s="28" t="s">
        <v>13113</v>
      </c>
    </row>
    <row r="300" spans="1:25" ht="12" customHeight="1" x14ac:dyDescent="0.25">
      <c r="A300" s="46">
        <v>45727</v>
      </c>
      <c r="B300" s="2" t="s">
        <v>13106</v>
      </c>
      <c r="C300" s="2">
        <v>7620869205</v>
      </c>
      <c r="D300" s="2">
        <v>938681</v>
      </c>
      <c r="E300" s="2" t="s">
        <v>5709</v>
      </c>
      <c r="F300" s="2">
        <v>10</v>
      </c>
      <c r="G300" s="2" t="s">
        <v>15</v>
      </c>
      <c r="H300" s="2" t="s">
        <v>25</v>
      </c>
      <c r="I300" s="75" t="s">
        <v>12940</v>
      </c>
      <c r="J300" s="9" t="s">
        <v>15</v>
      </c>
      <c r="K300" s="10" t="s">
        <v>15</v>
      </c>
      <c r="L300" s="10" t="s">
        <v>121</v>
      </c>
      <c r="M300" s="10" t="s">
        <v>15</v>
      </c>
      <c r="N300" s="10" t="s">
        <v>18</v>
      </c>
      <c r="O300" s="10" t="s">
        <v>13103</v>
      </c>
      <c r="P300" s="10" t="s">
        <v>28</v>
      </c>
      <c r="Q300" s="2" t="str">
        <f>IFERROR(VLOOKUP(Tabla1[[#This Row],[USUARIO PICKING ERROR]],DATOS!H:I,2,0)," ")</f>
        <v>MAÑANA</v>
      </c>
      <c r="R300" s="27" t="str">
        <f>VLOOKUP(Tabla1[[#This Row],[DETALLE ]],DATOS!L:M,2,0)</f>
        <v>PICKING</v>
      </c>
      <c r="S300" s="41" t="str">
        <f>IFERROR(IFERROR(VLOOKUP(Tabla1[[#This Row],[USUARIO PICKING ERROR]],DATOS!H:J,3,0),VLOOKUP(Tabla1[[#This Row],[USUARIO FILTRO ERROR]],DATOS!O:P,2,0)),"-")</f>
        <v>BENJAMIN LIZARBE</v>
      </c>
      <c r="T300" s="27" t="str">
        <f>UPPER(VLOOKUP(Tabla1[[#This Row],[CODIGO]],DATOS!A:E,5,0))</f>
        <v>FLUJO CONTINUO</v>
      </c>
      <c r="U300" s="31">
        <f>(Tabla1[[#This Row],[CANTIDAD]])*(VLOOKUP(Tabla1[[#This Row],[CODIGO]],DATOS!A:D,4,0))</f>
        <v>16.5</v>
      </c>
      <c r="V300" s="31" t="str">
        <f>VLOOKUP(Tabla1[[#This Row],[CODIGO]],DATOS!A:C,3,0)</f>
        <v>ABARROTES COMESTIBLES</v>
      </c>
      <c r="W300" s="31" t="s">
        <v>13324</v>
      </c>
      <c r="X300" s="28" t="s">
        <v>13086</v>
      </c>
      <c r="Y300" s="28" t="s">
        <v>13113</v>
      </c>
    </row>
    <row r="301" spans="1:25" ht="12" customHeight="1" x14ac:dyDescent="0.25">
      <c r="A301" s="46">
        <v>45727</v>
      </c>
      <c r="B301" s="2" t="s">
        <v>13155</v>
      </c>
      <c r="C301" s="2">
        <v>7620856112</v>
      </c>
      <c r="D301" s="2">
        <v>1019409</v>
      </c>
      <c r="E301" s="2" t="s">
        <v>10614</v>
      </c>
      <c r="F301" s="2">
        <v>2</v>
      </c>
      <c r="G301" s="2" t="s">
        <v>12992</v>
      </c>
      <c r="H301" s="2" t="s">
        <v>25</v>
      </c>
      <c r="I301" s="75" t="s">
        <v>12940</v>
      </c>
      <c r="J301" s="9" t="s">
        <v>12970</v>
      </c>
      <c r="K301" s="10">
        <v>7620873040</v>
      </c>
      <c r="L301" s="10" t="s">
        <v>13147</v>
      </c>
      <c r="M301" s="10" t="s">
        <v>15</v>
      </c>
      <c r="N301" s="10" t="s">
        <v>18</v>
      </c>
      <c r="O301" s="10" t="s">
        <v>13103</v>
      </c>
      <c r="P301" s="10" t="s">
        <v>28</v>
      </c>
      <c r="Q301" s="2" t="s">
        <v>39</v>
      </c>
      <c r="R301" s="27" t="str">
        <f>VLOOKUP(Tabla1[[#This Row],[DETALLE ]],DATOS!L:M,2,0)</f>
        <v>PICKING</v>
      </c>
      <c r="S301" s="41" t="str">
        <f>IFERROR(IFERROR(VLOOKUP(Tabla1[[#This Row],[USUARIO PICKING ERROR]],DATOS!H:J,3,0),VLOOKUP(Tabla1[[#This Row],[USUARIO FILTRO ERROR]],DATOS!O:P,2,0)),"-")</f>
        <v>DAVID PIÑAN</v>
      </c>
      <c r="T301" s="27" t="str">
        <f>UPPER(VLOOKUP(Tabla1[[#This Row],[CODIGO]],DATOS!A:E,5,0))</f>
        <v>FLUJO CONTINUO</v>
      </c>
      <c r="U301" s="31">
        <f>(Tabla1[[#This Row],[CANTIDAD]])*(VLOOKUP(Tabla1[[#This Row],[CODIGO]],DATOS!A:D,4,0))</f>
        <v>77.84</v>
      </c>
      <c r="V301" s="31" t="str">
        <f>VLOOKUP(Tabla1[[#This Row],[CODIGO]],DATOS!A:C,3,0)</f>
        <v>ABARROTES BEBIBLES</v>
      </c>
      <c r="W301" s="31" t="s">
        <v>13324</v>
      </c>
      <c r="X301" s="28" t="s">
        <v>13086</v>
      </c>
      <c r="Y301" s="28" t="s">
        <v>13113</v>
      </c>
    </row>
    <row r="302" spans="1:25" ht="12" customHeight="1" x14ac:dyDescent="0.25">
      <c r="A302" s="46">
        <v>45727</v>
      </c>
      <c r="B302" s="2" t="s">
        <v>68</v>
      </c>
      <c r="C302" s="2">
        <v>7620871909</v>
      </c>
      <c r="D302" s="2">
        <v>1016060</v>
      </c>
      <c r="E302" s="2" t="s">
        <v>11341</v>
      </c>
      <c r="F302" s="2">
        <v>6</v>
      </c>
      <c r="G302" s="2" t="s">
        <v>15</v>
      </c>
      <c r="H302" s="2" t="s">
        <v>17</v>
      </c>
      <c r="I302" s="75" t="s">
        <v>12940</v>
      </c>
      <c r="J302" s="9" t="s">
        <v>15</v>
      </c>
      <c r="K302" s="10" t="s">
        <v>15</v>
      </c>
      <c r="L302" s="10" t="s">
        <v>12933</v>
      </c>
      <c r="M302" s="10" t="s">
        <v>15</v>
      </c>
      <c r="N302" s="10" t="s">
        <v>18</v>
      </c>
      <c r="O302" s="10" t="s">
        <v>13103</v>
      </c>
      <c r="P302" s="10" t="s">
        <v>17</v>
      </c>
      <c r="Q302" s="2" t="str">
        <f>IFERROR(VLOOKUP(Tabla1[[#This Row],[USUARIO PICKING ERROR]],DATOS!H:I,2,0)," ")</f>
        <v>MAÑANA</v>
      </c>
      <c r="R302" s="27" t="str">
        <f>VLOOKUP(Tabla1[[#This Row],[DETALLE ]],DATOS!L:M,2,0)</f>
        <v>PICKING</v>
      </c>
      <c r="S302" s="41" t="str">
        <f>IFERROR(IFERROR(VLOOKUP(Tabla1[[#This Row],[USUARIO PICKING ERROR]],DATOS!H:J,3,0),VLOOKUP(Tabla1[[#This Row],[USUARIO FILTRO ERROR]],DATOS!O:P,2,0)),"-")</f>
        <v>BENJAMIN LIZARBE</v>
      </c>
      <c r="T302" s="27" t="str">
        <f>UPPER(VLOOKUP(Tabla1[[#This Row],[CODIGO]],DATOS!A:E,5,0))</f>
        <v>FLUJO CONTINUO</v>
      </c>
      <c r="U302" s="31">
        <f>(Tabla1[[#This Row],[CANTIDAD]])*(VLOOKUP(Tabla1[[#This Row],[CODIGO]],DATOS!A:D,4,0))</f>
        <v>145.5</v>
      </c>
      <c r="V302" s="31" t="str">
        <f>VLOOKUP(Tabla1[[#This Row],[CODIGO]],DATOS!A:C,3,0)</f>
        <v>ABARROTES BEBIBLES</v>
      </c>
      <c r="W302" s="31" t="s">
        <v>13324</v>
      </c>
      <c r="X302" s="28" t="s">
        <v>13086</v>
      </c>
      <c r="Y302" s="28" t="s">
        <v>13113</v>
      </c>
    </row>
    <row r="303" spans="1:25" ht="12" customHeight="1" x14ac:dyDescent="0.25">
      <c r="A303" s="46">
        <v>45728</v>
      </c>
      <c r="B303" s="2" t="s">
        <v>50</v>
      </c>
      <c r="C303" s="2">
        <v>7620870402</v>
      </c>
      <c r="D303" s="2">
        <v>741430</v>
      </c>
      <c r="E303" s="2" t="s">
        <v>3698</v>
      </c>
      <c r="F303" s="2">
        <v>9</v>
      </c>
      <c r="G303" s="2" t="s">
        <v>52</v>
      </c>
      <c r="H303" s="2" t="s">
        <v>17</v>
      </c>
      <c r="I303" s="75" t="s">
        <v>13140</v>
      </c>
      <c r="J303" s="9" t="s">
        <v>15</v>
      </c>
      <c r="K303" s="10" t="s">
        <v>15</v>
      </c>
      <c r="L303" s="10" t="s">
        <v>13159</v>
      </c>
      <c r="M303" s="10" t="s">
        <v>15</v>
      </c>
      <c r="N303" s="10" t="s">
        <v>18</v>
      </c>
      <c r="O303" s="10" t="s">
        <v>13103</v>
      </c>
      <c r="P303" s="10" t="s">
        <v>17</v>
      </c>
      <c r="Q303" s="2" t="str">
        <f>IFERROR(VLOOKUP(Tabla1[[#This Row],[USUARIO PICKING ERROR]],DATOS!H:I,2,0)," ")</f>
        <v>MAÑANA</v>
      </c>
      <c r="R303" s="27" t="str">
        <f>VLOOKUP(Tabla1[[#This Row],[DETALLE ]],DATOS!L:M,2,0)</f>
        <v>PICKING</v>
      </c>
      <c r="S303" s="41" t="str">
        <f>IFERROR(IFERROR(VLOOKUP(Tabla1[[#This Row],[USUARIO PICKING ERROR]],DATOS!H:J,3,0),VLOOKUP(Tabla1[[#This Row],[USUARIO FILTRO ERROR]],DATOS!O:P,2,0)),"-")</f>
        <v>BENJAMIN LIZARBE</v>
      </c>
      <c r="T303" s="27" t="str">
        <f>UPPER(VLOOKUP(Tabla1[[#This Row],[CODIGO]],DATOS!A:E,5,0))</f>
        <v>FLUJO CONTINUO</v>
      </c>
      <c r="U303" s="31">
        <f>(Tabla1[[#This Row],[CANTIDAD]])*(VLOOKUP(Tabla1[[#This Row],[CODIGO]],DATOS!A:D,4,0))</f>
        <v>132.39000000000001</v>
      </c>
      <c r="V303" s="31" t="str">
        <f>VLOOKUP(Tabla1[[#This Row],[CODIGO]],DATOS!A:C,3,0)</f>
        <v>ABARROTES NO COMESTIBLES</v>
      </c>
      <c r="W303" s="31" t="s">
        <v>13324</v>
      </c>
      <c r="X303" s="28" t="s">
        <v>13086</v>
      </c>
      <c r="Y303" s="28" t="s">
        <v>13113</v>
      </c>
    </row>
    <row r="304" spans="1:25" ht="12" customHeight="1" x14ac:dyDescent="0.25">
      <c r="A304" s="46">
        <v>45728</v>
      </c>
      <c r="B304" s="2" t="s">
        <v>111</v>
      </c>
      <c r="C304" s="2">
        <v>7640114916</v>
      </c>
      <c r="D304" s="2" t="s">
        <v>13166</v>
      </c>
      <c r="E304" s="2" t="s">
        <v>5595</v>
      </c>
      <c r="F304" s="2">
        <v>6</v>
      </c>
      <c r="G304" s="2" t="s">
        <v>15</v>
      </c>
      <c r="H304" s="2" t="s">
        <v>17</v>
      </c>
      <c r="I304" s="75" t="s">
        <v>13140</v>
      </c>
      <c r="J304" s="9" t="s">
        <v>15</v>
      </c>
      <c r="K304" s="10" t="s">
        <v>15</v>
      </c>
      <c r="L304" s="10" t="s">
        <v>35</v>
      </c>
      <c r="M304" s="10" t="s">
        <v>15</v>
      </c>
      <c r="N304" s="10" t="s">
        <v>18</v>
      </c>
      <c r="O304" s="10" t="s">
        <v>13164</v>
      </c>
      <c r="P304" s="10" t="s">
        <v>17</v>
      </c>
      <c r="Q304" s="2" t="str">
        <f>IFERROR(VLOOKUP(Tabla1[[#This Row],[USUARIO PICKING ERROR]],DATOS!H:I,2,0)," ")</f>
        <v>MAÑANA</v>
      </c>
      <c r="R304" s="27" t="str">
        <f>VLOOKUP(Tabla1[[#This Row],[DETALLE ]],DATOS!L:M,2,0)</f>
        <v>PICKING</v>
      </c>
      <c r="S304" s="41" t="str">
        <f>IFERROR(IFERROR(VLOOKUP(Tabla1[[#This Row],[USUARIO PICKING ERROR]],DATOS!H:J,3,0),VLOOKUP(Tabla1[[#This Row],[USUARIO FILTRO ERROR]],DATOS!O:P,2,0)),"-")</f>
        <v>BENJAMIN LIZARBE</v>
      </c>
      <c r="T304" s="27" t="str">
        <f>UPPER(VLOOKUP(Tabla1[[#This Row],[CODIGO]],DATOS!A:E,5,0))</f>
        <v>FLUJO CONTINUO</v>
      </c>
      <c r="U304" s="31">
        <f>(Tabla1[[#This Row],[CANTIDAD]])*(VLOOKUP(Tabla1[[#This Row],[CODIGO]],DATOS!A:D,4,0))</f>
        <v>106.44</v>
      </c>
      <c r="V304" s="31" t="str">
        <f>VLOOKUP(Tabla1[[#This Row],[CODIGO]],DATOS!A:C,3,0)</f>
        <v>ABARROTES BEBIBLES</v>
      </c>
      <c r="W304" s="31" t="s">
        <v>13324</v>
      </c>
      <c r="X304" s="28" t="s">
        <v>13086</v>
      </c>
      <c r="Y304" s="28" t="s">
        <v>13113</v>
      </c>
    </row>
    <row r="305" spans="1:25" ht="12" customHeight="1" x14ac:dyDescent="0.25">
      <c r="A305" s="46">
        <v>45728</v>
      </c>
      <c r="B305" s="2" t="s">
        <v>15</v>
      </c>
      <c r="C305" s="2">
        <v>7620861827</v>
      </c>
      <c r="D305" s="2">
        <v>753538006</v>
      </c>
      <c r="E305" s="2" t="s">
        <v>81</v>
      </c>
      <c r="F305" s="2">
        <v>24</v>
      </c>
      <c r="G305" s="2" t="s">
        <v>15</v>
      </c>
      <c r="H305" s="2" t="s">
        <v>17</v>
      </c>
      <c r="I305" s="75" t="s">
        <v>12940</v>
      </c>
      <c r="J305" s="9" t="s">
        <v>13003</v>
      </c>
      <c r="K305" s="10" t="s">
        <v>13158</v>
      </c>
      <c r="L305" s="10" t="s">
        <v>43</v>
      </c>
      <c r="M305" s="10" t="s">
        <v>15</v>
      </c>
      <c r="N305" s="10" t="s">
        <v>18</v>
      </c>
      <c r="O305" s="10" t="s">
        <v>13103</v>
      </c>
      <c r="P305" s="10" t="s">
        <v>28</v>
      </c>
      <c r="Q305" s="2" t="str">
        <f>IFERROR(VLOOKUP(Tabla1[[#This Row],[USUARIO PICKING ERROR]],DATOS!H:I,2,0)," ")</f>
        <v>MAÑANA</v>
      </c>
      <c r="R305" s="27" t="str">
        <f>VLOOKUP(Tabla1[[#This Row],[DETALLE ]],DATOS!L:M,2,0)</f>
        <v>PICKING</v>
      </c>
      <c r="S305" s="41" t="str">
        <f>IFERROR(IFERROR(VLOOKUP(Tabla1[[#This Row],[USUARIO PICKING ERROR]],DATOS!H:J,3,0),VLOOKUP(Tabla1[[#This Row],[USUARIO FILTRO ERROR]],DATOS!O:P,2,0)),"-")</f>
        <v>BENJAMIN LIZARBE</v>
      </c>
      <c r="T305" s="27" t="str">
        <f>UPPER(VLOOKUP(Tabla1[[#This Row],[CODIGO]],DATOS!A:E,5,0))</f>
        <v>FLUJO CONTINUO</v>
      </c>
      <c r="U305" s="31">
        <f>(Tabla1[[#This Row],[CANTIDAD]])*(VLOOKUP(Tabla1[[#This Row],[CODIGO]],DATOS!A:D,4,0))</f>
        <v>170.88</v>
      </c>
      <c r="V305" s="31" t="str">
        <f>VLOOKUP(Tabla1[[#This Row],[CODIGO]],DATOS!A:C,3,0)</f>
        <v>ABARROTES BEBIBLES</v>
      </c>
      <c r="W305" s="31" t="s">
        <v>13324</v>
      </c>
      <c r="X305" s="28" t="s">
        <v>13086</v>
      </c>
      <c r="Y305" s="28" t="s">
        <v>13113</v>
      </c>
    </row>
    <row r="306" spans="1:25" ht="12" customHeight="1" x14ac:dyDescent="0.25">
      <c r="A306" s="46">
        <v>45728</v>
      </c>
      <c r="B306" s="2" t="s">
        <v>15</v>
      </c>
      <c r="C306" s="2">
        <v>7620869894</v>
      </c>
      <c r="D306" s="2">
        <v>369393</v>
      </c>
      <c r="E306" s="2" t="s">
        <v>1767</v>
      </c>
      <c r="F306" s="2">
        <v>1</v>
      </c>
      <c r="G306" s="2" t="s">
        <v>24</v>
      </c>
      <c r="H306" s="2" t="s">
        <v>17</v>
      </c>
      <c r="I306" s="75" t="s">
        <v>12940</v>
      </c>
      <c r="J306" s="9" t="s">
        <v>44</v>
      </c>
      <c r="K306" s="10">
        <v>7620870973</v>
      </c>
      <c r="L306" s="10" t="s">
        <v>27</v>
      </c>
      <c r="M306" s="10" t="s">
        <v>15</v>
      </c>
      <c r="N306" s="10" t="s">
        <v>18</v>
      </c>
      <c r="O306" s="10" t="s">
        <v>13103</v>
      </c>
      <c r="P306" s="10" t="s">
        <v>28</v>
      </c>
      <c r="Q306" s="2" t="str">
        <f>IFERROR(VLOOKUP(Tabla1[[#This Row],[USUARIO PICKING ERROR]],DATOS!H:I,2,0)," ")</f>
        <v>MAÑANA</v>
      </c>
      <c r="R306" s="27" t="str">
        <f>VLOOKUP(Tabla1[[#This Row],[DETALLE ]],DATOS!L:M,2,0)</f>
        <v>PICKING</v>
      </c>
      <c r="S306" s="41" t="str">
        <f>IFERROR(IFERROR(VLOOKUP(Tabla1[[#This Row],[USUARIO PICKING ERROR]],DATOS!H:J,3,0),VLOOKUP(Tabla1[[#This Row],[USUARIO FILTRO ERROR]],DATOS!O:P,2,0)),"-")</f>
        <v>BENJAMIN LIZARBE</v>
      </c>
      <c r="T306" s="27" t="str">
        <f>UPPER(VLOOKUP(Tabla1[[#This Row],[CODIGO]],DATOS!A:E,5,0))</f>
        <v>FLUJO CONTINUO</v>
      </c>
      <c r="U306" s="31">
        <f>(Tabla1[[#This Row],[CANTIDAD]])*(VLOOKUP(Tabla1[[#This Row],[CODIGO]],DATOS!A:D,4,0))</f>
        <v>28.06</v>
      </c>
      <c r="V306" s="31" t="str">
        <f>VLOOKUP(Tabla1[[#This Row],[CODIGO]],DATOS!A:C,3,0)</f>
        <v>ABARROTES BEBIBLES</v>
      </c>
      <c r="W306" s="31" t="s">
        <v>13324</v>
      </c>
      <c r="X306" s="28" t="s">
        <v>13086</v>
      </c>
      <c r="Y306" s="28" t="s">
        <v>13113</v>
      </c>
    </row>
    <row r="307" spans="1:25" ht="12" customHeight="1" x14ac:dyDescent="0.25">
      <c r="A307" s="46">
        <v>45728</v>
      </c>
      <c r="B307" s="2" t="s">
        <v>50</v>
      </c>
      <c r="C307" s="2">
        <v>7620870402</v>
      </c>
      <c r="D307" s="2">
        <v>113219002</v>
      </c>
      <c r="E307" s="2" t="s">
        <v>9288</v>
      </c>
      <c r="F307" s="2">
        <v>1</v>
      </c>
      <c r="G307" s="2" t="s">
        <v>52</v>
      </c>
      <c r="H307" s="2" t="s">
        <v>17</v>
      </c>
      <c r="I307" s="75" t="s">
        <v>13140</v>
      </c>
      <c r="J307" s="9" t="s">
        <v>15</v>
      </c>
      <c r="K307" s="10" t="s">
        <v>15</v>
      </c>
      <c r="L307" s="10" t="s">
        <v>13121</v>
      </c>
      <c r="M307" s="10" t="s">
        <v>15</v>
      </c>
      <c r="N307" s="10" t="s">
        <v>18</v>
      </c>
      <c r="O307" s="10" t="s">
        <v>13103</v>
      </c>
      <c r="P307" s="10" t="s">
        <v>17</v>
      </c>
      <c r="Q307" s="2" t="str">
        <f>IFERROR(VLOOKUP(Tabla1[[#This Row],[USUARIO PICKING ERROR]],DATOS!H:I,2,0)," ")</f>
        <v>MAÑANA</v>
      </c>
      <c r="R307" s="27" t="str">
        <f>VLOOKUP(Tabla1[[#This Row],[DETALLE ]],DATOS!L:M,2,0)</f>
        <v>PICKING</v>
      </c>
      <c r="S307" s="41" t="str">
        <f>IFERROR(IFERROR(VLOOKUP(Tabla1[[#This Row],[USUARIO PICKING ERROR]],DATOS!H:J,3,0),VLOOKUP(Tabla1[[#This Row],[USUARIO FILTRO ERROR]],DATOS!O:P,2,0)),"-")</f>
        <v>BENJAMIN LIZARBE</v>
      </c>
      <c r="T307" s="27" t="str">
        <f>UPPER(VLOOKUP(Tabla1[[#This Row],[CODIGO]],DATOS!A:E,5,0))</f>
        <v>FLUJO CONTINUO</v>
      </c>
      <c r="U307" s="31">
        <f>(Tabla1[[#This Row],[CANTIDAD]])*(VLOOKUP(Tabla1[[#This Row],[CODIGO]],DATOS!A:D,4,0))</f>
        <v>25.64</v>
      </c>
      <c r="V307" s="31" t="str">
        <f>VLOOKUP(Tabla1[[#This Row],[CODIGO]],DATOS!A:C,3,0)</f>
        <v>ABARROTES NO COMESTIBLES</v>
      </c>
      <c r="W307" s="31" t="s">
        <v>13324</v>
      </c>
      <c r="X307" s="28" t="s">
        <v>13086</v>
      </c>
      <c r="Y307" s="28" t="s">
        <v>13113</v>
      </c>
    </row>
    <row r="308" spans="1:25" ht="12" customHeight="1" x14ac:dyDescent="0.25">
      <c r="A308" s="46">
        <v>45729</v>
      </c>
      <c r="B308" s="2" t="s">
        <v>13162</v>
      </c>
      <c r="C308" s="2">
        <v>7620871481</v>
      </c>
      <c r="D308" s="2">
        <v>350187</v>
      </c>
      <c r="E308" s="2" t="s">
        <v>1671</v>
      </c>
      <c r="F308" s="2">
        <v>6</v>
      </c>
      <c r="G308" s="2" t="s">
        <v>15</v>
      </c>
      <c r="H308" s="2" t="s">
        <v>17</v>
      </c>
      <c r="I308" s="75" t="s">
        <v>12940</v>
      </c>
      <c r="J308" s="9" t="s">
        <v>15</v>
      </c>
      <c r="K308" s="10" t="s">
        <v>15</v>
      </c>
      <c r="L308" s="10" t="s">
        <v>90</v>
      </c>
      <c r="M308" s="10" t="s">
        <v>15</v>
      </c>
      <c r="N308" s="10" t="s">
        <v>18</v>
      </c>
      <c r="O308" s="10" t="s">
        <v>13103</v>
      </c>
      <c r="P308" s="10" t="s">
        <v>17</v>
      </c>
      <c r="Q308" s="2" t="str">
        <f>IFERROR(VLOOKUP(Tabla1[[#This Row],[USUARIO PICKING ERROR]],DATOS!H:I,2,0)," ")</f>
        <v>MAÑANA</v>
      </c>
      <c r="R308" s="27" t="str">
        <f>VLOOKUP(Tabla1[[#This Row],[DETALLE ]],DATOS!L:M,2,0)</f>
        <v>PICKING</v>
      </c>
      <c r="S308" s="41" t="str">
        <f>IFERROR(IFERROR(VLOOKUP(Tabla1[[#This Row],[USUARIO PICKING ERROR]],DATOS!H:J,3,0),VLOOKUP(Tabla1[[#This Row],[USUARIO FILTRO ERROR]],DATOS!O:P,2,0)),"-")</f>
        <v>BENJAMIN LIZARBE</v>
      </c>
      <c r="T308" s="27" t="str">
        <f>UPPER(VLOOKUP(Tabla1[[#This Row],[CODIGO]],DATOS!A:E,5,0))</f>
        <v>FLUJO CONTINUO</v>
      </c>
      <c r="U308" s="31">
        <f>(Tabla1[[#This Row],[CANTIDAD]])*(VLOOKUP(Tabla1[[#This Row],[CODIGO]],DATOS!A:D,4,0))</f>
        <v>127.5</v>
      </c>
      <c r="V308" s="31" t="str">
        <f>VLOOKUP(Tabla1[[#This Row],[CODIGO]],DATOS!A:C,3,0)</f>
        <v>ABARROTES BEBIBLES</v>
      </c>
      <c r="W308" s="31" t="s">
        <v>13324</v>
      </c>
      <c r="X308" s="28" t="s">
        <v>13086</v>
      </c>
      <c r="Y308" s="28" t="s">
        <v>13113</v>
      </c>
    </row>
    <row r="309" spans="1:25" ht="12" customHeight="1" x14ac:dyDescent="0.25">
      <c r="A309" s="46">
        <v>45729</v>
      </c>
      <c r="B309" s="2" t="s">
        <v>13160</v>
      </c>
      <c r="C309" s="2">
        <v>7620858391</v>
      </c>
      <c r="D309" s="2">
        <v>1009404</v>
      </c>
      <c r="E309" s="2" t="s">
        <v>8637</v>
      </c>
      <c r="F309" s="2">
        <v>1</v>
      </c>
      <c r="G309" s="2"/>
      <c r="H309" s="2" t="s">
        <v>17</v>
      </c>
      <c r="I309" s="75" t="s">
        <v>12940</v>
      </c>
      <c r="J309" s="9" t="s">
        <v>15</v>
      </c>
      <c r="K309" s="10" t="s">
        <v>15</v>
      </c>
      <c r="L309" s="10" t="s">
        <v>67</v>
      </c>
      <c r="M309" s="10" t="s">
        <v>15</v>
      </c>
      <c r="N309" s="10" t="s">
        <v>18</v>
      </c>
      <c r="O309" s="10" t="s">
        <v>13103</v>
      </c>
      <c r="P309" s="10" t="s">
        <v>17</v>
      </c>
      <c r="Q309" s="2" t="str">
        <f>IFERROR(VLOOKUP(Tabla1[[#This Row],[USUARIO PICKING ERROR]],DATOS!H:I,2,0)," ")</f>
        <v>MAÑANA</v>
      </c>
      <c r="R309" s="27" t="str">
        <f>VLOOKUP(Tabla1[[#This Row],[DETALLE ]],DATOS!L:M,2,0)</f>
        <v>PICKING</v>
      </c>
      <c r="S309" s="41" t="str">
        <f>IFERROR(IFERROR(VLOOKUP(Tabla1[[#This Row],[USUARIO PICKING ERROR]],DATOS!H:J,3,0),VLOOKUP(Tabla1[[#This Row],[USUARIO FILTRO ERROR]],DATOS!O:P,2,0)),"-")</f>
        <v>BENJAMIN LIZARBE</v>
      </c>
      <c r="T309" s="27" t="str">
        <f>UPPER(VLOOKUP(Tabla1[[#This Row],[CODIGO]],DATOS!A:E,5,0))</f>
        <v>FLUJO CONTINUO</v>
      </c>
      <c r="U309" s="31">
        <f>(Tabla1[[#This Row],[CANTIDAD]])*(VLOOKUP(Tabla1[[#This Row],[CODIGO]],DATOS!A:D,4,0))</f>
        <v>18.41</v>
      </c>
      <c r="V309" s="31" t="str">
        <f>VLOOKUP(Tabla1[[#This Row],[CODIGO]],DATOS!A:C,3,0)</f>
        <v>ABARROTES BEBIBLES</v>
      </c>
      <c r="W309" s="31" t="s">
        <v>13324</v>
      </c>
      <c r="X309" s="28" t="s">
        <v>13086</v>
      </c>
      <c r="Y309" s="28" t="s">
        <v>13113</v>
      </c>
    </row>
    <row r="310" spans="1:25" ht="12" customHeight="1" x14ac:dyDescent="0.25">
      <c r="A310" s="46">
        <v>45729</v>
      </c>
      <c r="B310" s="2" t="s">
        <v>13002</v>
      </c>
      <c r="C310" s="2">
        <v>7620820976</v>
      </c>
      <c r="D310" s="2">
        <v>988300</v>
      </c>
      <c r="E310" s="2" t="s">
        <v>7692</v>
      </c>
      <c r="F310" s="2">
        <v>3</v>
      </c>
      <c r="G310" s="2" t="s">
        <v>49</v>
      </c>
      <c r="H310" s="2" t="s">
        <v>25</v>
      </c>
      <c r="I310" s="75" t="s">
        <v>12940</v>
      </c>
      <c r="J310" s="9" t="s">
        <v>13026</v>
      </c>
      <c r="K310" s="10">
        <v>7620866996</v>
      </c>
      <c r="L310" s="10" t="s">
        <v>84</v>
      </c>
      <c r="M310" s="10" t="s">
        <v>15</v>
      </c>
      <c r="N310" s="10" t="s">
        <v>18</v>
      </c>
      <c r="O310" s="10" t="s">
        <v>13103</v>
      </c>
      <c r="P310" s="10" t="s">
        <v>28</v>
      </c>
      <c r="Q310" s="2" t="str">
        <f>IFERROR(VLOOKUP(Tabla1[[#This Row],[USUARIO PICKING ERROR]],DATOS!H:I,2,0)," ")</f>
        <v>TARDE</v>
      </c>
      <c r="R310" s="27" t="str">
        <f>VLOOKUP(Tabla1[[#This Row],[DETALLE ]],DATOS!L:M,2,0)</f>
        <v>PICKING</v>
      </c>
      <c r="S310" s="41" t="str">
        <f>IFERROR(IFERROR(VLOOKUP(Tabla1[[#This Row],[USUARIO PICKING ERROR]],DATOS!H:J,3,0),VLOOKUP(Tabla1[[#This Row],[USUARIO FILTRO ERROR]],DATOS!O:P,2,0)),"-")</f>
        <v>DAVID PIÑAN</v>
      </c>
      <c r="T310" s="27" t="str">
        <f>UPPER(VLOOKUP(Tabla1[[#This Row],[CODIGO]],DATOS!A:E,5,0))</f>
        <v>FLUJO CONTINUO</v>
      </c>
      <c r="U310" s="31">
        <f>(Tabla1[[#This Row],[CANTIDAD]])*(VLOOKUP(Tabla1[[#This Row],[CODIGO]],DATOS!A:D,4,0))</f>
        <v>79.949999999999989</v>
      </c>
      <c r="V310" s="31" t="str">
        <f>VLOOKUP(Tabla1[[#This Row],[CODIGO]],DATOS!A:C,3,0)</f>
        <v>ABARROTES BEBIBLES</v>
      </c>
      <c r="W310" s="31" t="s">
        <v>13324</v>
      </c>
      <c r="X310" s="28" t="s">
        <v>13086</v>
      </c>
      <c r="Y310" s="28" t="s">
        <v>13113</v>
      </c>
    </row>
    <row r="311" spans="1:25" ht="12" customHeight="1" x14ac:dyDescent="0.25">
      <c r="A311" s="46">
        <v>45729</v>
      </c>
      <c r="B311" s="2" t="s">
        <v>13002</v>
      </c>
      <c r="C311" s="2">
        <v>7620820976</v>
      </c>
      <c r="D311" s="2">
        <v>886902</v>
      </c>
      <c r="E311" s="2" t="s">
        <v>4897</v>
      </c>
      <c r="F311" s="2">
        <v>4</v>
      </c>
      <c r="G311" s="2" t="s">
        <v>49</v>
      </c>
      <c r="H311" s="2" t="s">
        <v>25</v>
      </c>
      <c r="I311" s="75" t="s">
        <v>12940</v>
      </c>
      <c r="J311" s="9" t="s">
        <v>13026</v>
      </c>
      <c r="K311" s="10">
        <v>7620866996</v>
      </c>
      <c r="L311" s="10" t="s">
        <v>12933</v>
      </c>
      <c r="M311" s="10" t="s">
        <v>15</v>
      </c>
      <c r="N311" s="10" t="s">
        <v>18</v>
      </c>
      <c r="O311" s="10" t="s">
        <v>13103</v>
      </c>
      <c r="P311" s="10" t="s">
        <v>28</v>
      </c>
      <c r="Q311" s="2" t="str">
        <f>IFERROR(VLOOKUP(Tabla1[[#This Row],[USUARIO PICKING ERROR]],DATOS!H:I,2,0)," ")</f>
        <v>MAÑANA</v>
      </c>
      <c r="R311" s="27" t="str">
        <f>VLOOKUP(Tabla1[[#This Row],[DETALLE ]],DATOS!L:M,2,0)</f>
        <v>PICKING</v>
      </c>
      <c r="S311" s="41" t="str">
        <f>IFERROR(IFERROR(VLOOKUP(Tabla1[[#This Row],[USUARIO PICKING ERROR]],DATOS!H:J,3,0),VLOOKUP(Tabla1[[#This Row],[USUARIO FILTRO ERROR]],DATOS!O:P,2,0)),"-")</f>
        <v>BENJAMIN LIZARBE</v>
      </c>
      <c r="T311" s="27" t="str">
        <f>UPPER(VLOOKUP(Tabla1[[#This Row],[CODIGO]],DATOS!A:E,5,0))</f>
        <v>FLUJO CONTINUO</v>
      </c>
      <c r="U311" s="31">
        <f>(Tabla1[[#This Row],[CANTIDAD]])*(VLOOKUP(Tabla1[[#This Row],[CODIGO]],DATOS!A:D,4,0))</f>
        <v>25.92</v>
      </c>
      <c r="V311" s="31" t="str">
        <f>VLOOKUP(Tabla1[[#This Row],[CODIGO]],DATOS!A:C,3,0)</f>
        <v>ABARROTES BEBIBLES</v>
      </c>
      <c r="W311" s="31" t="s">
        <v>13324</v>
      </c>
      <c r="X311" s="28" t="s">
        <v>13086</v>
      </c>
      <c r="Y311" s="28" t="s">
        <v>13113</v>
      </c>
    </row>
    <row r="312" spans="1:25" ht="12" customHeight="1" x14ac:dyDescent="0.25">
      <c r="A312" s="46">
        <v>45729</v>
      </c>
      <c r="B312" s="2" t="s">
        <v>13002</v>
      </c>
      <c r="C312" s="2">
        <v>7620820976</v>
      </c>
      <c r="D312" s="2">
        <v>886904</v>
      </c>
      <c r="E312" s="2" t="s">
        <v>23</v>
      </c>
      <c r="F312" s="2">
        <v>4</v>
      </c>
      <c r="G312" s="2" t="s">
        <v>49</v>
      </c>
      <c r="H312" s="2" t="s">
        <v>25</v>
      </c>
      <c r="I312" s="75" t="s">
        <v>12940</v>
      </c>
      <c r="J312" s="9" t="s">
        <v>13026</v>
      </c>
      <c r="K312" s="10">
        <v>7620866996</v>
      </c>
      <c r="L312" s="10" t="s">
        <v>12933</v>
      </c>
      <c r="M312" s="10" t="s">
        <v>15</v>
      </c>
      <c r="N312" s="10" t="s">
        <v>18</v>
      </c>
      <c r="O312" s="10" t="s">
        <v>13103</v>
      </c>
      <c r="P312" s="10" t="s">
        <v>28</v>
      </c>
      <c r="Q312" s="2" t="str">
        <f>IFERROR(VLOOKUP(Tabla1[[#This Row],[USUARIO PICKING ERROR]],DATOS!H:I,2,0)," ")</f>
        <v>MAÑANA</v>
      </c>
      <c r="R312" s="27" t="str">
        <f>VLOOKUP(Tabla1[[#This Row],[DETALLE ]],DATOS!L:M,2,0)</f>
        <v>PICKING</v>
      </c>
      <c r="S312" s="41" t="str">
        <f>IFERROR(IFERROR(VLOOKUP(Tabla1[[#This Row],[USUARIO PICKING ERROR]],DATOS!H:J,3,0),VLOOKUP(Tabla1[[#This Row],[USUARIO FILTRO ERROR]],DATOS!O:P,2,0)),"-")</f>
        <v>BENJAMIN LIZARBE</v>
      </c>
      <c r="T312" s="27" t="str">
        <f>UPPER(VLOOKUP(Tabla1[[#This Row],[CODIGO]],DATOS!A:E,5,0))</f>
        <v>FLUJO CONTINUO</v>
      </c>
      <c r="U312" s="31">
        <f>(Tabla1[[#This Row],[CANTIDAD]])*(VLOOKUP(Tabla1[[#This Row],[CODIGO]],DATOS!A:D,4,0))</f>
        <v>25.92</v>
      </c>
      <c r="V312" s="31" t="str">
        <f>VLOOKUP(Tabla1[[#This Row],[CODIGO]],DATOS!A:C,3,0)</f>
        <v>ABARROTES BEBIBLES</v>
      </c>
      <c r="W312" s="31" t="s">
        <v>13324</v>
      </c>
      <c r="X312" s="28" t="s">
        <v>13086</v>
      </c>
      <c r="Y312" s="28" t="s">
        <v>13113</v>
      </c>
    </row>
    <row r="313" spans="1:25" ht="12" customHeight="1" x14ac:dyDescent="0.25">
      <c r="A313" s="46">
        <v>45729</v>
      </c>
      <c r="B313" s="2"/>
      <c r="C313" s="2"/>
      <c r="D313" s="2">
        <v>733867</v>
      </c>
      <c r="E313" s="2" t="s">
        <v>3865</v>
      </c>
      <c r="F313" s="2">
        <v>1</v>
      </c>
      <c r="G313" s="2" t="s">
        <v>13118</v>
      </c>
      <c r="H313" s="2" t="s">
        <v>25</v>
      </c>
      <c r="I313" s="75" t="s">
        <v>12940</v>
      </c>
      <c r="J313" s="9">
        <v>7640114915</v>
      </c>
      <c r="K313" s="10" t="s">
        <v>12970</v>
      </c>
      <c r="L313" s="10" t="s">
        <v>132</v>
      </c>
      <c r="M313" s="10" t="s">
        <v>15</v>
      </c>
      <c r="N313" s="10" t="s">
        <v>18</v>
      </c>
      <c r="O313" s="10" t="s">
        <v>13103</v>
      </c>
      <c r="P313" s="10" t="s">
        <v>28</v>
      </c>
      <c r="Q313" s="2" t="str">
        <f>IFERROR(VLOOKUP(Tabla1[[#This Row],[USUARIO PICKING ERROR]],DATOS!H:I,2,0)," ")</f>
        <v>MAÑANA</v>
      </c>
      <c r="R313" s="27" t="str">
        <f>VLOOKUP(Tabla1[[#This Row],[DETALLE ]],DATOS!L:M,2,0)</f>
        <v>PICKING</v>
      </c>
      <c r="S313" s="41" t="str">
        <f>IFERROR(IFERROR(VLOOKUP(Tabla1[[#This Row],[USUARIO PICKING ERROR]],DATOS!H:J,3,0),VLOOKUP(Tabla1[[#This Row],[USUARIO FILTRO ERROR]],DATOS!O:P,2,0)),"-")</f>
        <v>BENJAMIN LIZARBE</v>
      </c>
      <c r="T313" s="27" t="str">
        <f>UPPER(VLOOKUP(Tabla1[[#This Row],[CODIGO]],DATOS!A:E,5,0))</f>
        <v>ALMACENADO</v>
      </c>
      <c r="U313" s="31">
        <f>(Tabla1[[#This Row],[CANTIDAD]])*(VLOOKUP(Tabla1[[#This Row],[CODIGO]],DATOS!A:D,4,0))</f>
        <v>186.38</v>
      </c>
      <c r="V313" s="31" t="str">
        <f>VLOOKUP(Tabla1[[#This Row],[CODIGO]],DATOS!A:C,3,0)</f>
        <v>ABARROTES BEBIBLES</v>
      </c>
      <c r="W313" s="31" t="s">
        <v>13324</v>
      </c>
      <c r="X313" s="28" t="s">
        <v>13086</v>
      </c>
      <c r="Y313" s="28" t="s">
        <v>13113</v>
      </c>
    </row>
    <row r="314" spans="1:25" ht="12" customHeight="1" x14ac:dyDescent="0.25">
      <c r="A314" s="46">
        <v>45729</v>
      </c>
      <c r="B314" s="2" t="s">
        <v>70</v>
      </c>
      <c r="C314" s="2">
        <v>7620869458</v>
      </c>
      <c r="D314" s="2">
        <v>375537</v>
      </c>
      <c r="E314" s="2" t="s">
        <v>1791</v>
      </c>
      <c r="F314" s="2">
        <v>12</v>
      </c>
      <c r="G314" s="2" t="s">
        <v>13161</v>
      </c>
      <c r="H314" s="2" t="s">
        <v>25</v>
      </c>
      <c r="I314" s="75" t="s">
        <v>12940</v>
      </c>
      <c r="J314" s="9">
        <v>7620873040</v>
      </c>
      <c r="K314" s="10" t="s">
        <v>12970</v>
      </c>
      <c r="L314" s="10" t="s">
        <v>13147</v>
      </c>
      <c r="M314" s="10" t="s">
        <v>15</v>
      </c>
      <c r="N314" s="10" t="s">
        <v>18</v>
      </c>
      <c r="O314" s="10" t="s">
        <v>13103</v>
      </c>
      <c r="P314" s="10" t="s">
        <v>28</v>
      </c>
      <c r="Q314" s="2" t="str">
        <f>IFERROR(VLOOKUP(Tabla1[[#This Row],[USUARIO PICKING ERROR]],DATOS!H:I,2,0)," ")</f>
        <v>TARDE</v>
      </c>
      <c r="R314" s="27" t="str">
        <f>VLOOKUP(Tabla1[[#This Row],[DETALLE ]],DATOS!L:M,2,0)</f>
        <v>PICKING</v>
      </c>
      <c r="S314" s="41" t="str">
        <f>IFERROR(IFERROR(VLOOKUP(Tabla1[[#This Row],[USUARIO PICKING ERROR]],DATOS!H:J,3,0),VLOOKUP(Tabla1[[#This Row],[USUARIO FILTRO ERROR]],DATOS!O:P,2,0)),"-")</f>
        <v>DAVID PIÑAN</v>
      </c>
      <c r="T314" s="27" t="str">
        <f>UPPER(VLOOKUP(Tabla1[[#This Row],[CODIGO]],DATOS!A:E,5,0))</f>
        <v>FLUJO CONTINUO</v>
      </c>
      <c r="U314" s="31">
        <f>(Tabla1[[#This Row],[CANTIDAD]])*(VLOOKUP(Tabla1[[#This Row],[CODIGO]],DATOS!A:D,4,0))</f>
        <v>765</v>
      </c>
      <c r="V314" s="31" t="str">
        <f>VLOOKUP(Tabla1[[#This Row],[CODIGO]],DATOS!A:C,3,0)</f>
        <v>ABARROTES BEBIBLES</v>
      </c>
      <c r="W314" s="31" t="s">
        <v>13324</v>
      </c>
      <c r="X314" s="28" t="s">
        <v>13086</v>
      </c>
      <c r="Y314" s="28" t="s">
        <v>13113</v>
      </c>
    </row>
    <row r="315" spans="1:25" ht="12" customHeight="1" x14ac:dyDescent="0.25">
      <c r="A315" s="46">
        <v>45729</v>
      </c>
      <c r="B315" s="2" t="s">
        <v>70</v>
      </c>
      <c r="C315" s="2">
        <v>7620869458</v>
      </c>
      <c r="D315" s="2">
        <v>64210</v>
      </c>
      <c r="E315" s="2" t="s">
        <v>306</v>
      </c>
      <c r="F315" s="2">
        <v>9</v>
      </c>
      <c r="G315" s="2" t="s">
        <v>13161</v>
      </c>
      <c r="H315" s="2" t="s">
        <v>17</v>
      </c>
      <c r="I315" s="75" t="s">
        <v>12940</v>
      </c>
      <c r="J315" s="9" t="s">
        <v>70</v>
      </c>
      <c r="K315" s="10">
        <v>7620869458</v>
      </c>
      <c r="L315" s="10" t="s">
        <v>27</v>
      </c>
      <c r="M315" s="10" t="s">
        <v>13161</v>
      </c>
      <c r="N315" s="10" t="s">
        <v>12957</v>
      </c>
      <c r="O315" s="10" t="s">
        <v>13103</v>
      </c>
      <c r="P315" s="10" t="s">
        <v>28</v>
      </c>
      <c r="Q315" s="2" t="str">
        <f>IFERROR(VLOOKUP(Tabla1[[#This Row],[USUARIO PICKING ERROR]],DATOS!H:I,2,0)," ")</f>
        <v>MAÑANA</v>
      </c>
      <c r="R315" s="27" t="str">
        <f>VLOOKUP(Tabla1[[#This Row],[DETALLE ]],DATOS!L:M,2,0)</f>
        <v>FILTRO</v>
      </c>
      <c r="S315" s="41" t="str">
        <f>IFERROR(IFERROR(VLOOKUP(Tabla1[[#This Row],[USUARIO PICKING ERROR]],DATOS!H:J,3,0),VLOOKUP(Tabla1[[#This Row],[USUARIO FILTRO ERROR]],DATOS!O:P,2,0)),"-")</f>
        <v>BENJAMIN LIZARBE</v>
      </c>
      <c r="T315" s="27" t="str">
        <f>UPPER(VLOOKUP(Tabla1[[#This Row],[CODIGO]],DATOS!A:E,5,0))</f>
        <v>FLUJO CONTINUO</v>
      </c>
      <c r="U315" s="31">
        <f>(Tabla1[[#This Row],[CANTIDAD]])*(VLOOKUP(Tabla1[[#This Row],[CODIGO]],DATOS!A:D,4,0))</f>
        <v>629.01</v>
      </c>
      <c r="V315" s="31" t="str">
        <f>VLOOKUP(Tabla1[[#This Row],[CODIGO]],DATOS!A:C,3,0)</f>
        <v>ABARROTES BEBIBLES</v>
      </c>
      <c r="W315" s="31" t="s">
        <v>13324</v>
      </c>
      <c r="X315" s="28" t="s">
        <v>13086</v>
      </c>
      <c r="Y315" s="28" t="s">
        <v>13113</v>
      </c>
    </row>
    <row r="316" spans="1:25" ht="12" customHeight="1" x14ac:dyDescent="0.25">
      <c r="A316" s="46">
        <v>45730</v>
      </c>
      <c r="B316" s="2" t="s">
        <v>13004</v>
      </c>
      <c r="C316" s="2">
        <v>7620861719</v>
      </c>
      <c r="D316" s="2">
        <v>564436</v>
      </c>
      <c r="E316" s="2" t="s">
        <v>11534</v>
      </c>
      <c r="F316" s="2">
        <v>3</v>
      </c>
      <c r="G316" s="2" t="s">
        <v>49</v>
      </c>
      <c r="H316" s="2" t="s">
        <v>17</v>
      </c>
      <c r="I316" s="75" t="s">
        <v>12940</v>
      </c>
      <c r="J316" s="9" t="s">
        <v>15</v>
      </c>
      <c r="K316" s="10" t="s">
        <v>15</v>
      </c>
      <c r="L316" s="10" t="s">
        <v>67</v>
      </c>
      <c r="M316" s="10" t="s">
        <v>49</v>
      </c>
      <c r="N316" s="10" t="s">
        <v>12957</v>
      </c>
      <c r="O316" s="10" t="s">
        <v>13168</v>
      </c>
      <c r="P316" s="10" t="s">
        <v>28</v>
      </c>
      <c r="Q316" s="2" t="str">
        <f>IFERROR(VLOOKUP(Tabla1[[#This Row],[USUARIO PICKING ERROR]],DATOS!H:I,2,0)," ")</f>
        <v>MAÑANA</v>
      </c>
      <c r="R316" s="27" t="str">
        <f>VLOOKUP(Tabla1[[#This Row],[DETALLE ]],DATOS!L:M,2,0)</f>
        <v>FILTRO</v>
      </c>
      <c r="S316" s="41" t="str">
        <f>IFERROR(IFERROR(VLOOKUP(Tabla1[[#This Row],[USUARIO PICKING ERROR]],DATOS!H:J,3,0),VLOOKUP(Tabla1[[#This Row],[USUARIO FILTRO ERROR]],DATOS!O:P,2,0)),"-")</f>
        <v>BENJAMIN LIZARBE</v>
      </c>
      <c r="T316" s="27" t="str">
        <f>UPPER(VLOOKUP(Tabla1[[#This Row],[CODIGO]],DATOS!A:E,5,0))</f>
        <v>FLUJO CONTINUO</v>
      </c>
      <c r="U316" s="31">
        <f>(Tabla1[[#This Row],[CANTIDAD]])*(VLOOKUP(Tabla1[[#This Row],[CODIGO]],DATOS!A:D,4,0))</f>
        <v>103.47</v>
      </c>
      <c r="V316" s="31" t="str">
        <f>VLOOKUP(Tabla1[[#This Row],[CODIGO]],DATOS!A:C,3,0)</f>
        <v>ABARROTES BEBIBLES</v>
      </c>
      <c r="W316" s="31" t="s">
        <v>13324</v>
      </c>
      <c r="X316" s="28" t="s">
        <v>13086</v>
      </c>
      <c r="Y316" s="28" t="s">
        <v>13113</v>
      </c>
    </row>
    <row r="317" spans="1:25" ht="12" customHeight="1" x14ac:dyDescent="0.25">
      <c r="A317" s="46">
        <v>45730</v>
      </c>
      <c r="B317" s="2" t="s">
        <v>88</v>
      </c>
      <c r="C317" s="2">
        <v>7620869439</v>
      </c>
      <c r="D317" s="2">
        <v>506563002</v>
      </c>
      <c r="E317" s="2" t="s">
        <v>11021</v>
      </c>
      <c r="F317" s="2">
        <v>6</v>
      </c>
      <c r="G317" s="2" t="s">
        <v>15</v>
      </c>
      <c r="H317" s="2" t="s">
        <v>17</v>
      </c>
      <c r="I317" s="75" t="s">
        <v>12940</v>
      </c>
      <c r="J317" s="9" t="s">
        <v>130</v>
      </c>
      <c r="K317" s="10" t="s">
        <v>15</v>
      </c>
      <c r="L317" s="10" t="s">
        <v>84</v>
      </c>
      <c r="M317" s="10" t="s">
        <v>15</v>
      </c>
      <c r="N317" s="10" t="s">
        <v>18</v>
      </c>
      <c r="O317" s="10" t="s">
        <v>13103</v>
      </c>
      <c r="P317" s="10" t="s">
        <v>28</v>
      </c>
      <c r="Q317" s="2" t="str">
        <f>IFERROR(VLOOKUP(Tabla1[[#This Row],[USUARIO PICKING ERROR]],DATOS!H:I,2,0)," ")</f>
        <v>TARDE</v>
      </c>
      <c r="R317" s="27" t="str">
        <f>VLOOKUP(Tabla1[[#This Row],[DETALLE ]],DATOS!L:M,2,0)</f>
        <v>PICKING</v>
      </c>
      <c r="S317" s="41" t="str">
        <f>IFERROR(IFERROR(VLOOKUP(Tabla1[[#This Row],[USUARIO PICKING ERROR]],DATOS!H:J,3,0),VLOOKUP(Tabla1[[#This Row],[USUARIO FILTRO ERROR]],DATOS!O:P,2,0)),"-")</f>
        <v>DAVID PIÑAN</v>
      </c>
      <c r="T317" s="27" t="str">
        <f>UPPER(VLOOKUP(Tabla1[[#This Row],[CODIGO]],DATOS!A:E,5,0))</f>
        <v>FLUJO CONTINUO</v>
      </c>
      <c r="U317" s="31">
        <f>(Tabla1[[#This Row],[CANTIDAD]])*(VLOOKUP(Tabla1[[#This Row],[CODIGO]],DATOS!A:D,4,0))</f>
        <v>162.35999999999999</v>
      </c>
      <c r="V317" s="31" t="str">
        <f>VLOOKUP(Tabla1[[#This Row],[CODIGO]],DATOS!A:C,3,0)</f>
        <v>ABARROTES BEBIBLES</v>
      </c>
      <c r="W317" s="31" t="s">
        <v>13324</v>
      </c>
      <c r="X317" s="28" t="s">
        <v>13086</v>
      </c>
      <c r="Y317" s="28" t="s">
        <v>13113</v>
      </c>
    </row>
    <row r="318" spans="1:25" ht="12" customHeight="1" x14ac:dyDescent="0.25">
      <c r="A318" s="46">
        <v>45730</v>
      </c>
      <c r="B318" s="2" t="s">
        <v>15</v>
      </c>
      <c r="C318" s="2" t="s">
        <v>15</v>
      </c>
      <c r="D318" s="2">
        <v>150755025</v>
      </c>
      <c r="E318" s="2" t="s">
        <v>9359</v>
      </c>
      <c r="F318" s="2">
        <v>2</v>
      </c>
      <c r="G318" s="2" t="s">
        <v>15</v>
      </c>
      <c r="H318" s="2" t="s">
        <v>17</v>
      </c>
      <c r="I318" s="75" t="s">
        <v>19</v>
      </c>
      <c r="J318" s="9" t="s">
        <v>15</v>
      </c>
      <c r="K318" s="10" t="s">
        <v>15</v>
      </c>
      <c r="L318" s="10" t="s">
        <v>35</v>
      </c>
      <c r="M318" s="10" t="s">
        <v>15</v>
      </c>
      <c r="N318" s="10" t="s">
        <v>18</v>
      </c>
      <c r="O318" s="10" t="s">
        <v>13103</v>
      </c>
      <c r="P318" s="10" t="s">
        <v>28</v>
      </c>
      <c r="Q318" s="2" t="str">
        <f>IFERROR(VLOOKUP(Tabla1[[#This Row],[USUARIO PICKING ERROR]],DATOS!H:I,2,0)," ")</f>
        <v>MAÑANA</v>
      </c>
      <c r="R318" s="27" t="str">
        <f>VLOOKUP(Tabla1[[#This Row],[DETALLE ]],DATOS!L:M,2,0)</f>
        <v>PICKING</v>
      </c>
      <c r="S318" s="41" t="str">
        <f>IFERROR(IFERROR(VLOOKUP(Tabla1[[#This Row],[USUARIO PICKING ERROR]],DATOS!H:J,3,0),VLOOKUP(Tabla1[[#This Row],[USUARIO FILTRO ERROR]],DATOS!O:P,2,0)),"-")</f>
        <v>BENJAMIN LIZARBE</v>
      </c>
      <c r="T318" s="27" t="str">
        <f>UPPER(VLOOKUP(Tabla1[[#This Row],[CODIGO]],DATOS!A:E,5,0))</f>
        <v>FLUJO CONTINUO</v>
      </c>
      <c r="U318" s="31">
        <f>(Tabla1[[#This Row],[CANTIDAD]])*(VLOOKUP(Tabla1[[#This Row],[CODIGO]],DATOS!A:D,4,0))</f>
        <v>27.22</v>
      </c>
      <c r="V318" s="31" t="str">
        <f>VLOOKUP(Tabla1[[#This Row],[CODIGO]],DATOS!A:C,3,0)</f>
        <v>ABARROTES NO COMESTIBLES</v>
      </c>
      <c r="W318" s="31" t="s">
        <v>13324</v>
      </c>
      <c r="X318" s="28" t="s">
        <v>13086</v>
      </c>
      <c r="Y318" s="28" t="s">
        <v>13113</v>
      </c>
    </row>
    <row r="319" spans="1:25" ht="12" customHeight="1" x14ac:dyDescent="0.25">
      <c r="A319" s="46">
        <v>45730</v>
      </c>
      <c r="B319" s="2" t="s">
        <v>13106</v>
      </c>
      <c r="C319" s="2">
        <v>7620869204</v>
      </c>
      <c r="D319" s="2">
        <v>150755025</v>
      </c>
      <c r="E319" s="2" t="s">
        <v>9359</v>
      </c>
      <c r="F319" s="2">
        <v>1</v>
      </c>
      <c r="G319" s="2" t="s">
        <v>15</v>
      </c>
      <c r="H319" s="2" t="s">
        <v>17</v>
      </c>
      <c r="I319" s="75" t="s">
        <v>12940</v>
      </c>
      <c r="J319" s="9" t="s">
        <v>15</v>
      </c>
      <c r="K319" s="10" t="s">
        <v>15</v>
      </c>
      <c r="L319" s="10" t="s">
        <v>12902</v>
      </c>
      <c r="M319" s="10" t="s">
        <v>15</v>
      </c>
      <c r="N319" s="10" t="s">
        <v>18</v>
      </c>
      <c r="O319" s="10" t="s">
        <v>13103</v>
      </c>
      <c r="P319" s="10" t="s">
        <v>17</v>
      </c>
      <c r="Q319" s="2" t="str">
        <f>IFERROR(VLOOKUP(Tabla1[[#This Row],[USUARIO PICKING ERROR]],DATOS!H:I,2,0)," ")</f>
        <v>MAÑANA</v>
      </c>
      <c r="R319" s="27" t="str">
        <f>VLOOKUP(Tabla1[[#This Row],[DETALLE ]],DATOS!L:M,2,0)</f>
        <v>PICKING</v>
      </c>
      <c r="S319" s="41" t="str">
        <f>IFERROR(IFERROR(VLOOKUP(Tabla1[[#This Row],[USUARIO PICKING ERROR]],DATOS!H:J,3,0),VLOOKUP(Tabla1[[#This Row],[USUARIO FILTRO ERROR]],DATOS!O:P,2,0)),"-")</f>
        <v>BENJAMIN LIZARBE</v>
      </c>
      <c r="T319" s="27" t="str">
        <f>UPPER(VLOOKUP(Tabla1[[#This Row],[CODIGO]],DATOS!A:E,5,0))</f>
        <v>FLUJO CONTINUO</v>
      </c>
      <c r="U319" s="31">
        <f>(Tabla1[[#This Row],[CANTIDAD]])*(VLOOKUP(Tabla1[[#This Row],[CODIGO]],DATOS!A:D,4,0))</f>
        <v>13.61</v>
      </c>
      <c r="V319" s="31" t="str">
        <f>VLOOKUP(Tabla1[[#This Row],[CODIGO]],DATOS!A:C,3,0)</f>
        <v>ABARROTES NO COMESTIBLES</v>
      </c>
      <c r="W319" s="31" t="s">
        <v>13324</v>
      </c>
      <c r="X319" s="28" t="s">
        <v>13086</v>
      </c>
      <c r="Y319" s="28" t="s">
        <v>13113</v>
      </c>
    </row>
    <row r="320" spans="1:25" ht="12" customHeight="1" x14ac:dyDescent="0.25">
      <c r="A320" s="46">
        <v>45731</v>
      </c>
      <c r="B320" s="2" t="s">
        <v>12987</v>
      </c>
      <c r="C320" s="2">
        <v>7620871032</v>
      </c>
      <c r="D320" s="2">
        <v>991236</v>
      </c>
      <c r="E320" s="2" t="s">
        <v>7886</v>
      </c>
      <c r="F320" s="2">
        <v>12</v>
      </c>
      <c r="G320" s="2" t="s">
        <v>13150</v>
      </c>
      <c r="H320" s="2" t="s">
        <v>17</v>
      </c>
      <c r="I320" s="75" t="s">
        <v>12940</v>
      </c>
      <c r="J320" s="9" t="s">
        <v>15</v>
      </c>
      <c r="K320" s="10" t="s">
        <v>15</v>
      </c>
      <c r="L320" s="10" t="s">
        <v>90</v>
      </c>
      <c r="M320" s="10" t="str">
        <f>Tabla1[[#This Row],[FILTRADOR]]</f>
        <v>PIERO ESPILCO</v>
      </c>
      <c r="N320" s="10" t="s">
        <v>12957</v>
      </c>
      <c r="O320" s="10" t="s">
        <v>13168</v>
      </c>
      <c r="P320" s="10" t="s">
        <v>28</v>
      </c>
      <c r="Q320" s="2" t="str">
        <f>IFERROR(VLOOKUP(Tabla1[[#This Row],[USUARIO PICKING ERROR]],DATOS!H:I,2,0)," ")</f>
        <v>MAÑANA</v>
      </c>
      <c r="R320" s="27" t="str">
        <f>VLOOKUP(Tabla1[[#This Row],[DETALLE ]],DATOS!L:M,2,0)</f>
        <v>FILTRO</v>
      </c>
      <c r="S320" s="41" t="str">
        <f>IFERROR(IFERROR(VLOOKUP(Tabla1[[#This Row],[USUARIO PICKING ERROR]],DATOS!H:J,3,0),VLOOKUP(Tabla1[[#This Row],[USUARIO FILTRO ERROR]],DATOS!O:P,2,0)),"-")</f>
        <v>BENJAMIN LIZARBE</v>
      </c>
      <c r="T320" s="27" t="str">
        <f>UPPER(VLOOKUP(Tabla1[[#This Row],[CODIGO]],DATOS!A:E,5,0))</f>
        <v>FLUJO CONTINUO</v>
      </c>
      <c r="U320" s="31">
        <f>(Tabla1[[#This Row],[CANTIDAD]])*(VLOOKUP(Tabla1[[#This Row],[CODIGO]],DATOS!A:D,4,0))</f>
        <v>198</v>
      </c>
      <c r="V320" s="31" t="str">
        <f>VLOOKUP(Tabla1[[#This Row],[CODIGO]],DATOS!A:C,3,0)</f>
        <v>ABARROTES BEBIBLES</v>
      </c>
      <c r="W320" s="31" t="s">
        <v>13324</v>
      </c>
      <c r="X320" s="28" t="s">
        <v>13086</v>
      </c>
      <c r="Y320" s="28" t="s">
        <v>13111</v>
      </c>
    </row>
    <row r="321" spans="1:25" ht="12" customHeight="1" x14ac:dyDescent="0.25">
      <c r="A321" s="46">
        <v>45731</v>
      </c>
      <c r="B321" s="2" t="s">
        <v>12975</v>
      </c>
      <c r="C321" s="2">
        <v>7620872854</v>
      </c>
      <c r="D321" s="2">
        <v>543546</v>
      </c>
      <c r="E321" s="2" t="s">
        <v>2771</v>
      </c>
      <c r="F321" s="2">
        <v>6</v>
      </c>
      <c r="G321" s="2" t="s">
        <v>13150</v>
      </c>
      <c r="H321" s="2" t="s">
        <v>17</v>
      </c>
      <c r="I321" s="75" t="s">
        <v>12940</v>
      </c>
      <c r="J321" s="9" t="s">
        <v>15</v>
      </c>
      <c r="K321" s="10" t="s">
        <v>15</v>
      </c>
      <c r="L321" s="10" t="s">
        <v>35</v>
      </c>
      <c r="M321" s="10" t="s">
        <v>13150</v>
      </c>
      <c r="N321" s="10" t="s">
        <v>12957</v>
      </c>
      <c r="O321" s="10" t="s">
        <v>13168</v>
      </c>
      <c r="P321" s="10" t="s">
        <v>28</v>
      </c>
      <c r="Q321" s="2" t="str">
        <f>IFERROR(VLOOKUP(Tabla1[[#This Row],[USUARIO PICKING ERROR]],DATOS!H:I,2,0)," ")</f>
        <v>MAÑANA</v>
      </c>
      <c r="R321" s="27" t="str">
        <f>VLOOKUP(Tabla1[[#This Row],[DETALLE ]],DATOS!L:M,2,0)</f>
        <v>FILTRO</v>
      </c>
      <c r="S321" s="41" t="str">
        <f>IFERROR(IFERROR(VLOOKUP(Tabla1[[#This Row],[USUARIO PICKING ERROR]],DATOS!H:J,3,0),VLOOKUP(Tabla1[[#This Row],[USUARIO FILTRO ERROR]],DATOS!O:P,2,0)),"-")</f>
        <v>BENJAMIN LIZARBE</v>
      </c>
      <c r="T321" s="27" t="str">
        <f>UPPER(VLOOKUP(Tabla1[[#This Row],[CODIGO]],DATOS!A:E,5,0))</f>
        <v>FLUJO CONTINUO</v>
      </c>
      <c r="U321" s="31">
        <f>(Tabla1[[#This Row],[CANTIDAD]])*(VLOOKUP(Tabla1[[#This Row],[CODIGO]],DATOS!A:D,4,0))</f>
        <v>392.34000000000003</v>
      </c>
      <c r="V321" s="31" t="str">
        <f>VLOOKUP(Tabla1[[#This Row],[CODIGO]],DATOS!A:C,3,0)</f>
        <v>ABARROTES BEBIBLES</v>
      </c>
      <c r="W321" s="31" t="s">
        <v>13324</v>
      </c>
      <c r="X321" s="28" t="s">
        <v>13086</v>
      </c>
      <c r="Y321" s="28" t="s">
        <v>13111</v>
      </c>
    </row>
    <row r="322" spans="1:25" ht="12" customHeight="1" x14ac:dyDescent="0.25">
      <c r="A322" s="46">
        <v>45731</v>
      </c>
      <c r="B322" s="2" t="s">
        <v>12978</v>
      </c>
      <c r="C322" s="2">
        <v>7620869556</v>
      </c>
      <c r="D322" s="2">
        <v>482702001</v>
      </c>
      <c r="E322" s="2" t="s">
        <v>9729</v>
      </c>
      <c r="F322" s="2">
        <v>1</v>
      </c>
      <c r="G322" s="2" t="s">
        <v>12939</v>
      </c>
      <c r="H322" s="2" t="s">
        <v>17</v>
      </c>
      <c r="I322" s="75" t="s">
        <v>12940</v>
      </c>
      <c r="J322" s="9" t="s">
        <v>15</v>
      </c>
      <c r="K322" s="10" t="s">
        <v>15</v>
      </c>
      <c r="L322" s="10" t="s">
        <v>13167</v>
      </c>
      <c r="M322" s="10" t="s">
        <v>12939</v>
      </c>
      <c r="N322" s="10" t="s">
        <v>12957</v>
      </c>
      <c r="O322" s="10" t="s">
        <v>13168</v>
      </c>
      <c r="P322" s="10" t="s">
        <v>28</v>
      </c>
      <c r="Q322" s="2" t="str">
        <f>IFERROR(VLOOKUP(Tabla1[[#This Row],[USUARIO PICKING ERROR]],DATOS!H:I,2,0)," ")</f>
        <v>TARDE</v>
      </c>
      <c r="R322" s="27" t="str">
        <f>VLOOKUP(Tabla1[[#This Row],[DETALLE ]],DATOS!L:M,2,0)</f>
        <v>FILTRO</v>
      </c>
      <c r="S322" s="41" t="str">
        <f>IFERROR(IFERROR(VLOOKUP(Tabla1[[#This Row],[USUARIO PICKING ERROR]],DATOS!H:J,3,0),VLOOKUP(Tabla1[[#This Row],[USUARIO FILTRO ERROR]],DATOS!O:P,2,0)),"-")</f>
        <v>BENJAMIN LIZARBE</v>
      </c>
      <c r="T322" s="27" t="str">
        <f>UPPER(VLOOKUP(Tabla1[[#This Row],[CODIGO]],DATOS!A:E,5,0))</f>
        <v>FLUJO CONTINUO</v>
      </c>
      <c r="U322" s="31">
        <f>(Tabla1[[#This Row],[CANTIDAD]])*(VLOOKUP(Tabla1[[#This Row],[CODIGO]],DATOS!A:D,4,0))</f>
        <v>76.42</v>
      </c>
      <c r="V322" s="31" t="str">
        <f>VLOOKUP(Tabla1[[#This Row],[CODIGO]],DATOS!A:C,3,0)</f>
        <v>ABARROTES BEBIBLES</v>
      </c>
      <c r="W322" s="31" t="s">
        <v>13324</v>
      </c>
      <c r="X322" s="28" t="s">
        <v>13086</v>
      </c>
      <c r="Y322" s="28" t="s">
        <v>13111</v>
      </c>
    </row>
    <row r="323" spans="1:25" ht="12" customHeight="1" x14ac:dyDescent="0.25">
      <c r="A323" s="46">
        <v>45731</v>
      </c>
      <c r="B323" s="2" t="s">
        <v>12978</v>
      </c>
      <c r="C323" s="2">
        <v>7620869556</v>
      </c>
      <c r="D323" s="2">
        <v>172826</v>
      </c>
      <c r="E323" s="2" t="s">
        <v>1198</v>
      </c>
      <c r="F323" s="2">
        <v>1</v>
      </c>
      <c r="G323" s="2" t="s">
        <v>12939</v>
      </c>
      <c r="H323" s="2" t="s">
        <v>17</v>
      </c>
      <c r="I323" s="75" t="s">
        <v>12940</v>
      </c>
      <c r="J323" s="9" t="s">
        <v>15</v>
      </c>
      <c r="K323" s="10" t="s">
        <v>15</v>
      </c>
      <c r="L323" s="10" t="s">
        <v>57</v>
      </c>
      <c r="M323" s="10" t="s">
        <v>12939</v>
      </c>
      <c r="N323" s="10" t="s">
        <v>12957</v>
      </c>
      <c r="O323" s="10" t="s">
        <v>13168</v>
      </c>
      <c r="P323" s="10" t="s">
        <v>28</v>
      </c>
      <c r="Q323" s="2" t="str">
        <f>IFERROR(VLOOKUP(Tabla1[[#This Row],[USUARIO PICKING ERROR]],DATOS!H:I,2,0)," ")</f>
        <v>TARDE</v>
      </c>
      <c r="R323" s="27" t="str">
        <f>VLOOKUP(Tabla1[[#This Row],[DETALLE ]],DATOS!L:M,2,0)</f>
        <v>FILTRO</v>
      </c>
      <c r="S323" s="41" t="str">
        <f>IFERROR(IFERROR(VLOOKUP(Tabla1[[#This Row],[USUARIO PICKING ERROR]],DATOS!H:J,3,0),VLOOKUP(Tabla1[[#This Row],[USUARIO FILTRO ERROR]],DATOS!O:P,2,0)),"-")</f>
        <v>DAVID PIÑAN</v>
      </c>
      <c r="T323" s="27" t="str">
        <f>UPPER(VLOOKUP(Tabla1[[#This Row],[CODIGO]],DATOS!A:E,5,0))</f>
        <v>FLUJO CONTINUO</v>
      </c>
      <c r="U323" s="31">
        <f>(Tabla1[[#This Row],[CANTIDAD]])*(VLOOKUP(Tabla1[[#This Row],[CODIGO]],DATOS!A:D,4,0))</f>
        <v>45.28</v>
      </c>
      <c r="V323" s="31" t="str">
        <f>VLOOKUP(Tabla1[[#This Row],[CODIGO]],DATOS!A:C,3,0)</f>
        <v>ABARROTES BEBIBLES</v>
      </c>
      <c r="W323" s="31" t="s">
        <v>13324</v>
      </c>
      <c r="X323" s="28" t="s">
        <v>13086</v>
      </c>
      <c r="Y323" s="28" t="s">
        <v>13111</v>
      </c>
    </row>
    <row r="324" spans="1:25" ht="12" customHeight="1" x14ac:dyDescent="0.25">
      <c r="A324" s="46">
        <v>45731</v>
      </c>
      <c r="B324" s="2" t="s">
        <v>74</v>
      </c>
      <c r="C324" s="2">
        <v>7620864442</v>
      </c>
      <c r="D324" s="2">
        <v>80996</v>
      </c>
      <c r="E324" s="2" t="s">
        <v>983</v>
      </c>
      <c r="F324" s="2">
        <v>4</v>
      </c>
      <c r="G324" s="2" t="s">
        <v>15</v>
      </c>
      <c r="H324" s="2" t="s">
        <v>25</v>
      </c>
      <c r="I324" s="75" t="s">
        <v>12940</v>
      </c>
      <c r="J324" s="9" t="s">
        <v>12973</v>
      </c>
      <c r="K324" s="10">
        <v>7620854911</v>
      </c>
      <c r="L324" s="10" t="s">
        <v>57</v>
      </c>
      <c r="M324" s="10" t="s">
        <v>15</v>
      </c>
      <c r="N324" s="10" t="s">
        <v>18</v>
      </c>
      <c r="O324" s="10" t="s">
        <v>13103</v>
      </c>
      <c r="P324" s="10" t="s">
        <v>28</v>
      </c>
      <c r="Q324" s="2" t="str">
        <f>IFERROR(VLOOKUP(Tabla1[[#This Row],[USUARIO PICKING ERROR]],DATOS!H:I,2,0)," ")</f>
        <v>TARDE</v>
      </c>
      <c r="R324" s="27" t="str">
        <f>VLOOKUP(Tabla1[[#This Row],[DETALLE ]],DATOS!L:M,2,0)</f>
        <v>PICKING</v>
      </c>
      <c r="S324" s="41" t="str">
        <f>IFERROR(IFERROR(VLOOKUP(Tabla1[[#This Row],[USUARIO PICKING ERROR]],DATOS!H:J,3,0),VLOOKUP(Tabla1[[#This Row],[USUARIO FILTRO ERROR]],DATOS!O:P,2,0)),"-")</f>
        <v>DAVID PIÑAN</v>
      </c>
      <c r="T324" s="27" t="str">
        <f>UPPER(VLOOKUP(Tabla1[[#This Row],[CODIGO]],DATOS!A:E,5,0))</f>
        <v>FLUJO CONTINUO</v>
      </c>
      <c r="U324" s="31">
        <f>(Tabla1[[#This Row],[CANTIDAD]])*(VLOOKUP(Tabla1[[#This Row],[CODIGO]],DATOS!A:D,4,0))</f>
        <v>172.56</v>
      </c>
      <c r="V324" s="31" t="str">
        <f>VLOOKUP(Tabla1[[#This Row],[CODIGO]],DATOS!A:C,3,0)</f>
        <v>ABARROTES BEBIBLES</v>
      </c>
      <c r="W324" s="31" t="s">
        <v>13324</v>
      </c>
      <c r="X324" s="28" t="s">
        <v>13086</v>
      </c>
      <c r="Y324" s="28" t="s">
        <v>13111</v>
      </c>
    </row>
    <row r="325" spans="1:25" ht="12" customHeight="1" x14ac:dyDescent="0.25">
      <c r="A325" s="46">
        <v>45731</v>
      </c>
      <c r="B325" s="2" t="s">
        <v>74</v>
      </c>
      <c r="C325" s="2">
        <v>7620864442</v>
      </c>
      <c r="D325" s="2">
        <v>567862002</v>
      </c>
      <c r="E325" s="2" t="s">
        <v>119</v>
      </c>
      <c r="F325" s="2">
        <v>1</v>
      </c>
      <c r="G325" s="2" t="s">
        <v>15</v>
      </c>
      <c r="H325" s="2" t="s">
        <v>25</v>
      </c>
      <c r="I325" s="75" t="s">
        <v>12940</v>
      </c>
      <c r="J325" s="9" t="s">
        <v>73</v>
      </c>
      <c r="K325" s="10">
        <v>7620859261</v>
      </c>
      <c r="L325" s="10" t="s">
        <v>84</v>
      </c>
      <c r="M325" s="10" t="s">
        <v>15</v>
      </c>
      <c r="N325" s="10" t="s">
        <v>18</v>
      </c>
      <c r="O325" s="10" t="s">
        <v>13103</v>
      </c>
      <c r="P325" s="10" t="s">
        <v>28</v>
      </c>
      <c r="Q325" s="2" t="str">
        <f>IFERROR(VLOOKUP(Tabla1[[#This Row],[USUARIO PICKING ERROR]],DATOS!H:I,2,0)," ")</f>
        <v>TARDE</v>
      </c>
      <c r="R325" s="27" t="str">
        <f>VLOOKUP(Tabla1[[#This Row],[DETALLE ]],DATOS!L:M,2,0)</f>
        <v>PICKING</v>
      </c>
      <c r="S325" s="41" t="str">
        <f>IFERROR(IFERROR(VLOOKUP(Tabla1[[#This Row],[USUARIO PICKING ERROR]],DATOS!H:J,3,0),VLOOKUP(Tabla1[[#This Row],[USUARIO FILTRO ERROR]],DATOS!O:P,2,0)),"-")</f>
        <v>DAVID PIÑAN</v>
      </c>
      <c r="T325" s="27" t="str">
        <f>UPPER(VLOOKUP(Tabla1[[#This Row],[CODIGO]],DATOS!A:E,5,0))</f>
        <v>FLUJO CONTINUO</v>
      </c>
      <c r="U325" s="31">
        <f>(Tabla1[[#This Row],[CANTIDAD]])*(VLOOKUP(Tabla1[[#This Row],[CODIGO]],DATOS!A:D,4,0))</f>
        <v>3.1</v>
      </c>
      <c r="V325" s="31" t="str">
        <f>VLOOKUP(Tabla1[[#This Row],[CODIGO]],DATOS!A:C,3,0)</f>
        <v>ABARROTES BEBIBLES</v>
      </c>
      <c r="W325" s="31" t="s">
        <v>13324</v>
      </c>
      <c r="X325" s="28" t="s">
        <v>13086</v>
      </c>
      <c r="Y325" s="28" t="s">
        <v>13111</v>
      </c>
    </row>
    <row r="326" spans="1:25" ht="12" customHeight="1" x14ac:dyDescent="0.25">
      <c r="A326" s="46">
        <v>45731</v>
      </c>
      <c r="B326" s="2" t="s">
        <v>12963</v>
      </c>
      <c r="C326" s="2">
        <v>7620869715</v>
      </c>
      <c r="D326" s="2">
        <v>10464</v>
      </c>
      <c r="E326" s="2" t="s">
        <v>553</v>
      </c>
      <c r="F326" s="2">
        <v>1</v>
      </c>
      <c r="G326" s="2" t="s">
        <v>15</v>
      </c>
      <c r="H326" s="2" t="s">
        <v>25</v>
      </c>
      <c r="I326" s="75" t="s">
        <v>12940</v>
      </c>
      <c r="J326" s="9" t="s">
        <v>12963</v>
      </c>
      <c r="K326" s="10">
        <v>7620869715</v>
      </c>
      <c r="L326" s="10" t="s">
        <v>84</v>
      </c>
      <c r="M326" s="10" t="s">
        <v>12939</v>
      </c>
      <c r="N326" s="10" t="s">
        <v>13090</v>
      </c>
      <c r="O326" s="10" t="s">
        <v>13103</v>
      </c>
      <c r="P326" s="10" t="s">
        <v>25</v>
      </c>
      <c r="Q326" s="2" t="str">
        <f>IFERROR(VLOOKUP(Tabla1[[#This Row],[USUARIO PICKING ERROR]],DATOS!H:I,2,0)," ")</f>
        <v>TARDE</v>
      </c>
      <c r="R326" s="27" t="str">
        <f>VLOOKUP(Tabla1[[#This Row],[DETALLE ]],DATOS!L:M,2,0)</f>
        <v>PICKING / FILTRO</v>
      </c>
      <c r="S326" s="41" t="str">
        <f>IFERROR(IFERROR(VLOOKUP(Tabla1[[#This Row],[USUARIO PICKING ERROR]],DATOS!H:J,3,0),VLOOKUP(Tabla1[[#This Row],[USUARIO FILTRO ERROR]],DATOS!O:P,2,0)),"-")</f>
        <v>DAVID PIÑAN</v>
      </c>
      <c r="T326" s="27" t="str">
        <f>UPPER(VLOOKUP(Tabla1[[#This Row],[CODIGO]],DATOS!A:E,5,0))</f>
        <v>FLUJO CONTINUO</v>
      </c>
      <c r="U326" s="31">
        <f>(Tabla1[[#This Row],[CANTIDAD]])*(VLOOKUP(Tabla1[[#This Row],[CODIGO]],DATOS!A:D,4,0))</f>
        <v>89.12</v>
      </c>
      <c r="V326" s="31" t="str">
        <f>VLOOKUP(Tabla1[[#This Row],[CODIGO]],DATOS!A:C,3,0)</f>
        <v>ABARROTES BEBIBLES</v>
      </c>
      <c r="W326" s="31" t="s">
        <v>13324</v>
      </c>
      <c r="X326" s="28" t="s">
        <v>13086</v>
      </c>
      <c r="Y326" s="28" t="s">
        <v>13111</v>
      </c>
    </row>
    <row r="327" spans="1:25" ht="12" customHeight="1" x14ac:dyDescent="0.25">
      <c r="A327" s="46">
        <v>45731</v>
      </c>
      <c r="B327" s="2" t="s">
        <v>15</v>
      </c>
      <c r="C327" s="2" t="s">
        <v>15</v>
      </c>
      <c r="D327" s="2">
        <v>531496</v>
      </c>
      <c r="E327" s="2" t="s">
        <v>2816</v>
      </c>
      <c r="F327" s="2">
        <v>2</v>
      </c>
      <c r="G327" s="2" t="s">
        <v>15</v>
      </c>
      <c r="H327" s="2" t="s">
        <v>25</v>
      </c>
      <c r="I327" s="75" t="s">
        <v>12940</v>
      </c>
      <c r="J327" s="9" t="s">
        <v>127</v>
      </c>
      <c r="K327" s="10">
        <v>7640115047</v>
      </c>
      <c r="L327" s="10" t="s">
        <v>12900</v>
      </c>
      <c r="M327" s="10" t="s">
        <v>15</v>
      </c>
      <c r="N327" s="10" t="s">
        <v>18</v>
      </c>
      <c r="O327" s="10" t="s">
        <v>13103</v>
      </c>
      <c r="P327" s="10" t="s">
        <v>28</v>
      </c>
      <c r="Q327" s="2" t="str">
        <f>IFERROR(VLOOKUP(Tabla1[[#This Row],[USUARIO PICKING ERROR]],DATOS!H:I,2,0)," ")</f>
        <v>MAÑANA</v>
      </c>
      <c r="R327" s="27" t="str">
        <f>VLOOKUP(Tabla1[[#This Row],[DETALLE ]],DATOS!L:M,2,0)</f>
        <v>PICKING</v>
      </c>
      <c r="S327" s="41" t="str">
        <f>IFERROR(IFERROR(VLOOKUP(Tabla1[[#This Row],[USUARIO PICKING ERROR]],DATOS!H:J,3,0),VLOOKUP(Tabla1[[#This Row],[USUARIO FILTRO ERROR]],DATOS!O:P,2,0)),"-")</f>
        <v>BENJAMIN LIZARBE</v>
      </c>
      <c r="T327" s="27" t="str">
        <f>UPPER(VLOOKUP(Tabla1[[#This Row],[CODIGO]],DATOS!A:E,5,0))</f>
        <v>ALMACENADO</v>
      </c>
      <c r="U327" s="31">
        <f>(Tabla1[[#This Row],[CANTIDAD]])*(VLOOKUP(Tabla1[[#This Row],[CODIGO]],DATOS!A:D,4,0))</f>
        <v>359.92</v>
      </c>
      <c r="V327" s="31" t="str">
        <f>VLOOKUP(Tabla1[[#This Row],[CODIGO]],DATOS!A:C,3,0)</f>
        <v>ABARROTES BEBIBLES</v>
      </c>
      <c r="W327" s="31" t="s">
        <v>13324</v>
      </c>
      <c r="X327" s="28" t="s">
        <v>13086</v>
      </c>
      <c r="Y327" s="28" t="s">
        <v>13111</v>
      </c>
    </row>
    <row r="328" spans="1:25" ht="12" customHeight="1" x14ac:dyDescent="0.25">
      <c r="A328" s="46">
        <v>45731</v>
      </c>
      <c r="B328" s="2" t="s">
        <v>13148</v>
      </c>
      <c r="C328" s="2">
        <v>7620871449</v>
      </c>
      <c r="D328" s="2">
        <v>865350</v>
      </c>
      <c r="E328" s="2" t="s">
        <v>4881</v>
      </c>
      <c r="F328" s="2">
        <v>1</v>
      </c>
      <c r="G328" s="2" t="s">
        <v>49</v>
      </c>
      <c r="H328" s="2" t="s">
        <v>17</v>
      </c>
      <c r="I328" s="75" t="s">
        <v>12940</v>
      </c>
      <c r="J328" s="9" t="s">
        <v>15</v>
      </c>
      <c r="K328" s="10" t="s">
        <v>15</v>
      </c>
      <c r="L328" s="10" t="s">
        <v>67</v>
      </c>
      <c r="M328" s="10" t="s">
        <v>15</v>
      </c>
      <c r="N328" s="10" t="s">
        <v>18</v>
      </c>
      <c r="O328" s="10" t="s">
        <v>13103</v>
      </c>
      <c r="P328" s="10" t="s">
        <v>28</v>
      </c>
      <c r="Q328" s="2" t="str">
        <f>IFERROR(VLOOKUP(Tabla1[[#This Row],[USUARIO PICKING ERROR]],DATOS!H:I,2,0)," ")</f>
        <v>MAÑANA</v>
      </c>
      <c r="R328" s="27" t="str">
        <f>VLOOKUP(Tabla1[[#This Row],[DETALLE ]],DATOS!L:M,2,0)</f>
        <v>PICKING</v>
      </c>
      <c r="S328" s="41" t="str">
        <f>IFERROR(IFERROR(VLOOKUP(Tabla1[[#This Row],[USUARIO PICKING ERROR]],DATOS!H:J,3,0),VLOOKUP(Tabla1[[#This Row],[USUARIO FILTRO ERROR]],DATOS!O:P,2,0)),"-")</f>
        <v>BENJAMIN LIZARBE</v>
      </c>
      <c r="T328" s="27" t="str">
        <f>UPPER(VLOOKUP(Tabla1[[#This Row],[CODIGO]],DATOS!A:E,5,0))</f>
        <v>FLUJO CONTINUO</v>
      </c>
      <c r="U328" s="31">
        <f>(Tabla1[[#This Row],[CANTIDAD]])*(VLOOKUP(Tabla1[[#This Row],[CODIGO]],DATOS!A:D,4,0))</f>
        <v>12.68</v>
      </c>
      <c r="V328" s="31" t="str">
        <f>VLOOKUP(Tabla1[[#This Row],[CODIGO]],DATOS!A:C,3,0)</f>
        <v>ABARROTES BEBIBLES</v>
      </c>
      <c r="W328" s="31" t="s">
        <v>13324</v>
      </c>
      <c r="X328" s="28" t="s">
        <v>13086</v>
      </c>
      <c r="Y328" s="28" t="s">
        <v>13111</v>
      </c>
    </row>
    <row r="329" spans="1:25" ht="12" customHeight="1" x14ac:dyDescent="0.25">
      <c r="A329" s="46">
        <v>45731</v>
      </c>
      <c r="B329" s="2" t="s">
        <v>15</v>
      </c>
      <c r="C329" s="2" t="s">
        <v>15</v>
      </c>
      <c r="D329" s="2">
        <v>984588</v>
      </c>
      <c r="E329" s="2" t="s">
        <v>7529</v>
      </c>
      <c r="F329" s="2">
        <v>24</v>
      </c>
      <c r="G329" s="2" t="s">
        <v>13118</v>
      </c>
      <c r="H329" s="2" t="s">
        <v>25</v>
      </c>
      <c r="I329" s="75" t="s">
        <v>12940</v>
      </c>
      <c r="J329" s="9" t="s">
        <v>15</v>
      </c>
      <c r="K329" s="10" t="s">
        <v>15</v>
      </c>
      <c r="L329" s="10" t="s">
        <v>14</v>
      </c>
      <c r="M329" s="10" t="s">
        <v>15</v>
      </c>
      <c r="N329" s="10" t="s">
        <v>18</v>
      </c>
      <c r="O329" s="10" t="s">
        <v>13103</v>
      </c>
      <c r="P329" s="10" t="s">
        <v>28</v>
      </c>
      <c r="Q329" s="2" t="str">
        <f>IFERROR(VLOOKUP(Tabla1[[#This Row],[USUARIO PICKING ERROR]],DATOS!H:I,2,0)," ")</f>
        <v>ALMACEN</v>
      </c>
      <c r="R329" s="27" t="str">
        <f>VLOOKUP(Tabla1[[#This Row],[DETALLE ]],DATOS!L:M,2,0)</f>
        <v>PICKING</v>
      </c>
      <c r="S329" s="41" t="str">
        <f>IFERROR(IFERROR(VLOOKUP(Tabla1[[#This Row],[USUARIO PICKING ERROR]],DATOS!H:J,3,0),VLOOKUP(Tabla1[[#This Row],[USUARIO FILTRO ERROR]],DATOS!O:P,2,0)),"-")</f>
        <v>ALMACEN</v>
      </c>
      <c r="T329" s="27" t="str">
        <f>UPPER(VLOOKUP(Tabla1[[#This Row],[CODIGO]],DATOS!A:E,5,0))</f>
        <v>FLUJO CONTINUO</v>
      </c>
      <c r="U329" s="31">
        <f>(Tabla1[[#This Row],[CANTIDAD]])*(VLOOKUP(Tabla1[[#This Row],[CODIGO]],DATOS!A:D,4,0))</f>
        <v>158.39999999999998</v>
      </c>
      <c r="V329" s="31" t="str">
        <f>VLOOKUP(Tabla1[[#This Row],[CODIGO]],DATOS!A:C,3,0)</f>
        <v>ABARROTES COMESTIBLES</v>
      </c>
      <c r="W329" s="31" t="s">
        <v>13324</v>
      </c>
      <c r="X329" s="28" t="s">
        <v>13086</v>
      </c>
      <c r="Y329" s="28" t="s">
        <v>13111</v>
      </c>
    </row>
    <row r="330" spans="1:25" ht="12" customHeight="1" x14ac:dyDescent="0.25">
      <c r="A330" s="46">
        <v>45733</v>
      </c>
      <c r="B330" s="2" t="s">
        <v>15</v>
      </c>
      <c r="C330" s="2" t="s">
        <v>15</v>
      </c>
      <c r="D330" s="2">
        <v>70841003</v>
      </c>
      <c r="E330" s="2" t="s">
        <v>9605</v>
      </c>
      <c r="F330" s="2">
        <v>12</v>
      </c>
      <c r="G330" s="2" t="s">
        <v>15</v>
      </c>
      <c r="H330" s="2" t="s">
        <v>25</v>
      </c>
      <c r="I330" s="75" t="s">
        <v>13142</v>
      </c>
      <c r="J330" s="9" t="s">
        <v>12985</v>
      </c>
      <c r="K330" s="10">
        <v>7620864515</v>
      </c>
      <c r="L330" s="10" t="s">
        <v>12900</v>
      </c>
      <c r="M330" s="10" t="s">
        <v>15</v>
      </c>
      <c r="N330" s="10" t="s">
        <v>18</v>
      </c>
      <c r="O330" s="10" t="s">
        <v>13103</v>
      </c>
      <c r="P330" s="10" t="s">
        <v>25</v>
      </c>
      <c r="Q330" s="2" t="str">
        <f>IFERROR(VLOOKUP(Tabla1[[#This Row],[USUARIO PICKING ERROR]],DATOS!H:I,2,0)," ")</f>
        <v>MAÑANA</v>
      </c>
      <c r="R330" s="27" t="str">
        <f>VLOOKUP(Tabla1[[#This Row],[DETALLE ]],DATOS!L:M,2,0)</f>
        <v>PICKING</v>
      </c>
      <c r="S330" s="41" t="str">
        <f>IFERROR(IFERROR(VLOOKUP(Tabla1[[#This Row],[USUARIO PICKING ERROR]],DATOS!H:J,3,0),VLOOKUP(Tabla1[[#This Row],[USUARIO FILTRO ERROR]],DATOS!O:P,2,0)),"-")</f>
        <v>BENJAMIN LIZARBE</v>
      </c>
      <c r="T330" s="27" t="str">
        <f>UPPER(VLOOKUP(Tabla1[[#This Row],[CODIGO]],DATOS!A:E,5,0))</f>
        <v>ALMACENADO</v>
      </c>
      <c r="U330" s="31">
        <f>(Tabla1[[#This Row],[CANTIDAD]])*(VLOOKUP(Tabla1[[#This Row],[CODIGO]],DATOS!A:D,4,0))</f>
        <v>30.72</v>
      </c>
      <c r="V330" s="31" t="str">
        <f>VLOOKUP(Tabla1[[#This Row],[CODIGO]],DATOS!A:C,3,0)</f>
        <v>ABARROTES COMESTIBLES</v>
      </c>
      <c r="W330" s="31" t="s">
        <v>13324</v>
      </c>
      <c r="X330" s="28" t="s">
        <v>13086</v>
      </c>
      <c r="Y330" s="28" t="s">
        <v>13111</v>
      </c>
    </row>
    <row r="331" spans="1:25" ht="12" customHeight="1" x14ac:dyDescent="0.25">
      <c r="A331" s="46">
        <v>45733</v>
      </c>
      <c r="B331" s="2" t="s">
        <v>130</v>
      </c>
      <c r="C331" s="2">
        <v>7640115805</v>
      </c>
      <c r="D331" s="2">
        <v>892485</v>
      </c>
      <c r="E331" s="2" t="s">
        <v>5809</v>
      </c>
      <c r="F331" s="2">
        <v>12</v>
      </c>
      <c r="G331" s="2" t="s">
        <v>52</v>
      </c>
      <c r="H331" s="2" t="s">
        <v>25</v>
      </c>
      <c r="I331" s="75" t="s">
        <v>13140</v>
      </c>
      <c r="J331" s="9" t="s">
        <v>130</v>
      </c>
      <c r="K331" s="10" t="s">
        <v>13169</v>
      </c>
      <c r="L331" s="10" t="s">
        <v>132</v>
      </c>
      <c r="M331" s="10" t="s">
        <v>15</v>
      </c>
      <c r="N331" s="10" t="s">
        <v>18</v>
      </c>
      <c r="O331" s="10" t="s">
        <v>13103</v>
      </c>
      <c r="P331" s="10" t="s">
        <v>25</v>
      </c>
      <c r="Q331" s="2" t="str">
        <f>IFERROR(VLOOKUP(Tabla1[[#This Row],[USUARIO PICKING ERROR]],DATOS!H:I,2,0)," ")</f>
        <v>MAÑANA</v>
      </c>
      <c r="R331" s="27" t="str">
        <f>VLOOKUP(Tabla1[[#This Row],[DETALLE ]],DATOS!L:M,2,0)</f>
        <v>PICKING</v>
      </c>
      <c r="S331" s="41" t="str">
        <f>IFERROR(IFERROR(VLOOKUP(Tabla1[[#This Row],[USUARIO PICKING ERROR]],DATOS!H:J,3,0),VLOOKUP(Tabla1[[#This Row],[USUARIO FILTRO ERROR]],DATOS!O:P,2,0)),"-")</f>
        <v>BENJAMIN LIZARBE</v>
      </c>
      <c r="T331" s="27" t="str">
        <f>UPPER(VLOOKUP(Tabla1[[#This Row],[CODIGO]],DATOS!A:E,5,0))</f>
        <v>ALMACENADO</v>
      </c>
      <c r="U331" s="31">
        <f>(Tabla1[[#This Row],[CANTIDAD]])*(VLOOKUP(Tabla1[[#This Row],[CODIGO]],DATOS!A:D,4,0))</f>
        <v>45.599999999999994</v>
      </c>
      <c r="V331" s="31" t="str">
        <f>VLOOKUP(Tabla1[[#This Row],[CODIGO]],DATOS!A:C,3,0)</f>
        <v>ABARROTES COMESTIBLES</v>
      </c>
      <c r="W331" s="31" t="s">
        <v>13324</v>
      </c>
      <c r="X331" s="28" t="s">
        <v>13086</v>
      </c>
      <c r="Y331" s="28" t="s">
        <v>13111</v>
      </c>
    </row>
    <row r="332" spans="1:25" ht="12" customHeight="1" x14ac:dyDescent="0.25">
      <c r="A332" s="46">
        <v>45733</v>
      </c>
      <c r="B332" s="2" t="s">
        <v>13148</v>
      </c>
      <c r="C332" s="2">
        <v>7620867167</v>
      </c>
      <c r="D332" s="2">
        <v>79490040</v>
      </c>
      <c r="E332" s="2" t="s">
        <v>9270</v>
      </c>
      <c r="F332" s="2">
        <v>3</v>
      </c>
      <c r="G332" s="2" t="s">
        <v>52</v>
      </c>
      <c r="H332" s="2" t="s">
        <v>17</v>
      </c>
      <c r="I332" s="75" t="s">
        <v>13140</v>
      </c>
      <c r="J332" s="9" t="s">
        <v>15</v>
      </c>
      <c r="K332" s="10" t="s">
        <v>15</v>
      </c>
      <c r="L332" s="10" t="s">
        <v>12894</v>
      </c>
      <c r="M332" s="10" t="s">
        <v>15</v>
      </c>
      <c r="N332" s="10" t="s">
        <v>18</v>
      </c>
      <c r="O332" s="10" t="s">
        <v>13103</v>
      </c>
      <c r="P332" s="10" t="s">
        <v>25</v>
      </c>
      <c r="Q332" s="2" t="str">
        <f>IFERROR(VLOOKUP(Tabla1[[#This Row],[USUARIO PICKING ERROR]],DATOS!H:I,2,0)," ")</f>
        <v>TARDE</v>
      </c>
      <c r="R332" s="27" t="str">
        <f>VLOOKUP(Tabla1[[#This Row],[DETALLE ]],DATOS!L:M,2,0)</f>
        <v>PICKING</v>
      </c>
      <c r="S332" s="41" t="str">
        <f>IFERROR(IFERROR(VLOOKUP(Tabla1[[#This Row],[USUARIO PICKING ERROR]],DATOS!H:J,3,0),VLOOKUP(Tabla1[[#This Row],[USUARIO FILTRO ERROR]],DATOS!O:P,2,0)),"-")</f>
        <v>DAVID PIÑAN</v>
      </c>
      <c r="T332" s="27" t="str">
        <f>UPPER(VLOOKUP(Tabla1[[#This Row],[CODIGO]],DATOS!A:E,5,0))</f>
        <v>FLUJO CONTINUO</v>
      </c>
      <c r="U332" s="31">
        <f>(Tabla1[[#This Row],[CANTIDAD]])*(VLOOKUP(Tabla1[[#This Row],[CODIGO]],DATOS!A:D,4,0))</f>
        <v>55.019999999999996</v>
      </c>
      <c r="V332" s="31" t="str">
        <f>VLOOKUP(Tabla1[[#This Row],[CODIGO]],DATOS!A:C,3,0)</f>
        <v>ABARROTES NO COMESTIBLES</v>
      </c>
      <c r="W332" s="31" t="s">
        <v>13324</v>
      </c>
      <c r="X332" s="28" t="s">
        <v>13086</v>
      </c>
      <c r="Y332" s="28" t="s">
        <v>13111</v>
      </c>
    </row>
    <row r="333" spans="1:25" ht="12" customHeight="1" x14ac:dyDescent="0.25">
      <c r="A333" s="46">
        <v>45733</v>
      </c>
      <c r="B333" s="2" t="s">
        <v>13148</v>
      </c>
      <c r="C333" s="2">
        <v>7620867167</v>
      </c>
      <c r="D333" s="2">
        <v>753918002</v>
      </c>
      <c r="E333" s="2" t="s">
        <v>10143</v>
      </c>
      <c r="F333" s="2">
        <v>12</v>
      </c>
      <c r="G333" s="2" t="s">
        <v>52</v>
      </c>
      <c r="H333" s="2" t="s">
        <v>25</v>
      </c>
      <c r="I333" s="75" t="s">
        <v>13140</v>
      </c>
      <c r="J333" s="9" t="s">
        <v>15</v>
      </c>
      <c r="K333" s="10" t="s">
        <v>15</v>
      </c>
      <c r="L333" s="10" t="s">
        <v>14</v>
      </c>
      <c r="M333" s="10" t="s">
        <v>15</v>
      </c>
      <c r="N333" s="10" t="s">
        <v>18</v>
      </c>
      <c r="O333" s="10" t="s">
        <v>13103</v>
      </c>
      <c r="P333" s="10" t="s">
        <v>28</v>
      </c>
      <c r="Q333" s="2" t="str">
        <f>IFERROR(VLOOKUP(Tabla1[[#This Row],[USUARIO PICKING ERROR]],DATOS!H:I,2,0)," ")</f>
        <v>ALMACEN</v>
      </c>
      <c r="R333" s="27" t="str">
        <f>VLOOKUP(Tabla1[[#This Row],[DETALLE ]],DATOS!L:M,2,0)</f>
        <v>PICKING</v>
      </c>
      <c r="S333" s="41" t="str">
        <f>IFERROR(IFERROR(VLOOKUP(Tabla1[[#This Row],[USUARIO PICKING ERROR]],DATOS!H:J,3,0),VLOOKUP(Tabla1[[#This Row],[USUARIO FILTRO ERROR]],DATOS!O:P,2,0)),"-")</f>
        <v>ALMACEN</v>
      </c>
      <c r="T333" s="27" t="str">
        <f>UPPER(VLOOKUP(Tabla1[[#This Row],[CODIGO]],DATOS!A:E,5,0))</f>
        <v>FLUJO CONTINUO</v>
      </c>
      <c r="U333" s="31">
        <f>(Tabla1[[#This Row],[CANTIDAD]])*(VLOOKUP(Tabla1[[#This Row],[CODIGO]],DATOS!A:D,4,0))</f>
        <v>236.88</v>
      </c>
      <c r="V333" s="31" t="str">
        <f>VLOOKUP(Tabla1[[#This Row],[CODIGO]],DATOS!A:C,3,0)</f>
        <v>ABARROTES NO COMESTIBLES</v>
      </c>
      <c r="W333" s="31" t="s">
        <v>13324</v>
      </c>
      <c r="X333" s="28" t="s">
        <v>13086</v>
      </c>
      <c r="Y333" s="28" t="s">
        <v>13111</v>
      </c>
    </row>
    <row r="334" spans="1:25" ht="12" customHeight="1" x14ac:dyDescent="0.25">
      <c r="A334" s="46">
        <v>45733</v>
      </c>
      <c r="B334" s="2" t="s">
        <v>13148</v>
      </c>
      <c r="C334" s="2">
        <v>7620867167</v>
      </c>
      <c r="D334" s="2">
        <v>976651</v>
      </c>
      <c r="E334" s="2" t="s">
        <v>7216</v>
      </c>
      <c r="F334" s="2">
        <v>6</v>
      </c>
      <c r="G334" s="2" t="s">
        <v>52</v>
      </c>
      <c r="H334" s="2" t="s">
        <v>25</v>
      </c>
      <c r="I334" s="75" t="s">
        <v>13140</v>
      </c>
      <c r="J334" s="9" t="s">
        <v>13172</v>
      </c>
      <c r="K334" s="10" t="s">
        <v>13171</v>
      </c>
      <c r="L334" s="10" t="s">
        <v>13167</v>
      </c>
      <c r="M334" s="10" t="s">
        <v>15</v>
      </c>
      <c r="N334" s="10" t="s">
        <v>18</v>
      </c>
      <c r="O334" s="10" t="s">
        <v>13103</v>
      </c>
      <c r="P334" s="10" t="s">
        <v>28</v>
      </c>
      <c r="Q334" s="2" t="str">
        <f>IFERROR(VLOOKUP(Tabla1[[#This Row],[USUARIO PICKING ERROR]],DATOS!H:I,2,0)," ")</f>
        <v>TARDE</v>
      </c>
      <c r="R334" s="27" t="str">
        <f>VLOOKUP(Tabla1[[#This Row],[DETALLE ]],DATOS!L:M,2,0)</f>
        <v>PICKING</v>
      </c>
      <c r="S334" s="41" t="str">
        <f>IFERROR(IFERROR(VLOOKUP(Tabla1[[#This Row],[USUARIO PICKING ERROR]],DATOS!H:J,3,0),VLOOKUP(Tabla1[[#This Row],[USUARIO FILTRO ERROR]],DATOS!O:P,2,0)),"-")</f>
        <v>BENJAMIN LIZARBE</v>
      </c>
      <c r="T334" s="27" t="str">
        <f>UPPER(VLOOKUP(Tabla1[[#This Row],[CODIGO]],DATOS!A:E,5,0))</f>
        <v>FLUJO CONTINUO</v>
      </c>
      <c r="U334" s="31">
        <f>(Tabla1[[#This Row],[CANTIDAD]])*(VLOOKUP(Tabla1[[#This Row],[CODIGO]],DATOS!A:D,4,0))</f>
        <v>36.24</v>
      </c>
      <c r="V334" s="31" t="str">
        <f>VLOOKUP(Tabla1[[#This Row],[CODIGO]],DATOS!A:C,3,0)</f>
        <v>ABARROTES NO COMESTIBLES</v>
      </c>
      <c r="W334" s="31" t="s">
        <v>13324</v>
      </c>
      <c r="X334" s="28" t="s">
        <v>13086</v>
      </c>
      <c r="Y334" s="28" t="s">
        <v>13111</v>
      </c>
    </row>
    <row r="335" spans="1:25" ht="12" customHeight="1" x14ac:dyDescent="0.25">
      <c r="A335" s="46">
        <v>45733</v>
      </c>
      <c r="B335" s="2" t="s">
        <v>50</v>
      </c>
      <c r="C335" s="2">
        <v>7620870397</v>
      </c>
      <c r="D335" s="2">
        <v>294596009</v>
      </c>
      <c r="E335" s="2" t="s">
        <v>9477</v>
      </c>
      <c r="F335" s="2">
        <v>3</v>
      </c>
      <c r="G335" s="2" t="s">
        <v>52</v>
      </c>
      <c r="H335" s="2" t="s">
        <v>25</v>
      </c>
      <c r="I335" s="75" t="s">
        <v>13140</v>
      </c>
      <c r="J335" s="9" t="s">
        <v>15</v>
      </c>
      <c r="K335" s="10" t="s">
        <v>15</v>
      </c>
      <c r="L335" s="10" t="s">
        <v>121</v>
      </c>
      <c r="M335" s="10" t="s">
        <v>15</v>
      </c>
      <c r="N335" s="10" t="s">
        <v>18</v>
      </c>
      <c r="O335" s="10" t="s">
        <v>13103</v>
      </c>
      <c r="P335" s="10" t="s">
        <v>25</v>
      </c>
      <c r="Q335" s="2" t="str">
        <f>IFERROR(VLOOKUP(Tabla1[[#This Row],[USUARIO PICKING ERROR]],DATOS!H:I,2,0)," ")</f>
        <v>MAÑANA</v>
      </c>
      <c r="R335" s="27" t="str">
        <f>VLOOKUP(Tabla1[[#This Row],[DETALLE ]],DATOS!L:M,2,0)</f>
        <v>PICKING</v>
      </c>
      <c r="S335" s="41" t="str">
        <f>IFERROR(IFERROR(VLOOKUP(Tabla1[[#This Row],[USUARIO PICKING ERROR]],DATOS!H:J,3,0),VLOOKUP(Tabla1[[#This Row],[USUARIO FILTRO ERROR]],DATOS!O:P,2,0)),"-")</f>
        <v>BENJAMIN LIZARBE</v>
      </c>
      <c r="T335" s="27" t="str">
        <f>UPPER(VLOOKUP(Tabla1[[#This Row],[CODIGO]],DATOS!A:E,5,0))</f>
        <v>FLUJO CONTINUO</v>
      </c>
      <c r="U335" s="31">
        <f>(Tabla1[[#This Row],[CANTIDAD]])*(VLOOKUP(Tabla1[[#This Row],[CODIGO]],DATOS!A:D,4,0))</f>
        <v>75</v>
      </c>
      <c r="V335" s="31" t="str">
        <f>VLOOKUP(Tabla1[[#This Row],[CODIGO]],DATOS!A:C,3,0)</f>
        <v>ABARROTES NO COMESTIBLES</v>
      </c>
      <c r="W335" s="31" t="s">
        <v>13324</v>
      </c>
      <c r="X335" s="28" t="s">
        <v>13086</v>
      </c>
      <c r="Y335" s="28" t="s">
        <v>13111</v>
      </c>
    </row>
    <row r="336" spans="1:25" ht="12" customHeight="1" x14ac:dyDescent="0.25">
      <c r="A336" s="46">
        <v>45733</v>
      </c>
      <c r="B336" s="2" t="s">
        <v>50</v>
      </c>
      <c r="C336" s="2">
        <v>7620870397</v>
      </c>
      <c r="D336" s="2">
        <v>113219055</v>
      </c>
      <c r="E336" s="2" t="s">
        <v>9307</v>
      </c>
      <c r="F336" s="2">
        <v>1</v>
      </c>
      <c r="G336" s="2" t="s">
        <v>52</v>
      </c>
      <c r="H336" s="2" t="s">
        <v>17</v>
      </c>
      <c r="I336" s="75" t="s">
        <v>13140</v>
      </c>
      <c r="J336" s="9" t="s">
        <v>58</v>
      </c>
      <c r="K336" s="10">
        <v>7620857900</v>
      </c>
      <c r="L336" s="10" t="s">
        <v>113</v>
      </c>
      <c r="M336" s="10" t="s">
        <v>15</v>
      </c>
      <c r="N336" s="10" t="s">
        <v>18</v>
      </c>
      <c r="O336" s="10" t="s">
        <v>13103</v>
      </c>
      <c r="P336" s="10" t="s">
        <v>28</v>
      </c>
      <c r="Q336" s="2" t="str">
        <f>IFERROR(VLOOKUP(Tabla1[[#This Row],[USUARIO PICKING ERROR]],DATOS!H:I,2,0)," ")</f>
        <v>MAÑANA</v>
      </c>
      <c r="R336" s="27" t="str">
        <f>VLOOKUP(Tabla1[[#This Row],[DETALLE ]],DATOS!L:M,2,0)</f>
        <v>PICKING</v>
      </c>
      <c r="S336" s="41" t="str">
        <f>IFERROR(IFERROR(VLOOKUP(Tabla1[[#This Row],[USUARIO PICKING ERROR]],DATOS!H:J,3,0),VLOOKUP(Tabla1[[#This Row],[USUARIO FILTRO ERROR]],DATOS!O:P,2,0)),"-")</f>
        <v>BENJAMIN LIZARBE</v>
      </c>
      <c r="T336" s="27" t="str">
        <f>UPPER(VLOOKUP(Tabla1[[#This Row],[CODIGO]],DATOS!A:E,5,0))</f>
        <v>FLUJO CONTINUO</v>
      </c>
      <c r="U336" s="31">
        <f>(Tabla1[[#This Row],[CANTIDAD]])*(VLOOKUP(Tabla1[[#This Row],[CODIGO]],DATOS!A:D,4,0))</f>
        <v>25.64</v>
      </c>
      <c r="V336" s="31" t="str">
        <f>VLOOKUP(Tabla1[[#This Row],[CODIGO]],DATOS!A:C,3,0)</f>
        <v>ABARROTES NO COMESTIBLES</v>
      </c>
      <c r="W336" s="31" t="s">
        <v>13324</v>
      </c>
      <c r="X336" s="28" t="s">
        <v>13086</v>
      </c>
      <c r="Y336" s="28" t="s">
        <v>13111</v>
      </c>
    </row>
    <row r="337" spans="1:25" ht="12" customHeight="1" x14ac:dyDescent="0.25">
      <c r="A337" s="46">
        <v>45733</v>
      </c>
      <c r="B337" s="2" t="s">
        <v>13148</v>
      </c>
      <c r="C337" s="2">
        <v>7620867167</v>
      </c>
      <c r="D337" s="2">
        <v>753918001</v>
      </c>
      <c r="E337" s="2" t="s">
        <v>11135</v>
      </c>
      <c r="F337" s="2">
        <v>12</v>
      </c>
      <c r="G337" s="2" t="s">
        <v>52</v>
      </c>
      <c r="H337" s="2" t="s">
        <v>17</v>
      </c>
      <c r="I337" s="75" t="s">
        <v>13140</v>
      </c>
      <c r="J337" s="9" t="s">
        <v>15</v>
      </c>
      <c r="K337" s="10" t="s">
        <v>15</v>
      </c>
      <c r="L337" s="10" t="s">
        <v>13317</v>
      </c>
      <c r="M337" s="10" t="s">
        <v>15</v>
      </c>
      <c r="N337" s="10" t="s">
        <v>18</v>
      </c>
      <c r="O337" s="10" t="s">
        <v>13103</v>
      </c>
      <c r="P337" s="10" t="s">
        <v>28</v>
      </c>
      <c r="Q337" s="2" t="str">
        <f>IFERROR(VLOOKUP(Tabla1[[#This Row],[USUARIO PICKING ERROR]],DATOS!H:I,2,0)," ")</f>
        <v>MAÑANA</v>
      </c>
      <c r="R337" s="27" t="str">
        <f>VLOOKUP(Tabla1[[#This Row],[DETALLE ]],DATOS!L:M,2,0)</f>
        <v>PICKING</v>
      </c>
      <c r="S337" s="41" t="str">
        <f>IFERROR(IFERROR(VLOOKUP(Tabla1[[#This Row],[USUARIO PICKING ERROR]],DATOS!H:J,3,0),VLOOKUP(Tabla1[[#This Row],[USUARIO FILTRO ERROR]],DATOS!O:P,2,0)),"-")</f>
        <v>BENJAMIN LIZARBE</v>
      </c>
      <c r="T337" s="27" t="str">
        <f>UPPER(VLOOKUP(Tabla1[[#This Row],[CODIGO]],DATOS!A:E,5,0))</f>
        <v>FLUJO CONTINUO</v>
      </c>
      <c r="U337" s="31">
        <f>(Tabla1[[#This Row],[CANTIDAD]])*(VLOOKUP(Tabla1[[#This Row],[CODIGO]],DATOS!A:D,4,0))</f>
        <v>236.76</v>
      </c>
      <c r="V337" s="31" t="str">
        <f>VLOOKUP(Tabla1[[#This Row],[CODIGO]],DATOS!A:C,3,0)</f>
        <v>ABARROTES NO COMESTIBLES</v>
      </c>
      <c r="W337" s="31" t="s">
        <v>13324</v>
      </c>
      <c r="X337" s="28" t="s">
        <v>13086</v>
      </c>
      <c r="Y337" s="28" t="s">
        <v>13111</v>
      </c>
    </row>
    <row r="338" spans="1:25" ht="12" customHeight="1" x14ac:dyDescent="0.25">
      <c r="A338" s="46">
        <v>45733</v>
      </c>
      <c r="B338" s="2" t="s">
        <v>13170</v>
      </c>
      <c r="C338" s="2">
        <v>7640115744</v>
      </c>
      <c r="D338" s="2">
        <v>4986</v>
      </c>
      <c r="E338" s="2" t="s">
        <v>803</v>
      </c>
      <c r="F338" s="2">
        <v>1</v>
      </c>
      <c r="G338" s="2" t="s">
        <v>52</v>
      </c>
      <c r="H338" s="2" t="s">
        <v>17</v>
      </c>
      <c r="I338" s="75" t="s">
        <v>13140</v>
      </c>
      <c r="J338" s="9" t="s">
        <v>15</v>
      </c>
      <c r="K338" s="10" t="s">
        <v>15</v>
      </c>
      <c r="L338" s="10" t="s">
        <v>132</v>
      </c>
      <c r="M338" s="10" t="s">
        <v>15</v>
      </c>
      <c r="N338" s="10" t="s">
        <v>18</v>
      </c>
      <c r="O338" s="10" t="s">
        <v>13103</v>
      </c>
      <c r="P338" s="10" t="s">
        <v>17</v>
      </c>
      <c r="Q338" s="2" t="str">
        <f>IFERROR(VLOOKUP(Tabla1[[#This Row],[USUARIO PICKING ERROR]],DATOS!H:I,2,0)," ")</f>
        <v>MAÑANA</v>
      </c>
      <c r="R338" s="27" t="str">
        <f>VLOOKUP(Tabla1[[#This Row],[DETALLE ]],DATOS!L:M,2,0)</f>
        <v>PICKING</v>
      </c>
      <c r="S338" s="41" t="str">
        <f>IFERROR(IFERROR(VLOOKUP(Tabla1[[#This Row],[USUARIO PICKING ERROR]],DATOS!H:J,3,0),VLOOKUP(Tabla1[[#This Row],[USUARIO FILTRO ERROR]],DATOS!O:P,2,0)),"-")</f>
        <v>BENJAMIN LIZARBE</v>
      </c>
      <c r="T338" s="27" t="str">
        <f>UPPER(VLOOKUP(Tabla1[[#This Row],[CODIGO]],DATOS!A:E,5,0))</f>
        <v>ALMACENADO</v>
      </c>
      <c r="U338" s="31">
        <f>(Tabla1[[#This Row],[CANTIDAD]])*(VLOOKUP(Tabla1[[#This Row],[CODIGO]],DATOS!A:D,4,0))</f>
        <v>4.2300000000000004</v>
      </c>
      <c r="V338" s="31" t="str">
        <f>VLOOKUP(Tabla1[[#This Row],[CODIGO]],DATOS!A:C,3,0)</f>
        <v>ABARROTES COMESTIBLES</v>
      </c>
      <c r="W338" s="31" t="s">
        <v>13324</v>
      </c>
      <c r="X338" s="28" t="s">
        <v>13086</v>
      </c>
      <c r="Y338" s="28" t="s">
        <v>13111</v>
      </c>
    </row>
    <row r="339" spans="1:25" ht="12" customHeight="1" x14ac:dyDescent="0.25">
      <c r="A339" s="46">
        <v>45733</v>
      </c>
      <c r="B339" s="2" t="s">
        <v>15</v>
      </c>
      <c r="C339" s="2" t="s">
        <v>15</v>
      </c>
      <c r="D339" s="2">
        <v>754391</v>
      </c>
      <c r="E339" s="2" t="s">
        <v>134</v>
      </c>
      <c r="F339" s="2">
        <v>12</v>
      </c>
      <c r="G339" s="2" t="s">
        <v>15</v>
      </c>
      <c r="H339" s="2" t="s">
        <v>25</v>
      </c>
      <c r="I339" s="75" t="s">
        <v>13142</v>
      </c>
      <c r="J339" s="9" t="s">
        <v>13315</v>
      </c>
      <c r="K339" s="10" t="s">
        <v>15</v>
      </c>
      <c r="L339" s="10" t="s">
        <v>14</v>
      </c>
      <c r="M339" s="10" t="s">
        <v>15</v>
      </c>
      <c r="N339" s="10" t="s">
        <v>18</v>
      </c>
      <c r="O339" s="10" t="s">
        <v>13135</v>
      </c>
      <c r="P339" s="10" t="s">
        <v>25</v>
      </c>
      <c r="Q339" s="2" t="str">
        <f>IFERROR(VLOOKUP(Tabla1[[#This Row],[USUARIO PICKING ERROR]],DATOS!H:I,2,0)," ")</f>
        <v>ALMACEN</v>
      </c>
      <c r="R339" s="27" t="str">
        <f>VLOOKUP(Tabla1[[#This Row],[DETALLE ]],DATOS!L:M,2,0)</f>
        <v>PICKING</v>
      </c>
      <c r="S339" s="41" t="str">
        <f>IFERROR(IFERROR(VLOOKUP(Tabla1[[#This Row],[USUARIO PICKING ERROR]],DATOS!H:J,3,0),VLOOKUP(Tabla1[[#This Row],[USUARIO FILTRO ERROR]],DATOS!O:P,2,0)),"-")</f>
        <v>ALMACEN</v>
      </c>
      <c r="T339" s="27" t="str">
        <f>UPPER(VLOOKUP(Tabla1[[#This Row],[CODIGO]],DATOS!A:E,5,0))</f>
        <v>ALMACENADO</v>
      </c>
      <c r="U339" s="31">
        <f>(Tabla1[[#This Row],[CANTIDAD]])*(VLOOKUP(Tabla1[[#This Row],[CODIGO]],DATOS!A:D,4,0))</f>
        <v>60.480000000000004</v>
      </c>
      <c r="V339" s="31" t="str">
        <f>VLOOKUP(Tabla1[[#This Row],[CODIGO]],DATOS!A:C,3,0)</f>
        <v>ABARROTES COMESTIBLES</v>
      </c>
      <c r="W339" s="31" t="s">
        <v>13324</v>
      </c>
      <c r="X339" s="28" t="s">
        <v>13086</v>
      </c>
      <c r="Y339" s="28" t="s">
        <v>13111</v>
      </c>
    </row>
    <row r="340" spans="1:25" ht="12" customHeight="1" x14ac:dyDescent="0.25">
      <c r="A340" s="46">
        <v>45733</v>
      </c>
      <c r="B340" s="2" t="s">
        <v>15</v>
      </c>
      <c r="C340" s="2" t="s">
        <v>15</v>
      </c>
      <c r="D340" s="2">
        <v>49463004</v>
      </c>
      <c r="E340" s="2" t="s">
        <v>9091</v>
      </c>
      <c r="F340" s="2">
        <v>36</v>
      </c>
      <c r="G340" s="2" t="s">
        <v>15</v>
      </c>
      <c r="H340" s="2" t="s">
        <v>25</v>
      </c>
      <c r="I340" s="75" t="s">
        <v>13142</v>
      </c>
      <c r="J340" s="9" t="s">
        <v>13315</v>
      </c>
      <c r="K340" s="10" t="s">
        <v>15</v>
      </c>
      <c r="L340" s="10" t="s">
        <v>13316</v>
      </c>
      <c r="M340" s="10" t="s">
        <v>15</v>
      </c>
      <c r="N340" s="10" t="s">
        <v>13128</v>
      </c>
      <c r="O340" s="10" t="s">
        <v>13179</v>
      </c>
      <c r="P340" s="10" t="s">
        <v>25</v>
      </c>
      <c r="Q340" s="2" t="str">
        <f>IFERROR(VLOOKUP(Tabla1[[#This Row],[USUARIO PICKING ERROR]],DATOS!H:I,2,0)," ")</f>
        <v>MAÑANA</v>
      </c>
      <c r="R340" s="27" t="str">
        <f>VLOOKUP(Tabla1[[#This Row],[DETALLE ]],DATOS!L:M,2,0)</f>
        <v>RECEPCION</v>
      </c>
      <c r="S340" s="41" t="str">
        <f>IFERROR(IFERROR(VLOOKUP(Tabla1[[#This Row],[USUARIO PICKING ERROR]],DATOS!H:J,3,0),VLOOKUP(Tabla1[[#This Row],[USUARIO FILTRO ERROR]],DATOS!O:P,2,0)),"-")</f>
        <v>ARNOLD CASTILLO</v>
      </c>
      <c r="T340" s="27" t="str">
        <f>UPPER(VLOOKUP(Tabla1[[#This Row],[CODIGO]],DATOS!A:E,5,0))</f>
        <v>ALMACENADO</v>
      </c>
      <c r="U340" s="31">
        <f>(Tabla1[[#This Row],[CANTIDAD]])*(VLOOKUP(Tabla1[[#This Row],[CODIGO]],DATOS!A:D,4,0))</f>
        <v>446.40000000000003</v>
      </c>
      <c r="V340" s="31" t="str">
        <f>VLOOKUP(Tabla1[[#This Row],[CODIGO]],DATOS!A:C,3,0)</f>
        <v>ABARROTES COMESTIBLES</v>
      </c>
      <c r="W340" s="31" t="s">
        <v>13324</v>
      </c>
      <c r="X340" s="28" t="s">
        <v>13086</v>
      </c>
      <c r="Y340" s="28" t="s">
        <v>13111</v>
      </c>
    </row>
    <row r="341" spans="1:25" ht="12" customHeight="1" x14ac:dyDescent="0.25">
      <c r="A341" s="46">
        <v>45734</v>
      </c>
      <c r="B341" s="2" t="s">
        <v>73</v>
      </c>
      <c r="C341" s="2">
        <v>7620859261</v>
      </c>
      <c r="D341" s="2">
        <v>977937</v>
      </c>
      <c r="E341" s="2" t="s">
        <v>7334</v>
      </c>
      <c r="F341" s="2">
        <v>6</v>
      </c>
      <c r="G341" s="2" t="s">
        <v>15</v>
      </c>
      <c r="H341" s="2" t="s">
        <v>17</v>
      </c>
      <c r="I341" s="75" t="s">
        <v>12940</v>
      </c>
      <c r="J341" s="9" t="s">
        <v>15</v>
      </c>
      <c r="K341" s="10" t="s">
        <v>15</v>
      </c>
      <c r="L341" s="10" t="s">
        <v>67</v>
      </c>
      <c r="M341" s="10" t="s">
        <v>15</v>
      </c>
      <c r="N341" s="10" t="s">
        <v>18</v>
      </c>
      <c r="O341" s="10" t="s">
        <v>13103</v>
      </c>
      <c r="P341" s="10" t="s">
        <v>28</v>
      </c>
      <c r="Q341" s="2" t="str">
        <f>IFERROR(VLOOKUP(Tabla1[[#This Row],[USUARIO PICKING ERROR]],DATOS!H:I,2,0)," ")</f>
        <v>MAÑANA</v>
      </c>
      <c r="R341" s="27" t="str">
        <f>VLOOKUP(Tabla1[[#This Row],[DETALLE ]],DATOS!L:M,2,0)</f>
        <v>PICKING</v>
      </c>
      <c r="S341" s="41" t="str">
        <f>IFERROR(IFERROR(VLOOKUP(Tabla1[[#This Row],[USUARIO PICKING ERROR]],DATOS!H:J,3,0),VLOOKUP(Tabla1[[#This Row],[USUARIO FILTRO ERROR]],DATOS!O:P,2,0)),"-")</f>
        <v>BENJAMIN LIZARBE</v>
      </c>
      <c r="T341" s="27" t="str">
        <f>UPPER(VLOOKUP(Tabla1[[#This Row],[CODIGO]],DATOS!A:E,5,0))</f>
        <v>FLUJO CONTINUO</v>
      </c>
      <c r="U341" s="31">
        <f>(Tabla1[[#This Row],[CANTIDAD]])*(VLOOKUP(Tabla1[[#This Row],[CODIGO]],DATOS!A:D,4,0))</f>
        <v>95.460000000000008</v>
      </c>
      <c r="V341" s="31" t="str">
        <f>VLOOKUP(Tabla1[[#This Row],[CODIGO]],DATOS!A:C,3,0)</f>
        <v>ABARROTES BEBIBLES</v>
      </c>
      <c r="W341" s="31" t="s">
        <v>13324</v>
      </c>
      <c r="X341" s="28" t="s">
        <v>13086</v>
      </c>
      <c r="Y341" s="28" t="s">
        <v>13111</v>
      </c>
    </row>
    <row r="342" spans="1:25" ht="12" customHeight="1" x14ac:dyDescent="0.25">
      <c r="A342" s="46">
        <v>45734</v>
      </c>
      <c r="B342" s="2" t="s">
        <v>130</v>
      </c>
      <c r="C342" s="2">
        <v>7620869485</v>
      </c>
      <c r="D342" s="2">
        <v>350193</v>
      </c>
      <c r="E342" s="2" t="s">
        <v>1672</v>
      </c>
      <c r="F342" s="2">
        <v>6</v>
      </c>
      <c r="G342" s="2" t="s">
        <v>13118</v>
      </c>
      <c r="H342" s="2" t="s">
        <v>25</v>
      </c>
      <c r="I342" s="75" t="s">
        <v>12940</v>
      </c>
      <c r="J342" s="9" t="s">
        <v>15</v>
      </c>
      <c r="K342" s="10" t="s">
        <v>15</v>
      </c>
      <c r="L342" s="10" t="s">
        <v>57</v>
      </c>
      <c r="M342" s="10" t="s">
        <v>13150</v>
      </c>
      <c r="N342" s="10" t="s">
        <v>12957</v>
      </c>
      <c r="O342" s="10" t="s">
        <v>13168</v>
      </c>
      <c r="P342" s="10" t="s">
        <v>28</v>
      </c>
      <c r="Q342" s="2" t="str">
        <f>IFERROR(VLOOKUP(Tabla1[[#This Row],[USUARIO PICKING ERROR]],DATOS!H:I,2,0)," ")</f>
        <v>TARDE</v>
      </c>
      <c r="R342" s="27" t="str">
        <f>VLOOKUP(Tabla1[[#This Row],[DETALLE ]],DATOS!L:M,2,0)</f>
        <v>FILTRO</v>
      </c>
      <c r="S342" s="41" t="str">
        <f>IFERROR(IFERROR(VLOOKUP(Tabla1[[#This Row],[USUARIO PICKING ERROR]],DATOS!H:J,3,0),VLOOKUP(Tabla1[[#This Row],[USUARIO FILTRO ERROR]],DATOS!O:P,2,0)),"-")</f>
        <v>DAVID PIÑAN</v>
      </c>
      <c r="T342" s="27" t="str">
        <f>UPPER(VLOOKUP(Tabla1[[#This Row],[CODIGO]],DATOS!A:E,5,0))</f>
        <v>FLUJO CONTINUO</v>
      </c>
      <c r="U342" s="31">
        <f>(Tabla1[[#This Row],[CANTIDAD]])*(VLOOKUP(Tabla1[[#This Row],[CODIGO]],DATOS!A:D,4,0))</f>
        <v>127.5</v>
      </c>
      <c r="V342" s="31" t="str">
        <f>VLOOKUP(Tabla1[[#This Row],[CODIGO]],DATOS!A:C,3,0)</f>
        <v>ABARROTES BEBIBLES</v>
      </c>
      <c r="W342" s="31" t="s">
        <v>13324</v>
      </c>
      <c r="X342" s="28" t="s">
        <v>13086</v>
      </c>
      <c r="Y342" s="28" t="s">
        <v>13111</v>
      </c>
    </row>
    <row r="343" spans="1:25" ht="12" customHeight="1" x14ac:dyDescent="0.25">
      <c r="A343" s="46">
        <v>45734</v>
      </c>
      <c r="B343" s="2" t="s">
        <v>99</v>
      </c>
      <c r="C343" s="2">
        <v>7620871364</v>
      </c>
      <c r="D343" s="2">
        <v>534664</v>
      </c>
      <c r="E343" s="2" t="s">
        <v>2699</v>
      </c>
      <c r="F343" s="2">
        <v>6</v>
      </c>
      <c r="G343" s="2" t="s">
        <v>15</v>
      </c>
      <c r="H343" s="2" t="s">
        <v>25</v>
      </c>
      <c r="I343" s="75" t="s">
        <v>12940</v>
      </c>
      <c r="J343" s="9" t="s">
        <v>15</v>
      </c>
      <c r="K343" s="10" t="s">
        <v>15</v>
      </c>
      <c r="L343" s="10" t="s">
        <v>90</v>
      </c>
      <c r="M343" s="10" t="s">
        <v>15</v>
      </c>
      <c r="N343" s="10" t="s">
        <v>18</v>
      </c>
      <c r="O343" s="10" t="s">
        <v>13103</v>
      </c>
      <c r="P343" s="10" t="s">
        <v>28</v>
      </c>
      <c r="Q343" s="2" t="str">
        <f>IFERROR(VLOOKUP(Tabla1[[#This Row],[USUARIO PICKING ERROR]],DATOS!H:I,2,0)," ")</f>
        <v>MAÑANA</v>
      </c>
      <c r="R343" s="27" t="str">
        <f>VLOOKUP(Tabla1[[#This Row],[DETALLE ]],DATOS!L:M,2,0)</f>
        <v>PICKING</v>
      </c>
      <c r="S343" s="41" t="str">
        <f>IFERROR(IFERROR(VLOOKUP(Tabla1[[#This Row],[USUARIO PICKING ERROR]],DATOS!H:J,3,0),VLOOKUP(Tabla1[[#This Row],[USUARIO FILTRO ERROR]],DATOS!O:P,2,0)),"-")</f>
        <v>BENJAMIN LIZARBE</v>
      </c>
      <c r="T343" s="27" t="str">
        <f>UPPER(VLOOKUP(Tabla1[[#This Row],[CODIGO]],DATOS!A:E,5,0))</f>
        <v>FLUJO CONTINUO</v>
      </c>
      <c r="U343" s="31">
        <f>(Tabla1[[#This Row],[CANTIDAD]])*(VLOOKUP(Tabla1[[#This Row],[CODIGO]],DATOS!A:D,4,0))</f>
        <v>136.38</v>
      </c>
      <c r="V343" s="31" t="str">
        <f>VLOOKUP(Tabla1[[#This Row],[CODIGO]],DATOS!A:C,3,0)</f>
        <v>ABARROTES BEBIBLES</v>
      </c>
      <c r="W343" s="31" t="s">
        <v>13324</v>
      </c>
      <c r="X343" s="28" t="s">
        <v>13086</v>
      </c>
      <c r="Y343" s="28" t="s">
        <v>13111</v>
      </c>
    </row>
    <row r="344" spans="1:25" ht="12" customHeight="1" x14ac:dyDescent="0.25">
      <c r="A344" s="46">
        <v>45734</v>
      </c>
      <c r="B344" s="2" t="s">
        <v>12980</v>
      </c>
      <c r="C344" s="2">
        <v>7620872845</v>
      </c>
      <c r="D344" s="2">
        <v>1035206</v>
      </c>
      <c r="E344" s="2" t="s">
        <v>13067</v>
      </c>
      <c r="F344" s="2">
        <v>6</v>
      </c>
      <c r="G344" s="2" t="s">
        <v>15</v>
      </c>
      <c r="H344" s="2" t="s">
        <v>25</v>
      </c>
      <c r="I344" s="75" t="s">
        <v>12940</v>
      </c>
      <c r="J344" s="9" t="s">
        <v>12978</v>
      </c>
      <c r="K344" s="10">
        <v>7620869554</v>
      </c>
      <c r="L344" s="10" t="s">
        <v>67</v>
      </c>
      <c r="M344" s="10" t="s">
        <v>15</v>
      </c>
      <c r="N344" s="10" t="s">
        <v>18</v>
      </c>
      <c r="O344" s="10" t="s">
        <v>13103</v>
      </c>
      <c r="P344" s="10" t="s">
        <v>28</v>
      </c>
      <c r="Q344" s="2" t="str">
        <f>IFERROR(VLOOKUP(Tabla1[[#This Row],[USUARIO PICKING ERROR]],DATOS!H:I,2,0)," ")</f>
        <v>MAÑANA</v>
      </c>
      <c r="R344" s="27" t="str">
        <f>VLOOKUP(Tabla1[[#This Row],[DETALLE ]],DATOS!L:M,2,0)</f>
        <v>PICKING</v>
      </c>
      <c r="S344" s="41" t="str">
        <f>IFERROR(IFERROR(VLOOKUP(Tabla1[[#This Row],[USUARIO PICKING ERROR]],DATOS!H:J,3,0),VLOOKUP(Tabla1[[#This Row],[USUARIO FILTRO ERROR]],DATOS!O:P,2,0)),"-")</f>
        <v>BENJAMIN LIZARBE</v>
      </c>
      <c r="T344" s="27" t="str">
        <f>UPPER(VLOOKUP(Tabla1[[#This Row],[CODIGO]],DATOS!A:E,5,0))</f>
        <v>FLUJO CONTINUO</v>
      </c>
      <c r="U344" s="31">
        <f>(Tabla1[[#This Row],[CANTIDAD]])*(VLOOKUP(Tabla1[[#This Row],[CODIGO]],DATOS!A:D,4,0))</f>
        <v>120.89999999999999</v>
      </c>
      <c r="V344" s="31" t="str">
        <f>VLOOKUP(Tabla1[[#This Row],[CODIGO]],DATOS!A:C,3,0)</f>
        <v>ABARROTES BEBIBLES</v>
      </c>
      <c r="W344" s="31" t="s">
        <v>13324</v>
      </c>
      <c r="X344" s="28" t="s">
        <v>13086</v>
      </c>
      <c r="Y344" s="28" t="s">
        <v>13111</v>
      </c>
    </row>
    <row r="345" spans="1:25" ht="12" customHeight="1" x14ac:dyDescent="0.25">
      <c r="A345" s="46">
        <v>45734</v>
      </c>
      <c r="B345" s="2" t="s">
        <v>15</v>
      </c>
      <c r="C345" s="2" t="s">
        <v>15</v>
      </c>
      <c r="D345" s="2">
        <v>543529</v>
      </c>
      <c r="E345" s="2" t="s">
        <v>3119</v>
      </c>
      <c r="F345" s="2">
        <v>12</v>
      </c>
      <c r="G345" s="2" t="s">
        <v>13124</v>
      </c>
      <c r="H345" s="2" t="s">
        <v>25</v>
      </c>
      <c r="I345" s="75" t="s">
        <v>13142</v>
      </c>
      <c r="J345" s="9" t="s">
        <v>13315</v>
      </c>
      <c r="K345" s="10" t="s">
        <v>15</v>
      </c>
      <c r="L345" s="10" t="s">
        <v>14</v>
      </c>
      <c r="M345" s="10" t="s">
        <v>15</v>
      </c>
      <c r="N345" s="10" t="s">
        <v>18</v>
      </c>
      <c r="O345" s="10" t="s">
        <v>13103</v>
      </c>
      <c r="P345" s="10" t="s">
        <v>25</v>
      </c>
      <c r="Q345" s="2" t="str">
        <f>IFERROR(VLOOKUP(Tabla1[[#This Row],[USUARIO PICKING ERROR]],DATOS!H:I,2,0)," ")</f>
        <v>ALMACEN</v>
      </c>
      <c r="R345" s="27" t="str">
        <f>VLOOKUP(Tabla1[[#This Row],[DETALLE ]],DATOS!L:M,2,0)</f>
        <v>PICKING</v>
      </c>
      <c r="S345" s="41" t="str">
        <f>IFERROR(IFERROR(VLOOKUP(Tabla1[[#This Row],[USUARIO PICKING ERROR]],DATOS!H:J,3,0),VLOOKUP(Tabla1[[#This Row],[USUARIO FILTRO ERROR]],DATOS!O:P,2,0)),"-")</f>
        <v>ALMACEN</v>
      </c>
      <c r="T345" s="27" t="str">
        <f>UPPER(VLOOKUP(Tabla1[[#This Row],[CODIGO]],DATOS!A:E,5,0))</f>
        <v>ALMACENADO</v>
      </c>
      <c r="U345" s="31">
        <f>(Tabla1[[#This Row],[CANTIDAD]])*(VLOOKUP(Tabla1[[#This Row],[CODIGO]],DATOS!A:D,4,0))</f>
        <v>137.76</v>
      </c>
      <c r="V345" s="31" t="str">
        <f>VLOOKUP(Tabla1[[#This Row],[CODIGO]],DATOS!A:C,3,0)</f>
        <v>ABARROTES COMESTIBLES</v>
      </c>
      <c r="W345" s="31" t="s">
        <v>13324</v>
      </c>
      <c r="X345" s="28" t="s">
        <v>13086</v>
      </c>
      <c r="Y345" s="28" t="s">
        <v>13111</v>
      </c>
    </row>
    <row r="346" spans="1:25" ht="12" customHeight="1" x14ac:dyDescent="0.25">
      <c r="A346" s="46">
        <v>45734</v>
      </c>
      <c r="B346" s="2" t="s">
        <v>15</v>
      </c>
      <c r="C346" s="2" t="s">
        <v>15</v>
      </c>
      <c r="D346" s="2">
        <v>31045</v>
      </c>
      <c r="E346" s="2" t="s">
        <v>930</v>
      </c>
      <c r="F346" s="2">
        <v>12</v>
      </c>
      <c r="G346" s="2" t="s">
        <v>13124</v>
      </c>
      <c r="H346" s="2" t="s">
        <v>25</v>
      </c>
      <c r="I346" s="75" t="s">
        <v>13142</v>
      </c>
      <c r="J346" s="9" t="s">
        <v>13315</v>
      </c>
      <c r="K346" s="10" t="s">
        <v>15</v>
      </c>
      <c r="L346" s="10" t="s">
        <v>14</v>
      </c>
      <c r="M346" s="10" t="s">
        <v>15</v>
      </c>
      <c r="N346" s="10" t="s">
        <v>18</v>
      </c>
      <c r="O346" s="10" t="s">
        <v>13103</v>
      </c>
      <c r="P346" s="10" t="s">
        <v>25</v>
      </c>
      <c r="Q346" s="2" t="str">
        <f>IFERROR(VLOOKUP(Tabla1[[#This Row],[USUARIO PICKING ERROR]],DATOS!H:I,2,0)," ")</f>
        <v>ALMACEN</v>
      </c>
      <c r="R346" s="27" t="str">
        <f>VLOOKUP(Tabla1[[#This Row],[DETALLE ]],DATOS!L:M,2,0)</f>
        <v>PICKING</v>
      </c>
      <c r="S346" s="41" t="str">
        <f>IFERROR(IFERROR(VLOOKUP(Tabla1[[#This Row],[USUARIO PICKING ERROR]],DATOS!H:J,3,0),VLOOKUP(Tabla1[[#This Row],[USUARIO FILTRO ERROR]],DATOS!O:P,2,0)),"-")</f>
        <v>ALMACEN</v>
      </c>
      <c r="T346" s="27" t="str">
        <f>UPPER(VLOOKUP(Tabla1[[#This Row],[CODIGO]],DATOS!A:E,5,0))</f>
        <v>ALMACENADO</v>
      </c>
      <c r="U346" s="31">
        <f>(Tabla1[[#This Row],[CANTIDAD]])*(VLOOKUP(Tabla1[[#This Row],[CODIGO]],DATOS!A:D,4,0))</f>
        <v>118.19999999999999</v>
      </c>
      <c r="V346" s="31" t="str">
        <f>VLOOKUP(Tabla1[[#This Row],[CODIGO]],DATOS!A:C,3,0)</f>
        <v>ABARROTES COMESTIBLES</v>
      </c>
      <c r="W346" s="31" t="s">
        <v>13324</v>
      </c>
      <c r="X346" s="28" t="s">
        <v>13086</v>
      </c>
      <c r="Y346" s="28" t="s">
        <v>13111</v>
      </c>
    </row>
    <row r="347" spans="1:25" ht="12" customHeight="1" x14ac:dyDescent="0.25">
      <c r="A347" s="46">
        <v>45734</v>
      </c>
      <c r="B347" s="2" t="s">
        <v>15</v>
      </c>
      <c r="C347" s="2" t="s">
        <v>15</v>
      </c>
      <c r="D347" s="2">
        <v>449851003</v>
      </c>
      <c r="E347" s="2" t="s">
        <v>9874</v>
      </c>
      <c r="F347" s="2">
        <v>24</v>
      </c>
      <c r="G347" s="2" t="s">
        <v>13124</v>
      </c>
      <c r="H347" s="2" t="s">
        <v>25</v>
      </c>
      <c r="I347" s="75" t="s">
        <v>13142</v>
      </c>
      <c r="J347" s="9" t="s">
        <v>13315</v>
      </c>
      <c r="K347" s="10" t="s">
        <v>15</v>
      </c>
      <c r="L347" s="10" t="s">
        <v>14</v>
      </c>
      <c r="M347" s="10" t="s">
        <v>15</v>
      </c>
      <c r="N347" s="10" t="s">
        <v>18</v>
      </c>
      <c r="O347" s="10" t="s">
        <v>13103</v>
      </c>
      <c r="P347" s="10" t="s">
        <v>25</v>
      </c>
      <c r="Q347" s="2" t="str">
        <f>IFERROR(VLOOKUP(Tabla1[[#This Row],[USUARIO PICKING ERROR]],DATOS!H:I,2,0)," ")</f>
        <v>ALMACEN</v>
      </c>
      <c r="R347" s="27" t="str">
        <f>VLOOKUP(Tabla1[[#This Row],[DETALLE ]],DATOS!L:M,2,0)</f>
        <v>PICKING</v>
      </c>
      <c r="S347" s="41" t="str">
        <f>IFERROR(IFERROR(VLOOKUP(Tabla1[[#This Row],[USUARIO PICKING ERROR]],DATOS!H:J,3,0),VLOOKUP(Tabla1[[#This Row],[USUARIO FILTRO ERROR]],DATOS!O:P,2,0)),"-")</f>
        <v>ALMACEN</v>
      </c>
      <c r="T347" s="27" t="str">
        <f>UPPER(VLOOKUP(Tabla1[[#This Row],[CODIGO]],DATOS!A:E,5,0))</f>
        <v>ALMACENADO</v>
      </c>
      <c r="U347" s="31">
        <f>(Tabla1[[#This Row],[CANTIDAD]])*(VLOOKUP(Tabla1[[#This Row],[CODIGO]],DATOS!A:D,4,0))</f>
        <v>39.599999999999994</v>
      </c>
      <c r="V347" s="31" t="str">
        <f>VLOOKUP(Tabla1[[#This Row],[CODIGO]],DATOS!A:C,3,0)</f>
        <v>ABARROTES COMESTIBLES</v>
      </c>
      <c r="W347" s="31" t="s">
        <v>13324</v>
      </c>
      <c r="X347" s="28" t="s">
        <v>13086</v>
      </c>
      <c r="Y347" s="28" t="s">
        <v>13111</v>
      </c>
    </row>
    <row r="348" spans="1:25" ht="12" customHeight="1" x14ac:dyDescent="0.25">
      <c r="A348" s="46">
        <v>45734</v>
      </c>
      <c r="B348" s="2" t="s">
        <v>15</v>
      </c>
      <c r="C348" s="2" t="s">
        <v>15</v>
      </c>
      <c r="D348" s="2">
        <v>4724</v>
      </c>
      <c r="E348" s="2" t="s">
        <v>717</v>
      </c>
      <c r="F348" s="2">
        <v>12</v>
      </c>
      <c r="G348" s="2" t="s">
        <v>13124</v>
      </c>
      <c r="H348" s="2" t="s">
        <v>17</v>
      </c>
      <c r="I348" s="75" t="s">
        <v>13142</v>
      </c>
      <c r="J348" s="9" t="s">
        <v>15</v>
      </c>
      <c r="K348" s="10" t="s">
        <v>15</v>
      </c>
      <c r="L348" s="10" t="s">
        <v>14</v>
      </c>
      <c r="M348" s="10" t="s">
        <v>15</v>
      </c>
      <c r="N348" s="10" t="s">
        <v>18</v>
      </c>
      <c r="O348" s="10" t="s">
        <v>13103</v>
      </c>
      <c r="P348" s="10" t="s">
        <v>17</v>
      </c>
      <c r="Q348" s="2" t="str">
        <f>IFERROR(VLOOKUP(Tabla1[[#This Row],[USUARIO PICKING ERROR]],DATOS!H:I,2,0)," ")</f>
        <v>ALMACEN</v>
      </c>
      <c r="R348" s="27" t="str">
        <f>VLOOKUP(Tabla1[[#This Row],[DETALLE ]],DATOS!L:M,2,0)</f>
        <v>PICKING</v>
      </c>
      <c r="S348" s="41" t="str">
        <f>IFERROR(IFERROR(VLOOKUP(Tabla1[[#This Row],[USUARIO PICKING ERROR]],DATOS!H:J,3,0),VLOOKUP(Tabla1[[#This Row],[USUARIO FILTRO ERROR]],DATOS!O:P,2,0)),"-")</f>
        <v>ALMACEN</v>
      </c>
      <c r="T348" s="27" t="str">
        <f>UPPER(VLOOKUP(Tabla1[[#This Row],[CODIGO]],DATOS!A:E,5,0))</f>
        <v>ALMACENADO</v>
      </c>
      <c r="U348" s="31">
        <f>(Tabla1[[#This Row],[CANTIDAD]])*(VLOOKUP(Tabla1[[#This Row],[CODIGO]],DATOS!A:D,4,0))</f>
        <v>15.600000000000001</v>
      </c>
      <c r="V348" s="31" t="str">
        <f>VLOOKUP(Tabla1[[#This Row],[CODIGO]],DATOS!A:C,3,0)</f>
        <v>ABARROTES COMESTIBLES</v>
      </c>
      <c r="W348" s="31" t="s">
        <v>13324</v>
      </c>
      <c r="X348" s="28" t="s">
        <v>13086</v>
      </c>
      <c r="Y348" s="28" t="s">
        <v>13111</v>
      </c>
    </row>
    <row r="349" spans="1:25" ht="12" customHeight="1" x14ac:dyDescent="0.25">
      <c r="A349" s="46">
        <v>45734</v>
      </c>
      <c r="B349" s="2" t="s">
        <v>13173</v>
      </c>
      <c r="C349" s="2">
        <v>7620871066</v>
      </c>
      <c r="D349" s="2">
        <v>886905</v>
      </c>
      <c r="E349" s="2" t="s">
        <v>4898</v>
      </c>
      <c r="F349" s="2">
        <v>12</v>
      </c>
      <c r="G349" s="2" t="s">
        <v>15</v>
      </c>
      <c r="H349" s="2" t="s">
        <v>17</v>
      </c>
      <c r="I349" s="75" t="s">
        <v>12940</v>
      </c>
      <c r="J349" s="9" t="s">
        <v>12975</v>
      </c>
      <c r="K349" s="10">
        <v>7620872855</v>
      </c>
      <c r="L349" s="10" t="s">
        <v>67</v>
      </c>
      <c r="M349" s="10" t="s">
        <v>15</v>
      </c>
      <c r="N349" s="10" t="s">
        <v>18</v>
      </c>
      <c r="O349" s="10" t="s">
        <v>13103</v>
      </c>
      <c r="P349" s="10" t="s">
        <v>28</v>
      </c>
      <c r="Q349" s="2" t="str">
        <f>IFERROR(VLOOKUP(Tabla1[[#This Row],[USUARIO PICKING ERROR]],DATOS!H:I,2,0)," ")</f>
        <v>MAÑANA</v>
      </c>
      <c r="R349" s="27" t="str">
        <f>VLOOKUP(Tabla1[[#This Row],[DETALLE ]],DATOS!L:M,2,0)</f>
        <v>PICKING</v>
      </c>
      <c r="S349" s="41" t="str">
        <f>IFERROR(IFERROR(VLOOKUP(Tabla1[[#This Row],[USUARIO PICKING ERROR]],DATOS!H:J,3,0),VLOOKUP(Tabla1[[#This Row],[USUARIO FILTRO ERROR]],DATOS!O:P,2,0)),"-")</f>
        <v>BENJAMIN LIZARBE</v>
      </c>
      <c r="T349" s="27" t="str">
        <f>UPPER(VLOOKUP(Tabla1[[#This Row],[CODIGO]],DATOS!A:E,5,0))</f>
        <v>FLUJO CONTINUO</v>
      </c>
      <c r="U349" s="31">
        <f>(Tabla1[[#This Row],[CANTIDAD]])*(VLOOKUP(Tabla1[[#This Row],[CODIGO]],DATOS!A:D,4,0))</f>
        <v>77.760000000000005</v>
      </c>
      <c r="V349" s="31" t="str">
        <f>VLOOKUP(Tabla1[[#This Row],[CODIGO]],DATOS!A:C,3,0)</f>
        <v>ABARROTES BEBIBLES</v>
      </c>
      <c r="W349" s="31" t="s">
        <v>13324</v>
      </c>
      <c r="X349" s="28" t="s">
        <v>13086</v>
      </c>
      <c r="Y349" s="28" t="s">
        <v>13111</v>
      </c>
    </row>
    <row r="350" spans="1:25" ht="12" customHeight="1" x14ac:dyDescent="0.25">
      <c r="A350" s="46">
        <v>45734</v>
      </c>
      <c r="B350" s="2" t="s">
        <v>13106</v>
      </c>
      <c r="C350" s="2">
        <v>7620870796</v>
      </c>
      <c r="D350" s="2">
        <v>756283</v>
      </c>
      <c r="E350" s="2" t="s">
        <v>3848</v>
      </c>
      <c r="F350" s="2">
        <v>12</v>
      </c>
      <c r="G350" s="2" t="s">
        <v>15</v>
      </c>
      <c r="H350" s="2" t="s">
        <v>17</v>
      </c>
      <c r="I350" s="75" t="s">
        <v>12940</v>
      </c>
      <c r="J350" s="9" t="s">
        <v>15</v>
      </c>
      <c r="K350" s="10" t="s">
        <v>15</v>
      </c>
      <c r="L350" s="10" t="s">
        <v>98</v>
      </c>
      <c r="M350" s="10" t="s">
        <v>15</v>
      </c>
      <c r="N350" s="10" t="s">
        <v>18</v>
      </c>
      <c r="O350" s="10" t="s">
        <v>13103</v>
      </c>
      <c r="P350" s="10" t="s">
        <v>17</v>
      </c>
      <c r="Q350" s="2" t="str">
        <f>IFERROR(VLOOKUP(Tabla1[[#This Row],[USUARIO PICKING ERROR]],DATOS!H:I,2,0)," ")</f>
        <v>MAÑANA</v>
      </c>
      <c r="R350" s="27" t="str">
        <f>VLOOKUP(Tabla1[[#This Row],[DETALLE ]],DATOS!L:M,2,0)</f>
        <v>PICKING</v>
      </c>
      <c r="S350" s="41" t="str">
        <f>IFERROR(IFERROR(VLOOKUP(Tabla1[[#This Row],[USUARIO PICKING ERROR]],DATOS!H:J,3,0),VLOOKUP(Tabla1[[#This Row],[USUARIO FILTRO ERROR]],DATOS!O:P,2,0)),"-")</f>
        <v>BENJAMIN LIZARBE</v>
      </c>
      <c r="T350" s="27" t="str">
        <f>UPPER(VLOOKUP(Tabla1[[#This Row],[CODIGO]],DATOS!A:E,5,0))</f>
        <v>FLUJO CONTINUO</v>
      </c>
      <c r="U350" s="31">
        <f>(Tabla1[[#This Row],[CANTIDAD]])*(VLOOKUP(Tabla1[[#This Row],[CODIGO]],DATOS!A:D,4,0))</f>
        <v>160.44</v>
      </c>
      <c r="V350" s="31" t="str">
        <f>VLOOKUP(Tabla1[[#This Row],[CODIGO]],DATOS!A:C,3,0)</f>
        <v>ABARROTES NO COMESTIBLES</v>
      </c>
      <c r="W350" s="31" t="s">
        <v>13324</v>
      </c>
      <c r="X350" s="28" t="s">
        <v>13086</v>
      </c>
      <c r="Y350" s="28" t="s">
        <v>13111</v>
      </c>
    </row>
    <row r="351" spans="1:25" ht="12" customHeight="1" x14ac:dyDescent="0.25">
      <c r="A351" s="46">
        <v>45734</v>
      </c>
      <c r="B351" s="2" t="s">
        <v>71</v>
      </c>
      <c r="C351" s="2">
        <v>7620867319</v>
      </c>
      <c r="D351" s="2">
        <v>59553001</v>
      </c>
      <c r="E351" s="2" t="s">
        <v>9173</v>
      </c>
      <c r="F351" s="2">
        <v>12</v>
      </c>
      <c r="G351" s="2" t="s">
        <v>12992</v>
      </c>
      <c r="H351" s="2" t="s">
        <v>25</v>
      </c>
      <c r="I351" s="75" t="s">
        <v>12940</v>
      </c>
      <c r="J351" s="9" t="s">
        <v>76</v>
      </c>
      <c r="K351" s="10">
        <v>7620871547</v>
      </c>
      <c r="L351" s="10" t="s">
        <v>84</v>
      </c>
      <c r="M351" s="10" t="s">
        <v>13161</v>
      </c>
      <c r="N351" s="10" t="s">
        <v>12957</v>
      </c>
      <c r="O351" s="10" t="s">
        <v>13168</v>
      </c>
      <c r="P351" s="10" t="s">
        <v>25</v>
      </c>
      <c r="Q351" s="2" t="str">
        <f>IFERROR(VLOOKUP(Tabla1[[#This Row],[USUARIO PICKING ERROR]],DATOS!H:I,2,0)," ")</f>
        <v>TARDE</v>
      </c>
      <c r="R351" s="27" t="str">
        <f>VLOOKUP(Tabla1[[#This Row],[DETALLE ]],DATOS!L:M,2,0)</f>
        <v>FILTRO</v>
      </c>
      <c r="S351" s="41" t="str">
        <f>IFERROR(IFERROR(VLOOKUP(Tabla1[[#This Row],[USUARIO PICKING ERROR]],DATOS!H:J,3,0),VLOOKUP(Tabla1[[#This Row],[USUARIO FILTRO ERROR]],DATOS!O:P,2,0)),"-")</f>
        <v>DAVID PIÑAN</v>
      </c>
      <c r="T351" s="27" t="str">
        <f>UPPER(VLOOKUP(Tabla1[[#This Row],[CODIGO]],DATOS!A:E,5,0))</f>
        <v>FLUJO CONTINUO</v>
      </c>
      <c r="U351" s="31">
        <f>(Tabla1[[#This Row],[CANTIDAD]])*(VLOOKUP(Tabla1[[#This Row],[CODIGO]],DATOS!A:D,4,0))</f>
        <v>326.76</v>
      </c>
      <c r="V351" s="31" t="str">
        <f>VLOOKUP(Tabla1[[#This Row],[CODIGO]],DATOS!A:C,3,0)</f>
        <v>ABARROTES BEBIBLES</v>
      </c>
      <c r="W351" s="31" t="s">
        <v>13324</v>
      </c>
      <c r="X351" s="28" t="s">
        <v>13086</v>
      </c>
      <c r="Y351" s="28" t="s">
        <v>13111</v>
      </c>
    </row>
    <row r="352" spans="1:25" ht="12" customHeight="1" x14ac:dyDescent="0.25">
      <c r="A352" s="46">
        <v>45734</v>
      </c>
      <c r="B352" s="2" t="s">
        <v>13001</v>
      </c>
      <c r="C352" s="2">
        <v>7620861786</v>
      </c>
      <c r="D352" s="2">
        <v>280234</v>
      </c>
      <c r="E352" s="2" t="s">
        <v>1519</v>
      </c>
      <c r="F352" s="2">
        <v>2</v>
      </c>
      <c r="G352" s="2" t="s">
        <v>12992</v>
      </c>
      <c r="H352" s="2" t="s">
        <v>25</v>
      </c>
      <c r="I352" s="75" t="s">
        <v>12940</v>
      </c>
      <c r="J352" s="9" t="s">
        <v>12972</v>
      </c>
      <c r="K352" s="10">
        <v>7620861805</v>
      </c>
      <c r="L352" s="10" t="s">
        <v>53</v>
      </c>
      <c r="M352" s="10" t="s">
        <v>15</v>
      </c>
      <c r="N352" s="10" t="s">
        <v>18</v>
      </c>
      <c r="O352" s="10" t="s">
        <v>13103</v>
      </c>
      <c r="P352" s="10" t="s">
        <v>28</v>
      </c>
      <c r="Q352" s="2" t="str">
        <f>IFERROR(VLOOKUP(Tabla1[[#This Row],[USUARIO PICKING ERROR]],DATOS!H:I,2,0)," ")</f>
        <v>TARDE</v>
      </c>
      <c r="R352" s="27" t="str">
        <f>VLOOKUP(Tabla1[[#This Row],[DETALLE ]],DATOS!L:M,2,0)</f>
        <v>PICKING</v>
      </c>
      <c r="S352" s="41" t="str">
        <f>IFERROR(IFERROR(VLOOKUP(Tabla1[[#This Row],[USUARIO PICKING ERROR]],DATOS!H:J,3,0),VLOOKUP(Tabla1[[#This Row],[USUARIO FILTRO ERROR]],DATOS!O:P,2,0)),"-")</f>
        <v>DAVID PIÑAN</v>
      </c>
      <c r="T352" s="27" t="str">
        <f>UPPER(VLOOKUP(Tabla1[[#This Row],[CODIGO]],DATOS!A:E,5,0))</f>
        <v>FLUJO CONTINUO</v>
      </c>
      <c r="U352" s="31">
        <f>(Tabla1[[#This Row],[CANTIDAD]])*(VLOOKUP(Tabla1[[#This Row],[CODIGO]],DATOS!A:D,4,0))</f>
        <v>40.200000000000003</v>
      </c>
      <c r="V352" s="31" t="str">
        <f>VLOOKUP(Tabla1[[#This Row],[CODIGO]],DATOS!A:C,3,0)</f>
        <v>ABARROTES BEBIBLES</v>
      </c>
      <c r="W352" s="31" t="s">
        <v>13324</v>
      </c>
      <c r="X352" s="28" t="s">
        <v>13086</v>
      </c>
      <c r="Y352" s="28" t="s">
        <v>13111</v>
      </c>
    </row>
    <row r="353" spans="1:25" ht="12" customHeight="1" x14ac:dyDescent="0.25">
      <c r="A353" s="46">
        <v>45734</v>
      </c>
      <c r="B353" s="2" t="s">
        <v>13001</v>
      </c>
      <c r="C353" s="2">
        <v>7620861786</v>
      </c>
      <c r="D353" s="2">
        <v>972582</v>
      </c>
      <c r="E353" s="2" t="s">
        <v>6793</v>
      </c>
      <c r="F353" s="2">
        <v>4</v>
      </c>
      <c r="G353" s="2" t="s">
        <v>12992</v>
      </c>
      <c r="H353" s="2" t="s">
        <v>25</v>
      </c>
      <c r="I353" s="75" t="s">
        <v>12940</v>
      </c>
      <c r="J353" s="9" t="s">
        <v>12972</v>
      </c>
      <c r="K353" s="10">
        <v>7620861805</v>
      </c>
      <c r="L353" s="10" t="s">
        <v>12919</v>
      </c>
      <c r="M353" s="10" t="s">
        <v>15</v>
      </c>
      <c r="N353" s="10" t="s">
        <v>18</v>
      </c>
      <c r="O353" s="10" t="s">
        <v>13103</v>
      </c>
      <c r="P353" s="10" t="s">
        <v>28</v>
      </c>
      <c r="Q353" s="2" t="str">
        <f>IFERROR(VLOOKUP(Tabla1[[#This Row],[USUARIO PICKING ERROR]],DATOS!H:I,2,0)," ")</f>
        <v>TARDE</v>
      </c>
      <c r="R353" s="27" t="str">
        <f>VLOOKUP(Tabla1[[#This Row],[DETALLE ]],DATOS!L:M,2,0)</f>
        <v>PICKING</v>
      </c>
      <c r="S353" s="41" t="str">
        <f>IFERROR(IFERROR(VLOOKUP(Tabla1[[#This Row],[USUARIO PICKING ERROR]],DATOS!H:J,3,0),VLOOKUP(Tabla1[[#This Row],[USUARIO FILTRO ERROR]],DATOS!O:P,2,0)),"-")</f>
        <v>DAVID PIÑAN</v>
      </c>
      <c r="T353" s="27" t="str">
        <f>UPPER(VLOOKUP(Tabla1[[#This Row],[CODIGO]],DATOS!A:E,5,0))</f>
        <v>FLUJO CONTINUO</v>
      </c>
      <c r="U353" s="31">
        <f>(Tabla1[[#This Row],[CANTIDAD]])*(VLOOKUP(Tabla1[[#This Row],[CODIGO]],DATOS!A:D,4,0))</f>
        <v>48.96</v>
      </c>
      <c r="V353" s="31" t="str">
        <f>VLOOKUP(Tabla1[[#This Row],[CODIGO]],DATOS!A:C,3,0)</f>
        <v>ABARROTES BEBIBLES</v>
      </c>
      <c r="W353" s="31" t="s">
        <v>13324</v>
      </c>
      <c r="X353" s="28" t="s">
        <v>13086</v>
      </c>
      <c r="Y353" s="28" t="s">
        <v>13111</v>
      </c>
    </row>
    <row r="354" spans="1:25" ht="12" customHeight="1" x14ac:dyDescent="0.25">
      <c r="A354" s="46">
        <v>45734</v>
      </c>
      <c r="B354" s="2" t="s">
        <v>15</v>
      </c>
      <c r="C354" s="2" t="s">
        <v>15</v>
      </c>
      <c r="D354" s="2">
        <v>59597002</v>
      </c>
      <c r="E354" s="2" t="s">
        <v>9203</v>
      </c>
      <c r="F354" s="2">
        <v>24</v>
      </c>
      <c r="G354" s="2" t="s">
        <v>15</v>
      </c>
      <c r="H354" s="2" t="s">
        <v>25</v>
      </c>
      <c r="I354" s="75" t="s">
        <v>19</v>
      </c>
      <c r="J354" s="9" t="s">
        <v>15</v>
      </c>
      <c r="K354" s="10" t="s">
        <v>15</v>
      </c>
      <c r="L354" s="10" t="s">
        <v>14</v>
      </c>
      <c r="M354" s="10" t="s">
        <v>15</v>
      </c>
      <c r="N354" s="10" t="s">
        <v>13136</v>
      </c>
      <c r="O354" s="10" t="s">
        <v>13178</v>
      </c>
      <c r="P354" s="10" t="s">
        <v>25</v>
      </c>
      <c r="Q354" s="2" t="str">
        <f>IFERROR(VLOOKUP(Tabla1[[#This Row],[USUARIO PICKING ERROR]],DATOS!H:I,2,0)," ")</f>
        <v>ALMACEN</v>
      </c>
      <c r="R354" s="27" t="str">
        <f>VLOOKUP(Tabla1[[#This Row],[DETALLE ]],DATOS!L:M,2,0)</f>
        <v>DESPACHO</v>
      </c>
      <c r="S354" s="41" t="str">
        <f>IFERROR(IFERROR(VLOOKUP(Tabla1[[#This Row],[USUARIO PICKING ERROR]],DATOS!H:J,3,0),VLOOKUP(Tabla1[[#This Row],[USUARIO FILTRO ERROR]],DATOS!O:P,2,0)),"-")</f>
        <v>ALMACEN</v>
      </c>
      <c r="T354" s="27" t="str">
        <f>UPPER(VLOOKUP(Tabla1[[#This Row],[CODIGO]],DATOS!A:E,5,0))</f>
        <v>FLUJO CONTINUO</v>
      </c>
      <c r="U354" s="31">
        <f>(Tabla1[[#This Row],[CANTIDAD]])*(VLOOKUP(Tabla1[[#This Row],[CODIGO]],DATOS!A:D,4,0))</f>
        <v>265.44</v>
      </c>
      <c r="V354" s="31" t="str">
        <f>VLOOKUP(Tabla1[[#This Row],[CODIGO]],DATOS!A:C,3,0)</f>
        <v>ABARROTES NO COMESTIBLES</v>
      </c>
      <c r="W354" s="31" t="s">
        <v>13324</v>
      </c>
      <c r="X354" s="28" t="s">
        <v>13086</v>
      </c>
      <c r="Y354" s="28" t="s">
        <v>13111</v>
      </c>
    </row>
    <row r="355" spans="1:25" ht="12" customHeight="1" x14ac:dyDescent="0.25">
      <c r="A355" s="46">
        <v>45735</v>
      </c>
      <c r="B355" s="2" t="s">
        <v>68</v>
      </c>
      <c r="C355" s="2">
        <v>7620872995</v>
      </c>
      <c r="D355" s="2">
        <v>160567002</v>
      </c>
      <c r="E355" s="2" t="s">
        <v>9372</v>
      </c>
      <c r="F355" s="2">
        <v>6</v>
      </c>
      <c r="G355" s="2" t="s">
        <v>15</v>
      </c>
      <c r="H355" s="2" t="s">
        <v>25</v>
      </c>
      <c r="I355" s="75" t="s">
        <v>12940</v>
      </c>
      <c r="J355" s="9" t="s">
        <v>12974</v>
      </c>
      <c r="K355" s="10">
        <v>7620872856</v>
      </c>
      <c r="L355" s="10" t="s">
        <v>84</v>
      </c>
      <c r="M355" s="10" t="s">
        <v>15</v>
      </c>
      <c r="N355" s="10" t="s">
        <v>18</v>
      </c>
      <c r="O355" s="10" t="s">
        <v>13103</v>
      </c>
      <c r="P355" s="10" t="s">
        <v>28</v>
      </c>
      <c r="Q355" s="2" t="str">
        <f>IFERROR(VLOOKUP(Tabla1[[#This Row],[USUARIO PICKING ERROR]],DATOS!H:I,2,0)," ")</f>
        <v>TARDE</v>
      </c>
      <c r="R355" s="27" t="str">
        <f>VLOOKUP(Tabla1[[#This Row],[DETALLE ]],DATOS!L:M,2,0)</f>
        <v>PICKING</v>
      </c>
      <c r="S355" s="41" t="str">
        <f>IFERROR(IFERROR(VLOOKUP(Tabla1[[#This Row],[USUARIO PICKING ERROR]],DATOS!H:J,3,0),VLOOKUP(Tabla1[[#This Row],[USUARIO FILTRO ERROR]],DATOS!O:P,2,0)),"-")</f>
        <v>DAVID PIÑAN</v>
      </c>
      <c r="T355" s="27" t="str">
        <f>UPPER(VLOOKUP(Tabla1[[#This Row],[CODIGO]],DATOS!A:E,5,0))</f>
        <v>FLUJO CONTINUO</v>
      </c>
      <c r="U355" s="31">
        <f>(Tabla1[[#This Row],[CANTIDAD]])*(VLOOKUP(Tabla1[[#This Row],[CODIGO]],DATOS!A:D,4,0))</f>
        <v>166.8</v>
      </c>
      <c r="V355" s="31" t="str">
        <f>VLOOKUP(Tabla1[[#This Row],[CODIGO]],DATOS!A:C,3,0)</f>
        <v>ABARROTES BEBIBLES</v>
      </c>
      <c r="W355" s="31" t="s">
        <v>13324</v>
      </c>
      <c r="X355" s="28" t="s">
        <v>13086</v>
      </c>
      <c r="Y355" s="28" t="s">
        <v>13111</v>
      </c>
    </row>
    <row r="356" spans="1:25" ht="12" customHeight="1" x14ac:dyDescent="0.25">
      <c r="A356" s="46">
        <v>45735</v>
      </c>
      <c r="B356" s="2" t="s">
        <v>68</v>
      </c>
      <c r="C356" s="2">
        <v>7620872995</v>
      </c>
      <c r="D356" s="2">
        <v>160567003</v>
      </c>
      <c r="E356" s="2" t="s">
        <v>9373</v>
      </c>
      <c r="F356" s="2">
        <v>6</v>
      </c>
      <c r="G356" s="2" t="s">
        <v>15</v>
      </c>
      <c r="H356" s="2" t="s">
        <v>17</v>
      </c>
      <c r="I356" s="75" t="s">
        <v>12940</v>
      </c>
      <c r="J356" s="9" t="s">
        <v>12974</v>
      </c>
      <c r="K356" s="10">
        <v>7620872856</v>
      </c>
      <c r="L356" s="10" t="s">
        <v>84</v>
      </c>
      <c r="M356" s="10" t="s">
        <v>15</v>
      </c>
      <c r="N356" s="10" t="s">
        <v>18</v>
      </c>
      <c r="O356" s="10" t="s">
        <v>13103</v>
      </c>
      <c r="P356" s="10" t="s">
        <v>28</v>
      </c>
      <c r="Q356" s="2" t="str">
        <f>IFERROR(VLOOKUP(Tabla1[[#This Row],[USUARIO PICKING ERROR]],DATOS!H:I,2,0)," ")</f>
        <v>TARDE</v>
      </c>
      <c r="R356" s="27" t="str">
        <f>VLOOKUP(Tabla1[[#This Row],[DETALLE ]],DATOS!L:M,2,0)</f>
        <v>PICKING</v>
      </c>
      <c r="S356" s="41" t="str">
        <f>IFERROR(IFERROR(VLOOKUP(Tabla1[[#This Row],[USUARIO PICKING ERROR]],DATOS!H:J,3,0),VLOOKUP(Tabla1[[#This Row],[USUARIO FILTRO ERROR]],DATOS!O:P,2,0)),"-")</f>
        <v>DAVID PIÑAN</v>
      </c>
      <c r="T356" s="27" t="str">
        <f>UPPER(VLOOKUP(Tabla1[[#This Row],[CODIGO]],DATOS!A:E,5,0))</f>
        <v>FLUJO CONTINUO</v>
      </c>
      <c r="U356" s="31">
        <f>(Tabla1[[#This Row],[CANTIDAD]])*(VLOOKUP(Tabla1[[#This Row],[CODIGO]],DATOS!A:D,4,0))</f>
        <v>166.8</v>
      </c>
      <c r="V356" s="31" t="str">
        <f>VLOOKUP(Tabla1[[#This Row],[CODIGO]],DATOS!A:C,3,0)</f>
        <v>ABARROTES BEBIBLES</v>
      </c>
      <c r="W356" s="31" t="s">
        <v>13324</v>
      </c>
      <c r="X356" s="28" t="s">
        <v>13086</v>
      </c>
      <c r="Y356" s="28" t="s">
        <v>13111</v>
      </c>
    </row>
    <row r="357" spans="1:25" ht="12" customHeight="1" x14ac:dyDescent="0.25">
      <c r="A357" s="46">
        <v>45735</v>
      </c>
      <c r="B357" s="2">
        <v>45740</v>
      </c>
      <c r="C357" s="2">
        <v>13</v>
      </c>
      <c r="D357" s="2">
        <v>720432</v>
      </c>
      <c r="E357" s="2" t="s">
        <v>3727</v>
      </c>
      <c r="F357" s="2">
        <v>1</v>
      </c>
      <c r="G357" s="2" t="s">
        <v>15</v>
      </c>
      <c r="H357" s="2" t="s">
        <v>25</v>
      </c>
      <c r="I357" s="75" t="s">
        <v>13142</v>
      </c>
      <c r="J357" s="9" t="s">
        <v>15</v>
      </c>
      <c r="K357" s="10" t="s">
        <v>15</v>
      </c>
      <c r="L357" s="10" t="s">
        <v>12900</v>
      </c>
      <c r="M357" s="10" t="s">
        <v>15</v>
      </c>
      <c r="N357" s="10" t="s">
        <v>12957</v>
      </c>
      <c r="O357" s="10" t="s">
        <v>13178</v>
      </c>
      <c r="P357" s="10" t="s">
        <v>25</v>
      </c>
      <c r="Q357" s="2" t="str">
        <f>IFERROR(VLOOKUP(Tabla1[[#This Row],[USUARIO PICKING ERROR]],DATOS!H:I,2,0)," ")</f>
        <v>MAÑANA</v>
      </c>
      <c r="R357" s="27" t="str">
        <f>VLOOKUP(Tabla1[[#This Row],[DETALLE ]],DATOS!L:M,2,0)</f>
        <v>FILTRO</v>
      </c>
      <c r="S357" s="41" t="str">
        <f>IFERROR(IFERROR(VLOOKUP(Tabla1[[#This Row],[USUARIO PICKING ERROR]],DATOS!H:J,3,0),VLOOKUP(Tabla1[[#This Row],[USUARIO FILTRO ERROR]],DATOS!O:P,2,0)),"-")</f>
        <v>BENJAMIN LIZARBE</v>
      </c>
      <c r="T357" s="27" t="str">
        <f>UPPER(VLOOKUP(Tabla1[[#This Row],[CODIGO]],DATOS!A:E,5,0))</f>
        <v>ALMACENADO</v>
      </c>
      <c r="U357" s="31">
        <f>(Tabla1[[#This Row],[CANTIDAD]])*(VLOOKUP(Tabla1[[#This Row],[CODIGO]],DATOS!A:D,4,0))</f>
        <v>11.85</v>
      </c>
      <c r="V357" s="31" t="str">
        <f>VLOOKUP(Tabla1[[#This Row],[CODIGO]],DATOS!A:C,3,0)</f>
        <v>ABARROTES BEBIBLES</v>
      </c>
      <c r="W357" s="31" t="s">
        <v>13324</v>
      </c>
      <c r="X357" s="28" t="s">
        <v>13086</v>
      </c>
      <c r="Y357" s="28" t="s">
        <v>13111</v>
      </c>
    </row>
    <row r="358" spans="1:25" ht="12" customHeight="1" x14ac:dyDescent="0.25">
      <c r="A358" s="46">
        <v>45736</v>
      </c>
      <c r="B358" s="2" t="s">
        <v>13139</v>
      </c>
      <c r="C358" s="2">
        <v>7620861750</v>
      </c>
      <c r="D358" s="2">
        <v>977937</v>
      </c>
      <c r="E358" s="2" t="s">
        <v>7334</v>
      </c>
      <c r="F358" s="2">
        <v>6</v>
      </c>
      <c r="G358" s="2" t="s">
        <v>15</v>
      </c>
      <c r="H358" s="2" t="s">
        <v>25</v>
      </c>
      <c r="I358" s="75" t="s">
        <v>12940</v>
      </c>
      <c r="J358" s="9" t="s">
        <v>73</v>
      </c>
      <c r="K358" s="10">
        <v>7620859261</v>
      </c>
      <c r="L358" s="10" t="s">
        <v>13147</v>
      </c>
      <c r="M358" s="10" t="s">
        <v>15</v>
      </c>
      <c r="N358" s="10" t="s">
        <v>18</v>
      </c>
      <c r="O358" s="10" t="s">
        <v>13103</v>
      </c>
      <c r="P358" s="10" t="s">
        <v>28</v>
      </c>
      <c r="Q358" s="2" t="str">
        <f>IFERROR(VLOOKUP(Tabla1[[#This Row],[USUARIO PICKING ERROR]],DATOS!H:I,2,0)," ")</f>
        <v>TARDE</v>
      </c>
      <c r="R358" s="27" t="str">
        <f>VLOOKUP(Tabla1[[#This Row],[DETALLE ]],DATOS!L:M,2,0)</f>
        <v>PICKING</v>
      </c>
      <c r="S358" s="41" t="str">
        <f>IFERROR(IFERROR(VLOOKUP(Tabla1[[#This Row],[USUARIO PICKING ERROR]],DATOS!H:J,3,0),VLOOKUP(Tabla1[[#This Row],[USUARIO FILTRO ERROR]],DATOS!O:P,2,0)),"-")</f>
        <v>DAVID PIÑAN</v>
      </c>
      <c r="T358" s="27" t="str">
        <f>UPPER(VLOOKUP(Tabla1[[#This Row],[CODIGO]],DATOS!A:E,5,0))</f>
        <v>FLUJO CONTINUO</v>
      </c>
      <c r="U358" s="31">
        <f>(Tabla1[[#This Row],[CANTIDAD]])*(VLOOKUP(Tabla1[[#This Row],[CODIGO]],DATOS!A:D,4,0))</f>
        <v>95.460000000000008</v>
      </c>
      <c r="V358" s="31" t="str">
        <f>VLOOKUP(Tabla1[[#This Row],[CODIGO]],DATOS!A:C,3,0)</f>
        <v>ABARROTES BEBIBLES</v>
      </c>
      <c r="W358" s="31" t="s">
        <v>13324</v>
      </c>
      <c r="X358" s="28" t="s">
        <v>13086</v>
      </c>
      <c r="Y358" s="28" t="s">
        <v>13111</v>
      </c>
    </row>
    <row r="359" spans="1:25" ht="12" customHeight="1" x14ac:dyDescent="0.25">
      <c r="A359" s="46">
        <v>45736</v>
      </c>
      <c r="B359" s="2" t="s">
        <v>13106</v>
      </c>
      <c r="C359" s="2" t="s">
        <v>15</v>
      </c>
      <c r="D359" s="2">
        <v>574651</v>
      </c>
      <c r="E359" s="2" t="s">
        <v>3093</v>
      </c>
      <c r="F359" s="2">
        <v>10</v>
      </c>
      <c r="G359" s="2" t="s">
        <v>12991</v>
      </c>
      <c r="H359" s="2" t="s">
        <v>25</v>
      </c>
      <c r="I359" s="75" t="s">
        <v>13140</v>
      </c>
      <c r="J359" s="9" t="s">
        <v>15</v>
      </c>
      <c r="K359" s="10" t="s">
        <v>15</v>
      </c>
      <c r="L359" s="10" t="s">
        <v>121</v>
      </c>
      <c r="M359" s="10" t="s">
        <v>15</v>
      </c>
      <c r="N359" s="10" t="s">
        <v>18</v>
      </c>
      <c r="O359" s="10" t="s">
        <v>13369</v>
      </c>
      <c r="P359" s="10" t="s">
        <v>25</v>
      </c>
      <c r="Q359" s="2" t="s">
        <v>29</v>
      </c>
      <c r="R359" s="27" t="str">
        <f>VLOOKUP(Tabla1[[#This Row],[DETALLE ]],DATOS!L:M,2,0)</f>
        <v>PICKING</v>
      </c>
      <c r="S359" s="41" t="str">
        <f>IFERROR(IFERROR(VLOOKUP(Tabla1[[#This Row],[USUARIO PICKING ERROR]],DATOS!H:J,3,0),VLOOKUP(Tabla1[[#This Row],[USUARIO FILTRO ERROR]],DATOS!O:P,2,0)),"-")</f>
        <v>BENJAMIN LIZARBE</v>
      </c>
      <c r="T359" s="27" t="str">
        <f>UPPER(VLOOKUP(Tabla1[[#This Row],[CODIGO]],DATOS!A:E,5,0))</f>
        <v>FLUJO CONTINUO</v>
      </c>
      <c r="U359" s="31">
        <f>(Tabla1[[#This Row],[CANTIDAD]])*(VLOOKUP(Tabla1[[#This Row],[CODIGO]],DATOS!A:D,4,0))</f>
        <v>210.79999999999998</v>
      </c>
      <c r="V359" s="31" t="str">
        <f>VLOOKUP(Tabla1[[#This Row],[CODIGO]],DATOS!A:C,3,0)</f>
        <v>ABARROTES NO COMESTIBLES</v>
      </c>
      <c r="W359" s="31" t="s">
        <v>13325</v>
      </c>
      <c r="X359" s="28" t="s">
        <v>21</v>
      </c>
      <c r="Y359" s="28" t="s">
        <v>13113</v>
      </c>
    </row>
    <row r="360" spans="1:25" ht="12" customHeight="1" x14ac:dyDescent="0.25">
      <c r="A360" s="46">
        <v>45737</v>
      </c>
      <c r="B360" s="2" t="s">
        <v>12970</v>
      </c>
      <c r="C360" s="2">
        <v>7620874122</v>
      </c>
      <c r="D360" s="2">
        <v>733609002</v>
      </c>
      <c r="E360" s="2" t="s">
        <v>10064</v>
      </c>
      <c r="F360" s="2">
        <v>12</v>
      </c>
      <c r="G360" s="2" t="s">
        <v>13150</v>
      </c>
      <c r="H360" s="2" t="s">
        <v>17</v>
      </c>
      <c r="I360" s="75" t="s">
        <v>12940</v>
      </c>
      <c r="J360" s="9" t="s">
        <v>12970</v>
      </c>
      <c r="K360" s="10">
        <v>7620874122</v>
      </c>
      <c r="L360" s="10" t="s">
        <v>38</v>
      </c>
      <c r="M360" s="10" t="s">
        <v>13150</v>
      </c>
      <c r="N360" s="10" t="s">
        <v>12957</v>
      </c>
      <c r="O360" s="10" t="s">
        <v>13100</v>
      </c>
      <c r="P360" s="10" t="s">
        <v>28</v>
      </c>
      <c r="Q360" s="2" t="str">
        <f>IFERROR(VLOOKUP(Tabla1[[#This Row],[USUARIO PICKING ERROR]],DATOS!H:I,2,0)," ")</f>
        <v>TARDE</v>
      </c>
      <c r="R360" s="27" t="str">
        <f>VLOOKUP(Tabla1[[#This Row],[DETALLE ]],DATOS!L:M,2,0)</f>
        <v>FILTRO</v>
      </c>
      <c r="S360" s="41" t="str">
        <f>IFERROR(IFERROR(VLOOKUP(Tabla1[[#This Row],[USUARIO PICKING ERROR]],DATOS!H:J,3,0),VLOOKUP(Tabla1[[#This Row],[USUARIO FILTRO ERROR]],DATOS!O:P,2,0)),"-")</f>
        <v>DAVID PIÑAN</v>
      </c>
      <c r="T360" s="27" t="str">
        <f>UPPER(VLOOKUP(Tabla1[[#This Row],[CODIGO]],DATOS!A:E,5,0))</f>
        <v>FLUJO CONTINUO</v>
      </c>
      <c r="U360" s="31">
        <f>(Tabla1[[#This Row],[CANTIDAD]])*(VLOOKUP(Tabla1[[#This Row],[CODIGO]],DATOS!A:D,4,0))</f>
        <v>206.64</v>
      </c>
      <c r="V360" s="31" t="str">
        <f>VLOOKUP(Tabla1[[#This Row],[CODIGO]],DATOS!A:C,3,0)</f>
        <v>ABARROTES BEBIBLES</v>
      </c>
      <c r="W360" s="31" t="s">
        <v>13324</v>
      </c>
      <c r="X360" s="28" t="s">
        <v>13086</v>
      </c>
      <c r="Y360" s="28" t="s">
        <v>13111</v>
      </c>
    </row>
    <row r="361" spans="1:25" ht="12" customHeight="1" x14ac:dyDescent="0.25">
      <c r="A361" s="46">
        <v>45737</v>
      </c>
      <c r="B361" s="2" t="s">
        <v>12986</v>
      </c>
      <c r="C361" s="2">
        <v>7620861682</v>
      </c>
      <c r="D361" s="2">
        <v>985796</v>
      </c>
      <c r="E361" s="2" t="s">
        <v>7565</v>
      </c>
      <c r="F361" s="2">
        <v>1</v>
      </c>
      <c r="G361" s="2" t="s">
        <v>13174</v>
      </c>
      <c r="H361" s="2" t="s">
        <v>17</v>
      </c>
      <c r="I361" s="75" t="s">
        <v>12940</v>
      </c>
      <c r="J361" s="9" t="s">
        <v>15</v>
      </c>
      <c r="K361" s="10" t="s">
        <v>15</v>
      </c>
      <c r="L361" s="10" t="s">
        <v>35</v>
      </c>
      <c r="M361" s="10" t="s">
        <v>15</v>
      </c>
      <c r="N361" s="10" t="s">
        <v>18</v>
      </c>
      <c r="O361" s="10" t="s">
        <v>13181</v>
      </c>
      <c r="P361" s="10" t="s">
        <v>17</v>
      </c>
      <c r="Q361" s="2" t="str">
        <f>IFERROR(VLOOKUP(Tabla1[[#This Row],[USUARIO PICKING ERROR]],DATOS!H:I,2,0)," ")</f>
        <v>MAÑANA</v>
      </c>
      <c r="R361" s="27" t="str">
        <f>VLOOKUP(Tabla1[[#This Row],[DETALLE ]],DATOS!L:M,2,0)</f>
        <v>PICKING</v>
      </c>
      <c r="S361" s="41" t="str">
        <f>IFERROR(IFERROR(VLOOKUP(Tabla1[[#This Row],[USUARIO PICKING ERROR]],DATOS!H:J,3,0),VLOOKUP(Tabla1[[#This Row],[USUARIO FILTRO ERROR]],DATOS!O:P,2,0)),"-")</f>
        <v>BENJAMIN LIZARBE</v>
      </c>
      <c r="T361" s="27" t="str">
        <f>UPPER(VLOOKUP(Tabla1[[#This Row],[CODIGO]],DATOS!A:E,5,0))</f>
        <v>FLUJO CONTINUO</v>
      </c>
      <c r="U361" s="31">
        <f>(Tabla1[[#This Row],[CANTIDAD]])*(VLOOKUP(Tabla1[[#This Row],[CODIGO]],DATOS!A:D,4,0))</f>
        <v>5.76</v>
      </c>
      <c r="V361" s="31" t="str">
        <f>VLOOKUP(Tabla1[[#This Row],[CODIGO]],DATOS!A:C,3,0)</f>
        <v>ABARROTES BEBIBLES</v>
      </c>
      <c r="W361" s="31" t="s">
        <v>13324</v>
      </c>
      <c r="X361" s="28" t="s">
        <v>13086</v>
      </c>
      <c r="Y361" s="28" t="s">
        <v>13111</v>
      </c>
    </row>
    <row r="362" spans="1:25" ht="12" customHeight="1" x14ac:dyDescent="0.25">
      <c r="A362" s="46">
        <v>45738</v>
      </c>
      <c r="B362" s="2" t="s">
        <v>15</v>
      </c>
      <c r="C362" s="2" t="s">
        <v>15</v>
      </c>
      <c r="D362" s="2">
        <v>1018031</v>
      </c>
      <c r="E362" s="2" t="s">
        <v>10620</v>
      </c>
      <c r="F362" s="2">
        <v>1</v>
      </c>
      <c r="G362" s="2" t="s">
        <v>15</v>
      </c>
      <c r="H362" s="2" t="s">
        <v>25</v>
      </c>
      <c r="I362" s="75" t="s">
        <v>12940</v>
      </c>
      <c r="J362" s="9" t="s">
        <v>15</v>
      </c>
      <c r="K362" s="10" t="s">
        <v>15</v>
      </c>
      <c r="L362" s="10" t="s">
        <v>14</v>
      </c>
      <c r="M362" s="10" t="s">
        <v>15</v>
      </c>
      <c r="N362" s="10" t="s">
        <v>13123</v>
      </c>
      <c r="O362" s="10" t="s">
        <v>13180</v>
      </c>
      <c r="P362" s="10" t="s">
        <v>25</v>
      </c>
      <c r="Q362" s="2" t="str">
        <f>IFERROR(VLOOKUP(Tabla1[[#This Row],[USUARIO PICKING ERROR]],DATOS!H:I,2,0)," ")</f>
        <v>ALMACEN</v>
      </c>
      <c r="R362" s="27" t="str">
        <f>VLOOKUP(Tabla1[[#This Row],[DETALLE ]],DATOS!L:M,2,0)</f>
        <v>INVENTARIO</v>
      </c>
      <c r="S362" s="41" t="str">
        <f>IFERROR(IFERROR(VLOOKUP(Tabla1[[#This Row],[USUARIO PICKING ERROR]],DATOS!H:J,3,0),VLOOKUP(Tabla1[[#This Row],[USUARIO FILTRO ERROR]],DATOS!O:P,2,0)),"-")</f>
        <v>ALMACEN</v>
      </c>
      <c r="T362" s="27" t="str">
        <f>UPPER(VLOOKUP(Tabla1[[#This Row],[CODIGO]],DATOS!A:E,5,0))</f>
        <v>FLUJO CONTINUO</v>
      </c>
      <c r="U362" s="31">
        <f>(Tabla1[[#This Row],[CANTIDAD]])*(VLOOKUP(Tabla1[[#This Row],[CODIGO]],DATOS!A:D,4,0))</f>
        <v>12</v>
      </c>
      <c r="V362" s="31" t="str">
        <f>VLOOKUP(Tabla1[[#This Row],[CODIGO]],DATOS!A:C,3,0)</f>
        <v>ABARROTES NO COMESTIBLES</v>
      </c>
      <c r="W362" s="31" t="s">
        <v>13324</v>
      </c>
      <c r="X362" s="28" t="s">
        <v>13086</v>
      </c>
      <c r="Y362" s="28" t="s">
        <v>13111</v>
      </c>
    </row>
    <row r="363" spans="1:25" ht="12" customHeight="1" x14ac:dyDescent="0.25">
      <c r="A363" s="46">
        <v>45740</v>
      </c>
      <c r="B363" s="2" t="s">
        <v>12989</v>
      </c>
      <c r="C363" s="2">
        <v>7620869646</v>
      </c>
      <c r="D363" s="2">
        <v>10523</v>
      </c>
      <c r="E363" s="2" t="s">
        <v>570</v>
      </c>
      <c r="F363" s="2">
        <v>6</v>
      </c>
      <c r="G363" s="2" t="s">
        <v>13150</v>
      </c>
      <c r="H363" s="2" t="s">
        <v>17</v>
      </c>
      <c r="I363" s="75" t="s">
        <v>12940</v>
      </c>
      <c r="J363" s="9" t="s">
        <v>12989</v>
      </c>
      <c r="K363" s="10">
        <v>7620869646</v>
      </c>
      <c r="L363" s="10" t="s">
        <v>84</v>
      </c>
      <c r="M363" s="10" t="s">
        <v>13150</v>
      </c>
      <c r="N363" s="10" t="s">
        <v>12957</v>
      </c>
      <c r="O363" s="10" t="s">
        <v>13100</v>
      </c>
      <c r="P363" s="10" t="s">
        <v>28</v>
      </c>
      <c r="Q363" s="2" t="str">
        <f>IFERROR(VLOOKUP(Tabla1[[#This Row],[USUARIO PICKING ERROR]],DATOS!H:I,2,0)," ")</f>
        <v>TARDE</v>
      </c>
      <c r="R363" s="27" t="str">
        <f>VLOOKUP(Tabla1[[#This Row],[DETALLE ]],DATOS!L:M,2,0)</f>
        <v>FILTRO</v>
      </c>
      <c r="S363" s="41" t="str">
        <f>IFERROR(IFERROR(VLOOKUP(Tabla1[[#This Row],[USUARIO PICKING ERROR]],DATOS!H:J,3,0),VLOOKUP(Tabla1[[#This Row],[USUARIO FILTRO ERROR]],DATOS!O:P,2,0)),"-")</f>
        <v>DAVID PIÑAN</v>
      </c>
      <c r="T363" s="27" t="str">
        <f>UPPER(VLOOKUP(Tabla1[[#This Row],[CODIGO]],DATOS!A:E,5,0))</f>
        <v>FLUJO CONTINUO</v>
      </c>
      <c r="U363" s="31">
        <f>(Tabla1[[#This Row],[CANTIDAD]])*(VLOOKUP(Tabla1[[#This Row],[CODIGO]],DATOS!A:D,4,0))</f>
        <v>215.70000000000002</v>
      </c>
      <c r="V363" s="31" t="str">
        <f>VLOOKUP(Tabla1[[#This Row],[CODIGO]],DATOS!A:C,3,0)</f>
        <v>ABARROTES BEBIBLES</v>
      </c>
      <c r="W363" s="31" t="s">
        <v>13324</v>
      </c>
      <c r="X363" s="28" t="s">
        <v>13086</v>
      </c>
      <c r="Y363" s="28" t="s">
        <v>13111</v>
      </c>
    </row>
    <row r="364" spans="1:25" ht="12" customHeight="1" x14ac:dyDescent="0.25">
      <c r="A364" s="46">
        <v>45740</v>
      </c>
      <c r="B364" s="2" t="s">
        <v>92</v>
      </c>
      <c r="C364" s="2">
        <v>7620867869</v>
      </c>
      <c r="D364" s="2">
        <v>913698</v>
      </c>
      <c r="E364" s="2" t="s">
        <v>5336</v>
      </c>
      <c r="F364" s="2">
        <v>2</v>
      </c>
      <c r="G364" s="2" t="s">
        <v>13174</v>
      </c>
      <c r="H364" s="2" t="s">
        <v>17</v>
      </c>
      <c r="I364" s="75" t="s">
        <v>12940</v>
      </c>
      <c r="J364" s="9" t="s">
        <v>65</v>
      </c>
      <c r="K364" s="10">
        <v>7620869407</v>
      </c>
      <c r="L364" s="10" t="s">
        <v>67</v>
      </c>
      <c r="M364" s="10" t="s">
        <v>15</v>
      </c>
      <c r="N364" s="10" t="s">
        <v>18</v>
      </c>
      <c r="O364" s="10" t="s">
        <v>13103</v>
      </c>
      <c r="P364" s="10" t="s">
        <v>28</v>
      </c>
      <c r="Q364" s="2" t="str">
        <f>IFERROR(VLOOKUP(Tabla1[[#This Row],[USUARIO PICKING ERROR]],DATOS!H:I,2,0)," ")</f>
        <v>MAÑANA</v>
      </c>
      <c r="R364" s="27" t="str">
        <f>VLOOKUP(Tabla1[[#This Row],[DETALLE ]],DATOS!L:M,2,0)</f>
        <v>PICKING</v>
      </c>
      <c r="S364" s="41" t="str">
        <f>IFERROR(IFERROR(VLOOKUP(Tabla1[[#This Row],[USUARIO PICKING ERROR]],DATOS!H:J,3,0),VLOOKUP(Tabla1[[#This Row],[USUARIO FILTRO ERROR]],DATOS!O:P,2,0)),"-")</f>
        <v>BENJAMIN LIZARBE</v>
      </c>
      <c r="T364" s="27" t="str">
        <f>UPPER(VLOOKUP(Tabla1[[#This Row],[CODIGO]],DATOS!A:E,5,0))</f>
        <v>FLUJO CONTINUO</v>
      </c>
      <c r="U364" s="31">
        <f>(Tabla1[[#This Row],[CANTIDAD]])*(VLOOKUP(Tabla1[[#This Row],[CODIGO]],DATOS!A:D,4,0))</f>
        <v>305.64</v>
      </c>
      <c r="V364" s="31" t="str">
        <f>VLOOKUP(Tabla1[[#This Row],[CODIGO]],DATOS!A:C,3,0)</f>
        <v>ABARROTES BEBIBLES</v>
      </c>
      <c r="W364" s="31" t="s">
        <v>13324</v>
      </c>
      <c r="X364" s="28" t="s">
        <v>13086</v>
      </c>
      <c r="Y364" s="28" t="s">
        <v>13111</v>
      </c>
    </row>
    <row r="365" spans="1:25" ht="12" customHeight="1" x14ac:dyDescent="0.25">
      <c r="A365" s="46">
        <v>45740</v>
      </c>
      <c r="B365" s="2" t="s">
        <v>92</v>
      </c>
      <c r="C365" s="2">
        <v>7620867869</v>
      </c>
      <c r="D365" s="2">
        <v>445008</v>
      </c>
      <c r="E365" s="2" t="s">
        <v>2132</v>
      </c>
      <c r="F365" s="2">
        <v>3</v>
      </c>
      <c r="G365" s="2" t="s">
        <v>13174</v>
      </c>
      <c r="H365" s="2" t="s">
        <v>17</v>
      </c>
      <c r="I365" s="75" t="s">
        <v>12940</v>
      </c>
      <c r="J365" s="9" t="s">
        <v>65</v>
      </c>
      <c r="K365" s="10">
        <v>7620869407</v>
      </c>
      <c r="L365" s="10" t="s">
        <v>90</v>
      </c>
      <c r="M365" s="10" t="s">
        <v>15</v>
      </c>
      <c r="N365" s="10" t="s">
        <v>18</v>
      </c>
      <c r="O365" s="10" t="s">
        <v>13103</v>
      </c>
      <c r="P365" s="10" t="s">
        <v>28</v>
      </c>
      <c r="Q365" s="2" t="str">
        <f>IFERROR(VLOOKUP(Tabla1[[#This Row],[USUARIO PICKING ERROR]],DATOS!H:I,2,0)," ")</f>
        <v>MAÑANA</v>
      </c>
      <c r="R365" s="27" t="str">
        <f>VLOOKUP(Tabla1[[#This Row],[DETALLE ]],DATOS!L:M,2,0)</f>
        <v>PICKING</v>
      </c>
      <c r="S365" s="41" t="str">
        <f>IFERROR(IFERROR(VLOOKUP(Tabla1[[#This Row],[USUARIO PICKING ERROR]],DATOS!H:J,3,0),VLOOKUP(Tabla1[[#This Row],[USUARIO FILTRO ERROR]],DATOS!O:P,2,0)),"-")</f>
        <v>BENJAMIN LIZARBE</v>
      </c>
      <c r="T365" s="27" t="str">
        <f>UPPER(VLOOKUP(Tabla1[[#This Row],[CODIGO]],DATOS!A:E,5,0))</f>
        <v>FLUJO CONTINUO</v>
      </c>
      <c r="U365" s="31">
        <f>(Tabla1[[#This Row],[CANTIDAD]])*(VLOOKUP(Tabla1[[#This Row],[CODIGO]],DATOS!A:D,4,0))</f>
        <v>68.58</v>
      </c>
      <c r="V365" s="31" t="str">
        <f>VLOOKUP(Tabla1[[#This Row],[CODIGO]],DATOS!A:C,3,0)</f>
        <v>ABARROTES BEBIBLES</v>
      </c>
      <c r="W365" s="31" t="s">
        <v>13324</v>
      </c>
      <c r="X365" s="28" t="s">
        <v>13086</v>
      </c>
      <c r="Y365" s="28" t="s">
        <v>13111</v>
      </c>
    </row>
    <row r="366" spans="1:25" ht="12" customHeight="1" x14ac:dyDescent="0.25">
      <c r="A366" s="46">
        <v>45741</v>
      </c>
      <c r="B366" s="2" t="s">
        <v>12989</v>
      </c>
      <c r="C366" s="2">
        <v>7620869647</v>
      </c>
      <c r="D366" s="2">
        <v>983945</v>
      </c>
      <c r="E366" s="2" t="s">
        <v>7503</v>
      </c>
      <c r="F366" s="2">
        <v>6</v>
      </c>
      <c r="G366" s="2" t="s">
        <v>12992</v>
      </c>
      <c r="H366" s="2" t="s">
        <v>17</v>
      </c>
      <c r="I366" s="75" t="s">
        <v>12940</v>
      </c>
      <c r="J366" s="9" t="s">
        <v>15</v>
      </c>
      <c r="K366" s="10" t="s">
        <v>15</v>
      </c>
      <c r="L366" s="10" t="s">
        <v>12897</v>
      </c>
      <c r="M366" s="10" t="s">
        <v>15</v>
      </c>
      <c r="N366" s="10" t="s">
        <v>18</v>
      </c>
      <c r="O366" s="10" t="s">
        <v>13103</v>
      </c>
      <c r="P366" s="10" t="s">
        <v>28</v>
      </c>
      <c r="Q366" s="2" t="str">
        <f>IFERROR(VLOOKUP(Tabla1[[#This Row],[USUARIO PICKING ERROR]],DATOS!H:I,2,0)," ")</f>
        <v>MAÑANA</v>
      </c>
      <c r="R366" s="27" t="str">
        <f>VLOOKUP(Tabla1[[#This Row],[DETALLE ]],DATOS!L:M,2,0)</f>
        <v>PICKING</v>
      </c>
      <c r="S366" s="41" t="str">
        <f>IFERROR(IFERROR(VLOOKUP(Tabla1[[#This Row],[USUARIO PICKING ERROR]],DATOS!H:J,3,0),VLOOKUP(Tabla1[[#This Row],[USUARIO FILTRO ERROR]],DATOS!O:P,2,0)),"-")</f>
        <v>BENJAMIN LIZARBE</v>
      </c>
      <c r="T366" s="27" t="str">
        <f>UPPER(VLOOKUP(Tabla1[[#This Row],[CODIGO]],DATOS!A:E,5,0))</f>
        <v>FLUJO CONTINUO</v>
      </c>
      <c r="U366" s="31">
        <f>(Tabla1[[#This Row],[CANTIDAD]])*(VLOOKUP(Tabla1[[#This Row],[CODIGO]],DATOS!A:D,4,0))</f>
        <v>366.78000000000003</v>
      </c>
      <c r="V366" s="31" t="str">
        <f>VLOOKUP(Tabla1[[#This Row],[CODIGO]],DATOS!A:C,3,0)</f>
        <v>ABARROTES BEBIBLES</v>
      </c>
      <c r="W366" s="31" t="s">
        <v>13324</v>
      </c>
      <c r="X366" s="28" t="s">
        <v>13086</v>
      </c>
      <c r="Y366" s="28" t="s">
        <v>13111</v>
      </c>
    </row>
    <row r="367" spans="1:25" ht="12" customHeight="1" x14ac:dyDescent="0.25">
      <c r="A367" s="46">
        <v>45741</v>
      </c>
      <c r="B367" s="2" t="s">
        <v>13175</v>
      </c>
      <c r="C367" s="2">
        <v>7620870039</v>
      </c>
      <c r="D367" s="2">
        <v>205532</v>
      </c>
      <c r="E367" s="2" t="s">
        <v>1323</v>
      </c>
      <c r="F367" s="2">
        <v>1</v>
      </c>
      <c r="G367" s="2" t="s">
        <v>13174</v>
      </c>
      <c r="H367" s="2" t="s">
        <v>25</v>
      </c>
      <c r="I367" s="75" t="s">
        <v>12940</v>
      </c>
      <c r="J367" s="9" t="s">
        <v>12978</v>
      </c>
      <c r="K367" s="10" t="s">
        <v>13176</v>
      </c>
      <c r="L367" s="10" t="s">
        <v>13167</v>
      </c>
      <c r="M367" s="10" t="s">
        <v>15</v>
      </c>
      <c r="N367" s="10" t="s">
        <v>18</v>
      </c>
      <c r="O367" s="10" t="s">
        <v>13103</v>
      </c>
      <c r="P367" s="10" t="s">
        <v>28</v>
      </c>
      <c r="Q367" s="2" t="str">
        <f>IFERROR(VLOOKUP(Tabla1[[#This Row],[USUARIO PICKING ERROR]],DATOS!H:I,2,0)," ")</f>
        <v>TARDE</v>
      </c>
      <c r="R367" s="27" t="str">
        <f>VLOOKUP(Tabla1[[#This Row],[DETALLE ]],DATOS!L:M,2,0)</f>
        <v>PICKING</v>
      </c>
      <c r="S367" s="41" t="str">
        <f>IFERROR(IFERROR(VLOOKUP(Tabla1[[#This Row],[USUARIO PICKING ERROR]],DATOS!H:J,3,0),VLOOKUP(Tabla1[[#This Row],[USUARIO FILTRO ERROR]],DATOS!O:P,2,0)),"-")</f>
        <v>BENJAMIN LIZARBE</v>
      </c>
      <c r="T367" s="27" t="str">
        <f>UPPER(VLOOKUP(Tabla1[[#This Row],[CODIGO]],DATOS!A:E,5,0))</f>
        <v>FLUJO CONTINUO</v>
      </c>
      <c r="U367" s="31">
        <f>(Tabla1[[#This Row],[CANTIDAD]])*(VLOOKUP(Tabla1[[#This Row],[CODIGO]],DATOS!A:D,4,0))</f>
        <v>33.67</v>
      </c>
      <c r="V367" s="31" t="str">
        <f>VLOOKUP(Tabla1[[#This Row],[CODIGO]],DATOS!A:C,3,0)</f>
        <v>ABARROTES BEBIBLES</v>
      </c>
      <c r="W367" s="31" t="s">
        <v>13324</v>
      </c>
      <c r="X367" s="28" t="s">
        <v>13086</v>
      </c>
      <c r="Y367" s="28" t="s">
        <v>13111</v>
      </c>
    </row>
    <row r="368" spans="1:25" ht="12" customHeight="1" x14ac:dyDescent="0.25">
      <c r="A368" s="46">
        <v>45741</v>
      </c>
      <c r="B368" s="2" t="s">
        <v>68</v>
      </c>
      <c r="C368" s="2">
        <v>7620873988</v>
      </c>
      <c r="D368" s="2">
        <v>753538008</v>
      </c>
      <c r="E368" s="2" t="s">
        <v>10124</v>
      </c>
      <c r="F368" s="2">
        <v>48</v>
      </c>
      <c r="G368" s="2" t="s">
        <v>15</v>
      </c>
      <c r="H368" s="2" t="s">
        <v>25</v>
      </c>
      <c r="I368" s="75" t="s">
        <v>12940</v>
      </c>
      <c r="J368" s="9" t="s">
        <v>13003</v>
      </c>
      <c r="K368" s="10">
        <v>7620859934</v>
      </c>
      <c r="L368" s="10" t="s">
        <v>27</v>
      </c>
      <c r="M368" s="10" t="s">
        <v>15</v>
      </c>
      <c r="N368" s="10" t="s">
        <v>18</v>
      </c>
      <c r="O368" s="10" t="s">
        <v>13103</v>
      </c>
      <c r="P368" s="10" t="s">
        <v>28</v>
      </c>
      <c r="Q368" s="2" t="str">
        <f>IFERROR(VLOOKUP(Tabla1[[#This Row],[USUARIO PICKING ERROR]],DATOS!H:I,2,0)," ")</f>
        <v>MAÑANA</v>
      </c>
      <c r="R368" s="27" t="str">
        <f>VLOOKUP(Tabla1[[#This Row],[DETALLE ]],DATOS!L:M,2,0)</f>
        <v>PICKING</v>
      </c>
      <c r="S368" s="41" t="str">
        <f>IFERROR(IFERROR(VLOOKUP(Tabla1[[#This Row],[USUARIO PICKING ERROR]],DATOS!H:J,3,0),VLOOKUP(Tabla1[[#This Row],[USUARIO FILTRO ERROR]],DATOS!O:P,2,0)),"-")</f>
        <v>BENJAMIN LIZARBE</v>
      </c>
      <c r="T368" s="27" t="str">
        <f>UPPER(VLOOKUP(Tabla1[[#This Row],[CODIGO]],DATOS!A:E,5,0))</f>
        <v>FLUJO CONTINUO</v>
      </c>
      <c r="U368" s="31">
        <f>(Tabla1[[#This Row],[CANTIDAD]])*(VLOOKUP(Tabla1[[#This Row],[CODIGO]],DATOS!A:D,4,0))</f>
        <v>341.76</v>
      </c>
      <c r="V368" s="31" t="str">
        <f>VLOOKUP(Tabla1[[#This Row],[CODIGO]],DATOS!A:C,3,0)</f>
        <v>ABARROTES BEBIBLES</v>
      </c>
      <c r="W368" s="31" t="s">
        <v>13324</v>
      </c>
      <c r="X368" s="28" t="s">
        <v>13086</v>
      </c>
      <c r="Y368" s="28" t="s">
        <v>13111</v>
      </c>
    </row>
    <row r="369" spans="1:25" ht="12" customHeight="1" x14ac:dyDescent="0.25">
      <c r="A369" s="46">
        <v>45741</v>
      </c>
      <c r="B369" s="2" t="s">
        <v>13148</v>
      </c>
      <c r="C369" s="2">
        <v>7620871452</v>
      </c>
      <c r="D369" s="2">
        <v>180959</v>
      </c>
      <c r="E369" s="2" t="s">
        <v>1212</v>
      </c>
      <c r="F369" s="2">
        <v>6</v>
      </c>
      <c r="G369" s="2" t="s">
        <v>15</v>
      </c>
      <c r="H369" s="2" t="s">
        <v>25</v>
      </c>
      <c r="I369" s="75" t="s">
        <v>12940</v>
      </c>
      <c r="J369" s="9" t="s">
        <v>13177</v>
      </c>
      <c r="K369" s="10">
        <v>7620871428</v>
      </c>
      <c r="L369" s="10" t="s">
        <v>27</v>
      </c>
      <c r="M369" s="10" t="s">
        <v>15</v>
      </c>
      <c r="N369" s="10" t="s">
        <v>18</v>
      </c>
      <c r="O369" s="10" t="s">
        <v>13103</v>
      </c>
      <c r="P369" s="10" t="s">
        <v>28</v>
      </c>
      <c r="Q369" s="2" t="str">
        <f>IFERROR(VLOOKUP(Tabla1[[#This Row],[USUARIO PICKING ERROR]],DATOS!H:I,2,0)," ")</f>
        <v>MAÑANA</v>
      </c>
      <c r="R369" s="27" t="str">
        <f>VLOOKUP(Tabla1[[#This Row],[DETALLE ]],DATOS!L:M,2,0)</f>
        <v>PICKING</v>
      </c>
      <c r="S369" s="41" t="str">
        <f>IFERROR(IFERROR(VLOOKUP(Tabla1[[#This Row],[USUARIO PICKING ERROR]],DATOS!H:J,3,0),VLOOKUP(Tabla1[[#This Row],[USUARIO FILTRO ERROR]],DATOS!O:P,2,0)),"-")</f>
        <v>BENJAMIN LIZARBE</v>
      </c>
      <c r="T369" s="27" t="str">
        <f>UPPER(VLOOKUP(Tabla1[[#This Row],[CODIGO]],DATOS!A:E,5,0))</f>
        <v>FLUJO CONTINUO</v>
      </c>
      <c r="U369" s="31">
        <f>(Tabla1[[#This Row],[CANTIDAD]])*(VLOOKUP(Tabla1[[#This Row],[CODIGO]],DATOS!A:D,4,0))</f>
        <v>136.38</v>
      </c>
      <c r="V369" s="31" t="str">
        <f>VLOOKUP(Tabla1[[#This Row],[CODIGO]],DATOS!A:C,3,0)</f>
        <v>ABARROTES BEBIBLES</v>
      </c>
      <c r="W369" s="31" t="s">
        <v>13324</v>
      </c>
      <c r="X369" s="28" t="s">
        <v>13086</v>
      </c>
      <c r="Y369" s="28" t="s">
        <v>13111</v>
      </c>
    </row>
    <row r="370" spans="1:25" ht="12" customHeight="1" x14ac:dyDescent="0.25">
      <c r="A370" s="46">
        <v>45742</v>
      </c>
      <c r="B370" s="2" t="s">
        <v>13026</v>
      </c>
      <c r="C370" s="2" t="s">
        <v>15</v>
      </c>
      <c r="D370" s="2">
        <v>1008641003</v>
      </c>
      <c r="E370" s="2" t="s">
        <v>10495</v>
      </c>
      <c r="F370" s="2">
        <v>2</v>
      </c>
      <c r="G370" s="2" t="s">
        <v>12991</v>
      </c>
      <c r="H370" s="2" t="s">
        <v>25</v>
      </c>
      <c r="I370" s="75" t="s">
        <v>12940</v>
      </c>
      <c r="J370" s="9" t="s">
        <v>15</v>
      </c>
      <c r="K370" s="10" t="s">
        <v>15</v>
      </c>
      <c r="L370" s="10" t="s">
        <v>13331</v>
      </c>
      <c r="M370" s="10" t="s">
        <v>15</v>
      </c>
      <c r="N370" s="10" t="s">
        <v>18</v>
      </c>
      <c r="O370" s="10" t="s">
        <v>13370</v>
      </c>
      <c r="P370" s="10" t="s">
        <v>25</v>
      </c>
      <c r="Q370" s="2" t="s">
        <v>39</v>
      </c>
      <c r="R370" s="27" t="str">
        <f>VLOOKUP(Tabla1[[#This Row],[DETALLE ]],DATOS!L:M,2,0)</f>
        <v>PICKING</v>
      </c>
      <c r="S370" s="41" t="str">
        <f>IFERROR(IFERROR(VLOOKUP(Tabla1[[#This Row],[USUARIO PICKING ERROR]],DATOS!H:J,3,0),VLOOKUP(Tabla1[[#This Row],[USUARIO FILTRO ERROR]],DATOS!O:P,2,0)),"-")</f>
        <v>DAVID PIÑAN</v>
      </c>
      <c r="T370" s="27" t="str">
        <f>UPPER(VLOOKUP(Tabla1[[#This Row],[CODIGO]],DATOS!A:E,5,0))</f>
        <v>FLUJO CONTINUO</v>
      </c>
      <c r="U370" s="31">
        <f>(Tabla1[[#This Row],[CANTIDAD]])*(VLOOKUP(Tabla1[[#This Row],[CODIGO]],DATOS!A:D,4,0))</f>
        <v>26.76</v>
      </c>
      <c r="V370" s="31" t="str">
        <f>VLOOKUP(Tabla1[[#This Row],[CODIGO]],DATOS!A:C,3,0)</f>
        <v>ABARROTES BEBIBLES</v>
      </c>
      <c r="W370" s="31" t="s">
        <v>13325</v>
      </c>
      <c r="X370" s="28" t="s">
        <v>21</v>
      </c>
      <c r="Y370" s="28" t="s">
        <v>13113</v>
      </c>
    </row>
    <row r="371" spans="1:25" ht="12" customHeight="1" x14ac:dyDescent="0.25">
      <c r="A371" s="46">
        <v>45743</v>
      </c>
      <c r="B371" s="2" t="s">
        <v>15</v>
      </c>
      <c r="C371" s="2" t="s">
        <v>15</v>
      </c>
      <c r="D371" s="2">
        <v>888434</v>
      </c>
      <c r="E371" s="2" t="s">
        <v>149</v>
      </c>
      <c r="F371" s="2">
        <v>12</v>
      </c>
      <c r="G371" s="2" t="s">
        <v>15</v>
      </c>
      <c r="H371" s="2" t="s">
        <v>17</v>
      </c>
      <c r="I371" s="75" t="s">
        <v>13129</v>
      </c>
      <c r="J371" s="9" t="s">
        <v>15</v>
      </c>
      <c r="K371" s="10" t="s">
        <v>15</v>
      </c>
      <c r="L371" s="10" t="s">
        <v>13316</v>
      </c>
      <c r="M371" s="10" t="s">
        <v>15</v>
      </c>
      <c r="N371" s="10" t="s">
        <v>13128</v>
      </c>
      <c r="O371" s="10" t="s">
        <v>13165</v>
      </c>
      <c r="P371" s="10" t="s">
        <v>17</v>
      </c>
      <c r="Q371" s="2" t="str">
        <f>IFERROR(VLOOKUP(Tabla1[[#This Row],[USUARIO PICKING ERROR]],DATOS!H:I,2,0)," ")</f>
        <v>MAÑANA</v>
      </c>
      <c r="R371" s="27" t="str">
        <f>VLOOKUP(Tabla1[[#This Row],[DETALLE ]],DATOS!L:M,2,0)</f>
        <v>RECEPCION</v>
      </c>
      <c r="S371" s="41" t="str">
        <f>IFERROR(IFERROR(VLOOKUP(Tabla1[[#This Row],[USUARIO PICKING ERROR]],DATOS!H:J,3,0),VLOOKUP(Tabla1[[#This Row],[USUARIO FILTRO ERROR]],DATOS!O:P,2,0)),"-")</f>
        <v>ARNOLD CASTILLO</v>
      </c>
      <c r="T371" s="27" t="str">
        <f>UPPER(VLOOKUP(Tabla1[[#This Row],[CODIGO]],DATOS!A:E,5,0))</f>
        <v>ALMACENADO</v>
      </c>
      <c r="U371" s="31">
        <f>(Tabla1[[#This Row],[CANTIDAD]])*(VLOOKUP(Tabla1[[#This Row],[CODIGO]],DATOS!A:D,4,0))</f>
        <v>160.44</v>
      </c>
      <c r="V371" s="31" t="str">
        <f>VLOOKUP(Tabla1[[#This Row],[CODIGO]],DATOS!A:C,3,0)</f>
        <v>ABARROTES NO COMESTIBLES</v>
      </c>
      <c r="W371" s="31" t="s">
        <v>13324</v>
      </c>
      <c r="X371" s="28" t="s">
        <v>13086</v>
      </c>
      <c r="Y371" s="28" t="s">
        <v>13111</v>
      </c>
    </row>
    <row r="372" spans="1:25" ht="12" customHeight="1" x14ac:dyDescent="0.25">
      <c r="A372" s="46">
        <v>45744</v>
      </c>
      <c r="B372" s="2" t="s">
        <v>13004</v>
      </c>
      <c r="C372" s="2">
        <v>7620859878</v>
      </c>
      <c r="D372" s="2">
        <v>752676001</v>
      </c>
      <c r="E372" s="2" t="s">
        <v>13319</v>
      </c>
      <c r="F372" s="2">
        <v>2</v>
      </c>
      <c r="G372" s="2" t="s">
        <v>12992</v>
      </c>
      <c r="H372" s="2" t="s">
        <v>17</v>
      </c>
      <c r="I372" s="75" t="s">
        <v>12940</v>
      </c>
      <c r="J372" s="9" t="s">
        <v>44</v>
      </c>
      <c r="K372" s="10" t="s">
        <v>13320</v>
      </c>
      <c r="L372" s="10" t="s">
        <v>27</v>
      </c>
      <c r="M372" s="10" t="s">
        <v>15</v>
      </c>
      <c r="N372" s="10" t="s">
        <v>18</v>
      </c>
      <c r="O372" s="10" t="s">
        <v>13103</v>
      </c>
      <c r="P372" s="10" t="s">
        <v>28</v>
      </c>
      <c r="Q372" s="2" t="str">
        <f>IFERROR(VLOOKUP(Tabla1[[#This Row],[USUARIO PICKING ERROR]],DATOS!H:I,2,0)," ")</f>
        <v>MAÑANA</v>
      </c>
      <c r="R372" s="27" t="str">
        <f>VLOOKUP(Tabla1[[#This Row],[DETALLE ]],DATOS!L:M,2,0)</f>
        <v>PICKING</v>
      </c>
      <c r="S372" s="41" t="str">
        <f>IFERROR(IFERROR(VLOOKUP(Tabla1[[#This Row],[USUARIO PICKING ERROR]],DATOS!H:J,3,0),VLOOKUP(Tabla1[[#This Row],[USUARIO FILTRO ERROR]],DATOS!O:P,2,0)),"-")</f>
        <v>BENJAMIN LIZARBE</v>
      </c>
      <c r="T372" s="27" t="str">
        <f>UPPER(VLOOKUP(Tabla1[[#This Row],[CODIGO]],DATOS!A:E,5,0))</f>
        <v>FLUJO CONTINUO</v>
      </c>
      <c r="U372" s="31">
        <f>(Tabla1[[#This Row],[CANTIDAD]])*(VLOOKUP(Tabla1[[#This Row],[CODIGO]],DATOS!A:D,4,0))</f>
        <v>92.94</v>
      </c>
      <c r="V372" s="31" t="str">
        <f>VLOOKUP(Tabla1[[#This Row],[CODIGO]],DATOS!A:C,3,0)</f>
        <v>ABARROTES BEBIBLES</v>
      </c>
      <c r="W372" s="31" t="s">
        <v>13324</v>
      </c>
      <c r="X372" s="28" t="s">
        <v>13086</v>
      </c>
      <c r="Y372" s="28" t="s">
        <v>13111</v>
      </c>
    </row>
    <row r="373" spans="1:25" ht="12" customHeight="1" x14ac:dyDescent="0.25">
      <c r="A373" s="46">
        <v>45747</v>
      </c>
      <c r="B373" s="2" t="s">
        <v>13026</v>
      </c>
      <c r="C373" s="2">
        <v>7620868881</v>
      </c>
      <c r="D373" s="2">
        <v>784799</v>
      </c>
      <c r="E373" s="2" t="s">
        <v>4546</v>
      </c>
      <c r="F373" s="2">
        <v>12</v>
      </c>
      <c r="G373" s="2" t="s">
        <v>12991</v>
      </c>
      <c r="H373" s="2" t="s">
        <v>25</v>
      </c>
      <c r="I373" s="75" t="s">
        <v>13140</v>
      </c>
      <c r="J373" s="9" t="s">
        <v>15</v>
      </c>
      <c r="K373" s="10" t="s">
        <v>15</v>
      </c>
      <c r="L373" s="10" t="s">
        <v>13329</v>
      </c>
      <c r="M373" s="10" t="s">
        <v>15</v>
      </c>
      <c r="N373" s="10" t="s">
        <v>18</v>
      </c>
      <c r="O373" s="10" t="s">
        <v>13330</v>
      </c>
      <c r="P373" s="10" t="s">
        <v>25</v>
      </c>
      <c r="Q373" s="2" t="s">
        <v>39</v>
      </c>
      <c r="R373" s="27" t="str">
        <f>VLOOKUP(Tabla1[[#This Row],[DETALLE ]],DATOS!L:M,2,0)</f>
        <v>PICKING</v>
      </c>
      <c r="S373" s="41" t="str">
        <f>IFERROR(IFERROR(VLOOKUP(Tabla1[[#This Row],[USUARIO PICKING ERROR]],DATOS!H:J,3,0),VLOOKUP(Tabla1[[#This Row],[USUARIO FILTRO ERROR]],DATOS!O:P,2,0)),"-")</f>
        <v>DAVID PIÑAN</v>
      </c>
      <c r="T373" s="27" t="str">
        <f>UPPER(VLOOKUP(Tabla1[[#This Row],[CODIGO]],DATOS!A:E,5,0))</f>
        <v>FLUJO CONTINUO</v>
      </c>
      <c r="U373" s="31">
        <f>(Tabla1[[#This Row],[CANTIDAD]])*(VLOOKUP(Tabla1[[#This Row],[CODIGO]],DATOS!A:D,4,0))</f>
        <v>96.600000000000009</v>
      </c>
      <c r="V373" s="31" t="str">
        <f>VLOOKUP(Tabla1[[#This Row],[CODIGO]],DATOS!A:C,3,0)</f>
        <v>ABARROTES COMESTIBLES</v>
      </c>
      <c r="W373" s="31" t="s">
        <v>13325</v>
      </c>
      <c r="X373" s="28" t="s">
        <v>21</v>
      </c>
      <c r="Y373" s="28" t="s">
        <v>13113</v>
      </c>
    </row>
    <row r="374" spans="1:25" ht="12" customHeight="1" x14ac:dyDescent="0.25">
      <c r="A374" s="46">
        <v>45747</v>
      </c>
      <c r="B374" s="2" t="s">
        <v>13026</v>
      </c>
      <c r="C374" s="2">
        <v>7620868881</v>
      </c>
      <c r="D374" s="2">
        <v>784798</v>
      </c>
      <c r="E374" s="2" t="s">
        <v>4545</v>
      </c>
      <c r="F374" s="2">
        <v>12</v>
      </c>
      <c r="G374" s="2" t="s">
        <v>12991</v>
      </c>
      <c r="H374" s="2" t="s">
        <v>17</v>
      </c>
      <c r="I374" s="75" t="s">
        <v>13140</v>
      </c>
      <c r="J374" s="9" t="s">
        <v>15</v>
      </c>
      <c r="K374" s="10" t="s">
        <v>15</v>
      </c>
      <c r="L374" s="10" t="s">
        <v>13329</v>
      </c>
      <c r="M374" s="10" t="s">
        <v>15</v>
      </c>
      <c r="N374" s="10" t="s">
        <v>18</v>
      </c>
      <c r="O374" s="10" t="s">
        <v>13330</v>
      </c>
      <c r="P374" s="10" t="s">
        <v>17</v>
      </c>
      <c r="Q374" s="2" t="s">
        <v>39</v>
      </c>
      <c r="R374" s="27" t="str">
        <f>VLOOKUP(Tabla1[[#This Row],[DETALLE ]],DATOS!L:M,2,0)</f>
        <v>PICKING</v>
      </c>
      <c r="S374" s="41" t="str">
        <f>IFERROR(IFERROR(VLOOKUP(Tabla1[[#This Row],[USUARIO PICKING ERROR]],DATOS!H:J,3,0),VLOOKUP(Tabla1[[#This Row],[USUARIO FILTRO ERROR]],DATOS!O:P,2,0)),"-")</f>
        <v>DAVID PIÑAN</v>
      </c>
      <c r="T374" s="27" t="str">
        <f>UPPER(VLOOKUP(Tabla1[[#This Row],[CODIGO]],DATOS!A:E,5,0))</f>
        <v>FLUJO CONTINUO</v>
      </c>
      <c r="U374" s="31">
        <f>(Tabla1[[#This Row],[CANTIDAD]])*(VLOOKUP(Tabla1[[#This Row],[CODIGO]],DATOS!A:D,4,0))</f>
        <v>137.28</v>
      </c>
      <c r="V374" s="31" t="str">
        <f>VLOOKUP(Tabla1[[#This Row],[CODIGO]],DATOS!A:C,3,0)</f>
        <v>ABARROTES COMESTIBLES</v>
      </c>
      <c r="W374" s="31" t="s">
        <v>13325</v>
      </c>
      <c r="X374" s="28" t="s">
        <v>21</v>
      </c>
      <c r="Y374" s="28" t="s">
        <v>13113</v>
      </c>
    </row>
    <row r="375" spans="1:25" ht="12" customHeight="1" x14ac:dyDescent="0.25">
      <c r="A375" s="46">
        <v>45748</v>
      </c>
      <c r="B375" s="2" t="s">
        <v>13026</v>
      </c>
      <c r="C375" s="2">
        <v>7620874267</v>
      </c>
      <c r="D375" s="2">
        <v>13444</v>
      </c>
      <c r="E375" s="2" t="s">
        <v>607</v>
      </c>
      <c r="F375" s="2">
        <v>12</v>
      </c>
      <c r="G375" s="2" t="s">
        <v>24</v>
      </c>
      <c r="H375" s="2" t="s">
        <v>17</v>
      </c>
      <c r="I375" s="75" t="s">
        <v>13140</v>
      </c>
      <c r="J375" s="9" t="s">
        <v>15</v>
      </c>
      <c r="K375" s="10" t="s">
        <v>15</v>
      </c>
      <c r="L375" s="10" t="s">
        <v>13317</v>
      </c>
      <c r="M375" s="10" t="s">
        <v>15</v>
      </c>
      <c r="N375" s="10" t="s">
        <v>18</v>
      </c>
      <c r="O375" s="10" t="s">
        <v>13103</v>
      </c>
      <c r="P375" s="10" t="s">
        <v>17</v>
      </c>
      <c r="Q375" s="2" t="s">
        <v>29</v>
      </c>
      <c r="R375" s="27" t="str">
        <f>VLOOKUP(Tabla1[[#This Row],[DETALLE ]],DATOS!L:M,2,0)</f>
        <v>PICKING</v>
      </c>
      <c r="S375" s="41" t="str">
        <f>IFERROR(IFERROR(VLOOKUP(Tabla1[[#This Row],[USUARIO PICKING ERROR]],DATOS!H:J,3,0),VLOOKUP(Tabla1[[#This Row],[USUARIO FILTRO ERROR]],DATOS!O:P,2,0)),"-")</f>
        <v>BENJAMIN LIZARBE</v>
      </c>
      <c r="T375" s="27" t="str">
        <f>UPPER(VLOOKUP(Tabla1[[#This Row],[CODIGO]],DATOS!A:E,5,0))</f>
        <v>FLUJO CONTINUO</v>
      </c>
      <c r="U375" s="31">
        <f>(Tabla1[[#This Row],[CANTIDAD]])*(VLOOKUP(Tabla1[[#This Row],[CODIGO]],DATOS!A:D,4,0))</f>
        <v>214.79999999999998</v>
      </c>
      <c r="V375" s="31" t="str">
        <f>VLOOKUP(Tabla1[[#This Row],[CODIGO]],DATOS!A:C,3,0)</f>
        <v>ABARROTES NO COMESTIBLES</v>
      </c>
      <c r="W375" s="31" t="s">
        <v>13325</v>
      </c>
      <c r="X375" s="28" t="s">
        <v>21</v>
      </c>
      <c r="Y375" s="28" t="s">
        <v>13113</v>
      </c>
    </row>
    <row r="376" spans="1:25" ht="12" customHeight="1" x14ac:dyDescent="0.25">
      <c r="A376" s="46">
        <v>45748</v>
      </c>
      <c r="B376" s="2" t="s">
        <v>114</v>
      </c>
      <c r="C376" s="2">
        <v>7620872466</v>
      </c>
      <c r="D376" s="2">
        <v>330536</v>
      </c>
      <c r="E376" s="2" t="s">
        <v>1609</v>
      </c>
      <c r="F376" s="2">
        <v>1</v>
      </c>
      <c r="G376" s="2" t="s">
        <v>52</v>
      </c>
      <c r="H376" s="2" t="s">
        <v>25</v>
      </c>
      <c r="I376" s="75" t="s">
        <v>13140</v>
      </c>
      <c r="J376" s="9" t="s">
        <v>15</v>
      </c>
      <c r="K376" s="10" t="s">
        <v>15</v>
      </c>
      <c r="L376" s="10" t="s">
        <v>12890</v>
      </c>
      <c r="M376" s="10" t="s">
        <v>15</v>
      </c>
      <c r="N376" s="10" t="s">
        <v>18</v>
      </c>
      <c r="O376" s="10" t="s">
        <v>13103</v>
      </c>
      <c r="P376" s="10" t="s">
        <v>25</v>
      </c>
      <c r="Q376" s="2" t="str">
        <f>IFERROR(VLOOKUP(Tabla1[[#This Row],[USUARIO PICKING ERROR]],DATOS!H:I,2,0)," ")</f>
        <v>TARDE</v>
      </c>
      <c r="R376" s="27" t="str">
        <f>VLOOKUP(Tabla1[[#This Row],[DETALLE ]],DATOS!L:M,2,0)</f>
        <v>PICKING</v>
      </c>
      <c r="S376" s="41" t="str">
        <f>IFERROR(IFERROR(VLOOKUP(Tabla1[[#This Row],[USUARIO PICKING ERROR]],DATOS!H:J,3,0),VLOOKUP(Tabla1[[#This Row],[USUARIO FILTRO ERROR]],DATOS!O:P,2,0)),"-")</f>
        <v>DAVID PIÑAN</v>
      </c>
      <c r="T376" s="27" t="str">
        <f>UPPER(VLOOKUP(Tabla1[[#This Row],[CODIGO]],DATOS!A:E,5,0))</f>
        <v>FLUJO CONTINUO</v>
      </c>
      <c r="U376" s="31">
        <f>(Tabla1[[#This Row],[CANTIDAD]])*(VLOOKUP(Tabla1[[#This Row],[CODIGO]],DATOS!A:D,4,0))</f>
        <v>12.56</v>
      </c>
      <c r="V376" s="31" t="str">
        <f>VLOOKUP(Tabla1[[#This Row],[CODIGO]],DATOS!A:C,3,0)</f>
        <v>ABARROTES COMESTIBLES</v>
      </c>
      <c r="W376" s="31" t="s">
        <v>13325</v>
      </c>
      <c r="X376" s="28" t="s">
        <v>21</v>
      </c>
      <c r="Y376" s="28" t="s">
        <v>13113</v>
      </c>
    </row>
    <row r="377" spans="1:25" ht="12" customHeight="1" x14ac:dyDescent="0.25">
      <c r="A377" s="46">
        <v>45748</v>
      </c>
      <c r="B377" s="2" t="s">
        <v>12970</v>
      </c>
      <c r="C377" s="2">
        <v>7620874115</v>
      </c>
      <c r="D377" s="2">
        <v>727603</v>
      </c>
      <c r="E377" s="2" t="s">
        <v>3505</v>
      </c>
      <c r="F377" s="2">
        <v>6</v>
      </c>
      <c r="G377" s="2" t="s">
        <v>15</v>
      </c>
      <c r="H377" s="2" t="s">
        <v>25</v>
      </c>
      <c r="I377" s="75" t="s">
        <v>12940</v>
      </c>
      <c r="J377" s="9" t="s">
        <v>15</v>
      </c>
      <c r="K377" s="10" t="s">
        <v>15</v>
      </c>
      <c r="L377" s="10" t="s">
        <v>12938</v>
      </c>
      <c r="M377" s="10" t="s">
        <v>15</v>
      </c>
      <c r="N377" s="10" t="s">
        <v>18</v>
      </c>
      <c r="O377" s="10" t="s">
        <v>13103</v>
      </c>
      <c r="P377" s="10" t="s">
        <v>25</v>
      </c>
      <c r="Q377" s="2" t="str">
        <f>IFERROR(VLOOKUP(Tabla1[[#This Row],[USUARIO PICKING ERROR]],DATOS!H:I,2,0)," ")</f>
        <v>TARDE</v>
      </c>
      <c r="R377" s="27" t="s">
        <v>13137</v>
      </c>
      <c r="S377" s="41" t="str">
        <f>IFERROR(IFERROR(VLOOKUP(Tabla1[[#This Row],[USUARIO PICKING ERROR]],DATOS!H:J,3,0),VLOOKUP(Tabla1[[#This Row],[USUARIO FILTRO ERROR]],DATOS!O:P,2,0)),"-")</f>
        <v>DAVID PIÑAN</v>
      </c>
      <c r="T377" s="27" t="str">
        <f>UPPER(VLOOKUP(Tabla1[[#This Row],[CODIGO]],DATOS!A:E,5,0))</f>
        <v>FLUJO CONTINUO</v>
      </c>
      <c r="U377" s="31">
        <f>(Tabla1[[#This Row],[CANTIDAD]])*(VLOOKUP(Tabla1[[#This Row],[CODIGO]],DATOS!A:D,4,0))</f>
        <v>776.46</v>
      </c>
      <c r="V377" s="31" t="str">
        <f>VLOOKUP(Tabla1[[#This Row],[CODIGO]],DATOS!A:C,3,0)</f>
        <v>ABARROTES BEBIBLES</v>
      </c>
      <c r="W377" s="31" t="s">
        <v>13325</v>
      </c>
      <c r="X377" s="28" t="s">
        <v>21</v>
      </c>
      <c r="Y377" s="28" t="s">
        <v>13113</v>
      </c>
    </row>
    <row r="378" spans="1:25" ht="12" customHeight="1" x14ac:dyDescent="0.25">
      <c r="A378" s="46">
        <v>45748</v>
      </c>
      <c r="B378" s="2" t="s">
        <v>13321</v>
      </c>
      <c r="C378" s="2">
        <v>7620869983</v>
      </c>
      <c r="D378" s="2">
        <v>491097002</v>
      </c>
      <c r="E378" s="2" t="s">
        <v>9760</v>
      </c>
      <c r="F378" s="2">
        <v>12</v>
      </c>
      <c r="G378" s="2" t="s">
        <v>12992</v>
      </c>
      <c r="H378" s="2" t="s">
        <v>25</v>
      </c>
      <c r="I378" s="75" t="s">
        <v>12940</v>
      </c>
      <c r="J378" s="9" t="s">
        <v>13175</v>
      </c>
      <c r="K378" s="10">
        <v>7620870041</v>
      </c>
      <c r="L378" s="10" t="s">
        <v>67</v>
      </c>
      <c r="M378" s="10" t="s">
        <v>15</v>
      </c>
      <c r="N378" s="10" t="s">
        <v>18</v>
      </c>
      <c r="O378" s="10" t="s">
        <v>13103</v>
      </c>
      <c r="P378" s="10" t="s">
        <v>28</v>
      </c>
      <c r="Q378" s="2" t="str">
        <f>IFERROR(VLOOKUP(Tabla1[[#This Row],[USUARIO PICKING ERROR]],DATOS!H:I,2,0)," ")</f>
        <v>MAÑANA</v>
      </c>
      <c r="R378" s="27" t="str">
        <f>VLOOKUP(Tabla1[[#This Row],[DETALLE ]],DATOS!L:M,2,0)</f>
        <v>PICKING</v>
      </c>
      <c r="S378" s="41" t="str">
        <f>IFERROR(IFERROR(VLOOKUP(Tabla1[[#This Row],[USUARIO PICKING ERROR]],DATOS!H:J,3,0),VLOOKUP(Tabla1[[#This Row],[USUARIO FILTRO ERROR]],DATOS!O:P,2,0)),"-")</f>
        <v>BENJAMIN LIZARBE</v>
      </c>
      <c r="T378" s="27" t="str">
        <f>UPPER(VLOOKUP(Tabla1[[#This Row],[CODIGO]],DATOS!A:E,5,0))</f>
        <v>FLUJO CONTINUO</v>
      </c>
      <c r="U378" s="31">
        <f>(Tabla1[[#This Row],[CANTIDAD]])*(VLOOKUP(Tabla1[[#This Row],[CODIGO]],DATOS!A:D,4,0))</f>
        <v>266.88</v>
      </c>
      <c r="V378" s="31" t="str">
        <f>VLOOKUP(Tabla1[[#This Row],[CODIGO]],DATOS!A:C,3,0)</f>
        <v>ABARROTES BEBIBLES</v>
      </c>
      <c r="W378" s="31" t="s">
        <v>13325</v>
      </c>
      <c r="X378" s="28" t="s">
        <v>13086</v>
      </c>
      <c r="Y378" s="28" t="s">
        <v>13113</v>
      </c>
    </row>
    <row r="379" spans="1:25" ht="12" customHeight="1" x14ac:dyDescent="0.25">
      <c r="A379" s="46">
        <v>45748</v>
      </c>
      <c r="B379" s="2" t="s">
        <v>12980</v>
      </c>
      <c r="C379" s="2">
        <v>7620869610</v>
      </c>
      <c r="D379" s="2">
        <v>37116</v>
      </c>
      <c r="E379" s="2" t="str">
        <f>VLOOKUP(Tabla1[[#This Row],[CODIGO]],DATOS!A:B,2,0)</f>
        <v>VINO C.MACUL ANTIGUAS RESERVAS MERLOT</v>
      </c>
      <c r="F379" s="2">
        <v>1</v>
      </c>
      <c r="G379" s="2" t="s">
        <v>12992</v>
      </c>
      <c r="H379" s="2" t="s">
        <v>17</v>
      </c>
      <c r="I379" s="75" t="s">
        <v>12940</v>
      </c>
      <c r="J379" s="9" t="s">
        <v>15</v>
      </c>
      <c r="K379" s="10" t="s">
        <v>15</v>
      </c>
      <c r="L379" s="10" t="s">
        <v>27</v>
      </c>
      <c r="M379" s="10" t="s">
        <v>15</v>
      </c>
      <c r="N379" s="10" t="s">
        <v>18</v>
      </c>
      <c r="O379" s="10" t="s">
        <v>13103</v>
      </c>
      <c r="P379" s="10" t="s">
        <v>17</v>
      </c>
      <c r="Q379" s="2" t="s">
        <v>29</v>
      </c>
      <c r="R379" s="27" t="str">
        <f>VLOOKUP(Tabla1[[#This Row],[DETALLE ]],DATOS!L:M,2,0)</f>
        <v>PICKING</v>
      </c>
      <c r="S379" s="41" t="str">
        <f>IFERROR(IFERROR(VLOOKUP(Tabla1[[#This Row],[USUARIO PICKING ERROR]],DATOS!H:J,3,0),VLOOKUP(Tabla1[[#This Row],[USUARIO FILTRO ERROR]],DATOS!O:P,2,0)),"-")</f>
        <v>BENJAMIN LIZARBE</v>
      </c>
      <c r="T379" s="27" t="str">
        <f>UPPER(VLOOKUP(Tabla1[[#This Row],[CODIGO]],DATOS!A:E,5,0))</f>
        <v>FLUJO CONTINUO</v>
      </c>
      <c r="U379" s="31">
        <f>(Tabla1[[#This Row],[CANTIDAD]])*(VLOOKUP(Tabla1[[#This Row],[CODIGO]],DATOS!A:D,4,0))</f>
        <v>52.47</v>
      </c>
      <c r="V379" s="31" t="str">
        <f>VLOOKUP(Tabla1[[#This Row],[CODIGO]],DATOS!A:C,3,0)</f>
        <v>ABARROTES BEBIBLES</v>
      </c>
      <c r="W379" s="31" t="s">
        <v>13325</v>
      </c>
      <c r="X379" s="28" t="s">
        <v>21</v>
      </c>
      <c r="Y379" s="28" t="s">
        <v>13113</v>
      </c>
    </row>
    <row r="380" spans="1:25" ht="12" customHeight="1" x14ac:dyDescent="0.25">
      <c r="A380" s="46">
        <v>45748</v>
      </c>
      <c r="B380" s="2" t="s">
        <v>13026</v>
      </c>
      <c r="C380" s="2">
        <v>7620874267</v>
      </c>
      <c r="D380" s="2">
        <v>451944</v>
      </c>
      <c r="E380" s="2" t="s">
        <v>2170</v>
      </c>
      <c r="F380" s="2">
        <v>6</v>
      </c>
      <c r="G380" s="2" t="s">
        <v>24</v>
      </c>
      <c r="H380" s="2" t="s">
        <v>17</v>
      </c>
      <c r="I380" s="75" t="s">
        <v>13140</v>
      </c>
      <c r="J380" s="9" t="s">
        <v>15</v>
      </c>
      <c r="K380" s="10" t="s">
        <v>15</v>
      </c>
      <c r="L380" s="10" t="s">
        <v>98</v>
      </c>
      <c r="M380" s="10" t="s">
        <v>15</v>
      </c>
      <c r="N380" s="10" t="s">
        <v>18</v>
      </c>
      <c r="O380" s="10" t="s">
        <v>13103</v>
      </c>
      <c r="P380" s="10" t="s">
        <v>17</v>
      </c>
      <c r="Q380" s="2" t="s">
        <v>29</v>
      </c>
      <c r="R380" s="27" t="str">
        <f>VLOOKUP(Tabla1[[#This Row],[DETALLE ]],DATOS!L:M,2,0)</f>
        <v>PICKING</v>
      </c>
      <c r="S380" s="41" t="str">
        <f>IFERROR(IFERROR(VLOOKUP(Tabla1[[#This Row],[USUARIO PICKING ERROR]],DATOS!H:J,3,0),VLOOKUP(Tabla1[[#This Row],[USUARIO FILTRO ERROR]],DATOS!O:P,2,0)),"-")</f>
        <v>BENJAMIN LIZARBE</v>
      </c>
      <c r="T380" s="27" t="str">
        <f>UPPER(VLOOKUP(Tabla1[[#This Row],[CODIGO]],DATOS!A:E,5,0))</f>
        <v>FLUJO CONTINUO</v>
      </c>
      <c r="U380" s="31">
        <f>(Tabla1[[#This Row],[CANTIDAD]])*(VLOOKUP(Tabla1[[#This Row],[CODIGO]],DATOS!A:D,4,0))</f>
        <v>175.74</v>
      </c>
      <c r="V380" s="31" t="str">
        <f>VLOOKUP(Tabla1[[#This Row],[CODIGO]],DATOS!A:C,3,0)</f>
        <v>ABARROTES NO COMESTIBLES</v>
      </c>
      <c r="W380" s="31" t="s">
        <v>13325</v>
      </c>
      <c r="X380" s="28" t="s">
        <v>21</v>
      </c>
      <c r="Y380" s="28" t="s">
        <v>13113</v>
      </c>
    </row>
    <row r="381" spans="1:25" ht="12" customHeight="1" x14ac:dyDescent="0.25">
      <c r="A381" s="46">
        <v>45748</v>
      </c>
      <c r="B381" s="2" t="s">
        <v>13334</v>
      </c>
      <c r="C381" s="2">
        <v>7620855832</v>
      </c>
      <c r="D381" s="2">
        <v>940318</v>
      </c>
      <c r="E381" s="2" t="s">
        <v>5745</v>
      </c>
      <c r="F381" s="2">
        <v>4</v>
      </c>
      <c r="G381" s="2" t="s">
        <v>13335</v>
      </c>
      <c r="H381" s="2" t="s">
        <v>17</v>
      </c>
      <c r="I381" s="75" t="s">
        <v>12940</v>
      </c>
      <c r="J381" s="9" t="s">
        <v>15</v>
      </c>
      <c r="K381" s="10" t="s">
        <v>15</v>
      </c>
      <c r="L381" s="10" t="s">
        <v>90</v>
      </c>
      <c r="M381" s="10" t="s">
        <v>15</v>
      </c>
      <c r="N381" s="10" t="s">
        <v>18</v>
      </c>
      <c r="O381" s="10" t="s">
        <v>13103</v>
      </c>
      <c r="P381" s="10" t="s">
        <v>17</v>
      </c>
      <c r="Q381" s="2" t="s">
        <v>29</v>
      </c>
      <c r="R381" s="27" t="str">
        <f>VLOOKUP(Tabla1[[#This Row],[DETALLE ]],DATOS!L:M,2,0)</f>
        <v>PICKING</v>
      </c>
      <c r="S381" s="41" t="str">
        <f>IFERROR(IFERROR(VLOOKUP(Tabla1[[#This Row],[USUARIO PICKING ERROR]],DATOS!H:J,3,0),VLOOKUP(Tabla1[[#This Row],[USUARIO FILTRO ERROR]],DATOS!O:P,2,0)),"-")</f>
        <v>BENJAMIN LIZARBE</v>
      </c>
      <c r="T381" s="27" t="str">
        <f>UPPER(VLOOKUP(Tabla1[[#This Row],[CODIGO]],DATOS!A:E,5,0))</f>
        <v>FLUJO CONTINUO</v>
      </c>
      <c r="U381" s="31">
        <f>(Tabla1[[#This Row],[CANTIDAD]])*(VLOOKUP(Tabla1[[#This Row],[CODIGO]],DATOS!A:D,4,0))</f>
        <v>133.16</v>
      </c>
      <c r="V381" s="31" t="str">
        <f>VLOOKUP(Tabla1[[#This Row],[CODIGO]],DATOS!A:C,3,0)</f>
        <v>ABARROTES BEBIBLES</v>
      </c>
      <c r="W381" s="31" t="s">
        <v>13325</v>
      </c>
      <c r="X381" s="28" t="s">
        <v>21</v>
      </c>
      <c r="Y381" s="28" t="s">
        <v>13113</v>
      </c>
    </row>
    <row r="382" spans="1:25" ht="12" customHeight="1" x14ac:dyDescent="0.25">
      <c r="A382" s="46">
        <v>45748</v>
      </c>
      <c r="B382" s="2" t="s">
        <v>12970</v>
      </c>
      <c r="C382" s="2">
        <v>7620874115</v>
      </c>
      <c r="D382" s="2">
        <v>968309</v>
      </c>
      <c r="E382" s="2" t="s">
        <v>6629</v>
      </c>
      <c r="F382" s="2">
        <v>12</v>
      </c>
      <c r="G382" s="2" t="s">
        <v>24</v>
      </c>
      <c r="H382" s="2" t="s">
        <v>17</v>
      </c>
      <c r="I382" s="75" t="s">
        <v>12940</v>
      </c>
      <c r="J382" s="9" t="s">
        <v>15</v>
      </c>
      <c r="K382" s="10" t="s">
        <v>15</v>
      </c>
      <c r="L382" s="10" t="s">
        <v>12938</v>
      </c>
      <c r="M382" s="10" t="s">
        <v>49</v>
      </c>
      <c r="N382" s="10" t="s">
        <v>13136</v>
      </c>
      <c r="O382" s="10" t="s">
        <v>13103</v>
      </c>
      <c r="P382" s="10" t="s">
        <v>17</v>
      </c>
      <c r="Q382" s="2" t="s">
        <v>29</v>
      </c>
      <c r="R382" s="27" t="str">
        <f>VLOOKUP(Tabla1[[#This Row],[DETALLE ]],DATOS!L:M,2,0)</f>
        <v>DESPACHO</v>
      </c>
      <c r="S382" s="41" t="str">
        <f>IFERROR(IFERROR(VLOOKUP(Tabla1[[#This Row],[USUARIO PICKING ERROR]],DATOS!H:J,3,0),VLOOKUP(Tabla1[[#This Row],[USUARIO FILTRO ERROR]],DATOS!O:P,2,0)),"-")</f>
        <v>DAVID PIÑAN</v>
      </c>
      <c r="T382" s="27" t="str">
        <f>UPPER(VLOOKUP(Tabla1[[#This Row],[CODIGO]],DATOS!A:E,5,0))</f>
        <v>FLUJO CONTINUO</v>
      </c>
      <c r="U382" s="31">
        <f>(Tabla1[[#This Row],[CANTIDAD]])*(VLOOKUP(Tabla1[[#This Row],[CODIGO]],DATOS!A:D,4,0))</f>
        <v>362.15999999999997</v>
      </c>
      <c r="V382" s="31" t="str">
        <f>VLOOKUP(Tabla1[[#This Row],[CODIGO]],DATOS!A:C,3,0)</f>
        <v>ABARROTES BEBIBLES</v>
      </c>
      <c r="W382" s="31" t="s">
        <v>13325</v>
      </c>
      <c r="X382" s="28" t="s">
        <v>21</v>
      </c>
      <c r="Y382" s="28" t="s">
        <v>13113</v>
      </c>
    </row>
    <row r="383" spans="1:25" ht="12" customHeight="1" x14ac:dyDescent="0.25">
      <c r="A383" s="46">
        <v>45748</v>
      </c>
      <c r="B383" s="2" t="s">
        <v>13336</v>
      </c>
      <c r="C383" s="2">
        <v>7620861885</v>
      </c>
      <c r="D383" s="2">
        <v>976061</v>
      </c>
      <c r="E383" s="2" t="s">
        <v>7147</v>
      </c>
      <c r="F383" s="2">
        <v>24</v>
      </c>
      <c r="G383" s="2" t="s">
        <v>52</v>
      </c>
      <c r="H383" s="2" t="s">
        <v>17</v>
      </c>
      <c r="I383" s="75" t="s">
        <v>13140</v>
      </c>
      <c r="J383" s="9" t="s">
        <v>15</v>
      </c>
      <c r="K383" s="10" t="s">
        <v>15</v>
      </c>
      <c r="L383" s="10" t="s">
        <v>13337</v>
      </c>
      <c r="M383" s="10" t="s">
        <v>15</v>
      </c>
      <c r="N383" s="10" t="s">
        <v>18</v>
      </c>
      <c r="O383" s="10" t="s">
        <v>13103</v>
      </c>
      <c r="P383" s="10" t="s">
        <v>17</v>
      </c>
      <c r="Q383" s="2" t="s">
        <v>29</v>
      </c>
      <c r="R383" s="27" t="str">
        <f>VLOOKUP(Tabla1[[#This Row],[DETALLE ]],DATOS!L:M,2,0)</f>
        <v>PICKING</v>
      </c>
      <c r="S383" s="41" t="str">
        <f>IFERROR(IFERROR(VLOOKUP(Tabla1[[#This Row],[USUARIO PICKING ERROR]],DATOS!H:J,3,0),VLOOKUP(Tabla1[[#This Row],[USUARIO FILTRO ERROR]],DATOS!O:P,2,0)),"-")</f>
        <v>BENJAMIN LIZARBE</v>
      </c>
      <c r="T383" s="27" t="str">
        <f>UPPER(VLOOKUP(Tabla1[[#This Row],[CODIGO]],DATOS!A:E,5,0))</f>
        <v>FLUJO CONTINUO</v>
      </c>
      <c r="U383" s="31">
        <f>(Tabla1[[#This Row],[CANTIDAD]])*(VLOOKUP(Tabla1[[#This Row],[CODIGO]],DATOS!A:D,4,0))</f>
        <v>62.88</v>
      </c>
      <c r="V383" s="31" t="str">
        <f>VLOOKUP(Tabla1[[#This Row],[CODIGO]],DATOS!A:C,3,0)</f>
        <v>ABARROTES COMESTIBLES</v>
      </c>
      <c r="W383" s="31" t="s">
        <v>13325</v>
      </c>
      <c r="X383" s="28" t="s">
        <v>21</v>
      </c>
      <c r="Y383" s="28" t="s">
        <v>13113</v>
      </c>
    </row>
    <row r="384" spans="1:25" ht="12" customHeight="1" x14ac:dyDescent="0.25">
      <c r="A384" s="46">
        <v>45748</v>
      </c>
      <c r="B384" s="2" t="s">
        <v>92</v>
      </c>
      <c r="C384" s="2">
        <v>7620867869</v>
      </c>
      <c r="D384" s="2">
        <v>992694</v>
      </c>
      <c r="E384" s="2" t="s">
        <v>8042</v>
      </c>
      <c r="F384" s="2">
        <v>12</v>
      </c>
      <c r="G384" s="2" t="s">
        <v>13174</v>
      </c>
      <c r="H384" s="2" t="s">
        <v>17</v>
      </c>
      <c r="I384" s="75" t="s">
        <v>12940</v>
      </c>
      <c r="J384" s="9" t="s">
        <v>15</v>
      </c>
      <c r="K384" s="10" t="s">
        <v>15</v>
      </c>
      <c r="L384" s="10" t="s">
        <v>13318</v>
      </c>
      <c r="M384" s="10" t="s">
        <v>15</v>
      </c>
      <c r="N384" s="10" t="s">
        <v>18</v>
      </c>
      <c r="O384" s="10" t="s">
        <v>13103</v>
      </c>
      <c r="P384" s="10" t="s">
        <v>17</v>
      </c>
      <c r="Q384" s="2" t="str">
        <f>IFERROR(VLOOKUP(Tabla1[[#This Row],[USUARIO PICKING ERROR]],DATOS!H:I,2,0)," ")</f>
        <v>MAÑANA</v>
      </c>
      <c r="R384" s="27" t="str">
        <f>VLOOKUP(Tabla1[[#This Row],[DETALLE ]],DATOS!L:M,2,0)</f>
        <v>PICKING</v>
      </c>
      <c r="S384" s="41" t="str">
        <f>IFERROR(IFERROR(VLOOKUP(Tabla1[[#This Row],[USUARIO PICKING ERROR]],DATOS!H:J,3,0),VLOOKUP(Tabla1[[#This Row],[USUARIO FILTRO ERROR]],DATOS!O:P,2,0)),"-")</f>
        <v>BENJAMIN LIZARBE</v>
      </c>
      <c r="T384" s="27" t="str">
        <f>UPPER(VLOOKUP(Tabla1[[#This Row],[CODIGO]],DATOS!A:E,5,0))</f>
        <v>FLUJO CONTINUO</v>
      </c>
      <c r="U384" s="31">
        <f>(Tabla1[[#This Row],[CANTIDAD]])*(VLOOKUP(Tabla1[[#This Row],[CODIGO]],DATOS!A:D,4,0))</f>
        <v>91.800000000000011</v>
      </c>
      <c r="V384" s="31" t="str">
        <f>VLOOKUP(Tabla1[[#This Row],[CODIGO]],DATOS!A:C,3,0)</f>
        <v>ABARROTES COMESTIBLES</v>
      </c>
      <c r="W384" s="31" t="s">
        <v>13325</v>
      </c>
      <c r="X384" s="28" t="s">
        <v>21</v>
      </c>
      <c r="Y384" s="28" t="s">
        <v>13113</v>
      </c>
    </row>
    <row r="385" spans="1:25" ht="12" customHeight="1" x14ac:dyDescent="0.25">
      <c r="A385" s="46">
        <v>45748</v>
      </c>
      <c r="B385" s="2" t="s">
        <v>13026</v>
      </c>
      <c r="C385" s="2">
        <v>7620874267</v>
      </c>
      <c r="D385" s="2">
        <v>1024743</v>
      </c>
      <c r="E385" s="2" t="s">
        <v>10898</v>
      </c>
      <c r="F385" s="2">
        <v>6</v>
      </c>
      <c r="G385" s="2" t="s">
        <v>24</v>
      </c>
      <c r="H385" s="2" t="s">
        <v>17</v>
      </c>
      <c r="I385" s="75" t="s">
        <v>13140</v>
      </c>
      <c r="J385" s="9" t="s">
        <v>15</v>
      </c>
      <c r="K385" s="10" t="s">
        <v>15</v>
      </c>
      <c r="L385" s="10" t="s">
        <v>12911</v>
      </c>
      <c r="M385" s="10" t="s">
        <v>15</v>
      </c>
      <c r="N385" s="10" t="s">
        <v>18</v>
      </c>
      <c r="O385" s="10" t="s">
        <v>13103</v>
      </c>
      <c r="P385" s="10" t="s">
        <v>17</v>
      </c>
      <c r="Q385" s="2" t="s">
        <v>39</v>
      </c>
      <c r="R385" s="27" t="str">
        <f>VLOOKUP(Tabla1[[#This Row],[DETALLE ]],DATOS!L:M,2,0)</f>
        <v>PICKING</v>
      </c>
      <c r="S385" s="41" t="str">
        <f>IFERROR(IFERROR(VLOOKUP(Tabla1[[#This Row],[USUARIO PICKING ERROR]],DATOS!H:J,3,0),VLOOKUP(Tabla1[[#This Row],[USUARIO FILTRO ERROR]],DATOS!O:P,2,0)),"-")</f>
        <v>DAVID PIÑAN</v>
      </c>
      <c r="T385" s="27" t="str">
        <f>UPPER(VLOOKUP(Tabla1[[#This Row],[CODIGO]],DATOS!A:E,5,0))</f>
        <v>FLUJO CONTINUO</v>
      </c>
      <c r="U385" s="31">
        <f>(Tabla1[[#This Row],[CANTIDAD]])*(VLOOKUP(Tabla1[[#This Row],[CODIGO]],DATOS!A:D,4,0))</f>
        <v>141.66</v>
      </c>
      <c r="V385" s="31" t="str">
        <f>VLOOKUP(Tabla1[[#This Row],[CODIGO]],DATOS!A:C,3,0)</f>
        <v>ABARROTES NO COMESTIBLES</v>
      </c>
      <c r="W385" s="31" t="s">
        <v>13325</v>
      </c>
      <c r="X385" s="28" t="s">
        <v>21</v>
      </c>
      <c r="Y385" s="28" t="s">
        <v>13113</v>
      </c>
    </row>
    <row r="386" spans="1:25" ht="12" customHeight="1" x14ac:dyDescent="0.25">
      <c r="A386" s="46">
        <v>45748</v>
      </c>
      <c r="B386" s="2" t="s">
        <v>13026</v>
      </c>
      <c r="C386" s="2">
        <v>7620874267</v>
      </c>
      <c r="D386" s="2">
        <v>1025662</v>
      </c>
      <c r="E386" s="2" t="s">
        <v>12351</v>
      </c>
      <c r="F386" s="2">
        <v>6</v>
      </c>
      <c r="G386" s="2" t="s">
        <v>24</v>
      </c>
      <c r="H386" s="2" t="s">
        <v>17</v>
      </c>
      <c r="I386" s="75" t="s">
        <v>13140</v>
      </c>
      <c r="J386" s="9" t="s">
        <v>15</v>
      </c>
      <c r="K386" s="10" t="s">
        <v>15</v>
      </c>
      <c r="L386" s="10" t="s">
        <v>121</v>
      </c>
      <c r="M386" s="10" t="s">
        <v>15</v>
      </c>
      <c r="N386" s="10" t="s">
        <v>18</v>
      </c>
      <c r="O386" s="10" t="s">
        <v>13103</v>
      </c>
      <c r="P386" s="10" t="s">
        <v>17</v>
      </c>
      <c r="Q386" s="2" t="s">
        <v>29</v>
      </c>
      <c r="R386" s="27" t="str">
        <f>VLOOKUP(Tabla1[[#This Row],[DETALLE ]],DATOS!L:M,2,0)</f>
        <v>PICKING</v>
      </c>
      <c r="S386" s="41" t="str">
        <f>IFERROR(IFERROR(VLOOKUP(Tabla1[[#This Row],[USUARIO PICKING ERROR]],DATOS!H:J,3,0),VLOOKUP(Tabla1[[#This Row],[USUARIO FILTRO ERROR]],DATOS!O:P,2,0)),"-")</f>
        <v>BENJAMIN LIZARBE</v>
      </c>
      <c r="T386" s="27" t="str">
        <f>UPPER(VLOOKUP(Tabla1[[#This Row],[CODIGO]],DATOS!A:E,5,0))</f>
        <v>FLUJO CONTINUO</v>
      </c>
      <c r="U386" s="31">
        <f>(Tabla1[[#This Row],[CANTIDAD]])*(VLOOKUP(Tabla1[[#This Row],[CODIGO]],DATOS!A:D,4,0))</f>
        <v>165.72</v>
      </c>
      <c r="V386" s="31" t="str">
        <f>VLOOKUP(Tabla1[[#This Row],[CODIGO]],DATOS!A:C,3,0)</f>
        <v>ABARROTES NO COMESTIBLES</v>
      </c>
      <c r="W386" s="31" t="s">
        <v>13325</v>
      </c>
      <c r="X386" s="28" t="s">
        <v>21</v>
      </c>
      <c r="Y386" s="28" t="s">
        <v>13113</v>
      </c>
    </row>
    <row r="387" spans="1:25" ht="12" customHeight="1" x14ac:dyDescent="0.25">
      <c r="A387" s="46">
        <v>45748</v>
      </c>
      <c r="B387" s="2" t="s">
        <v>13026</v>
      </c>
      <c r="C387" s="2">
        <v>7620874267</v>
      </c>
      <c r="D387" s="2">
        <v>733224001</v>
      </c>
      <c r="E387" s="2" t="s">
        <v>10058</v>
      </c>
      <c r="F387" s="2">
        <v>20</v>
      </c>
      <c r="G387" s="2" t="s">
        <v>24</v>
      </c>
      <c r="H387" s="2" t="s">
        <v>17</v>
      </c>
      <c r="I387" s="75" t="s">
        <v>13140</v>
      </c>
      <c r="J387" s="9" t="s">
        <v>15</v>
      </c>
      <c r="K387" s="10" t="s">
        <v>15</v>
      </c>
      <c r="L387" s="10" t="s">
        <v>13147</v>
      </c>
      <c r="M387" s="10" t="s">
        <v>15</v>
      </c>
      <c r="N387" s="10" t="s">
        <v>18</v>
      </c>
      <c r="O387" s="10" t="s">
        <v>13103</v>
      </c>
      <c r="P387" s="10" t="s">
        <v>17</v>
      </c>
      <c r="Q387" s="2" t="s">
        <v>39</v>
      </c>
      <c r="R387" s="27" t="str">
        <f>VLOOKUP(Tabla1[[#This Row],[DETALLE ]],DATOS!L:M,2,0)</f>
        <v>PICKING</v>
      </c>
      <c r="S387" s="41" t="str">
        <f>IFERROR(IFERROR(VLOOKUP(Tabla1[[#This Row],[USUARIO PICKING ERROR]],DATOS!H:J,3,0),VLOOKUP(Tabla1[[#This Row],[USUARIO FILTRO ERROR]],DATOS!O:P,2,0)),"-")</f>
        <v>DAVID PIÑAN</v>
      </c>
      <c r="T387" s="27" t="str">
        <f>UPPER(VLOOKUP(Tabla1[[#This Row],[CODIGO]],DATOS!A:E,5,0))</f>
        <v>FLUJO CONTINUO</v>
      </c>
      <c r="U387" s="31">
        <f>(Tabla1[[#This Row],[CANTIDAD]])*(VLOOKUP(Tabla1[[#This Row],[CODIGO]],DATOS!A:D,4,0))</f>
        <v>165.39999999999998</v>
      </c>
      <c r="V387" s="31" t="str">
        <f>VLOOKUP(Tabla1[[#This Row],[CODIGO]],DATOS!A:C,3,0)</f>
        <v>ABARROTES NO COMESTIBLES</v>
      </c>
      <c r="W387" s="31" t="s">
        <v>13325</v>
      </c>
      <c r="X387" s="28" t="s">
        <v>21</v>
      </c>
      <c r="Y387" s="28" t="s">
        <v>13113</v>
      </c>
    </row>
    <row r="388" spans="1:25" ht="12" customHeight="1" x14ac:dyDescent="0.25">
      <c r="A388" s="46">
        <v>45748</v>
      </c>
      <c r="B388" s="2" t="s">
        <v>12963</v>
      </c>
      <c r="C388" s="2">
        <v>7620874178</v>
      </c>
      <c r="D388" s="2">
        <v>938726001</v>
      </c>
      <c r="E388" s="2" t="str">
        <f>VLOOKUP(Tabla1[[#This Row],[CODIGO]],DATOS!A:B,2,0)</f>
        <v>PISCO SARCAY PURO 700ML , QUEBRAN</v>
      </c>
      <c r="F388" s="2">
        <v>1</v>
      </c>
      <c r="G388" s="2" t="s">
        <v>12992</v>
      </c>
      <c r="H388" s="2" t="s">
        <v>17</v>
      </c>
      <c r="I388" s="75" t="s">
        <v>12940</v>
      </c>
      <c r="J388" s="9" t="s">
        <v>15</v>
      </c>
      <c r="K388" s="10" t="s">
        <v>15</v>
      </c>
      <c r="L388" s="10" t="s">
        <v>12894</v>
      </c>
      <c r="M388" s="10" t="s">
        <v>15</v>
      </c>
      <c r="N388" s="10" t="s">
        <v>18</v>
      </c>
      <c r="O388" s="10" t="s">
        <v>13103</v>
      </c>
      <c r="P388" s="10" t="s">
        <v>17</v>
      </c>
      <c r="Q388" s="2" t="s">
        <v>39</v>
      </c>
      <c r="R388" s="27" t="str">
        <f>VLOOKUP(Tabla1[[#This Row],[DETALLE ]],DATOS!L:M,2,0)</f>
        <v>PICKING</v>
      </c>
      <c r="S388" s="41" t="str">
        <f>IFERROR(IFERROR(VLOOKUP(Tabla1[[#This Row],[USUARIO PICKING ERROR]],DATOS!H:J,3,0),VLOOKUP(Tabla1[[#This Row],[USUARIO FILTRO ERROR]],DATOS!O:P,2,0)),"-")</f>
        <v>DAVID PIÑAN</v>
      </c>
      <c r="T388" s="27" t="str">
        <f>UPPER(VLOOKUP(Tabla1[[#This Row],[CODIGO]],DATOS!A:E,5,0))</f>
        <v>FLUJO CONTINUO</v>
      </c>
      <c r="U388" s="31">
        <f>(Tabla1[[#This Row],[CANTIDAD]])*(VLOOKUP(Tabla1[[#This Row],[CODIGO]],DATOS!A:D,4,0))</f>
        <v>55.45</v>
      </c>
      <c r="V388" s="31" t="str">
        <f>VLOOKUP(Tabla1[[#This Row],[CODIGO]],DATOS!A:C,3,0)</f>
        <v>ABARROTES BEBIBLES</v>
      </c>
      <c r="W388" s="31" t="s">
        <v>13325</v>
      </c>
      <c r="X388" s="28" t="s">
        <v>21</v>
      </c>
      <c r="Y388" s="28" t="s">
        <v>13113</v>
      </c>
    </row>
    <row r="389" spans="1:25" ht="12" customHeight="1" x14ac:dyDescent="0.25">
      <c r="A389" s="46">
        <v>45749</v>
      </c>
      <c r="B389" s="2" t="s">
        <v>88</v>
      </c>
      <c r="C389" s="2">
        <v>7620875746</v>
      </c>
      <c r="D389" s="2">
        <v>76156</v>
      </c>
      <c r="E389" s="2" t="s">
        <v>959</v>
      </c>
      <c r="F389" s="2">
        <v>12</v>
      </c>
      <c r="G389" s="2" t="s">
        <v>12996</v>
      </c>
      <c r="H389" s="2" t="s">
        <v>25</v>
      </c>
      <c r="I389" s="75" t="s">
        <v>12940</v>
      </c>
      <c r="J389" s="9" t="s">
        <v>15</v>
      </c>
      <c r="K389" s="10" t="s">
        <v>15</v>
      </c>
      <c r="L389" s="10" t="s">
        <v>132</v>
      </c>
      <c r="M389" s="10" t="s">
        <v>15</v>
      </c>
      <c r="N389" s="10" t="s">
        <v>18</v>
      </c>
      <c r="O389" s="10" t="s">
        <v>13369</v>
      </c>
      <c r="P389" s="10" t="s">
        <v>25</v>
      </c>
      <c r="Q389" s="2" t="s">
        <v>29</v>
      </c>
      <c r="R389" s="27" t="str">
        <f>VLOOKUP(Tabla1[[#This Row],[DETALLE ]],DATOS!L:M,2,0)</f>
        <v>PICKING</v>
      </c>
      <c r="S389" s="41" t="str">
        <f>IFERROR(IFERROR(VLOOKUP(Tabla1[[#This Row],[USUARIO PICKING ERROR]],DATOS!H:J,3,0),VLOOKUP(Tabla1[[#This Row],[USUARIO FILTRO ERROR]],DATOS!O:P,2,0)),"-")</f>
        <v>BENJAMIN LIZARBE</v>
      </c>
      <c r="T389" s="27" t="str">
        <f>UPPER(VLOOKUP(Tabla1[[#This Row],[CODIGO]],DATOS!A:E,5,0))</f>
        <v>FLUJO CONTINUO</v>
      </c>
      <c r="U389" s="31">
        <f>(Tabla1[[#This Row],[CANTIDAD]])*(VLOOKUP(Tabla1[[#This Row],[CODIGO]],DATOS!A:D,4,0))</f>
        <v>765</v>
      </c>
      <c r="V389" s="31" t="str">
        <f>VLOOKUP(Tabla1[[#This Row],[CODIGO]],DATOS!A:C,3,0)</f>
        <v>ABARROTES BEBIBLES</v>
      </c>
      <c r="W389" s="31" t="s">
        <v>13325</v>
      </c>
      <c r="X389" s="28" t="s">
        <v>21</v>
      </c>
      <c r="Y389" s="28" t="s">
        <v>13113</v>
      </c>
    </row>
    <row r="390" spans="1:25" ht="12" customHeight="1" x14ac:dyDescent="0.25">
      <c r="A390" s="46">
        <v>45749</v>
      </c>
      <c r="B390" s="2" t="s">
        <v>15</v>
      </c>
      <c r="C390" s="2" t="s">
        <v>15</v>
      </c>
      <c r="D390" s="2">
        <v>727300</v>
      </c>
      <c r="E390" s="2" t="s">
        <v>3931</v>
      </c>
      <c r="F390" s="2">
        <v>12</v>
      </c>
      <c r="G390" s="2" t="s">
        <v>15</v>
      </c>
      <c r="H390" s="2" t="s">
        <v>25</v>
      </c>
      <c r="I390" s="75" t="s">
        <v>13142</v>
      </c>
      <c r="J390" s="9" t="s">
        <v>15</v>
      </c>
      <c r="K390" s="10" t="s">
        <v>15</v>
      </c>
      <c r="L390" s="10" t="s">
        <v>14</v>
      </c>
      <c r="M390" s="10" t="s">
        <v>15</v>
      </c>
      <c r="N390" s="10" t="s">
        <v>18</v>
      </c>
      <c r="O390" s="10" t="s">
        <v>13328</v>
      </c>
      <c r="P390" s="10" t="s">
        <v>25</v>
      </c>
      <c r="Q390" s="2" t="s">
        <v>29</v>
      </c>
      <c r="R390" s="27" t="str">
        <f>VLOOKUP(Tabla1[[#This Row],[DETALLE ]],DATOS!L:M,2,0)</f>
        <v>PICKING</v>
      </c>
      <c r="S390" s="41" t="str">
        <f>IFERROR(IFERROR(VLOOKUP(Tabla1[[#This Row],[USUARIO PICKING ERROR]],DATOS!H:J,3,0),VLOOKUP(Tabla1[[#This Row],[USUARIO FILTRO ERROR]],DATOS!O:P,2,0)),"-")</f>
        <v>ALMACEN</v>
      </c>
      <c r="T390" s="27" t="str">
        <f>UPPER(VLOOKUP(Tabla1[[#This Row],[CODIGO]],DATOS!A:E,5,0))</f>
        <v>ALMACENADO</v>
      </c>
      <c r="U390" s="31">
        <f>(Tabla1[[#This Row],[CANTIDAD]])*(VLOOKUP(Tabla1[[#This Row],[CODIGO]],DATOS!A:D,4,0))</f>
        <v>47.400000000000006</v>
      </c>
      <c r="V390" s="31" t="str">
        <f>VLOOKUP(Tabla1[[#This Row],[CODIGO]],DATOS!A:C,3,0)</f>
        <v>ABARROTES COMESTIBLES</v>
      </c>
      <c r="W390" s="31" t="s">
        <v>13325</v>
      </c>
      <c r="X390" s="28" t="s">
        <v>21</v>
      </c>
      <c r="Y390" s="28" t="s">
        <v>13113</v>
      </c>
    </row>
    <row r="391" spans="1:25" ht="12" customHeight="1" x14ac:dyDescent="0.25">
      <c r="A391" s="46">
        <v>45749</v>
      </c>
      <c r="B391" s="2" t="s">
        <v>15</v>
      </c>
      <c r="C391" s="2" t="s">
        <v>15</v>
      </c>
      <c r="D391" s="2">
        <v>787637</v>
      </c>
      <c r="E391" s="2" t="s">
        <v>5273</v>
      </c>
      <c r="F391" s="2">
        <v>6</v>
      </c>
      <c r="G391" s="2" t="s">
        <v>15</v>
      </c>
      <c r="H391" s="2" t="s">
        <v>25</v>
      </c>
      <c r="I391" s="75" t="s">
        <v>13142</v>
      </c>
      <c r="J391" s="9" t="s">
        <v>15</v>
      </c>
      <c r="K391" s="10" t="s">
        <v>15</v>
      </c>
      <c r="L391" s="10" t="s">
        <v>14</v>
      </c>
      <c r="M391" s="10" t="s">
        <v>15</v>
      </c>
      <c r="N391" s="10" t="s">
        <v>18</v>
      </c>
      <c r="O391" s="10" t="s">
        <v>13328</v>
      </c>
      <c r="P391" s="10" t="s">
        <v>25</v>
      </c>
      <c r="Q391" s="2" t="s">
        <v>29</v>
      </c>
      <c r="R391" s="27" t="str">
        <f>VLOOKUP(Tabla1[[#This Row],[DETALLE ]],DATOS!L:M,2,0)</f>
        <v>PICKING</v>
      </c>
      <c r="S391" s="41" t="str">
        <f>IFERROR(IFERROR(VLOOKUP(Tabla1[[#This Row],[USUARIO PICKING ERROR]],DATOS!H:J,3,0),VLOOKUP(Tabla1[[#This Row],[USUARIO FILTRO ERROR]],DATOS!O:P,2,0)),"-")</f>
        <v>ALMACEN</v>
      </c>
      <c r="T391" s="27" t="str">
        <f>UPPER(VLOOKUP(Tabla1[[#This Row],[CODIGO]],DATOS!A:E,5,0))</f>
        <v>ALMACENADO</v>
      </c>
      <c r="U391" s="31">
        <f>(Tabla1[[#This Row],[CANTIDAD]])*(VLOOKUP(Tabla1[[#This Row],[CODIGO]],DATOS!A:D,4,0))</f>
        <v>63.480000000000004</v>
      </c>
      <c r="V391" s="31" t="str">
        <f>VLOOKUP(Tabla1[[#This Row],[CODIGO]],DATOS!A:C,3,0)</f>
        <v>ABARROTES COMESTIBLES</v>
      </c>
      <c r="W391" s="31" t="s">
        <v>13325</v>
      </c>
      <c r="X391" s="28" t="s">
        <v>21</v>
      </c>
      <c r="Y391" s="28" t="s">
        <v>13113</v>
      </c>
    </row>
    <row r="392" spans="1:25" ht="12" customHeight="1" x14ac:dyDescent="0.25">
      <c r="A392" s="46">
        <v>45749</v>
      </c>
      <c r="B392" s="2" t="s">
        <v>15</v>
      </c>
      <c r="C392" s="2" t="s">
        <v>15</v>
      </c>
      <c r="D392" s="2">
        <v>59505002</v>
      </c>
      <c r="E392" s="2" t="s">
        <v>9421</v>
      </c>
      <c r="F392" s="2">
        <v>1</v>
      </c>
      <c r="G392" s="2" t="s">
        <v>15</v>
      </c>
      <c r="H392" s="2" t="s">
        <v>25</v>
      </c>
      <c r="I392" s="75" t="s">
        <v>13142</v>
      </c>
      <c r="J392" s="9" t="s">
        <v>15</v>
      </c>
      <c r="K392" s="10" t="s">
        <v>15</v>
      </c>
      <c r="L392" s="10" t="s">
        <v>14</v>
      </c>
      <c r="M392" s="10" t="s">
        <v>15</v>
      </c>
      <c r="N392" s="10" t="s">
        <v>18</v>
      </c>
      <c r="O392" s="10" t="s">
        <v>13328</v>
      </c>
      <c r="P392" s="10" t="s">
        <v>25</v>
      </c>
      <c r="Q392" s="2" t="s">
        <v>29</v>
      </c>
      <c r="R392" s="27" t="str">
        <f>VLOOKUP(Tabla1[[#This Row],[DETALLE ]],DATOS!L:M,2,0)</f>
        <v>PICKING</v>
      </c>
      <c r="S392" s="41" t="str">
        <f>IFERROR(IFERROR(VLOOKUP(Tabla1[[#This Row],[USUARIO PICKING ERROR]],DATOS!H:J,3,0),VLOOKUP(Tabla1[[#This Row],[USUARIO FILTRO ERROR]],DATOS!O:P,2,0)),"-")</f>
        <v>ALMACEN</v>
      </c>
      <c r="T392" s="27" t="str">
        <f>UPPER(VLOOKUP(Tabla1[[#This Row],[CODIGO]],DATOS!A:E,5,0))</f>
        <v>ALMACENADO</v>
      </c>
      <c r="U392" s="31">
        <f>(Tabla1[[#This Row],[CANTIDAD]])*(VLOOKUP(Tabla1[[#This Row],[CODIGO]],DATOS!A:D,4,0))</f>
        <v>7.02</v>
      </c>
      <c r="V392" s="31" t="str">
        <f>VLOOKUP(Tabla1[[#This Row],[CODIGO]],DATOS!A:C,3,0)</f>
        <v>ABARROTES COMESTIBLES</v>
      </c>
      <c r="W392" s="31" t="s">
        <v>13325</v>
      </c>
      <c r="X392" s="28" t="s">
        <v>21</v>
      </c>
      <c r="Y392" s="28" t="s">
        <v>13113</v>
      </c>
    </row>
    <row r="393" spans="1:25" ht="12" customHeight="1" x14ac:dyDescent="0.25">
      <c r="A393" s="46">
        <v>45749</v>
      </c>
      <c r="B393" s="2" t="s">
        <v>15</v>
      </c>
      <c r="C393" s="2" t="s">
        <v>15</v>
      </c>
      <c r="D393" s="2">
        <v>396035003</v>
      </c>
      <c r="E393" s="2" t="s">
        <v>9686</v>
      </c>
      <c r="F393" s="2">
        <v>24</v>
      </c>
      <c r="G393" s="2" t="s">
        <v>15</v>
      </c>
      <c r="H393" s="2" t="s">
        <v>25</v>
      </c>
      <c r="I393" s="75" t="s">
        <v>13142</v>
      </c>
      <c r="J393" s="9" t="s">
        <v>15</v>
      </c>
      <c r="K393" s="10" t="s">
        <v>15</v>
      </c>
      <c r="L393" s="10" t="s">
        <v>14</v>
      </c>
      <c r="M393" s="10" t="s">
        <v>15</v>
      </c>
      <c r="N393" s="10" t="s">
        <v>18</v>
      </c>
      <c r="O393" s="10" t="s">
        <v>13328</v>
      </c>
      <c r="P393" s="10" t="s">
        <v>25</v>
      </c>
      <c r="Q393" s="2" t="s">
        <v>29</v>
      </c>
      <c r="R393" s="27" t="str">
        <f>VLOOKUP(Tabla1[[#This Row],[DETALLE ]],DATOS!L:M,2,0)</f>
        <v>PICKING</v>
      </c>
      <c r="S393" s="41" t="str">
        <f>IFERROR(IFERROR(VLOOKUP(Tabla1[[#This Row],[USUARIO PICKING ERROR]],DATOS!H:J,3,0),VLOOKUP(Tabla1[[#This Row],[USUARIO FILTRO ERROR]],DATOS!O:P,2,0)),"-")</f>
        <v>ALMACEN</v>
      </c>
      <c r="T393" s="27" t="str">
        <f>UPPER(VLOOKUP(Tabla1[[#This Row],[CODIGO]],DATOS!A:E,5,0))</f>
        <v>ALMACENADO</v>
      </c>
      <c r="U393" s="31">
        <f>(Tabla1[[#This Row],[CANTIDAD]])*(VLOOKUP(Tabla1[[#This Row],[CODIGO]],DATOS!A:D,4,0))</f>
        <v>66.239999999999995</v>
      </c>
      <c r="V393" s="31" t="str">
        <f>VLOOKUP(Tabla1[[#This Row],[CODIGO]],DATOS!A:C,3,0)</f>
        <v>ABARROTES COMESTIBLES</v>
      </c>
      <c r="W393" s="31" t="s">
        <v>13325</v>
      </c>
      <c r="X393" s="28" t="s">
        <v>21</v>
      </c>
      <c r="Y393" s="28" t="s">
        <v>13113</v>
      </c>
    </row>
    <row r="394" spans="1:25" ht="12" customHeight="1" x14ac:dyDescent="0.25">
      <c r="A394" s="46">
        <v>45749</v>
      </c>
      <c r="B394" s="2" t="s">
        <v>15</v>
      </c>
      <c r="C394" s="2" t="s">
        <v>15</v>
      </c>
      <c r="D394" s="2">
        <v>488262</v>
      </c>
      <c r="E394" s="2" t="s">
        <v>2637</v>
      </c>
      <c r="F394" s="2">
        <v>3</v>
      </c>
      <c r="G394" s="2" t="s">
        <v>15</v>
      </c>
      <c r="H394" s="2" t="s">
        <v>25</v>
      </c>
      <c r="I394" s="75" t="s">
        <v>13142</v>
      </c>
      <c r="J394" s="9" t="s">
        <v>15</v>
      </c>
      <c r="K394" s="10" t="s">
        <v>15</v>
      </c>
      <c r="L394" s="10" t="s">
        <v>14</v>
      </c>
      <c r="M394" s="10" t="s">
        <v>15</v>
      </c>
      <c r="N394" s="10" t="s">
        <v>18</v>
      </c>
      <c r="O394" s="10" t="s">
        <v>13328</v>
      </c>
      <c r="P394" s="10" t="s">
        <v>25</v>
      </c>
      <c r="Q394" s="2" t="s">
        <v>29</v>
      </c>
      <c r="R394" s="27" t="str">
        <f>VLOOKUP(Tabla1[[#This Row],[DETALLE ]],DATOS!L:M,2,0)</f>
        <v>PICKING</v>
      </c>
      <c r="S394" s="41" t="str">
        <f>IFERROR(IFERROR(VLOOKUP(Tabla1[[#This Row],[USUARIO PICKING ERROR]],DATOS!H:J,3,0),VLOOKUP(Tabla1[[#This Row],[USUARIO FILTRO ERROR]],DATOS!O:P,2,0)),"-")</f>
        <v>ALMACEN</v>
      </c>
      <c r="T394" s="27" t="str">
        <f>UPPER(VLOOKUP(Tabla1[[#This Row],[CODIGO]],DATOS!A:E,5,0))</f>
        <v>ALMACENADO</v>
      </c>
      <c r="U394" s="31">
        <f>(Tabla1[[#This Row],[CANTIDAD]])*(VLOOKUP(Tabla1[[#This Row],[CODIGO]],DATOS!A:D,4,0))</f>
        <v>119.49</v>
      </c>
      <c r="V394" s="31" t="str">
        <f>VLOOKUP(Tabla1[[#This Row],[CODIGO]],DATOS!A:C,3,0)</f>
        <v>ABARROTES BEBIBLES</v>
      </c>
      <c r="W394" s="31" t="s">
        <v>13325</v>
      </c>
      <c r="X394" s="28" t="s">
        <v>21</v>
      </c>
      <c r="Y394" s="28" t="s">
        <v>13113</v>
      </c>
    </row>
    <row r="395" spans="1:25" ht="12" customHeight="1" x14ac:dyDescent="0.25">
      <c r="A395" s="46">
        <v>45750</v>
      </c>
      <c r="B395" s="2" t="s">
        <v>15</v>
      </c>
      <c r="C395" s="2" t="s">
        <v>15</v>
      </c>
      <c r="D395" s="2">
        <v>733700002</v>
      </c>
      <c r="E395" s="2" t="s">
        <v>10087</v>
      </c>
      <c r="F395" s="2">
        <v>2</v>
      </c>
      <c r="G395" s="2" t="s">
        <v>15</v>
      </c>
      <c r="H395" s="2" t="s">
        <v>25</v>
      </c>
      <c r="I395" s="75" t="s">
        <v>19</v>
      </c>
      <c r="J395" s="9" t="s">
        <v>15</v>
      </c>
      <c r="K395" s="10" t="s">
        <v>15</v>
      </c>
      <c r="L395" s="10" t="s">
        <v>14</v>
      </c>
      <c r="M395" s="10" t="s">
        <v>15</v>
      </c>
      <c r="N395" s="10" t="s">
        <v>18</v>
      </c>
      <c r="O395" s="10" t="s">
        <v>13333</v>
      </c>
      <c r="P395" s="10" t="s">
        <v>25</v>
      </c>
      <c r="Q395" s="2" t="s">
        <v>39</v>
      </c>
      <c r="R395" s="27" t="str">
        <f>VLOOKUP(Tabla1[[#This Row],[DETALLE ]],DATOS!L:M,2,0)</f>
        <v>PICKING</v>
      </c>
      <c r="S395" s="41" t="str">
        <f>IFERROR(IFERROR(VLOOKUP(Tabla1[[#This Row],[USUARIO PICKING ERROR]],DATOS!H:J,3,0),VLOOKUP(Tabla1[[#This Row],[USUARIO FILTRO ERROR]],DATOS!O:P,2,0)),"-")</f>
        <v>ALMACEN</v>
      </c>
      <c r="T395" s="27" t="str">
        <f>UPPER(VLOOKUP(Tabla1[[#This Row],[CODIGO]],DATOS!A:E,5,0))</f>
        <v>FLUJO CONTINUO</v>
      </c>
      <c r="U395" s="31">
        <f>(Tabla1[[#This Row],[CANTIDAD]])*(VLOOKUP(Tabla1[[#This Row],[CODIGO]],DATOS!A:D,4,0))</f>
        <v>43.08</v>
      </c>
      <c r="V395" s="31" t="str">
        <f>VLOOKUP(Tabla1[[#This Row],[CODIGO]],DATOS!A:C,3,0)</f>
        <v>ABARROTES BEBIBLES</v>
      </c>
      <c r="W395" s="31" t="s">
        <v>13325</v>
      </c>
      <c r="X395" s="28" t="s">
        <v>21</v>
      </c>
      <c r="Y395" s="28" t="s">
        <v>13113</v>
      </c>
    </row>
    <row r="396" spans="1:25" ht="12" customHeight="1" x14ac:dyDescent="0.25">
      <c r="A396" s="46">
        <v>45750</v>
      </c>
      <c r="B396" s="2" t="s">
        <v>15</v>
      </c>
      <c r="C396" s="2" t="s">
        <v>15</v>
      </c>
      <c r="D396" s="2">
        <v>189549</v>
      </c>
      <c r="E396" s="2" t="s">
        <v>1254</v>
      </c>
      <c r="F396" s="2">
        <v>1</v>
      </c>
      <c r="G396" s="2" t="s">
        <v>15</v>
      </c>
      <c r="H396" s="2" t="s">
        <v>25</v>
      </c>
      <c r="I396" s="75" t="s">
        <v>19</v>
      </c>
      <c r="J396" s="9" t="s">
        <v>15</v>
      </c>
      <c r="K396" s="10" t="s">
        <v>15</v>
      </c>
      <c r="L396" s="10" t="s">
        <v>14</v>
      </c>
      <c r="M396" s="10" t="s">
        <v>15</v>
      </c>
      <c r="N396" s="10" t="s">
        <v>18</v>
      </c>
      <c r="O396" s="10" t="s">
        <v>13333</v>
      </c>
      <c r="P396" s="10" t="s">
        <v>25</v>
      </c>
      <c r="Q396" s="2" t="s">
        <v>39</v>
      </c>
      <c r="R396" s="27" t="str">
        <f>VLOOKUP(Tabla1[[#This Row],[DETALLE ]],DATOS!L:M,2,0)</f>
        <v>PICKING</v>
      </c>
      <c r="S396" s="41" t="str">
        <f>IFERROR(IFERROR(VLOOKUP(Tabla1[[#This Row],[USUARIO PICKING ERROR]],DATOS!H:J,3,0),VLOOKUP(Tabla1[[#This Row],[USUARIO FILTRO ERROR]],DATOS!O:P,2,0)),"-")</f>
        <v>ALMACEN</v>
      </c>
      <c r="T396" s="27" t="str">
        <f>UPPER(VLOOKUP(Tabla1[[#This Row],[CODIGO]],DATOS!A:E,5,0))</f>
        <v>FLUJO CONTINUO</v>
      </c>
      <c r="U396" s="31">
        <f>(Tabla1[[#This Row],[CANTIDAD]])*(VLOOKUP(Tabla1[[#This Row],[CODIGO]],DATOS!A:D,4,0))</f>
        <v>20.82</v>
      </c>
      <c r="V396" s="31" t="str">
        <f>VLOOKUP(Tabla1[[#This Row],[CODIGO]],DATOS!A:C,3,0)</f>
        <v>ABARROTES BEBIBLES</v>
      </c>
      <c r="W396" s="31" t="s">
        <v>13325</v>
      </c>
      <c r="X396" s="28" t="s">
        <v>21</v>
      </c>
      <c r="Y396" s="28" t="s">
        <v>13113</v>
      </c>
    </row>
    <row r="397" spans="1:25" ht="12" customHeight="1" x14ac:dyDescent="0.25">
      <c r="A397" s="46">
        <v>45751</v>
      </c>
      <c r="B397" s="2" t="s">
        <v>12985</v>
      </c>
      <c r="C397" s="2">
        <v>7620871234</v>
      </c>
      <c r="D397" s="2">
        <v>482702001</v>
      </c>
      <c r="E397" s="2" t="s">
        <v>9729</v>
      </c>
      <c r="F397" s="2">
        <v>1</v>
      </c>
      <c r="G397" s="2" t="s">
        <v>13335</v>
      </c>
      <c r="H397" s="2" t="s">
        <v>17</v>
      </c>
      <c r="I397" s="75" t="s">
        <v>12940</v>
      </c>
      <c r="J397" s="9" t="s">
        <v>15</v>
      </c>
      <c r="K397" s="10" t="s">
        <v>15</v>
      </c>
      <c r="L397" s="10" t="s">
        <v>67</v>
      </c>
      <c r="M397" s="10" t="s">
        <v>15</v>
      </c>
      <c r="N397" s="10" t="s">
        <v>18</v>
      </c>
      <c r="O397" s="10" t="s">
        <v>13103</v>
      </c>
      <c r="P397" s="10" t="s">
        <v>17</v>
      </c>
      <c r="Q397" s="2" t="s">
        <v>29</v>
      </c>
      <c r="R397" s="27" t="str">
        <f>VLOOKUP(Tabla1[[#This Row],[DETALLE ]],DATOS!L:M,2,0)</f>
        <v>PICKING</v>
      </c>
      <c r="S397" s="41" t="str">
        <f>IFERROR(IFERROR(VLOOKUP(Tabla1[[#This Row],[USUARIO PICKING ERROR]],DATOS!H:J,3,0),VLOOKUP(Tabla1[[#This Row],[USUARIO FILTRO ERROR]],DATOS!O:P,2,0)),"-")</f>
        <v>BENJAMIN LIZARBE</v>
      </c>
      <c r="T397" s="27" t="str">
        <f>UPPER(VLOOKUP(Tabla1[[#This Row],[CODIGO]],DATOS!A:E,5,0))</f>
        <v>FLUJO CONTINUO</v>
      </c>
      <c r="U397" s="31">
        <f>(Tabla1[[#This Row],[CANTIDAD]])*(VLOOKUP(Tabla1[[#This Row],[CODIGO]],DATOS!A:D,4,0))</f>
        <v>76.42</v>
      </c>
      <c r="V397" s="31" t="str">
        <f>VLOOKUP(Tabla1[[#This Row],[CODIGO]],DATOS!A:C,3,0)</f>
        <v>ABARROTES BEBIBLES</v>
      </c>
      <c r="W397" s="31" t="s">
        <v>13325</v>
      </c>
      <c r="X397" s="28" t="s">
        <v>21</v>
      </c>
      <c r="Y397" s="28" t="s">
        <v>13113</v>
      </c>
    </row>
    <row r="398" spans="1:25" ht="12" customHeight="1" x14ac:dyDescent="0.25">
      <c r="A398" s="46">
        <v>45752</v>
      </c>
      <c r="B398" s="2" t="s">
        <v>65</v>
      </c>
      <c r="C398" s="2">
        <v>7620877145</v>
      </c>
      <c r="D398" s="2">
        <v>49071001</v>
      </c>
      <c r="E398" s="2" t="s">
        <v>302</v>
      </c>
      <c r="F398" s="2">
        <v>6</v>
      </c>
      <c r="G398" s="2" t="s">
        <v>12996</v>
      </c>
      <c r="H398" s="2" t="s">
        <v>25</v>
      </c>
      <c r="I398" s="75" t="s">
        <v>12940</v>
      </c>
      <c r="J398" s="9" t="s">
        <v>15</v>
      </c>
      <c r="K398" s="10" t="s">
        <v>15</v>
      </c>
      <c r="L398" s="10" t="s">
        <v>38</v>
      </c>
      <c r="M398" s="10" t="s">
        <v>15</v>
      </c>
      <c r="N398" s="10" t="s">
        <v>18</v>
      </c>
      <c r="O398" s="10" t="s">
        <v>13370</v>
      </c>
      <c r="P398" s="10" t="s">
        <v>25</v>
      </c>
      <c r="Q398" s="2" t="s">
        <v>39</v>
      </c>
      <c r="R398" s="27" t="str">
        <f>VLOOKUP(Tabla1[[#This Row],[DETALLE ]],DATOS!L:M,2,0)</f>
        <v>PICKING</v>
      </c>
      <c r="S398" s="41" t="str">
        <f>IFERROR(IFERROR(VLOOKUP(Tabla1[[#This Row],[USUARIO PICKING ERROR]],DATOS!H:J,3,0),VLOOKUP(Tabla1[[#This Row],[USUARIO FILTRO ERROR]],DATOS!O:P,2,0)),"-")</f>
        <v>DAVID PIÑAN</v>
      </c>
      <c r="T398" s="27" t="str">
        <f>UPPER(VLOOKUP(Tabla1[[#This Row],[CODIGO]],DATOS!A:E,5,0))</f>
        <v>FLUJO CONTINUO</v>
      </c>
      <c r="U398" s="31">
        <f>(Tabla1[[#This Row],[CANTIDAD]])*(VLOOKUP(Tabla1[[#This Row],[CODIGO]],DATOS!A:D,4,0))</f>
        <v>283.38</v>
      </c>
      <c r="V398" s="31" t="str">
        <f>VLOOKUP(Tabla1[[#This Row],[CODIGO]],DATOS!A:C,3,0)</f>
        <v>ABARROTES BEBIBLES</v>
      </c>
      <c r="W398" s="31" t="s">
        <v>13325</v>
      </c>
      <c r="X398" s="28" t="s">
        <v>21</v>
      </c>
      <c r="Y398" s="28" t="s">
        <v>13113</v>
      </c>
    </row>
    <row r="399" spans="1:25" ht="12" customHeight="1" x14ac:dyDescent="0.25">
      <c r="A399" s="46">
        <v>45752</v>
      </c>
      <c r="B399" s="2" t="s">
        <v>15</v>
      </c>
      <c r="C399" s="2" t="s">
        <v>15</v>
      </c>
      <c r="D399" s="2">
        <v>4227</v>
      </c>
      <c r="E399" s="2" t="s">
        <v>283</v>
      </c>
      <c r="F399" s="2">
        <v>1</v>
      </c>
      <c r="G399" s="2" t="s">
        <v>15</v>
      </c>
      <c r="H399" s="2" t="s">
        <v>25</v>
      </c>
      <c r="I399" s="75" t="s">
        <v>13332</v>
      </c>
      <c r="J399" s="9" t="s">
        <v>15</v>
      </c>
      <c r="K399" s="10" t="s">
        <v>15</v>
      </c>
      <c r="L399" s="10" t="s">
        <v>14</v>
      </c>
      <c r="M399" s="10" t="s">
        <v>15</v>
      </c>
      <c r="N399" s="10" t="s">
        <v>18</v>
      </c>
      <c r="O399" s="10" t="s">
        <v>13328</v>
      </c>
      <c r="P399" s="10" t="s">
        <v>25</v>
      </c>
      <c r="Q399" s="2" t="s">
        <v>29</v>
      </c>
      <c r="R399" s="27" t="str">
        <f>VLOOKUP(Tabla1[[#This Row],[DETALLE ]],DATOS!L:M,2,0)</f>
        <v>PICKING</v>
      </c>
      <c r="S399" s="41" t="str">
        <f>IFERROR(IFERROR(VLOOKUP(Tabla1[[#This Row],[USUARIO PICKING ERROR]],DATOS!H:J,3,0),VLOOKUP(Tabla1[[#This Row],[USUARIO FILTRO ERROR]],DATOS!O:P,2,0)),"-")</f>
        <v>ALMACEN</v>
      </c>
      <c r="T399" s="27" t="str">
        <f>UPPER(VLOOKUP(Tabla1[[#This Row],[CODIGO]],DATOS!A:E,5,0))</f>
        <v>ALMACENADO</v>
      </c>
      <c r="U399" s="31">
        <f>(Tabla1[[#This Row],[CANTIDAD]])*(VLOOKUP(Tabla1[[#This Row],[CODIGO]],DATOS!A:D,4,0))</f>
        <v>4</v>
      </c>
      <c r="V399" s="31" t="str">
        <f>VLOOKUP(Tabla1[[#This Row],[CODIGO]],DATOS!A:C,3,0)</f>
        <v>ABARROTES COMESTIBLES</v>
      </c>
      <c r="W399" s="31" t="s">
        <v>13325</v>
      </c>
      <c r="X399" s="28" t="s">
        <v>21</v>
      </c>
      <c r="Y399" s="28" t="s">
        <v>13113</v>
      </c>
    </row>
    <row r="400" spans="1:25" ht="12" customHeight="1" x14ac:dyDescent="0.25">
      <c r="A400" s="46">
        <v>45752</v>
      </c>
      <c r="B400" s="2" t="s">
        <v>15</v>
      </c>
      <c r="C400" s="2" t="s">
        <v>15</v>
      </c>
      <c r="D400" s="2">
        <v>723876</v>
      </c>
      <c r="E400" s="2" t="s">
        <v>3930</v>
      </c>
      <c r="F400" s="2">
        <v>12</v>
      </c>
      <c r="G400" s="2" t="s">
        <v>15</v>
      </c>
      <c r="H400" s="2" t="s">
        <v>25</v>
      </c>
      <c r="I400" s="75" t="s">
        <v>13332</v>
      </c>
      <c r="J400" s="9" t="s">
        <v>15</v>
      </c>
      <c r="K400" s="10" t="s">
        <v>15</v>
      </c>
      <c r="L400" s="10" t="s">
        <v>14</v>
      </c>
      <c r="M400" s="10" t="s">
        <v>15</v>
      </c>
      <c r="N400" s="10" t="s">
        <v>18</v>
      </c>
      <c r="O400" s="10" t="s">
        <v>13328</v>
      </c>
      <c r="P400" s="10" t="s">
        <v>25</v>
      </c>
      <c r="Q400" s="2" t="s">
        <v>29</v>
      </c>
      <c r="R400" s="27" t="str">
        <f>VLOOKUP(Tabla1[[#This Row],[DETALLE ]],DATOS!L:M,2,0)</f>
        <v>PICKING</v>
      </c>
      <c r="S400" s="41" t="str">
        <f>IFERROR(IFERROR(VLOOKUP(Tabla1[[#This Row],[USUARIO PICKING ERROR]],DATOS!H:J,3,0),VLOOKUP(Tabla1[[#This Row],[USUARIO FILTRO ERROR]],DATOS!O:P,2,0)),"-")</f>
        <v>ALMACEN</v>
      </c>
      <c r="T400" s="27" t="str">
        <f>UPPER(VLOOKUP(Tabla1[[#This Row],[CODIGO]],DATOS!A:E,5,0))</f>
        <v>ALMACENADO</v>
      </c>
      <c r="U400" s="31">
        <f>(Tabla1[[#This Row],[CANTIDAD]])*(VLOOKUP(Tabla1[[#This Row],[CODIGO]],DATOS!A:D,4,0))</f>
        <v>127.80000000000001</v>
      </c>
      <c r="V400" s="31" t="str">
        <f>VLOOKUP(Tabla1[[#This Row],[CODIGO]],DATOS!A:C,3,0)</f>
        <v>ABARROTES COMESTIBLES</v>
      </c>
      <c r="W400" s="31" t="s">
        <v>13325</v>
      </c>
      <c r="X400" s="28" t="s">
        <v>21</v>
      </c>
      <c r="Y400" s="28" t="s">
        <v>13113</v>
      </c>
    </row>
    <row r="401" spans="1:25" ht="12" customHeight="1" x14ac:dyDescent="0.25">
      <c r="A401" s="46">
        <v>45752</v>
      </c>
      <c r="B401" s="2" t="s">
        <v>15</v>
      </c>
      <c r="C401" s="2" t="s">
        <v>15</v>
      </c>
      <c r="D401" s="2">
        <v>789796</v>
      </c>
      <c r="E401" s="2" t="s">
        <v>5303</v>
      </c>
      <c r="F401" s="2">
        <v>10</v>
      </c>
      <c r="G401" s="2" t="s">
        <v>15</v>
      </c>
      <c r="H401" s="2" t="s">
        <v>25</v>
      </c>
      <c r="I401" s="75" t="s">
        <v>13332</v>
      </c>
      <c r="J401" s="9" t="s">
        <v>15</v>
      </c>
      <c r="K401" s="10" t="s">
        <v>15</v>
      </c>
      <c r="L401" s="10" t="s">
        <v>14</v>
      </c>
      <c r="M401" s="10" t="s">
        <v>15</v>
      </c>
      <c r="N401" s="10" t="s">
        <v>18</v>
      </c>
      <c r="O401" s="10" t="s">
        <v>13328</v>
      </c>
      <c r="P401" s="10" t="s">
        <v>25</v>
      </c>
      <c r="Q401" s="2" t="s">
        <v>29</v>
      </c>
      <c r="R401" s="27" t="str">
        <f>VLOOKUP(Tabla1[[#This Row],[DETALLE ]],DATOS!L:M,2,0)</f>
        <v>PICKING</v>
      </c>
      <c r="S401" s="41" t="str">
        <f>IFERROR(IFERROR(VLOOKUP(Tabla1[[#This Row],[USUARIO PICKING ERROR]],DATOS!H:J,3,0),VLOOKUP(Tabla1[[#This Row],[USUARIO FILTRO ERROR]],DATOS!O:P,2,0)),"-")</f>
        <v>ALMACEN</v>
      </c>
      <c r="T401" s="27" t="str">
        <f>UPPER(VLOOKUP(Tabla1[[#This Row],[CODIGO]],DATOS!A:E,5,0))</f>
        <v>ALMACENADO</v>
      </c>
      <c r="U401" s="31">
        <f>(Tabla1[[#This Row],[CANTIDAD]])*(VLOOKUP(Tabla1[[#This Row],[CODIGO]],DATOS!A:D,4,0))</f>
        <v>101.89999999999999</v>
      </c>
      <c r="V401" s="31" t="str">
        <f>VLOOKUP(Tabla1[[#This Row],[CODIGO]],DATOS!A:C,3,0)</f>
        <v>ABARROTES COMESTIBLES</v>
      </c>
      <c r="W401" s="31" t="s">
        <v>13325</v>
      </c>
      <c r="X401" s="28" t="s">
        <v>21</v>
      </c>
      <c r="Y401" s="28" t="s">
        <v>13113</v>
      </c>
    </row>
    <row r="402" spans="1:25" ht="12" customHeight="1" x14ac:dyDescent="0.25">
      <c r="A402" s="46">
        <v>45752</v>
      </c>
      <c r="B402" s="2" t="s">
        <v>13026</v>
      </c>
      <c r="C402" s="2">
        <v>7620875935</v>
      </c>
      <c r="D402" s="2">
        <v>767554</v>
      </c>
      <c r="E402" s="2" t="s">
        <v>4034</v>
      </c>
      <c r="F402" s="2">
        <v>10</v>
      </c>
      <c r="G402" s="2" t="s">
        <v>12991</v>
      </c>
      <c r="H402" s="2" t="s">
        <v>25</v>
      </c>
      <c r="I402" s="75" t="s">
        <v>12940</v>
      </c>
      <c r="J402" s="9" t="s">
        <v>106</v>
      </c>
      <c r="K402" s="10">
        <v>7620873556</v>
      </c>
      <c r="L402" s="10" t="s">
        <v>12932</v>
      </c>
      <c r="M402" s="10" t="s">
        <v>15</v>
      </c>
      <c r="N402" s="10" t="s">
        <v>18</v>
      </c>
      <c r="O402" s="10" t="s">
        <v>13369</v>
      </c>
      <c r="P402" s="10" t="s">
        <v>28</v>
      </c>
      <c r="Q402" s="2" t="s">
        <v>29</v>
      </c>
      <c r="R402" s="27" t="str">
        <f>VLOOKUP(Tabla1[[#This Row],[DETALLE ]],DATOS!L:M,2,0)</f>
        <v>PICKING</v>
      </c>
      <c r="S402" s="41" t="str">
        <f>IFERROR(IFERROR(VLOOKUP(Tabla1[[#This Row],[USUARIO PICKING ERROR]],DATOS!H:J,3,0),VLOOKUP(Tabla1[[#This Row],[USUARIO FILTRO ERROR]],DATOS!O:P,2,0)),"-")</f>
        <v>BENJAMIN LIZARBE</v>
      </c>
      <c r="T402" s="27" t="str">
        <f>UPPER(VLOOKUP(Tabla1[[#This Row],[CODIGO]],DATOS!A:E,5,0))</f>
        <v>FLUJO CONTINUO</v>
      </c>
      <c r="U402" s="31">
        <f>(Tabla1[[#This Row],[CANTIDAD]])*(VLOOKUP(Tabla1[[#This Row],[CODIGO]],DATOS!A:D,4,0))</f>
        <v>268.89999999999998</v>
      </c>
      <c r="V402" s="31" t="str">
        <f>VLOOKUP(Tabla1[[#This Row],[CODIGO]],DATOS!A:C,3,0)</f>
        <v>ABARROTES NO COMESTIBLES</v>
      </c>
      <c r="W402" s="31" t="s">
        <v>13325</v>
      </c>
      <c r="X402" s="28" t="s">
        <v>13086</v>
      </c>
      <c r="Y402" s="28" t="s">
        <v>13113</v>
      </c>
    </row>
    <row r="403" spans="1:25" ht="12" customHeight="1" x14ac:dyDescent="0.25">
      <c r="A403" s="46">
        <v>45754</v>
      </c>
      <c r="B403" s="2" t="s">
        <v>12970</v>
      </c>
      <c r="C403" s="2">
        <v>7620875483</v>
      </c>
      <c r="D403" s="2">
        <v>1009412</v>
      </c>
      <c r="E403" s="2" t="s">
        <v>8644</v>
      </c>
      <c r="F403" s="2">
        <v>1</v>
      </c>
      <c r="G403" s="2" t="s">
        <v>12991</v>
      </c>
      <c r="H403" s="2" t="s">
        <v>25</v>
      </c>
      <c r="I403" s="75" t="s">
        <v>12940</v>
      </c>
      <c r="J403" s="9" t="s">
        <v>48</v>
      </c>
      <c r="K403" s="10">
        <v>7620877276</v>
      </c>
      <c r="L403" s="10" t="s">
        <v>98</v>
      </c>
      <c r="M403" s="10" t="s">
        <v>15</v>
      </c>
      <c r="N403" s="10" t="s">
        <v>18</v>
      </c>
      <c r="O403" s="10" t="s">
        <v>13369</v>
      </c>
      <c r="P403" s="10" t="s">
        <v>28</v>
      </c>
      <c r="Q403" s="2" t="s">
        <v>29</v>
      </c>
      <c r="R403" s="27" t="str">
        <f>VLOOKUP(Tabla1[[#This Row],[DETALLE ]],DATOS!L:M,2,0)</f>
        <v>PICKING</v>
      </c>
      <c r="S403" s="41" t="str">
        <f>IFERROR(IFERROR(VLOOKUP(Tabla1[[#This Row],[USUARIO PICKING ERROR]],DATOS!H:J,3,0),VLOOKUP(Tabla1[[#This Row],[USUARIO FILTRO ERROR]],DATOS!O:P,2,0)),"-")</f>
        <v>BENJAMIN LIZARBE</v>
      </c>
      <c r="T403" s="27" t="str">
        <f>UPPER(VLOOKUP(Tabla1[[#This Row],[CODIGO]],DATOS!A:E,5,0))</f>
        <v>FLUJO CONTINUO</v>
      </c>
      <c r="U403" s="31">
        <f>(Tabla1[[#This Row],[CANTIDAD]])*(VLOOKUP(Tabla1[[#This Row],[CODIGO]],DATOS!A:D,4,0))</f>
        <v>15.12</v>
      </c>
      <c r="V403" s="31" t="str">
        <f>VLOOKUP(Tabla1[[#This Row],[CODIGO]],DATOS!A:C,3,0)</f>
        <v>ABARROTES BEBIBLES</v>
      </c>
      <c r="W403" s="31" t="s">
        <v>13325</v>
      </c>
      <c r="X403" s="28" t="s">
        <v>13086</v>
      </c>
      <c r="Y403" s="28" t="s">
        <v>13113</v>
      </c>
    </row>
    <row r="404" spans="1:25" ht="12" customHeight="1" x14ac:dyDescent="0.25">
      <c r="A404" s="46">
        <v>45754</v>
      </c>
      <c r="B404" s="2" t="s">
        <v>15</v>
      </c>
      <c r="C404" s="2" t="s">
        <v>15</v>
      </c>
      <c r="D404" s="2">
        <v>1024531</v>
      </c>
      <c r="E404" s="2" t="s">
        <v>12587</v>
      </c>
      <c r="F404" s="2">
        <v>1</v>
      </c>
      <c r="G404" s="2" t="s">
        <v>15</v>
      </c>
      <c r="H404" s="2" t="s">
        <v>25</v>
      </c>
      <c r="I404" s="75" t="s">
        <v>13142</v>
      </c>
      <c r="J404" s="9" t="s">
        <v>15</v>
      </c>
      <c r="K404" s="10" t="s">
        <v>15</v>
      </c>
      <c r="L404" s="10" t="s">
        <v>14</v>
      </c>
      <c r="M404" s="10" t="s">
        <v>15</v>
      </c>
      <c r="N404" s="10" t="s">
        <v>18</v>
      </c>
      <c r="O404" s="10" t="s">
        <v>13328</v>
      </c>
      <c r="P404" s="10" t="s">
        <v>25</v>
      </c>
      <c r="Q404" s="2" t="s">
        <v>29</v>
      </c>
      <c r="R404" s="27" t="str">
        <f>VLOOKUP(Tabla1[[#This Row],[DETALLE ]],DATOS!L:M,2,0)</f>
        <v>PICKING</v>
      </c>
      <c r="S404" s="41" t="str">
        <f>IFERROR(IFERROR(VLOOKUP(Tabla1[[#This Row],[USUARIO PICKING ERROR]],DATOS!H:J,3,0),VLOOKUP(Tabla1[[#This Row],[USUARIO FILTRO ERROR]],DATOS!O:P,2,0)),"-")</f>
        <v>ALMACEN</v>
      </c>
      <c r="T404" s="27" t="str">
        <f>UPPER(VLOOKUP(Tabla1[[#This Row],[CODIGO]],DATOS!A:E,5,0))</f>
        <v>ALMACENADO</v>
      </c>
      <c r="U404" s="31">
        <f>(Tabla1[[#This Row],[CANTIDAD]])*(VLOOKUP(Tabla1[[#This Row],[CODIGO]],DATOS!A:D,4,0))</f>
        <v>6.53</v>
      </c>
      <c r="V404" s="31" t="str">
        <f>VLOOKUP(Tabla1[[#This Row],[CODIGO]],DATOS!A:C,3,0)</f>
        <v>ABARROTES COMESTIBLES</v>
      </c>
      <c r="W404" s="31" t="s">
        <v>13325</v>
      </c>
      <c r="X404" s="28" t="s">
        <v>21</v>
      </c>
      <c r="Y404" s="28" t="s">
        <v>13113</v>
      </c>
    </row>
    <row r="405" spans="1:25" ht="12" customHeight="1" x14ac:dyDescent="0.25">
      <c r="A405" s="46">
        <v>45754</v>
      </c>
      <c r="B405" s="2" t="s">
        <v>15</v>
      </c>
      <c r="C405" s="2" t="s">
        <v>15</v>
      </c>
      <c r="D405" s="2">
        <v>4759</v>
      </c>
      <c r="E405" s="2" t="s">
        <v>13327</v>
      </c>
      <c r="F405" s="2">
        <v>4</v>
      </c>
      <c r="G405" s="2" t="s">
        <v>15</v>
      </c>
      <c r="H405" s="2" t="s">
        <v>25</v>
      </c>
      <c r="I405" s="75" t="s">
        <v>13142</v>
      </c>
      <c r="J405" s="9" t="s">
        <v>15</v>
      </c>
      <c r="K405" s="10" t="s">
        <v>15</v>
      </c>
      <c r="L405" s="10" t="s">
        <v>14</v>
      </c>
      <c r="M405" s="10" t="s">
        <v>15</v>
      </c>
      <c r="N405" s="10" t="s">
        <v>18</v>
      </c>
      <c r="O405" s="10" t="s">
        <v>13328</v>
      </c>
      <c r="P405" s="10" t="s">
        <v>25</v>
      </c>
      <c r="Q405" s="2" t="s">
        <v>29</v>
      </c>
      <c r="R405" s="27" t="str">
        <f>VLOOKUP(Tabla1[[#This Row],[DETALLE ]],DATOS!L:M,2,0)</f>
        <v>PICKING</v>
      </c>
      <c r="S405" s="41" t="str">
        <f>IFERROR(IFERROR(VLOOKUP(Tabla1[[#This Row],[USUARIO PICKING ERROR]],DATOS!H:J,3,0),VLOOKUP(Tabla1[[#This Row],[USUARIO FILTRO ERROR]],DATOS!O:P,2,0)),"-")</f>
        <v>ALMACEN</v>
      </c>
      <c r="T405" s="27" t="str">
        <f>UPPER(VLOOKUP(Tabla1[[#This Row],[CODIGO]],DATOS!A:E,5,0))</f>
        <v>ALMACENADO</v>
      </c>
      <c r="U405" s="31">
        <f>(Tabla1[[#This Row],[CANTIDAD]])*(VLOOKUP(Tabla1[[#This Row],[CODIGO]],DATOS!A:D,4,0))</f>
        <v>6.4</v>
      </c>
      <c r="V405" s="31" t="str">
        <f>VLOOKUP(Tabla1[[#This Row],[CODIGO]],DATOS!A:C,3,0)</f>
        <v>ABARROTES COMESTIBLES</v>
      </c>
      <c r="W405" s="31" t="s">
        <v>13325</v>
      </c>
      <c r="X405" s="28" t="s">
        <v>21</v>
      </c>
      <c r="Y405" s="28" t="s">
        <v>13113</v>
      </c>
    </row>
    <row r="406" spans="1:25" ht="12" customHeight="1" x14ac:dyDescent="0.25">
      <c r="A406" s="46">
        <v>45755</v>
      </c>
      <c r="B406" s="2" t="s">
        <v>15</v>
      </c>
      <c r="C406" s="2" t="s">
        <v>15</v>
      </c>
      <c r="D406" s="2">
        <v>768747</v>
      </c>
      <c r="E406" s="2" t="s">
        <v>4406</v>
      </c>
      <c r="F406" s="2">
        <v>6</v>
      </c>
      <c r="G406" s="2" t="s">
        <v>15</v>
      </c>
      <c r="H406" s="2" t="s">
        <v>25</v>
      </c>
      <c r="I406" s="75" t="s">
        <v>13142</v>
      </c>
      <c r="J406" s="9" t="s">
        <v>15</v>
      </c>
      <c r="K406" s="10" t="s">
        <v>15</v>
      </c>
      <c r="L406" s="10" t="s">
        <v>14</v>
      </c>
      <c r="M406" s="10" t="s">
        <v>15</v>
      </c>
      <c r="N406" s="10" t="s">
        <v>18</v>
      </c>
      <c r="O406" s="10" t="s">
        <v>13326</v>
      </c>
      <c r="P406" s="10" t="s">
        <v>25</v>
      </c>
      <c r="Q406" s="2" t="s">
        <v>14</v>
      </c>
      <c r="R406" s="27" t="str">
        <f>VLOOKUP(Tabla1[[#This Row],[DETALLE ]],DATOS!L:M,2,0)</f>
        <v>PICKING</v>
      </c>
      <c r="S406" s="41" t="str">
        <f>IFERROR(IFERROR(VLOOKUP(Tabla1[[#This Row],[USUARIO PICKING ERROR]],DATOS!H:J,3,0),VLOOKUP(Tabla1[[#This Row],[USUARIO FILTRO ERROR]],DATOS!O:P,2,0)),"-")</f>
        <v>ALMACEN</v>
      </c>
      <c r="T406" s="27" t="str">
        <f>UPPER(VLOOKUP(Tabla1[[#This Row],[CODIGO]],DATOS!A:E,5,0))</f>
        <v>ALMACENADO</v>
      </c>
      <c r="U406" s="31">
        <f>(Tabla1[[#This Row],[CANTIDAD]])*(VLOOKUP(Tabla1[[#This Row],[CODIGO]],DATOS!A:D,4,0))</f>
        <v>156.24</v>
      </c>
      <c r="V406" s="31" t="str">
        <f>VLOOKUP(Tabla1[[#This Row],[CODIGO]],DATOS!A:C,3,0)</f>
        <v>ABARROTES BEBIBLES</v>
      </c>
      <c r="W406" s="31" t="s">
        <v>13325</v>
      </c>
      <c r="X406" s="28" t="s">
        <v>21</v>
      </c>
      <c r="Y406" s="28" t="s">
        <v>13113</v>
      </c>
    </row>
    <row r="407" spans="1:25" ht="12" customHeight="1" x14ac:dyDescent="0.25">
      <c r="A407" s="46">
        <v>45755</v>
      </c>
      <c r="B407" s="2" t="s">
        <v>33</v>
      </c>
      <c r="C407" s="2">
        <v>7620854865</v>
      </c>
      <c r="D407" s="2">
        <v>1019409</v>
      </c>
      <c r="E407" s="2" t="str">
        <f>VLOOKUP(Tabla1[[#This Row],[CODIGO]],DATOS!A:B,2,0)</f>
        <v>CERVEZA HEINEKEN PK 12 LT 310ML</v>
      </c>
      <c r="F407" s="2">
        <v>2</v>
      </c>
      <c r="G407" s="2" t="s">
        <v>24</v>
      </c>
      <c r="H407" s="2" t="s">
        <v>17</v>
      </c>
      <c r="I407" s="75" t="s">
        <v>12940</v>
      </c>
      <c r="J407" s="9" t="s">
        <v>12963</v>
      </c>
      <c r="K407" s="10">
        <v>762057129</v>
      </c>
      <c r="L407" s="10" t="s">
        <v>84</v>
      </c>
      <c r="M407" s="10" t="s">
        <v>15</v>
      </c>
      <c r="N407" s="10" t="s">
        <v>18</v>
      </c>
      <c r="O407" s="10" t="s">
        <v>13369</v>
      </c>
      <c r="P407" s="10" t="s">
        <v>28</v>
      </c>
      <c r="Q407" s="2" t="s">
        <v>39</v>
      </c>
      <c r="R407" s="27" t="str">
        <f>VLOOKUP(Tabla1[[#This Row],[DETALLE ]],DATOS!L:M,2,0)</f>
        <v>PICKING</v>
      </c>
      <c r="S407" s="41" t="str">
        <f>IFERROR(IFERROR(VLOOKUP(Tabla1[[#This Row],[USUARIO PICKING ERROR]],DATOS!H:J,3,0),VLOOKUP(Tabla1[[#This Row],[USUARIO FILTRO ERROR]],DATOS!O:P,2,0)),"-")</f>
        <v>DAVID PIÑAN</v>
      </c>
      <c r="T407" s="27" t="str">
        <f>UPPER(VLOOKUP(Tabla1[[#This Row],[CODIGO]],DATOS!A:E,5,0))</f>
        <v>FLUJO CONTINUO</v>
      </c>
      <c r="U407" s="31">
        <f>(Tabla1[[#This Row],[CANTIDAD]])*(VLOOKUP(Tabla1[[#This Row],[CODIGO]],DATOS!A:D,4,0))</f>
        <v>77.84</v>
      </c>
      <c r="V407" s="31" t="str">
        <f>VLOOKUP(Tabla1[[#This Row],[CODIGO]],DATOS!A:C,3,0)</f>
        <v>ABARROTES BEBIBLES</v>
      </c>
      <c r="W407" s="31" t="s">
        <v>13325</v>
      </c>
      <c r="X407" s="28" t="s">
        <v>13086</v>
      </c>
      <c r="Y407" s="28" t="s">
        <v>13113</v>
      </c>
    </row>
    <row r="408" spans="1:25" ht="12" customHeight="1" x14ac:dyDescent="0.25">
      <c r="A408" s="46">
        <v>45755</v>
      </c>
      <c r="B408" s="2" t="s">
        <v>33</v>
      </c>
      <c r="C408" s="2">
        <v>7620854865</v>
      </c>
      <c r="D408" s="2">
        <v>418210</v>
      </c>
      <c r="E408" s="2" t="str">
        <f>VLOOKUP(Tabla1[[#This Row],[CODIGO]],DATOS!A:B,2,0)</f>
        <v>VINO M.DE RISCAL ARIENZO CRIANZA 750ML</v>
      </c>
      <c r="F408" s="2">
        <v>1</v>
      </c>
      <c r="G408" s="2" t="s">
        <v>24</v>
      </c>
      <c r="H408" s="2" t="s">
        <v>17</v>
      </c>
      <c r="I408" s="75" t="s">
        <v>12940</v>
      </c>
      <c r="J408" s="9" t="s">
        <v>12963</v>
      </c>
      <c r="K408" s="10">
        <v>762057129</v>
      </c>
      <c r="L408" s="10" t="s">
        <v>12894</v>
      </c>
      <c r="M408" s="10" t="s">
        <v>15</v>
      </c>
      <c r="N408" s="10" t="s">
        <v>18</v>
      </c>
      <c r="O408" s="10" t="s">
        <v>13369</v>
      </c>
      <c r="P408" s="10" t="s">
        <v>28</v>
      </c>
      <c r="Q408" s="2" t="s">
        <v>39</v>
      </c>
      <c r="R408" s="27" t="str">
        <f>VLOOKUP(Tabla1[[#This Row],[DETALLE ]],DATOS!L:M,2,0)</f>
        <v>PICKING</v>
      </c>
      <c r="S408" s="41" t="str">
        <f>IFERROR(IFERROR(VLOOKUP(Tabla1[[#This Row],[USUARIO PICKING ERROR]],DATOS!H:J,3,0),VLOOKUP(Tabla1[[#This Row],[USUARIO FILTRO ERROR]],DATOS!O:P,2,0)),"-")</f>
        <v>DAVID PIÑAN</v>
      </c>
      <c r="T408" s="27" t="str">
        <f>UPPER(VLOOKUP(Tabla1[[#This Row],[CODIGO]],DATOS!A:E,5,0))</f>
        <v>FLUJO CONTINUO</v>
      </c>
      <c r="U408" s="31">
        <f>(Tabla1[[#This Row],[CANTIDAD]])*(VLOOKUP(Tabla1[[#This Row],[CODIGO]],DATOS!A:D,4,0))</f>
        <v>46.75</v>
      </c>
      <c r="V408" s="31" t="str">
        <f>VLOOKUP(Tabla1[[#This Row],[CODIGO]],DATOS!A:C,3,0)</f>
        <v>ABARROTES BEBIBLES</v>
      </c>
      <c r="W408" s="31" t="s">
        <v>13325</v>
      </c>
      <c r="X408" s="28" t="s">
        <v>13086</v>
      </c>
      <c r="Y408" s="28" t="s">
        <v>13113</v>
      </c>
    </row>
    <row r="409" spans="1:25" ht="12" customHeight="1" x14ac:dyDescent="0.25">
      <c r="A409" s="46">
        <v>45756</v>
      </c>
      <c r="B409" s="2" t="s">
        <v>12976</v>
      </c>
      <c r="C409" s="2">
        <v>7620875900</v>
      </c>
      <c r="D409" s="2">
        <v>789159</v>
      </c>
      <c r="E409" s="2" t="s">
        <v>4714</v>
      </c>
      <c r="F409" s="2">
        <v>32</v>
      </c>
      <c r="G409" s="2" t="s">
        <v>15</v>
      </c>
      <c r="H409" s="2" t="s">
        <v>17</v>
      </c>
      <c r="I409" s="75" t="s">
        <v>13140</v>
      </c>
      <c r="J409" s="9" t="s">
        <v>15</v>
      </c>
      <c r="K409" s="10" t="s">
        <v>15</v>
      </c>
      <c r="L409" s="10" t="s">
        <v>13367</v>
      </c>
      <c r="M409" s="10" t="s">
        <v>15</v>
      </c>
      <c r="N409" s="10" t="s">
        <v>18</v>
      </c>
      <c r="O409" s="10" t="s">
        <v>13103</v>
      </c>
      <c r="P409" s="10" t="s">
        <v>17</v>
      </c>
      <c r="Q409" s="2" t="s">
        <v>29</v>
      </c>
      <c r="R409" s="27" t="str">
        <f>VLOOKUP(Tabla1[[#This Row],[DETALLE ]],DATOS!L:M,2,0)</f>
        <v>PICKING</v>
      </c>
      <c r="S409" s="41" t="str">
        <f>IFERROR(IFERROR(VLOOKUP(Tabla1[[#This Row],[USUARIO PICKING ERROR]],DATOS!H:J,3,0),VLOOKUP(Tabla1[[#This Row],[USUARIO FILTRO ERROR]],DATOS!O:P,2,0)),"-")</f>
        <v>BENJAMIN LIZARBE</v>
      </c>
      <c r="T409" s="27" t="str">
        <f>UPPER(VLOOKUP(Tabla1[[#This Row],[CODIGO]],DATOS!A:E,5,0))</f>
        <v>FLUJO CONTINUO</v>
      </c>
      <c r="U409" s="31">
        <f>(Tabla1[[#This Row],[CANTIDAD]])*(VLOOKUP(Tabla1[[#This Row],[CODIGO]],DATOS!A:D,4,0))</f>
        <v>371.84</v>
      </c>
      <c r="V409" s="31" t="str">
        <f>VLOOKUP(Tabla1[[#This Row],[CODIGO]],DATOS!A:C,3,0)</f>
        <v>PRODUCCION Y ELABORADOS</v>
      </c>
      <c r="W409" s="31" t="s">
        <v>13325</v>
      </c>
      <c r="X409" s="28" t="s">
        <v>21</v>
      </c>
      <c r="Y409" s="28" t="s">
        <v>13113</v>
      </c>
    </row>
    <row r="410" spans="1:25" ht="12" customHeight="1" x14ac:dyDescent="0.25">
      <c r="A410" s="46">
        <v>45756</v>
      </c>
      <c r="B410" s="2" t="s">
        <v>33</v>
      </c>
      <c r="C410" s="2">
        <v>7620854865</v>
      </c>
      <c r="D410" s="2">
        <v>1019409</v>
      </c>
      <c r="E410" s="2" t="s">
        <v>10614</v>
      </c>
      <c r="F410" s="2">
        <v>2</v>
      </c>
      <c r="G410" s="2" t="s">
        <v>12991</v>
      </c>
      <c r="H410" s="2" t="s">
        <v>17</v>
      </c>
      <c r="I410" s="75" t="s">
        <v>12940</v>
      </c>
      <c r="J410" s="9" t="s">
        <v>12963</v>
      </c>
      <c r="K410" s="10">
        <v>7620874129</v>
      </c>
      <c r="L410" s="10" t="s">
        <v>84</v>
      </c>
      <c r="M410" s="10" t="s">
        <v>15</v>
      </c>
      <c r="N410" s="10" t="s">
        <v>18</v>
      </c>
      <c r="O410" s="10" t="s">
        <v>13369</v>
      </c>
      <c r="P410" s="10" t="s">
        <v>28</v>
      </c>
      <c r="Q410" s="2" t="s">
        <v>39</v>
      </c>
      <c r="R410" s="27" t="str">
        <f>VLOOKUP(Tabla1[[#This Row],[DETALLE ]],DATOS!L:M,2,0)</f>
        <v>PICKING</v>
      </c>
      <c r="S410" s="41" t="str">
        <f>IFERROR(IFERROR(VLOOKUP(Tabla1[[#This Row],[USUARIO PICKING ERROR]],DATOS!H:J,3,0),VLOOKUP(Tabla1[[#This Row],[USUARIO FILTRO ERROR]],DATOS!O:P,2,0)),"-")</f>
        <v>DAVID PIÑAN</v>
      </c>
      <c r="T410" s="27" t="str">
        <f>UPPER(VLOOKUP(Tabla1[[#This Row],[CODIGO]],DATOS!A:E,5,0))</f>
        <v>FLUJO CONTINUO</v>
      </c>
      <c r="U410" s="31">
        <f>(Tabla1[[#This Row],[CANTIDAD]])*(VLOOKUP(Tabla1[[#This Row],[CODIGO]],DATOS!A:D,4,0))</f>
        <v>77.84</v>
      </c>
      <c r="V410" s="31" t="str">
        <f>VLOOKUP(Tabla1[[#This Row],[CODIGO]],DATOS!A:C,3,0)</f>
        <v>ABARROTES BEBIBLES</v>
      </c>
      <c r="W410" s="31" t="s">
        <v>13325</v>
      </c>
      <c r="X410" s="28" t="s">
        <v>13086</v>
      </c>
      <c r="Y410" s="28" t="s">
        <v>13113</v>
      </c>
    </row>
    <row r="411" spans="1:25" ht="12" customHeight="1" x14ac:dyDescent="0.25">
      <c r="A411" s="46">
        <v>45757</v>
      </c>
      <c r="B411" s="2" t="s">
        <v>12978</v>
      </c>
      <c r="C411" s="2">
        <v>7620869543</v>
      </c>
      <c r="D411" s="2">
        <v>3863001</v>
      </c>
      <c r="E411" s="2" t="s">
        <v>62</v>
      </c>
      <c r="F411" s="2">
        <v>1</v>
      </c>
      <c r="G411" s="2" t="s">
        <v>12991</v>
      </c>
      <c r="H411" s="2" t="s">
        <v>25</v>
      </c>
      <c r="I411" s="75" t="s">
        <v>12940</v>
      </c>
      <c r="J411" s="9" t="s">
        <v>15</v>
      </c>
      <c r="K411" s="10" t="s">
        <v>15</v>
      </c>
      <c r="L411" s="10" t="s">
        <v>84</v>
      </c>
      <c r="M411" s="10" t="s">
        <v>15</v>
      </c>
      <c r="N411" s="10" t="s">
        <v>18</v>
      </c>
      <c r="O411" s="10" t="s">
        <v>13370</v>
      </c>
      <c r="P411" s="10" t="s">
        <v>25</v>
      </c>
      <c r="Q411" s="2" t="s">
        <v>39</v>
      </c>
      <c r="R411" s="27" t="str">
        <f>VLOOKUP(Tabla1[[#This Row],[DETALLE ]],DATOS!L:M,2,0)</f>
        <v>PICKING</v>
      </c>
      <c r="S411" s="41" t="str">
        <f>IFERROR(IFERROR(VLOOKUP(Tabla1[[#This Row],[USUARIO PICKING ERROR]],DATOS!H:J,3,0),VLOOKUP(Tabla1[[#This Row],[USUARIO FILTRO ERROR]],DATOS!O:P,2,0)),"-")</f>
        <v>DAVID PIÑAN</v>
      </c>
      <c r="T411" s="27" t="str">
        <f>UPPER(VLOOKUP(Tabla1[[#This Row],[CODIGO]],DATOS!A:E,5,0))</f>
        <v>FLUJO CONTINUO</v>
      </c>
      <c r="U411" s="31">
        <f>(Tabla1[[#This Row],[CANTIDAD]])*(VLOOKUP(Tabla1[[#This Row],[CODIGO]],DATOS!A:D,4,0))</f>
        <v>12.9</v>
      </c>
      <c r="V411" s="31" t="str">
        <f>VLOOKUP(Tabla1[[#This Row],[CODIGO]],DATOS!A:C,3,0)</f>
        <v>ABARROTES BEBIBLES</v>
      </c>
      <c r="W411" s="31" t="s">
        <v>13325</v>
      </c>
      <c r="X411" s="28" t="s">
        <v>21</v>
      </c>
      <c r="Y411" s="28" t="s">
        <v>13113</v>
      </c>
    </row>
    <row r="412" spans="1:25" ht="12" customHeight="1" x14ac:dyDescent="0.25">
      <c r="A412" s="46">
        <v>45757</v>
      </c>
      <c r="B412" s="2" t="s">
        <v>68</v>
      </c>
      <c r="C412" s="2">
        <v>7620875884</v>
      </c>
      <c r="D412" s="2">
        <v>1022088</v>
      </c>
      <c r="E412" s="2" t="s">
        <v>12535</v>
      </c>
      <c r="F412" s="2">
        <v>6</v>
      </c>
      <c r="G412" s="2" t="s">
        <v>12996</v>
      </c>
      <c r="H412" s="2" t="s">
        <v>17</v>
      </c>
      <c r="I412" s="75" t="s">
        <v>12940</v>
      </c>
      <c r="J412" s="9" t="s">
        <v>33</v>
      </c>
      <c r="K412" s="10">
        <v>7620854862</v>
      </c>
      <c r="L412" s="10" t="s">
        <v>67</v>
      </c>
      <c r="M412" s="10" t="s">
        <v>15</v>
      </c>
      <c r="N412" s="10" t="s">
        <v>18</v>
      </c>
      <c r="O412" s="10" t="s">
        <v>13369</v>
      </c>
      <c r="P412" s="10" t="s">
        <v>28</v>
      </c>
      <c r="Q412" s="2" t="s">
        <v>29</v>
      </c>
      <c r="R412" s="27" t="str">
        <f>VLOOKUP(Tabla1[[#This Row],[DETALLE ]],DATOS!L:M,2,0)</f>
        <v>PICKING</v>
      </c>
      <c r="S412" s="41" t="str">
        <f>IFERROR(IFERROR(VLOOKUP(Tabla1[[#This Row],[USUARIO PICKING ERROR]],DATOS!H:J,3,0),VLOOKUP(Tabla1[[#This Row],[USUARIO FILTRO ERROR]],DATOS!O:P,2,0)),"-")</f>
        <v>BENJAMIN LIZARBE</v>
      </c>
      <c r="T412" s="27" t="str">
        <f>UPPER(VLOOKUP(Tabla1[[#This Row],[CODIGO]],DATOS!A:E,5,0))</f>
        <v>FLUJO CONTINUO</v>
      </c>
      <c r="U412" s="31">
        <f>(Tabla1[[#This Row],[CANTIDAD]])*(VLOOKUP(Tabla1[[#This Row],[CODIGO]],DATOS!A:D,4,0))</f>
        <v>249.78000000000003</v>
      </c>
      <c r="V412" s="31" t="str">
        <f>VLOOKUP(Tabla1[[#This Row],[CODIGO]],DATOS!A:C,3,0)</f>
        <v>VINOS Y ESPUMANTES</v>
      </c>
      <c r="W412" s="31" t="s">
        <v>13325</v>
      </c>
      <c r="X412" s="28" t="s">
        <v>13086</v>
      </c>
      <c r="Y412" s="28" t="s">
        <v>13113</v>
      </c>
    </row>
    <row r="413" spans="1:25" ht="12" customHeight="1" x14ac:dyDescent="0.25">
      <c r="A413" s="46">
        <v>45757</v>
      </c>
      <c r="B413" s="2" t="s">
        <v>68</v>
      </c>
      <c r="C413" s="2">
        <v>7620875884</v>
      </c>
      <c r="D413" s="2">
        <v>1022090</v>
      </c>
      <c r="E413" s="2" t="s">
        <v>10686</v>
      </c>
      <c r="F413" s="2">
        <v>6</v>
      </c>
      <c r="G413" s="2" t="s">
        <v>12996</v>
      </c>
      <c r="H413" s="2" t="s">
        <v>17</v>
      </c>
      <c r="I413" s="75" t="s">
        <v>12940</v>
      </c>
      <c r="J413" s="9" t="s">
        <v>33</v>
      </c>
      <c r="K413" s="10">
        <v>7620854862</v>
      </c>
      <c r="L413" s="10" t="s">
        <v>67</v>
      </c>
      <c r="M413" s="10" t="s">
        <v>15</v>
      </c>
      <c r="N413" s="10" t="s">
        <v>18</v>
      </c>
      <c r="O413" s="10" t="s">
        <v>13369</v>
      </c>
      <c r="P413" s="10" t="s">
        <v>28</v>
      </c>
      <c r="Q413" s="2" t="s">
        <v>29</v>
      </c>
      <c r="R413" s="27" t="str">
        <f>VLOOKUP(Tabla1[[#This Row],[DETALLE ]],DATOS!L:M,2,0)</f>
        <v>PICKING</v>
      </c>
      <c r="S413" s="41" t="str">
        <f>IFERROR(IFERROR(VLOOKUP(Tabla1[[#This Row],[USUARIO PICKING ERROR]],DATOS!H:J,3,0),VLOOKUP(Tabla1[[#This Row],[USUARIO FILTRO ERROR]],DATOS!O:P,2,0)),"-")</f>
        <v>BENJAMIN LIZARBE</v>
      </c>
      <c r="T413" s="27" t="str">
        <f>UPPER(VLOOKUP(Tabla1[[#This Row],[CODIGO]],DATOS!A:E,5,0))</f>
        <v>FLUJO CONTINUO</v>
      </c>
      <c r="U413" s="31">
        <f>(Tabla1[[#This Row],[CANTIDAD]])*(VLOOKUP(Tabla1[[#This Row],[CODIGO]],DATOS!A:D,4,0))</f>
        <v>416.58000000000004</v>
      </c>
      <c r="V413" s="31" t="str">
        <f>VLOOKUP(Tabla1[[#This Row],[CODIGO]],DATOS!A:C,3,0)</f>
        <v>ABARROTES BEBIBLES</v>
      </c>
      <c r="W413" s="31" t="s">
        <v>13325</v>
      </c>
      <c r="X413" s="28" t="s">
        <v>13086</v>
      </c>
      <c r="Y413" s="28" t="s">
        <v>13113</v>
      </c>
    </row>
    <row r="414" spans="1:25" ht="12" x14ac:dyDescent="0.25">
      <c r="A414" s="46">
        <v>45759</v>
      </c>
      <c r="B414" s="2" t="s">
        <v>12982</v>
      </c>
      <c r="C414" s="2">
        <v>7620859175</v>
      </c>
      <c r="D414" s="2">
        <v>198754</v>
      </c>
      <c r="E414" s="2" t="s">
        <v>1297</v>
      </c>
      <c r="F414" s="2">
        <v>1</v>
      </c>
      <c r="G414" s="2" t="s">
        <v>13374</v>
      </c>
      <c r="H414" s="2" t="s">
        <v>25</v>
      </c>
      <c r="I414" s="75" t="s">
        <v>12940</v>
      </c>
      <c r="J414" s="9" t="s">
        <v>15</v>
      </c>
      <c r="K414" s="10" t="s">
        <v>15</v>
      </c>
      <c r="L414" s="10" t="s">
        <v>27</v>
      </c>
      <c r="M414" s="10" t="s">
        <v>15</v>
      </c>
      <c r="N414" s="10" t="s">
        <v>18</v>
      </c>
      <c r="O414" s="10" t="s">
        <v>13103</v>
      </c>
      <c r="P414" s="10" t="s">
        <v>28</v>
      </c>
      <c r="Q414" s="2" t="s">
        <v>29</v>
      </c>
      <c r="R414" s="27" t="str">
        <f>VLOOKUP(Tabla1[[#This Row],[DETALLE ]],DATOS!L:M,2,0)</f>
        <v>PICKING</v>
      </c>
      <c r="S414" s="88" t="str">
        <f>IFERROR(IFERROR(VLOOKUP(Tabla1[[#This Row],[USUARIO PICKING ERROR]],DATOS!H:J,3,0),VLOOKUP(Tabla1[[#This Row],[USUARIO FILTRO ERROR]],DATOS!O:P,2,0)),"-")</f>
        <v>BENJAMIN LIZARBE</v>
      </c>
      <c r="T414" s="27" t="str">
        <f>UPPER(VLOOKUP(Tabla1[[#This Row],[CODIGO]],DATOS!A:E,5,0))</f>
        <v>FLUJO CONTINUO</v>
      </c>
      <c r="U414" s="31">
        <f>(Tabla1[[#This Row],[CANTIDAD]])*(VLOOKUP(Tabla1[[#This Row],[CODIGO]],DATOS!A:D,4,0))</f>
        <v>21.57</v>
      </c>
      <c r="V414" s="31" t="str">
        <f>VLOOKUP(Tabla1[[#This Row],[CODIGO]],DATOS!A:C,3,0)</f>
        <v>ABARROTES BEBIBLES</v>
      </c>
      <c r="W414" s="31" t="s">
        <v>13325</v>
      </c>
      <c r="X414" s="28" t="s">
        <v>13086</v>
      </c>
      <c r="Y414" s="28" t="s">
        <v>13113</v>
      </c>
    </row>
    <row r="415" spans="1:25" ht="12" customHeight="1" x14ac:dyDescent="0.25">
      <c r="A415" s="46">
        <v>45759</v>
      </c>
      <c r="B415" s="2" t="s">
        <v>12982</v>
      </c>
      <c r="C415" s="2">
        <v>7620859175</v>
      </c>
      <c r="D415" s="2">
        <v>532862</v>
      </c>
      <c r="E415" s="2" t="s">
        <v>2673</v>
      </c>
      <c r="F415" s="2">
        <v>1</v>
      </c>
      <c r="G415" s="2" t="s">
        <v>13374</v>
      </c>
      <c r="H415" s="2" t="s">
        <v>25</v>
      </c>
      <c r="I415" s="75" t="s">
        <v>12940</v>
      </c>
      <c r="J415" s="9" t="s">
        <v>127</v>
      </c>
      <c r="K415" s="10">
        <v>7620855022</v>
      </c>
      <c r="L415" s="10" t="s">
        <v>67</v>
      </c>
      <c r="M415" s="10" t="s">
        <v>15</v>
      </c>
      <c r="N415" s="10" t="s">
        <v>18</v>
      </c>
      <c r="O415" s="10" t="s">
        <v>13369</v>
      </c>
      <c r="P415" s="10" t="s">
        <v>28</v>
      </c>
      <c r="Q415" s="2" t="s">
        <v>29</v>
      </c>
      <c r="R415" s="27" t="str">
        <f>VLOOKUP(Tabla1[[#This Row],[DETALLE ]],DATOS!L:M,2,0)</f>
        <v>PICKING</v>
      </c>
      <c r="S415" s="88" t="str">
        <f>IFERROR(IFERROR(VLOOKUP(Tabla1[[#This Row],[USUARIO PICKING ERROR]],DATOS!H:J,3,0),VLOOKUP(Tabla1[[#This Row],[USUARIO FILTRO ERROR]],DATOS!O:P,2,0)),"-")</f>
        <v>BENJAMIN LIZARBE</v>
      </c>
      <c r="T415" s="27" t="str">
        <f>UPPER(VLOOKUP(Tabla1[[#This Row],[CODIGO]],DATOS!A:E,5,0))</f>
        <v>FLUJO CONTINUO</v>
      </c>
      <c r="U415" s="31">
        <f>(Tabla1[[#This Row],[CANTIDAD]])*(VLOOKUP(Tabla1[[#This Row],[CODIGO]],DATOS!A:D,4,0))</f>
        <v>43.15</v>
      </c>
      <c r="V415" s="31" t="str">
        <f>VLOOKUP(Tabla1[[#This Row],[CODIGO]],DATOS!A:C,3,0)</f>
        <v>ABARROTES BEBIBLES</v>
      </c>
      <c r="W415" s="31" t="s">
        <v>13325</v>
      </c>
      <c r="X415" s="28" t="s">
        <v>13086</v>
      </c>
      <c r="Y415" s="28" t="s">
        <v>13113</v>
      </c>
    </row>
    <row r="416" spans="1:25" ht="12" customHeight="1" x14ac:dyDescent="0.25">
      <c r="A416" s="46">
        <v>45760</v>
      </c>
      <c r="B416" s="2" t="s">
        <v>106</v>
      </c>
      <c r="C416" s="2">
        <v>7620875390</v>
      </c>
      <c r="D416" s="2">
        <v>703737</v>
      </c>
      <c r="E416" s="2" t="str">
        <f>VLOOKUP(Tabla1[[#This Row],[CODIGO]],DATOS!A:B,2,0)</f>
        <v>VINO KIDIA VARIETAL SAU.BLANC 750ML</v>
      </c>
      <c r="F416" s="2">
        <v>1</v>
      </c>
      <c r="G416" s="2" t="s">
        <v>24</v>
      </c>
      <c r="H416" s="2" t="s">
        <v>17</v>
      </c>
      <c r="I416" s="75" t="s">
        <v>12940</v>
      </c>
      <c r="J416" s="9" t="s">
        <v>15</v>
      </c>
      <c r="K416" s="10" t="s">
        <v>15</v>
      </c>
      <c r="L416" s="10" t="s">
        <v>90</v>
      </c>
      <c r="M416" s="10" t="s">
        <v>15</v>
      </c>
      <c r="N416" s="10" t="s">
        <v>18</v>
      </c>
      <c r="O416" s="10" t="s">
        <v>13103</v>
      </c>
      <c r="P416" s="10" t="s">
        <v>17</v>
      </c>
      <c r="Q416" s="2" t="s">
        <v>29</v>
      </c>
      <c r="R416" s="27" t="str">
        <f>VLOOKUP(Tabla1[[#This Row],[DETALLE ]],DATOS!L:M,2,0)</f>
        <v>PICKING</v>
      </c>
      <c r="S416" s="88" t="str">
        <f>IFERROR(IFERROR(VLOOKUP(Tabla1[[#This Row],[USUARIO PICKING ERROR]],DATOS!H:J,3,0),VLOOKUP(Tabla1[[#This Row],[USUARIO FILTRO ERROR]],DATOS!O:P,2,0)),"-")</f>
        <v>BENJAMIN LIZARBE</v>
      </c>
      <c r="T416" s="27" t="str">
        <f>UPPER(VLOOKUP(Tabla1[[#This Row],[CODIGO]],DATOS!A:E,5,0))</f>
        <v>FLUJO CONTINUO</v>
      </c>
      <c r="U416" s="31">
        <f>(Tabla1[[#This Row],[CANTIDAD]])*(VLOOKUP(Tabla1[[#This Row],[CODIGO]],DATOS!A:D,4,0))</f>
        <v>20.78</v>
      </c>
      <c r="V416" s="31" t="str">
        <f>VLOOKUP(Tabla1[[#This Row],[CODIGO]],DATOS!A:C,3,0)</f>
        <v>ABARROTES BEBIBLES</v>
      </c>
      <c r="W416" s="31" t="s">
        <v>13325</v>
      </c>
      <c r="X416" s="28" t="s">
        <v>21</v>
      </c>
      <c r="Y416" s="28" t="s">
        <v>13113</v>
      </c>
    </row>
    <row r="417" spans="1:25" ht="12" customHeight="1" x14ac:dyDescent="0.25">
      <c r="A417" s="46">
        <v>45760</v>
      </c>
      <c r="B417" s="2" t="s">
        <v>12981</v>
      </c>
      <c r="C417" s="2">
        <v>7620869766</v>
      </c>
      <c r="D417" s="2">
        <v>752676002</v>
      </c>
      <c r="E417" s="2" t="str">
        <f>VLOOKUP(Tabla1[[#This Row],[CODIGO]],DATOS!A:B,2,0)</f>
        <v>PISCO FINCA ROTONDO MACHU PICCHU , QUEBR</v>
      </c>
      <c r="F417" s="2">
        <v>1</v>
      </c>
      <c r="G417" s="2" t="s">
        <v>24</v>
      </c>
      <c r="H417" s="2" t="s">
        <v>17</v>
      </c>
      <c r="I417" s="75" t="s">
        <v>12940</v>
      </c>
      <c r="J417" s="9" t="s">
        <v>15</v>
      </c>
      <c r="K417" s="10" t="s">
        <v>15</v>
      </c>
      <c r="L417" s="10" t="s">
        <v>12894</v>
      </c>
      <c r="M417" s="10" t="s">
        <v>15</v>
      </c>
      <c r="N417" s="10" t="s">
        <v>18</v>
      </c>
      <c r="O417" s="10" t="s">
        <v>13369</v>
      </c>
      <c r="P417" s="10" t="s">
        <v>28</v>
      </c>
      <c r="Q417" s="2" t="s">
        <v>29</v>
      </c>
      <c r="R417" s="27" t="str">
        <f>VLOOKUP(Tabla1[[#This Row],[DETALLE ]],DATOS!L:M,2,0)</f>
        <v>PICKING</v>
      </c>
      <c r="S417" s="88" t="str">
        <f>IFERROR(IFERROR(VLOOKUP(Tabla1[[#This Row],[USUARIO PICKING ERROR]],DATOS!H:J,3,0),VLOOKUP(Tabla1[[#This Row],[USUARIO FILTRO ERROR]],DATOS!O:P,2,0)),"-")</f>
        <v>DAVID PIÑAN</v>
      </c>
      <c r="T417" s="27" t="str">
        <f>UPPER(VLOOKUP(Tabla1[[#This Row],[CODIGO]],DATOS!A:E,5,0))</f>
        <v>FLUJO CONTINUO</v>
      </c>
      <c r="U417" s="31">
        <f>(Tabla1[[#This Row],[CANTIDAD]])*(VLOOKUP(Tabla1[[#This Row],[CODIGO]],DATOS!A:D,4,0))</f>
        <v>46.47</v>
      </c>
      <c r="V417" s="31" t="str">
        <f>VLOOKUP(Tabla1[[#This Row],[CODIGO]],DATOS!A:C,3,0)</f>
        <v>ABARROTES BEBIBLES</v>
      </c>
      <c r="W417" s="31" t="s">
        <v>13325</v>
      </c>
      <c r="X417" s="28" t="s">
        <v>13086</v>
      </c>
      <c r="Y417" s="28" t="s">
        <v>13113</v>
      </c>
    </row>
    <row r="418" spans="1:25" ht="12" customHeight="1" x14ac:dyDescent="0.25">
      <c r="A418" s="46">
        <v>45760</v>
      </c>
      <c r="B418" s="2" t="s">
        <v>12989</v>
      </c>
      <c r="C418" s="2">
        <v>7620869652</v>
      </c>
      <c r="D418" s="2">
        <v>10462</v>
      </c>
      <c r="E418" s="2" t="str">
        <f>VLOOKUP(Tabla1[[#This Row],[CODIGO]],DATOS!A:B,2,0)</f>
        <v>LICOR BAILEYS IRISH CREAM 750 ML</v>
      </c>
      <c r="F418" s="2">
        <v>2</v>
      </c>
      <c r="G418" s="2" t="s">
        <v>13174</v>
      </c>
      <c r="H418" s="2" t="s">
        <v>17</v>
      </c>
      <c r="I418" s="75" t="s">
        <v>12940</v>
      </c>
      <c r="J418" s="9" t="s">
        <v>79</v>
      </c>
      <c r="K418" s="10" t="s">
        <v>13373</v>
      </c>
      <c r="L418" s="10" t="s">
        <v>12902</v>
      </c>
      <c r="M418" s="10" t="s">
        <v>15</v>
      </c>
      <c r="N418" s="10" t="s">
        <v>18</v>
      </c>
      <c r="O418" s="10" t="s">
        <v>13369</v>
      </c>
      <c r="P418" s="10" t="s">
        <v>28</v>
      </c>
      <c r="Q418" s="2" t="s">
        <v>29</v>
      </c>
      <c r="R418" s="27" t="str">
        <f>VLOOKUP(Tabla1[[#This Row],[DETALLE ]],DATOS!L:M,2,0)</f>
        <v>PICKING</v>
      </c>
      <c r="S418" s="88" t="str">
        <f>IFERROR(IFERROR(VLOOKUP(Tabla1[[#This Row],[USUARIO PICKING ERROR]],DATOS!H:J,3,0),VLOOKUP(Tabla1[[#This Row],[USUARIO FILTRO ERROR]],DATOS!O:P,2,0)),"-")</f>
        <v>BENJAMIN LIZARBE</v>
      </c>
      <c r="T418" s="27" t="str">
        <f>UPPER(VLOOKUP(Tabla1[[#This Row],[CODIGO]],DATOS!A:E,5,0))</f>
        <v>FLUJO CONTINUO</v>
      </c>
      <c r="U418" s="31">
        <f>(Tabla1[[#This Row],[CANTIDAD]])*(VLOOKUP(Tabla1[[#This Row],[CODIGO]],DATOS!A:D,4,0))</f>
        <v>111.04</v>
      </c>
      <c r="V418" s="31" t="str">
        <f>VLOOKUP(Tabla1[[#This Row],[CODIGO]],DATOS!A:C,3,0)</f>
        <v>ABARROTES BEBIBLES</v>
      </c>
      <c r="W418" s="31" t="s">
        <v>13325</v>
      </c>
      <c r="X418" s="28" t="s">
        <v>13086</v>
      </c>
      <c r="Y418" s="28" t="s">
        <v>13113</v>
      </c>
    </row>
    <row r="419" spans="1:25" ht="12" customHeight="1" x14ac:dyDescent="0.25">
      <c r="A419" s="46">
        <v>45760</v>
      </c>
      <c r="B419" s="2" t="s">
        <v>12989</v>
      </c>
      <c r="C419" s="2">
        <v>7620869652</v>
      </c>
      <c r="D419" s="2">
        <v>10452</v>
      </c>
      <c r="E419" s="2" t="str">
        <f>VLOOKUP(Tabla1[[#This Row],[CODIGO]],DATOS!A:B,2,0)</f>
        <v>CAMPARI BITTER X 750 ML</v>
      </c>
      <c r="F419" s="2">
        <v>3</v>
      </c>
      <c r="G419" s="2" t="s">
        <v>13174</v>
      </c>
      <c r="H419" s="2" t="s">
        <v>17</v>
      </c>
      <c r="I419" s="75" t="s">
        <v>12940</v>
      </c>
      <c r="J419" s="9" t="s">
        <v>79</v>
      </c>
      <c r="K419" s="10" t="s">
        <v>13373</v>
      </c>
      <c r="L419" s="10" t="s">
        <v>67</v>
      </c>
      <c r="M419" s="10" t="s">
        <v>15</v>
      </c>
      <c r="N419" s="10" t="s">
        <v>18</v>
      </c>
      <c r="O419" s="10" t="s">
        <v>13369</v>
      </c>
      <c r="P419" s="10" t="s">
        <v>28</v>
      </c>
      <c r="Q419" s="2" t="s">
        <v>29</v>
      </c>
      <c r="R419" s="27" t="str">
        <f>VLOOKUP(Tabla1[[#This Row],[DETALLE ]],DATOS!L:M,2,0)</f>
        <v>PICKING</v>
      </c>
      <c r="S419" s="88" t="str">
        <f>IFERROR(IFERROR(VLOOKUP(Tabla1[[#This Row],[USUARIO PICKING ERROR]],DATOS!H:J,3,0),VLOOKUP(Tabla1[[#This Row],[USUARIO FILTRO ERROR]],DATOS!O:P,2,0)),"-")</f>
        <v>BENJAMIN LIZARBE</v>
      </c>
      <c r="T419" s="27" t="str">
        <f>UPPER(VLOOKUP(Tabla1[[#This Row],[CODIGO]],DATOS!A:E,5,0))</f>
        <v>FLUJO CONTINUO</v>
      </c>
      <c r="U419" s="31">
        <f>(Tabla1[[#This Row],[CANTIDAD]])*(VLOOKUP(Tabla1[[#This Row],[CODIGO]],DATOS!A:D,4,0))</f>
        <v>185.60999999999999</v>
      </c>
      <c r="V419" s="31" t="str">
        <f>VLOOKUP(Tabla1[[#This Row],[CODIGO]],DATOS!A:C,3,0)</f>
        <v>ABARROTES BEBIBLES</v>
      </c>
      <c r="W419" s="31" t="s">
        <v>13325</v>
      </c>
      <c r="X419" s="28" t="s">
        <v>13086</v>
      </c>
      <c r="Y419" s="28" t="s">
        <v>13113</v>
      </c>
    </row>
    <row r="420" spans="1:25" ht="12" customHeight="1" x14ac:dyDescent="0.25">
      <c r="A420" s="46">
        <v>45761</v>
      </c>
      <c r="B420" s="2" t="s">
        <v>130</v>
      </c>
      <c r="C420" s="2">
        <v>7620875763</v>
      </c>
      <c r="D420" s="89">
        <v>190800</v>
      </c>
      <c r="E420" s="89" t="str">
        <f>VLOOKUP(Tabla1[[#This Row],[CODIGO]],DATOS!A:B,2,0)</f>
        <v>VINO TRUMPETER CABERNET SAUV. X 750ML</v>
      </c>
      <c r="F420" s="89">
        <v>2</v>
      </c>
      <c r="G420" s="89" t="s">
        <v>24</v>
      </c>
      <c r="H420" s="89" t="s">
        <v>17</v>
      </c>
      <c r="I420" s="75" t="s">
        <v>12940</v>
      </c>
      <c r="J420" s="9" t="s">
        <v>15</v>
      </c>
      <c r="K420" s="10" t="s">
        <v>15</v>
      </c>
      <c r="L420" s="10" t="s">
        <v>12910</v>
      </c>
      <c r="M420" s="10" t="s">
        <v>15</v>
      </c>
      <c r="N420" s="10" t="s">
        <v>18</v>
      </c>
      <c r="O420" s="10" t="s">
        <v>13369</v>
      </c>
      <c r="P420" s="10" t="s">
        <v>17</v>
      </c>
      <c r="Q420" s="2" t="s">
        <v>29</v>
      </c>
      <c r="R420" s="27" t="str">
        <f>VLOOKUP(Tabla1[[#This Row],[DETALLE ]],DATOS!L:M,2,0)</f>
        <v>PICKING</v>
      </c>
      <c r="S420" s="88" t="str">
        <f>IFERROR(IFERROR(VLOOKUP(Tabla1[[#This Row],[USUARIO PICKING ERROR]],DATOS!H:J,3,0),VLOOKUP(Tabla1[[#This Row],[USUARIO FILTRO ERROR]],DATOS!O:P,2,0)),"-")</f>
        <v>BENJAMIN LIZARBE</v>
      </c>
      <c r="T420" s="27" t="str">
        <f>UPPER(VLOOKUP(Tabla1[[#This Row],[CODIGO]],DATOS!A:E,5,0))</f>
        <v>FLUJO CONTINUO</v>
      </c>
      <c r="U420" s="31">
        <f>(Tabla1[[#This Row],[CANTIDAD]])*(VLOOKUP(Tabla1[[#This Row],[CODIGO]],DATOS!A:D,4,0))</f>
        <v>88.48</v>
      </c>
      <c r="V420" s="31" t="str">
        <f>VLOOKUP(Tabla1[[#This Row],[CODIGO]],DATOS!A:C,3,0)</f>
        <v>ABARROTES BEBIBLES</v>
      </c>
      <c r="W420" s="31" t="s">
        <v>13325</v>
      </c>
      <c r="X420" s="28" t="s">
        <v>13086</v>
      </c>
      <c r="Y420" s="28" t="s">
        <v>13111</v>
      </c>
    </row>
    <row r="421" spans="1:25" ht="12" customHeight="1" x14ac:dyDescent="0.25">
      <c r="A421" s="46">
        <v>45761</v>
      </c>
      <c r="B421" s="2" t="s">
        <v>13026</v>
      </c>
      <c r="C421" s="2">
        <v>7620869910</v>
      </c>
      <c r="D421" s="89">
        <v>10549</v>
      </c>
      <c r="E421" s="89" t="s">
        <v>573</v>
      </c>
      <c r="F421" s="89">
        <v>1</v>
      </c>
      <c r="G421" s="89" t="s">
        <v>12991</v>
      </c>
      <c r="H421" s="89" t="s">
        <v>17</v>
      </c>
      <c r="I421" s="75" t="s">
        <v>12940</v>
      </c>
      <c r="J421" s="2" t="s">
        <v>15</v>
      </c>
      <c r="K421" s="2" t="s">
        <v>15</v>
      </c>
      <c r="L421" s="10" t="s">
        <v>38</v>
      </c>
      <c r="M421" s="10" t="s">
        <v>15</v>
      </c>
      <c r="N421" s="10" t="s">
        <v>18</v>
      </c>
      <c r="O421" s="10" t="s">
        <v>13369</v>
      </c>
      <c r="P421" s="10" t="s">
        <v>17</v>
      </c>
      <c r="Q421" s="2" t="s">
        <v>39</v>
      </c>
      <c r="R421" s="27" t="str">
        <f>VLOOKUP(Tabla1[[#This Row],[DETALLE ]],DATOS!L:M,2,0)</f>
        <v>PICKING</v>
      </c>
      <c r="S421" s="88" t="str">
        <f>IFERROR(IFERROR(VLOOKUP(Tabla1[[#This Row],[USUARIO PICKING ERROR]],DATOS!H:J,3,0),VLOOKUP(Tabla1[[#This Row],[USUARIO FILTRO ERROR]],DATOS!O:P,2,0)),"-")</f>
        <v>DAVID PIÑAN</v>
      </c>
      <c r="T421" s="27" t="str">
        <f>UPPER(VLOOKUP(Tabla1[[#This Row],[CODIGO]],DATOS!A:E,5,0))</f>
        <v>FLUJO CONTINUO</v>
      </c>
      <c r="U421" s="31">
        <f>(Tabla1[[#This Row],[CANTIDAD]])*(VLOOKUP(Tabla1[[#This Row],[CODIGO]],DATOS!A:D,4,0))</f>
        <v>45.43</v>
      </c>
      <c r="V421" s="31" t="str">
        <f>VLOOKUP(Tabla1[[#This Row],[CODIGO]],DATOS!A:C,3,0)</f>
        <v>ABARROTES BEBIBLES</v>
      </c>
      <c r="W421" s="31" t="s">
        <v>13325</v>
      </c>
      <c r="X421" s="28" t="s">
        <v>13086</v>
      </c>
      <c r="Y421" s="28" t="s">
        <v>13111</v>
      </c>
    </row>
    <row r="422" spans="1:25" ht="12" customHeight="1" x14ac:dyDescent="0.25">
      <c r="A422" s="46">
        <v>45761</v>
      </c>
      <c r="B422" s="2" t="s">
        <v>106</v>
      </c>
      <c r="C422" s="2">
        <v>7620875383</v>
      </c>
      <c r="D422" s="2">
        <v>115457</v>
      </c>
      <c r="E422" s="2" t="s">
        <v>1072</v>
      </c>
      <c r="F422" s="2">
        <v>1</v>
      </c>
      <c r="G422" s="2" t="s">
        <v>12991</v>
      </c>
      <c r="H422" s="2" t="s">
        <v>17</v>
      </c>
      <c r="I422" s="75" t="s">
        <v>12940</v>
      </c>
      <c r="J422" s="9" t="s">
        <v>12970</v>
      </c>
      <c r="K422" s="10">
        <v>7620877252</v>
      </c>
      <c r="L422" s="10" t="s">
        <v>12897</v>
      </c>
      <c r="M422" s="10" t="s">
        <v>15</v>
      </c>
      <c r="N422" s="10" t="s">
        <v>18</v>
      </c>
      <c r="O422" s="10" t="s">
        <v>13369</v>
      </c>
      <c r="P422" s="10" t="s">
        <v>28</v>
      </c>
      <c r="Q422" s="2" t="s">
        <v>29</v>
      </c>
      <c r="R422" s="27" t="str">
        <f>VLOOKUP(Tabla1[[#This Row],[DETALLE ]],DATOS!L:M,2,0)</f>
        <v>PICKING</v>
      </c>
      <c r="S422" s="88" t="str">
        <f>IFERROR(IFERROR(VLOOKUP(Tabla1[[#This Row],[USUARIO PICKING ERROR]],DATOS!H:J,3,0),VLOOKUP(Tabla1[[#This Row],[USUARIO FILTRO ERROR]],DATOS!O:P,2,0)),"-")</f>
        <v>BENJAMIN LIZARBE</v>
      </c>
      <c r="T422" s="27" t="str">
        <f>UPPER(VLOOKUP(Tabla1[[#This Row],[CODIGO]],DATOS!A:E,5,0))</f>
        <v>FLUJO CONTINUO</v>
      </c>
      <c r="U422" s="31">
        <f>(Tabla1[[#This Row],[CANTIDAD]])*(VLOOKUP(Tabla1[[#This Row],[CODIGO]],DATOS!A:D,4,0))</f>
        <v>65.989999999999995</v>
      </c>
      <c r="V422" s="31" t="str">
        <f>VLOOKUP(Tabla1[[#This Row],[CODIGO]],DATOS!A:C,3,0)</f>
        <v>ABARROTES BEBIBLES</v>
      </c>
      <c r="W422" s="31" t="s">
        <v>13325</v>
      </c>
      <c r="X422" s="28" t="s">
        <v>13086</v>
      </c>
      <c r="Y422" s="28" t="s">
        <v>13111</v>
      </c>
    </row>
    <row r="423" spans="1:25" ht="12" customHeight="1" x14ac:dyDescent="0.25">
      <c r="A423" s="92">
        <v>45761</v>
      </c>
      <c r="B423" s="96" t="s">
        <v>15</v>
      </c>
      <c r="C423" s="96" t="s">
        <v>15</v>
      </c>
      <c r="D423" s="108">
        <v>3378</v>
      </c>
      <c r="E423" s="108" t="s">
        <v>272</v>
      </c>
      <c r="F423" s="108">
        <v>1</v>
      </c>
      <c r="G423" s="108" t="s">
        <v>13386</v>
      </c>
      <c r="H423" s="108" t="s">
        <v>17</v>
      </c>
      <c r="I423" s="90" t="s">
        <v>19</v>
      </c>
      <c r="J423" s="97" t="s">
        <v>15</v>
      </c>
      <c r="K423" s="98" t="s">
        <v>15</v>
      </c>
      <c r="L423" s="98" t="s">
        <v>14</v>
      </c>
      <c r="M423" s="98" t="s">
        <v>15</v>
      </c>
      <c r="N423" s="98" t="s">
        <v>13128</v>
      </c>
      <c r="O423" s="98" t="s">
        <v>13165</v>
      </c>
      <c r="P423" s="98" t="s">
        <v>17</v>
      </c>
      <c r="Q423" s="96" t="s">
        <v>29</v>
      </c>
      <c r="R423" s="99" t="str">
        <f>VLOOKUP(Tabla1[[#This Row],[DETALLE ]],DATOS!L:M,2,0)</f>
        <v>RECEPCION</v>
      </c>
      <c r="S423" s="102" t="str">
        <f>IFERROR(IFERROR(VLOOKUP(Tabla1[[#This Row],[USUARIO PICKING ERROR]],DATOS!H:J,3,0),VLOOKUP(Tabla1[[#This Row],[USUARIO FILTRO ERROR]],DATOS!O:P,2,0)),"-")</f>
        <v>ALMACEN</v>
      </c>
      <c r="T423" s="99" t="str">
        <f>UPPER(VLOOKUP(Tabla1[[#This Row],[CODIGO]],DATOS!A:E,5,0))</f>
        <v>ALMACENADO</v>
      </c>
      <c r="U423" s="100">
        <f>(Tabla1[[#This Row],[CANTIDAD]])*(VLOOKUP(Tabla1[[#This Row],[CODIGO]],DATOS!A:D,4,0))</f>
        <v>10.36</v>
      </c>
      <c r="V423" s="100" t="str">
        <f>VLOOKUP(Tabla1[[#This Row],[CODIGO]],DATOS!A:C,3,0)</f>
        <v>ABARROTES COMESTIBLES</v>
      </c>
      <c r="W423" s="31" t="s">
        <v>13325</v>
      </c>
      <c r="X423" s="28" t="s">
        <v>13086</v>
      </c>
      <c r="Y423" s="28" t="s">
        <v>13111</v>
      </c>
    </row>
    <row r="424" spans="1:25" ht="12" customHeight="1" x14ac:dyDescent="0.25">
      <c r="A424" s="46">
        <v>45762</v>
      </c>
      <c r="B424" s="2" t="s">
        <v>13001</v>
      </c>
      <c r="C424" s="2">
        <v>7620877337</v>
      </c>
      <c r="D424" s="2">
        <v>991775</v>
      </c>
      <c r="E424" s="2" t="s">
        <v>7921</v>
      </c>
      <c r="F424" s="2">
        <v>6</v>
      </c>
      <c r="G424" s="2" t="s">
        <v>49</v>
      </c>
      <c r="H424" s="2" t="s">
        <v>17</v>
      </c>
      <c r="I424" s="75" t="s">
        <v>12940</v>
      </c>
      <c r="J424" s="2" t="s">
        <v>12972</v>
      </c>
      <c r="K424" s="2">
        <v>7620871398</v>
      </c>
      <c r="L424" s="10" t="s">
        <v>53</v>
      </c>
      <c r="M424" s="10" t="s">
        <v>15</v>
      </c>
      <c r="N424" s="10" t="s">
        <v>18</v>
      </c>
      <c r="O424" s="10" t="s">
        <v>13369</v>
      </c>
      <c r="P424" s="10" t="s">
        <v>28</v>
      </c>
      <c r="Q424" s="2" t="s">
        <v>39</v>
      </c>
      <c r="R424" s="27" t="str">
        <f>VLOOKUP(Tabla1[[#This Row],[DETALLE ]],DATOS!L:M,2,0)</f>
        <v>PICKING</v>
      </c>
      <c r="S424" s="88" t="str">
        <f>IFERROR(IFERROR(VLOOKUP(Tabla1[[#This Row],[USUARIO PICKING ERROR]],DATOS!H:J,3,0),VLOOKUP(Tabla1[[#This Row],[USUARIO FILTRO ERROR]],DATOS!O:P,2,0)),"-")</f>
        <v>DAVID PIÑAN</v>
      </c>
      <c r="T424" s="27" t="str">
        <f>UPPER(VLOOKUP(Tabla1[[#This Row],[CODIGO]],DATOS!A:E,5,0))</f>
        <v>FLUJO CONTINUO</v>
      </c>
      <c r="U424" s="31">
        <f>(Tabla1[[#This Row],[CANTIDAD]])*(VLOOKUP(Tabla1[[#This Row],[CODIGO]],DATOS!A:D,4,0))</f>
        <v>171</v>
      </c>
      <c r="V424" s="31" t="str">
        <f>VLOOKUP(Tabla1[[#This Row],[CODIGO]],DATOS!A:C,3,0)</f>
        <v>ABARROTES BEBIBLES</v>
      </c>
      <c r="W424" s="31" t="s">
        <v>13325</v>
      </c>
      <c r="X424" s="28" t="s">
        <v>13086</v>
      </c>
      <c r="Y424" s="28" t="s">
        <v>13111</v>
      </c>
    </row>
    <row r="425" spans="1:25" ht="12" customHeight="1" x14ac:dyDescent="0.25">
      <c r="A425" s="46">
        <v>45762</v>
      </c>
      <c r="B425" s="2" t="s">
        <v>12970</v>
      </c>
      <c r="C425" s="2">
        <v>7620877252</v>
      </c>
      <c r="D425" s="2">
        <v>115457</v>
      </c>
      <c r="E425" s="2" t="s">
        <v>1072</v>
      </c>
      <c r="F425" s="2">
        <v>1</v>
      </c>
      <c r="G425" s="2" t="s">
        <v>13017</v>
      </c>
      <c r="H425" s="2" t="s">
        <v>25</v>
      </c>
      <c r="I425" s="75" t="s">
        <v>12940</v>
      </c>
      <c r="J425" s="2" t="s">
        <v>106</v>
      </c>
      <c r="K425" s="2">
        <v>7620875383</v>
      </c>
      <c r="L425" s="10" t="s">
        <v>12897</v>
      </c>
      <c r="M425" s="10" t="s">
        <v>15</v>
      </c>
      <c r="N425" s="10" t="s">
        <v>18</v>
      </c>
      <c r="O425" s="10" t="s">
        <v>13369</v>
      </c>
      <c r="P425" s="10" t="s">
        <v>28</v>
      </c>
      <c r="Q425" s="2" t="s">
        <v>29</v>
      </c>
      <c r="R425" s="27" t="str">
        <f>VLOOKUP(Tabla1[[#This Row],[DETALLE ]],DATOS!L:M,2,0)</f>
        <v>PICKING</v>
      </c>
      <c r="S425" s="88" t="str">
        <f>IFERROR(IFERROR(VLOOKUP(Tabla1[[#This Row],[USUARIO PICKING ERROR]],DATOS!H:J,3,0),VLOOKUP(Tabla1[[#This Row],[USUARIO FILTRO ERROR]],DATOS!O:P,2,0)),"-")</f>
        <v>BENJAMIN LIZARBE</v>
      </c>
      <c r="T425" s="27" t="str">
        <f>UPPER(VLOOKUP(Tabla1[[#This Row],[CODIGO]],DATOS!A:E,5,0))</f>
        <v>FLUJO CONTINUO</v>
      </c>
      <c r="U425" s="31">
        <f>(Tabla1[[#This Row],[CANTIDAD]])*(VLOOKUP(Tabla1[[#This Row],[CODIGO]],DATOS!A:D,4,0))</f>
        <v>65.989999999999995</v>
      </c>
      <c r="V425" s="31" t="str">
        <f>VLOOKUP(Tabla1[[#This Row],[CODIGO]],DATOS!A:C,3,0)</f>
        <v>ABARROTES BEBIBLES</v>
      </c>
      <c r="W425" s="31" t="s">
        <v>13325</v>
      </c>
      <c r="X425" s="28" t="s">
        <v>13086</v>
      </c>
      <c r="Y425" s="28" t="s">
        <v>13111</v>
      </c>
    </row>
    <row r="426" spans="1:25" ht="12" customHeight="1" x14ac:dyDescent="0.25">
      <c r="A426" s="46">
        <v>45762</v>
      </c>
      <c r="B426" s="2" t="s">
        <v>48</v>
      </c>
      <c r="C426" s="2">
        <v>7620877280</v>
      </c>
      <c r="D426" s="89">
        <v>886905</v>
      </c>
      <c r="E426" s="89" t="s">
        <v>4898</v>
      </c>
      <c r="F426" s="89">
        <v>1</v>
      </c>
      <c r="G426" s="89" t="s">
        <v>15</v>
      </c>
      <c r="H426" s="89" t="s">
        <v>17</v>
      </c>
      <c r="I426" s="75" t="s">
        <v>12940</v>
      </c>
      <c r="J426" s="9" t="s">
        <v>15</v>
      </c>
      <c r="K426" s="10" t="s">
        <v>15</v>
      </c>
      <c r="L426" s="10" t="s">
        <v>13121</v>
      </c>
      <c r="M426" s="10" t="s">
        <v>15</v>
      </c>
      <c r="N426" s="10" t="s">
        <v>18</v>
      </c>
      <c r="O426" s="10" t="s">
        <v>13369</v>
      </c>
      <c r="P426" s="10" t="s">
        <v>17</v>
      </c>
      <c r="Q426" s="2" t="s">
        <v>29</v>
      </c>
      <c r="R426" s="27" t="str">
        <f>VLOOKUP(Tabla1[[#This Row],[DETALLE ]],DATOS!L:M,2,0)</f>
        <v>PICKING</v>
      </c>
      <c r="S426" s="88" t="str">
        <f>IFERROR(IFERROR(VLOOKUP(Tabla1[[#This Row],[USUARIO PICKING ERROR]],DATOS!H:J,3,0),VLOOKUP(Tabla1[[#This Row],[USUARIO FILTRO ERROR]],DATOS!O:P,2,0)),"-")</f>
        <v>BENJAMIN LIZARBE</v>
      </c>
      <c r="T426" s="27" t="str">
        <f>UPPER(VLOOKUP(Tabla1[[#This Row],[CODIGO]],DATOS!A:E,5,0))</f>
        <v>FLUJO CONTINUO</v>
      </c>
      <c r="U426" s="31">
        <f>(Tabla1[[#This Row],[CANTIDAD]])*(VLOOKUP(Tabla1[[#This Row],[CODIGO]],DATOS!A:D,4,0))</f>
        <v>6.48</v>
      </c>
      <c r="V426" s="31" t="str">
        <f>VLOOKUP(Tabla1[[#This Row],[CODIGO]],DATOS!A:C,3,0)</f>
        <v>ABARROTES BEBIBLES</v>
      </c>
      <c r="W426" s="31" t="s">
        <v>13325</v>
      </c>
      <c r="X426" s="28" t="s">
        <v>13086</v>
      </c>
      <c r="Y426" s="28" t="s">
        <v>13111</v>
      </c>
    </row>
    <row r="427" spans="1:25" ht="12" x14ac:dyDescent="0.25">
      <c r="A427" s="46">
        <v>45763</v>
      </c>
      <c r="B427" s="2" t="s">
        <v>12972</v>
      </c>
      <c r="C427" s="2">
        <v>7620871398</v>
      </c>
      <c r="D427" s="2">
        <v>991775</v>
      </c>
      <c r="E427" s="2" t="s">
        <v>7921</v>
      </c>
      <c r="F427" s="2">
        <v>6</v>
      </c>
      <c r="G427" s="2" t="s">
        <v>13374</v>
      </c>
      <c r="H427" s="2" t="s">
        <v>25</v>
      </c>
      <c r="I427" s="75" t="s">
        <v>12940</v>
      </c>
      <c r="J427" s="9" t="s">
        <v>13001</v>
      </c>
      <c r="K427" s="10">
        <v>7620877337</v>
      </c>
      <c r="L427" s="10" t="s">
        <v>53</v>
      </c>
      <c r="M427" s="10" t="s">
        <v>15</v>
      </c>
      <c r="N427" s="10" t="s">
        <v>18</v>
      </c>
      <c r="O427" s="10" t="s">
        <v>13369</v>
      </c>
      <c r="P427" s="10" t="s">
        <v>28</v>
      </c>
      <c r="Q427" s="2" t="s">
        <v>39</v>
      </c>
      <c r="R427" s="27" t="str">
        <f>VLOOKUP(Tabla1[[#This Row],[DETALLE ]],DATOS!L:M,2,0)</f>
        <v>PICKING</v>
      </c>
      <c r="S427" s="41" t="str">
        <f>IFERROR(IFERROR(VLOOKUP(Tabla1[[#This Row],[USUARIO PICKING ERROR]],DATOS!H:J,3,0),VLOOKUP(Tabla1[[#This Row],[USUARIO FILTRO ERROR]],DATOS!O:P,2,0)),"-")</f>
        <v>DAVID PIÑAN</v>
      </c>
      <c r="T427" s="27" t="str">
        <f>UPPER(VLOOKUP(Tabla1[[#This Row],[CODIGO]],DATOS!A:E,5,0))</f>
        <v>FLUJO CONTINUO</v>
      </c>
      <c r="U427" s="31">
        <f>(Tabla1[[#This Row],[CANTIDAD]])*(VLOOKUP(Tabla1[[#This Row],[CODIGO]],DATOS!A:D,4,0))</f>
        <v>171</v>
      </c>
      <c r="V427" s="31" t="str">
        <f>VLOOKUP(Tabla1[[#This Row],[CODIGO]],DATOS!A:C,3,0)</f>
        <v>ABARROTES BEBIBLES</v>
      </c>
      <c r="W427" s="31" t="s">
        <v>13325</v>
      </c>
      <c r="X427" s="28" t="s">
        <v>13086</v>
      </c>
      <c r="Y427" s="28" t="s">
        <v>13111</v>
      </c>
    </row>
    <row r="428" spans="1:25" ht="12" x14ac:dyDescent="0.25">
      <c r="A428" s="46">
        <v>45765</v>
      </c>
      <c r="B428" s="83" t="s">
        <v>15</v>
      </c>
      <c r="C428" s="83" t="s">
        <v>15</v>
      </c>
      <c r="D428" s="103">
        <v>23371</v>
      </c>
      <c r="E428" s="103" t="s">
        <v>727</v>
      </c>
      <c r="F428" s="103">
        <v>3</v>
      </c>
      <c r="G428" s="103" t="s">
        <v>15</v>
      </c>
      <c r="H428" s="103" t="s">
        <v>25</v>
      </c>
      <c r="I428" s="75" t="s">
        <v>13137</v>
      </c>
      <c r="J428" s="84" t="s">
        <v>15</v>
      </c>
      <c r="K428" s="85" t="s">
        <v>15</v>
      </c>
      <c r="L428" s="85" t="s">
        <v>13387</v>
      </c>
      <c r="M428" s="85" t="s">
        <v>15</v>
      </c>
      <c r="N428" s="10" t="s">
        <v>13136</v>
      </c>
      <c r="O428" s="10" t="s">
        <v>13382</v>
      </c>
      <c r="P428" s="85" t="s">
        <v>25</v>
      </c>
      <c r="Q428" s="83" t="s">
        <v>29</v>
      </c>
      <c r="R428" s="41" t="str">
        <f>VLOOKUP(Tabla1[[#This Row],[DETALLE ]],DATOS!L:M,2,0)</f>
        <v>DESPACHO</v>
      </c>
      <c r="S428" s="88" t="str">
        <f>IFERROR(IFERROR(VLOOKUP(Tabla1[[#This Row],[USUARIO PICKING ERROR]],DATOS!H:J,3,0),VLOOKUP(Tabla1[[#This Row],[USUARIO FILTRO ERROR]],DATOS!O:P,2,0)),"-")</f>
        <v>DAVID PIÑAN</v>
      </c>
      <c r="T428" s="41" t="str">
        <f>UPPER(VLOOKUP(Tabla1[[#This Row],[CODIGO]],DATOS!A:E,5,0))</f>
        <v>FLUJO CONTINUO</v>
      </c>
      <c r="U428" s="87">
        <f>(Tabla1[[#This Row],[CANTIDAD]])*(VLOOKUP(Tabla1[[#This Row],[CODIGO]],DATOS!A:D,4,0))</f>
        <v>12.96</v>
      </c>
      <c r="V428" s="87" t="str">
        <f>VLOOKUP(Tabla1[[#This Row],[CODIGO]],DATOS!A:C,3,0)</f>
        <v>ABARROTES NO COMESTIBLES</v>
      </c>
      <c r="W428" s="31" t="s">
        <v>13325</v>
      </c>
      <c r="X428" s="28" t="s">
        <v>13086</v>
      </c>
      <c r="Y428" s="28" t="s">
        <v>13111</v>
      </c>
    </row>
    <row r="429" spans="1:25" ht="12" x14ac:dyDescent="0.25">
      <c r="A429" s="46">
        <v>45766</v>
      </c>
      <c r="B429" s="83" t="s">
        <v>15</v>
      </c>
      <c r="C429" s="83">
        <v>181466438</v>
      </c>
      <c r="D429" s="83">
        <v>1015393</v>
      </c>
      <c r="E429" s="83" t="s">
        <v>8927</v>
      </c>
      <c r="F429" s="83">
        <v>36</v>
      </c>
      <c r="G429" s="83" t="s">
        <v>15</v>
      </c>
      <c r="H429" s="83" t="s">
        <v>25</v>
      </c>
      <c r="I429" s="75" t="s">
        <v>19</v>
      </c>
      <c r="J429" s="84" t="s">
        <v>15</v>
      </c>
      <c r="K429" s="85" t="s">
        <v>15</v>
      </c>
      <c r="L429" s="85" t="s">
        <v>13375</v>
      </c>
      <c r="M429" s="85" t="s">
        <v>15</v>
      </c>
      <c r="N429" s="10" t="s">
        <v>13128</v>
      </c>
      <c r="O429" s="10" t="s">
        <v>13376</v>
      </c>
      <c r="P429" s="85" t="s">
        <v>28</v>
      </c>
      <c r="Q429" s="83" t="s">
        <v>29</v>
      </c>
      <c r="R429" s="41" t="str">
        <f>VLOOKUP(Tabla1[[#This Row],[DETALLE ]],DATOS!L:M,2,0)</f>
        <v>RECEPCION</v>
      </c>
      <c r="S429" s="41" t="str">
        <f>IFERROR(IFERROR(VLOOKUP(Tabla1[[#This Row],[USUARIO PICKING ERROR]],DATOS!H:J,3,0),VLOOKUP(Tabla1[[#This Row],[USUARIO FILTRO ERROR]],DATOS!O:P,2,0)),"-")</f>
        <v>DANIEL PEREZ</v>
      </c>
      <c r="T429" s="41" t="str">
        <f>UPPER(VLOOKUP(Tabla1[[#This Row],[CODIGO]],DATOS!A:E,5,0))</f>
        <v>FLUJO CONTINUO</v>
      </c>
      <c r="U429" s="87">
        <f>(Tabla1[[#This Row],[CANTIDAD]])*(VLOOKUP(Tabla1[[#This Row],[CODIGO]],DATOS!A:D,4,0))</f>
        <v>91.08</v>
      </c>
      <c r="V429" s="87" t="str">
        <f>VLOOKUP(Tabla1[[#This Row],[CODIGO]],DATOS!A:C,3,0)</f>
        <v>ABARROTES COMESTIBLES</v>
      </c>
      <c r="W429" s="31" t="s">
        <v>13325</v>
      </c>
      <c r="X429" s="28" t="s">
        <v>13086</v>
      </c>
      <c r="Y429" s="28" t="s">
        <v>13111</v>
      </c>
    </row>
    <row r="430" spans="1:25" ht="12" x14ac:dyDescent="0.25">
      <c r="A430" s="46">
        <v>45766</v>
      </c>
      <c r="B430" s="83" t="s">
        <v>15</v>
      </c>
      <c r="C430" s="83">
        <v>181466438</v>
      </c>
      <c r="D430" s="83">
        <v>48501002</v>
      </c>
      <c r="E430" s="83" t="s">
        <v>8970</v>
      </c>
      <c r="F430" s="83">
        <v>72</v>
      </c>
      <c r="G430" s="83" t="s">
        <v>15</v>
      </c>
      <c r="H430" s="83" t="s">
        <v>25</v>
      </c>
      <c r="I430" s="75" t="s">
        <v>19</v>
      </c>
      <c r="J430" s="84" t="s">
        <v>15</v>
      </c>
      <c r="K430" s="85" t="s">
        <v>15</v>
      </c>
      <c r="L430" s="85" t="s">
        <v>13375</v>
      </c>
      <c r="M430" s="85" t="s">
        <v>15</v>
      </c>
      <c r="N430" s="85" t="s">
        <v>13128</v>
      </c>
      <c r="O430" s="85" t="s">
        <v>13376</v>
      </c>
      <c r="P430" s="85" t="s">
        <v>28</v>
      </c>
      <c r="Q430" s="83" t="s">
        <v>29</v>
      </c>
      <c r="R430" s="41" t="str">
        <f>VLOOKUP(Tabla1[[#This Row],[DETALLE ]],DATOS!L:M,2,0)</f>
        <v>RECEPCION</v>
      </c>
      <c r="S430" s="41" t="str">
        <f>IFERROR(IFERROR(VLOOKUP(Tabla1[[#This Row],[USUARIO PICKING ERROR]],DATOS!H:J,3,0),VLOOKUP(Tabla1[[#This Row],[USUARIO FILTRO ERROR]],DATOS!O:P,2,0)),"-")</f>
        <v>DANIEL PEREZ</v>
      </c>
      <c r="T430" s="41" t="str">
        <f>UPPER(VLOOKUP(Tabla1[[#This Row],[CODIGO]],DATOS!A:E,5,0))</f>
        <v>FLUJO CONTINUO</v>
      </c>
      <c r="U430" s="87">
        <f>(Tabla1[[#This Row],[CANTIDAD]])*(VLOOKUP(Tabla1[[#This Row],[CODIGO]],DATOS!A:D,4,0))</f>
        <v>247.68</v>
      </c>
      <c r="V430" s="87" t="str">
        <f>VLOOKUP(Tabla1[[#This Row],[CODIGO]],DATOS!A:C,3,0)</f>
        <v>ABARROTES COMESTIBLES</v>
      </c>
      <c r="W430" s="31" t="s">
        <v>13325</v>
      </c>
      <c r="X430" s="28" t="s">
        <v>13086</v>
      </c>
      <c r="Y430" s="28" t="s">
        <v>13111</v>
      </c>
    </row>
    <row r="431" spans="1:25" ht="12" x14ac:dyDescent="0.25">
      <c r="A431" s="46">
        <v>45766</v>
      </c>
      <c r="B431" s="2" t="s">
        <v>15</v>
      </c>
      <c r="C431" s="83">
        <v>181466438</v>
      </c>
      <c r="D431" s="2">
        <v>48524001</v>
      </c>
      <c r="E431" s="2" t="s">
        <v>8974</v>
      </c>
      <c r="F431" s="2">
        <v>18</v>
      </c>
      <c r="G431" s="2" t="s">
        <v>15</v>
      </c>
      <c r="H431" s="2" t="s">
        <v>25</v>
      </c>
      <c r="I431" s="75" t="s">
        <v>19</v>
      </c>
      <c r="J431" s="9" t="s">
        <v>15</v>
      </c>
      <c r="K431" s="10" t="s">
        <v>15</v>
      </c>
      <c r="L431" s="85" t="s">
        <v>13375</v>
      </c>
      <c r="M431" s="10" t="s">
        <v>15</v>
      </c>
      <c r="N431" s="85" t="s">
        <v>13128</v>
      </c>
      <c r="O431" s="10" t="s">
        <v>13376</v>
      </c>
      <c r="P431" s="85" t="s">
        <v>28</v>
      </c>
      <c r="Q431" s="2" t="s">
        <v>29</v>
      </c>
      <c r="R431" s="27" t="str">
        <f>VLOOKUP(Tabla1[[#This Row],[DETALLE ]],DATOS!L:M,2,0)</f>
        <v>RECEPCION</v>
      </c>
      <c r="S431" s="41" t="str">
        <f>IFERROR(IFERROR(VLOOKUP(Tabla1[[#This Row],[USUARIO PICKING ERROR]],DATOS!H:J,3,0),VLOOKUP(Tabla1[[#This Row],[USUARIO FILTRO ERROR]],DATOS!O:P,2,0)),"-")</f>
        <v>DANIEL PEREZ</v>
      </c>
      <c r="T431" s="27" t="str">
        <f>UPPER(VLOOKUP(Tabla1[[#This Row],[CODIGO]],DATOS!A:E,5,0))</f>
        <v>FLUJO CONTINUO</v>
      </c>
      <c r="U431" s="31">
        <f>(Tabla1[[#This Row],[CANTIDAD]])*(VLOOKUP(Tabla1[[#This Row],[CODIGO]],DATOS!A:D,4,0))</f>
        <v>127.08</v>
      </c>
      <c r="V431" s="31" t="str">
        <f>VLOOKUP(Tabla1[[#This Row],[CODIGO]],DATOS!A:C,3,0)</f>
        <v>ABARROTES COMESTIBLES</v>
      </c>
      <c r="W431" s="31" t="s">
        <v>13325</v>
      </c>
      <c r="X431" s="28" t="s">
        <v>13086</v>
      </c>
      <c r="Y431" s="28" t="s">
        <v>13111</v>
      </c>
    </row>
    <row r="432" spans="1:25" ht="12" x14ac:dyDescent="0.25">
      <c r="A432" s="46">
        <v>45766</v>
      </c>
      <c r="B432" s="2" t="s">
        <v>15</v>
      </c>
      <c r="C432" s="83">
        <v>181466438</v>
      </c>
      <c r="D432" s="2">
        <v>346849003</v>
      </c>
      <c r="E432" s="2" t="s">
        <v>9513</v>
      </c>
      <c r="F432" s="2">
        <v>10</v>
      </c>
      <c r="G432" s="2" t="s">
        <v>15</v>
      </c>
      <c r="H432" s="2" t="s">
        <v>25</v>
      </c>
      <c r="I432" s="75" t="s">
        <v>19</v>
      </c>
      <c r="J432" s="9" t="s">
        <v>15</v>
      </c>
      <c r="K432" s="10" t="s">
        <v>15</v>
      </c>
      <c r="L432" s="85" t="s">
        <v>13375</v>
      </c>
      <c r="M432" s="10" t="s">
        <v>15</v>
      </c>
      <c r="N432" s="85" t="s">
        <v>13128</v>
      </c>
      <c r="O432" s="10" t="s">
        <v>13376</v>
      </c>
      <c r="P432" s="85" t="s">
        <v>28</v>
      </c>
      <c r="Q432" s="2" t="s">
        <v>29</v>
      </c>
      <c r="R432" s="27" t="str">
        <f>VLOOKUP(Tabla1[[#This Row],[DETALLE ]],DATOS!L:M,2,0)</f>
        <v>RECEPCION</v>
      </c>
      <c r="S432" s="88" t="str">
        <f>IFERROR(IFERROR(VLOOKUP(Tabla1[[#This Row],[USUARIO PICKING ERROR]],DATOS!H:J,3,0),VLOOKUP(Tabla1[[#This Row],[USUARIO FILTRO ERROR]],DATOS!O:P,2,0)),"-")</f>
        <v>DANIEL PEREZ</v>
      </c>
      <c r="T432" s="27" t="str">
        <f>UPPER(VLOOKUP(Tabla1[[#This Row],[CODIGO]],DATOS!A:E,5,0))</f>
        <v>FLUJO CONTINUO</v>
      </c>
      <c r="U432" s="31">
        <f>(Tabla1[[#This Row],[CANTIDAD]])*(VLOOKUP(Tabla1[[#This Row],[CODIGO]],DATOS!A:D,4,0))</f>
        <v>36.800000000000004</v>
      </c>
      <c r="V432" s="31" t="str">
        <f>VLOOKUP(Tabla1[[#This Row],[CODIGO]],DATOS!A:C,3,0)</f>
        <v>ABARROTES COMESTIBLES</v>
      </c>
      <c r="W432" s="31" t="s">
        <v>13325</v>
      </c>
      <c r="X432" s="28" t="s">
        <v>13086</v>
      </c>
      <c r="Y432" s="28" t="s">
        <v>13111</v>
      </c>
    </row>
    <row r="433" spans="1:25" ht="12" x14ac:dyDescent="0.25">
      <c r="A433" s="46">
        <v>45766</v>
      </c>
      <c r="B433" s="2" t="s">
        <v>15</v>
      </c>
      <c r="C433" s="83">
        <v>181466438</v>
      </c>
      <c r="D433" s="2">
        <v>5499</v>
      </c>
      <c r="E433" s="2" t="s">
        <v>444</v>
      </c>
      <c r="F433" s="2">
        <v>180</v>
      </c>
      <c r="G433" s="2" t="s">
        <v>15</v>
      </c>
      <c r="H433" s="2" t="s">
        <v>17</v>
      </c>
      <c r="I433" s="75" t="s">
        <v>19</v>
      </c>
      <c r="J433" s="9" t="s">
        <v>15</v>
      </c>
      <c r="K433" s="10" t="s">
        <v>15</v>
      </c>
      <c r="L433" s="85" t="s">
        <v>13375</v>
      </c>
      <c r="M433" s="10" t="s">
        <v>15</v>
      </c>
      <c r="N433" s="85" t="s">
        <v>13128</v>
      </c>
      <c r="O433" s="10" t="s">
        <v>13378</v>
      </c>
      <c r="P433" s="85" t="s">
        <v>28</v>
      </c>
      <c r="Q433" s="2" t="s">
        <v>29</v>
      </c>
      <c r="R433" s="27" t="str">
        <f>VLOOKUP(Tabla1[[#This Row],[DETALLE ]],DATOS!L:M,2,0)</f>
        <v>RECEPCION</v>
      </c>
      <c r="S433" s="88" t="str">
        <f>IFERROR(IFERROR(VLOOKUP(Tabla1[[#This Row],[USUARIO PICKING ERROR]],DATOS!H:J,3,0),VLOOKUP(Tabla1[[#This Row],[USUARIO FILTRO ERROR]],DATOS!O:P,2,0)),"-")</f>
        <v>DANIEL PEREZ</v>
      </c>
      <c r="T433" s="27" t="str">
        <f>UPPER(VLOOKUP(Tabla1[[#This Row],[CODIGO]],DATOS!A:E,5,0))</f>
        <v>FLUJO CONTINUO</v>
      </c>
      <c r="U433" s="31">
        <f>(Tabla1[[#This Row],[CANTIDAD]])*(VLOOKUP(Tabla1[[#This Row],[CODIGO]],DATOS!A:D,4,0))</f>
        <v>455.4</v>
      </c>
      <c r="V433" s="31" t="str">
        <f>VLOOKUP(Tabla1[[#This Row],[CODIGO]],DATOS!A:C,3,0)</f>
        <v>ABARROTES COMESTIBLES</v>
      </c>
      <c r="W433" s="31" t="s">
        <v>13325</v>
      </c>
      <c r="X433" s="28" t="s">
        <v>13086</v>
      </c>
      <c r="Y433" s="28" t="s">
        <v>13111</v>
      </c>
    </row>
    <row r="434" spans="1:25" ht="12" x14ac:dyDescent="0.25">
      <c r="A434" s="46">
        <v>45766</v>
      </c>
      <c r="B434" s="2" t="s">
        <v>15</v>
      </c>
      <c r="C434" s="83">
        <v>181466438</v>
      </c>
      <c r="D434" s="83">
        <v>5500</v>
      </c>
      <c r="E434" s="83" t="s">
        <v>13377</v>
      </c>
      <c r="F434" s="83">
        <v>144</v>
      </c>
      <c r="G434" s="2" t="s">
        <v>15</v>
      </c>
      <c r="H434" s="83" t="s">
        <v>17</v>
      </c>
      <c r="I434" s="75" t="s">
        <v>19</v>
      </c>
      <c r="J434" s="84" t="s">
        <v>15</v>
      </c>
      <c r="K434" s="85" t="s">
        <v>15</v>
      </c>
      <c r="L434" s="85" t="s">
        <v>13375</v>
      </c>
      <c r="M434" s="10" t="s">
        <v>15</v>
      </c>
      <c r="N434" s="85" t="s">
        <v>13128</v>
      </c>
      <c r="O434" s="85" t="s">
        <v>13378</v>
      </c>
      <c r="P434" s="85" t="s">
        <v>28</v>
      </c>
      <c r="Q434" s="83" t="s">
        <v>29</v>
      </c>
      <c r="R434" s="41" t="str">
        <f>VLOOKUP(Tabla1[[#This Row],[DETALLE ]],DATOS!L:M,2,0)</f>
        <v>RECEPCION</v>
      </c>
      <c r="S434" s="41" t="str">
        <f>IFERROR(IFERROR(VLOOKUP(Tabla1[[#This Row],[USUARIO PICKING ERROR]],DATOS!H:J,3,0),VLOOKUP(Tabla1[[#This Row],[USUARIO FILTRO ERROR]],DATOS!O:P,2,0)),"-")</f>
        <v>DANIEL PEREZ</v>
      </c>
      <c r="T434" s="41" t="str">
        <f>UPPER(VLOOKUP(Tabla1[[#This Row],[CODIGO]],DATOS!A:E,5,0))</f>
        <v>FLUJO CONTINUO</v>
      </c>
      <c r="U434" s="87">
        <f>(Tabla1[[#This Row],[CANTIDAD]])*(VLOOKUP(Tabla1[[#This Row],[CODIGO]],DATOS!A:D,4,0))</f>
        <v>316.8</v>
      </c>
      <c r="V434" s="87" t="str">
        <f>VLOOKUP(Tabla1[[#This Row],[CODIGO]],DATOS!A:C,3,0)</f>
        <v>ABARROTES COMESTIBLES</v>
      </c>
      <c r="W434" s="31" t="s">
        <v>13325</v>
      </c>
      <c r="X434" s="28" t="s">
        <v>13086</v>
      </c>
      <c r="Y434" s="28" t="s">
        <v>13111</v>
      </c>
    </row>
    <row r="435" spans="1:25" ht="12" x14ac:dyDescent="0.25">
      <c r="A435" s="46">
        <v>45769</v>
      </c>
      <c r="B435" s="2" t="s">
        <v>15</v>
      </c>
      <c r="C435" s="83" t="s">
        <v>15</v>
      </c>
      <c r="D435" s="103">
        <v>167042</v>
      </c>
      <c r="E435" s="103" t="s">
        <v>1529</v>
      </c>
      <c r="F435" s="103">
        <v>12</v>
      </c>
      <c r="G435" s="106" t="s">
        <v>15</v>
      </c>
      <c r="H435" s="103" t="s">
        <v>25</v>
      </c>
      <c r="I435" s="75" t="s">
        <v>19</v>
      </c>
      <c r="J435" s="84" t="s">
        <v>15</v>
      </c>
      <c r="K435" s="85" t="s">
        <v>15</v>
      </c>
      <c r="L435" s="85" t="s">
        <v>14</v>
      </c>
      <c r="M435" s="10" t="s">
        <v>15</v>
      </c>
      <c r="N435" s="85" t="s">
        <v>18</v>
      </c>
      <c r="O435" s="85" t="s">
        <v>13381</v>
      </c>
      <c r="P435" s="85" t="s">
        <v>25</v>
      </c>
      <c r="Q435" s="83" t="s">
        <v>29</v>
      </c>
      <c r="R435" s="41" t="str">
        <f>VLOOKUP(Tabla1[[#This Row],[DETALLE ]],DATOS!L:M,2,0)</f>
        <v>PICKING</v>
      </c>
      <c r="S435" s="41" t="str">
        <f>IFERROR(IFERROR(VLOOKUP(Tabla1[[#This Row],[USUARIO PICKING ERROR]],DATOS!H:J,3,0),VLOOKUP(Tabla1[[#This Row],[USUARIO FILTRO ERROR]],DATOS!O:P,2,0)),"-")</f>
        <v>ALMACEN</v>
      </c>
      <c r="T435" s="41" t="str">
        <f>UPPER(VLOOKUP(Tabla1[[#This Row],[CODIGO]],DATOS!A:E,5,0))</f>
        <v>ALMACENADO</v>
      </c>
      <c r="U435" s="87">
        <f>(Tabla1[[#This Row],[CANTIDAD]])*(VLOOKUP(Tabla1[[#This Row],[CODIGO]],DATOS!A:D,4,0))</f>
        <v>23.4</v>
      </c>
      <c r="V435" s="87" t="str">
        <f>VLOOKUP(Tabla1[[#This Row],[CODIGO]],DATOS!A:C,3,0)</f>
        <v>ABARROTES COMESTIBLES</v>
      </c>
      <c r="W435" s="31" t="s">
        <v>13325</v>
      </c>
      <c r="X435" s="28" t="s">
        <v>13086</v>
      </c>
      <c r="Y435" s="28" t="s">
        <v>13111</v>
      </c>
    </row>
    <row r="436" spans="1:25" ht="12" x14ac:dyDescent="0.25">
      <c r="A436" s="46">
        <v>45769</v>
      </c>
      <c r="B436" s="83" t="s">
        <v>15</v>
      </c>
      <c r="C436" s="83" t="s">
        <v>15</v>
      </c>
      <c r="D436" s="109">
        <v>373211</v>
      </c>
      <c r="E436" s="109" t="s">
        <v>13379</v>
      </c>
      <c r="F436" s="109">
        <v>72</v>
      </c>
      <c r="G436" s="109" t="s">
        <v>15</v>
      </c>
      <c r="H436" s="109" t="s">
        <v>17</v>
      </c>
      <c r="I436" s="75" t="s">
        <v>13142</v>
      </c>
      <c r="J436" s="84" t="s">
        <v>15</v>
      </c>
      <c r="K436" s="85" t="s">
        <v>15</v>
      </c>
      <c r="L436" s="85" t="s">
        <v>14</v>
      </c>
      <c r="M436" s="85" t="s">
        <v>15</v>
      </c>
      <c r="N436" s="85" t="s">
        <v>18</v>
      </c>
      <c r="O436" s="10" t="s">
        <v>13369</v>
      </c>
      <c r="P436" s="85" t="s">
        <v>17</v>
      </c>
      <c r="Q436" s="83" t="s">
        <v>29</v>
      </c>
      <c r="R436" s="41" t="str">
        <f>VLOOKUP(Tabla1[[#This Row],[DETALLE ]],DATOS!L:M,2,0)</f>
        <v>PICKING</v>
      </c>
      <c r="S436" s="41" t="str">
        <f>IFERROR(IFERROR(VLOOKUP(Tabla1[[#This Row],[USUARIO PICKING ERROR]],DATOS!H:J,3,0),VLOOKUP(Tabla1[[#This Row],[USUARIO FILTRO ERROR]],DATOS!O:P,2,0)),"-")</f>
        <v>ALMACEN</v>
      </c>
      <c r="T436" s="41" t="str">
        <f>UPPER(VLOOKUP(Tabla1[[#This Row],[CODIGO]],DATOS!A:E,5,0))</f>
        <v>ALMACENADO</v>
      </c>
      <c r="U436" s="87">
        <f>(Tabla1[[#This Row],[CANTIDAD]])*(VLOOKUP(Tabla1[[#This Row],[CODIGO]],DATOS!A:D,4,0))</f>
        <v>195.12</v>
      </c>
      <c r="V436" s="87" t="str">
        <f>VLOOKUP(Tabla1[[#This Row],[CODIGO]],DATOS!A:C,3,0)</f>
        <v>ABARROTES COMESTIBLES</v>
      </c>
      <c r="W436" s="31" t="s">
        <v>13325</v>
      </c>
      <c r="X436" s="28" t="s">
        <v>13086</v>
      </c>
      <c r="Y436" s="28" t="s">
        <v>13111</v>
      </c>
    </row>
    <row r="437" spans="1:25" ht="12" x14ac:dyDescent="0.25">
      <c r="A437" s="46">
        <v>45769</v>
      </c>
      <c r="B437" s="83" t="s">
        <v>15</v>
      </c>
      <c r="C437" s="83" t="s">
        <v>15</v>
      </c>
      <c r="D437" s="109">
        <v>317948</v>
      </c>
      <c r="E437" s="109" t="s">
        <v>13380</v>
      </c>
      <c r="F437" s="109">
        <v>12</v>
      </c>
      <c r="G437" s="109" t="s">
        <v>15</v>
      </c>
      <c r="H437" s="109" t="s">
        <v>17</v>
      </c>
      <c r="I437" s="75" t="s">
        <v>13142</v>
      </c>
      <c r="J437" s="84" t="s">
        <v>15</v>
      </c>
      <c r="K437" s="85" t="s">
        <v>15</v>
      </c>
      <c r="L437" s="85" t="s">
        <v>14</v>
      </c>
      <c r="M437" s="85" t="s">
        <v>15</v>
      </c>
      <c r="N437" s="85" t="s">
        <v>18</v>
      </c>
      <c r="O437" s="10" t="s">
        <v>13330</v>
      </c>
      <c r="P437" s="85" t="s">
        <v>17</v>
      </c>
      <c r="Q437" s="83" t="s">
        <v>29</v>
      </c>
      <c r="R437" s="41" t="str">
        <f>VLOOKUP(Tabla1[[#This Row],[DETALLE ]],DATOS!L:M,2,0)</f>
        <v>PICKING</v>
      </c>
      <c r="S437" s="41" t="str">
        <f>IFERROR(IFERROR(VLOOKUP(Tabla1[[#This Row],[USUARIO PICKING ERROR]],DATOS!H:J,3,0),VLOOKUP(Tabla1[[#This Row],[USUARIO FILTRO ERROR]],DATOS!O:P,2,0)),"-")</f>
        <v>ALMACEN</v>
      </c>
      <c r="T437" s="41" t="str">
        <f>UPPER(VLOOKUP(Tabla1[[#This Row],[CODIGO]],DATOS!A:E,5,0))</f>
        <v>ALMACENADO</v>
      </c>
      <c r="U437" s="87">
        <f>(Tabla1[[#This Row],[CANTIDAD]])*(VLOOKUP(Tabla1[[#This Row],[CODIGO]],DATOS!A:D,4,0))</f>
        <v>22.200000000000003</v>
      </c>
      <c r="V437" s="87" t="str">
        <f>VLOOKUP(Tabla1[[#This Row],[CODIGO]],DATOS!A:C,3,0)</f>
        <v>ABARROTES COMESTIBLES</v>
      </c>
      <c r="W437" s="31" t="s">
        <v>13325</v>
      </c>
      <c r="X437" s="28" t="s">
        <v>13086</v>
      </c>
      <c r="Y437" s="28" t="s">
        <v>13111</v>
      </c>
    </row>
    <row r="438" spans="1:25" ht="12" x14ac:dyDescent="0.25">
      <c r="A438" s="46">
        <v>45769</v>
      </c>
      <c r="B438" s="2" t="s">
        <v>15</v>
      </c>
      <c r="C438" s="2" t="s">
        <v>15</v>
      </c>
      <c r="D438" s="106">
        <v>947966</v>
      </c>
      <c r="E438" s="106" t="s">
        <v>6539</v>
      </c>
      <c r="F438" s="106">
        <v>24</v>
      </c>
      <c r="G438" s="106" t="s">
        <v>15</v>
      </c>
      <c r="H438" s="106" t="s">
        <v>25</v>
      </c>
      <c r="I438" s="75" t="s">
        <v>13142</v>
      </c>
      <c r="J438" s="9" t="s">
        <v>15</v>
      </c>
      <c r="K438" s="10" t="s">
        <v>15</v>
      </c>
      <c r="L438" s="10" t="s">
        <v>14</v>
      </c>
      <c r="M438" s="10" t="s">
        <v>15</v>
      </c>
      <c r="N438" s="10" t="s">
        <v>18</v>
      </c>
      <c r="O438" s="10" t="s">
        <v>13330</v>
      </c>
      <c r="P438" s="10" t="s">
        <v>25</v>
      </c>
      <c r="Q438" s="2" t="s">
        <v>29</v>
      </c>
      <c r="R438" s="27" t="str">
        <f>VLOOKUP(Tabla1[[#This Row],[DETALLE ]],DATOS!L:M,2,0)</f>
        <v>PICKING</v>
      </c>
      <c r="S438" s="41" t="str">
        <f>IFERROR(IFERROR(VLOOKUP(Tabla1[[#This Row],[USUARIO PICKING ERROR]],DATOS!H:J,3,0),VLOOKUP(Tabla1[[#This Row],[USUARIO FILTRO ERROR]],DATOS!O:P,2,0)),"-")</f>
        <v>ALMACEN</v>
      </c>
      <c r="T438" s="27" t="str">
        <f>UPPER(VLOOKUP(Tabla1[[#This Row],[CODIGO]],DATOS!A:E,5,0))</f>
        <v>ALMACENADO</v>
      </c>
      <c r="U438" s="31">
        <f>(Tabla1[[#This Row],[CANTIDAD]])*(VLOOKUP(Tabla1[[#This Row],[CODIGO]],DATOS!A:D,4,0))</f>
        <v>170.88</v>
      </c>
      <c r="V438" s="31" t="str">
        <f>VLOOKUP(Tabla1[[#This Row],[CODIGO]],DATOS!A:C,3,0)</f>
        <v>ABARROTES COMESTIBLES</v>
      </c>
      <c r="W438" s="31" t="s">
        <v>13325</v>
      </c>
      <c r="X438" s="28" t="s">
        <v>13086</v>
      </c>
      <c r="Y438" s="28" t="s">
        <v>13111</v>
      </c>
    </row>
    <row r="439" spans="1:25" ht="12" x14ac:dyDescent="0.25">
      <c r="A439" s="46">
        <v>45770</v>
      </c>
      <c r="B439" s="83" t="s">
        <v>50</v>
      </c>
      <c r="C439" s="83">
        <v>7620887595</v>
      </c>
      <c r="D439" s="103">
        <v>15433</v>
      </c>
      <c r="E439" s="103" t="s">
        <v>627</v>
      </c>
      <c r="F439" s="103">
        <v>2</v>
      </c>
      <c r="G439" s="103" t="s">
        <v>49</v>
      </c>
      <c r="H439" s="103" t="s">
        <v>25</v>
      </c>
      <c r="I439" s="75" t="s">
        <v>12940</v>
      </c>
      <c r="J439" s="84" t="s">
        <v>15</v>
      </c>
      <c r="K439" s="85" t="s">
        <v>15</v>
      </c>
      <c r="L439" s="85" t="s">
        <v>57</v>
      </c>
      <c r="M439" s="85" t="s">
        <v>15</v>
      </c>
      <c r="N439" s="10" t="s">
        <v>18</v>
      </c>
      <c r="O439" s="85" t="s">
        <v>13369</v>
      </c>
      <c r="P439" s="85" t="s">
        <v>25</v>
      </c>
      <c r="Q439" s="83" t="s">
        <v>39</v>
      </c>
      <c r="R439" s="41" t="str">
        <f>VLOOKUP(Tabla1[[#This Row],[DETALLE ]],DATOS!L:M,2,0)</f>
        <v>PICKING</v>
      </c>
      <c r="S439" s="88" t="str">
        <f>IFERROR(IFERROR(VLOOKUP(Tabla1[[#This Row],[USUARIO PICKING ERROR]],DATOS!H:J,3,0),VLOOKUP(Tabla1[[#This Row],[USUARIO FILTRO ERROR]],DATOS!O:P,2,0)),"-")</f>
        <v>DAVID PIÑAN</v>
      </c>
      <c r="T439" s="41" t="str">
        <f>UPPER(VLOOKUP(Tabla1[[#This Row],[CODIGO]],DATOS!A:E,5,0))</f>
        <v>FLUJO CONTINUO</v>
      </c>
      <c r="U439" s="87">
        <f>(Tabla1[[#This Row],[CANTIDAD]])*(VLOOKUP(Tabla1[[#This Row],[CODIGO]],DATOS!A:D,4,0))</f>
        <v>81.86</v>
      </c>
      <c r="V439" s="87" t="str">
        <f>VLOOKUP(Tabla1[[#This Row],[CODIGO]],DATOS!A:C,3,0)</f>
        <v>ABARROTES BEBIBLES</v>
      </c>
      <c r="W439" s="31" t="s">
        <v>13325</v>
      </c>
      <c r="X439" s="28" t="s">
        <v>13086</v>
      </c>
      <c r="Y439" s="28" t="s">
        <v>13111</v>
      </c>
    </row>
    <row r="440" spans="1:25" ht="12" x14ac:dyDescent="0.25">
      <c r="A440" s="46">
        <v>45770</v>
      </c>
      <c r="B440" s="83" t="s">
        <v>15</v>
      </c>
      <c r="C440" s="83">
        <v>7620888056</v>
      </c>
      <c r="D440" s="103">
        <v>1011397</v>
      </c>
      <c r="E440" s="103" t="s">
        <v>10524</v>
      </c>
      <c r="F440" s="103">
        <v>12</v>
      </c>
      <c r="G440" s="103" t="s">
        <v>13374</v>
      </c>
      <c r="H440" s="103" t="s">
        <v>25</v>
      </c>
      <c r="I440" s="75" t="s">
        <v>12940</v>
      </c>
      <c r="J440" s="84" t="s">
        <v>15</v>
      </c>
      <c r="K440" s="85" t="s">
        <v>15</v>
      </c>
      <c r="L440" s="85" t="s">
        <v>13329</v>
      </c>
      <c r="M440" s="85" t="s">
        <v>15</v>
      </c>
      <c r="N440" s="10" t="s">
        <v>18</v>
      </c>
      <c r="O440" s="85" t="s">
        <v>13369</v>
      </c>
      <c r="P440" s="85" t="s">
        <v>25</v>
      </c>
      <c r="Q440" s="83" t="s">
        <v>29</v>
      </c>
      <c r="R440" s="41" t="str">
        <f>VLOOKUP(Tabla1[[#This Row],[DETALLE ]],DATOS!L:M,2,0)</f>
        <v>PICKING</v>
      </c>
      <c r="S440" s="41" t="str">
        <f>IFERROR(IFERROR(VLOOKUP(Tabla1[[#This Row],[USUARIO PICKING ERROR]],DATOS!H:J,3,0),VLOOKUP(Tabla1[[#This Row],[USUARIO FILTRO ERROR]],DATOS!O:P,2,0)),"-")</f>
        <v>DAVID PIÑAN</v>
      </c>
      <c r="T440" s="41" t="str">
        <f>UPPER(VLOOKUP(Tabla1[[#This Row],[CODIGO]],DATOS!A:E,5,0))</f>
        <v>FLUJO CONTINUO</v>
      </c>
      <c r="U440" s="87">
        <f>(Tabla1[[#This Row],[CANTIDAD]])*(VLOOKUP(Tabla1[[#This Row],[CODIGO]],DATOS!A:D,4,0))</f>
        <v>43.2</v>
      </c>
      <c r="V440" s="87" t="str">
        <f>VLOOKUP(Tabla1[[#This Row],[CODIGO]],DATOS!A:C,3,0)</f>
        <v>ABARROTES NO COMESTIBLES</v>
      </c>
      <c r="W440" s="31" t="s">
        <v>13325</v>
      </c>
      <c r="X440" s="28" t="s">
        <v>13086</v>
      </c>
      <c r="Y440" s="28" t="s">
        <v>13111</v>
      </c>
    </row>
    <row r="441" spans="1:25" ht="12" x14ac:dyDescent="0.25">
      <c r="A441" s="92">
        <v>45775</v>
      </c>
      <c r="B441" s="93" t="s">
        <v>12978</v>
      </c>
      <c r="C441" s="93">
        <v>7620888663</v>
      </c>
      <c r="D441" s="93">
        <v>190798</v>
      </c>
      <c r="E441" s="93" t="str">
        <f>VLOOKUP(Tabla1[[#This Row],[CODIGO]],DATOS!A:B,2,0)</f>
        <v>VINO TRUMPETER MALBEC X 750 ML</v>
      </c>
      <c r="F441" s="93">
        <v>2</v>
      </c>
      <c r="G441" s="93" t="s">
        <v>13118</v>
      </c>
      <c r="H441" s="93" t="s">
        <v>25</v>
      </c>
      <c r="I441" s="90" t="s">
        <v>12940</v>
      </c>
      <c r="J441" s="101" t="s">
        <v>130</v>
      </c>
      <c r="K441" s="94">
        <v>7620888237</v>
      </c>
      <c r="L441" s="94" t="s">
        <v>84</v>
      </c>
      <c r="M441" s="94" t="s">
        <v>49</v>
      </c>
      <c r="N441" s="85" t="s">
        <v>18</v>
      </c>
      <c r="O441" s="94" t="s">
        <v>13388</v>
      </c>
      <c r="P441" s="94" t="s">
        <v>28</v>
      </c>
      <c r="Q441" s="93" t="s">
        <v>39</v>
      </c>
      <c r="R441" s="91" t="str">
        <f>VLOOKUP(Tabla1[[#This Row],[DETALLE ]],DATOS!L:M,2,0)</f>
        <v>PICKING</v>
      </c>
      <c r="S441" s="91" t="str">
        <f>IFERROR(IFERROR(VLOOKUP(Tabla1[[#This Row],[USUARIO PICKING ERROR]],DATOS!H:J,3,0),VLOOKUP(Tabla1[[#This Row],[USUARIO FILTRO ERROR]],DATOS!O:P,2,0)),"-")</f>
        <v>DAVID PIÑAN</v>
      </c>
      <c r="T441" s="91" t="str">
        <f>UPPER(VLOOKUP(Tabla1[[#This Row],[CODIGO]],DATOS!A:E,5,0))</f>
        <v>FLUJO CONTINUO</v>
      </c>
      <c r="U441" s="95">
        <f>(Tabla1[[#This Row],[CANTIDAD]])*(VLOOKUP(Tabla1[[#This Row],[CODIGO]],DATOS!A:D,4,0))</f>
        <v>88.48</v>
      </c>
      <c r="V441" s="95" t="str">
        <f>VLOOKUP(Tabla1[[#This Row],[CODIGO]],DATOS!A:C,3,0)</f>
        <v>ABARROTES BEBIBLES</v>
      </c>
      <c r="W441" s="31" t="s">
        <v>13325</v>
      </c>
      <c r="X441" s="28" t="s">
        <v>13086</v>
      </c>
      <c r="Y441" s="28" t="s">
        <v>13111</v>
      </c>
    </row>
    <row r="442" spans="1:25" ht="12" x14ac:dyDescent="0.25">
      <c r="A442" s="92">
        <v>45775</v>
      </c>
      <c r="B442" s="93" t="s">
        <v>12978</v>
      </c>
      <c r="C442" s="93">
        <v>7620888663</v>
      </c>
      <c r="D442" s="93">
        <v>477507003</v>
      </c>
      <c r="E442" s="93" t="str">
        <f>VLOOKUP(Tabla1[[#This Row],[CODIGO]],DATOS!A:B,2,0)</f>
        <v>VINO KENDALL JACKSON RESERVA T, CABERNET</v>
      </c>
      <c r="F442" s="93">
        <v>3</v>
      </c>
      <c r="G442" s="93" t="s">
        <v>13118</v>
      </c>
      <c r="H442" s="93" t="s">
        <v>25</v>
      </c>
      <c r="I442" s="90" t="s">
        <v>12940</v>
      </c>
      <c r="J442" s="101" t="s">
        <v>130</v>
      </c>
      <c r="K442" s="94">
        <v>7620888237</v>
      </c>
      <c r="L442" s="94" t="s">
        <v>12916</v>
      </c>
      <c r="M442" s="94" t="s">
        <v>49</v>
      </c>
      <c r="N442" s="85" t="s">
        <v>18</v>
      </c>
      <c r="O442" s="94" t="s">
        <v>13369</v>
      </c>
      <c r="P442" s="94" t="s">
        <v>28</v>
      </c>
      <c r="Q442" s="93" t="s">
        <v>39</v>
      </c>
      <c r="R442" s="91" t="str">
        <f>VLOOKUP(Tabla1[[#This Row],[DETALLE ]],DATOS!L:M,2,0)</f>
        <v>PICKING</v>
      </c>
      <c r="S442" s="91" t="str">
        <f>IFERROR(IFERROR(VLOOKUP(Tabla1[[#This Row],[USUARIO PICKING ERROR]],DATOS!H:J,3,0),VLOOKUP(Tabla1[[#This Row],[USUARIO FILTRO ERROR]],DATOS!O:P,2,0)),"-")</f>
        <v>DAVID PIÑAN</v>
      </c>
      <c r="T442" s="91" t="str">
        <f>UPPER(VLOOKUP(Tabla1[[#This Row],[CODIGO]],DATOS!A:E,5,0))</f>
        <v>FLUJO CONTINUO</v>
      </c>
      <c r="U442" s="95">
        <f>(Tabla1[[#This Row],[CANTIDAD]])*(VLOOKUP(Tabla1[[#This Row],[CODIGO]],DATOS!A:D,4,0))</f>
        <v>444.75</v>
      </c>
      <c r="V442" s="95" t="str">
        <f>VLOOKUP(Tabla1[[#This Row],[CODIGO]],DATOS!A:C,3,0)</f>
        <v>ABARROTES BEBIBLES</v>
      </c>
      <c r="W442" s="31" t="s">
        <v>13325</v>
      </c>
      <c r="X442" s="28" t="s">
        <v>13086</v>
      </c>
      <c r="Y442" s="28" t="s">
        <v>13111</v>
      </c>
    </row>
    <row r="443" spans="1:25" ht="12" x14ac:dyDescent="0.25">
      <c r="A443" s="92">
        <v>45775</v>
      </c>
      <c r="B443" s="93" t="s">
        <v>12978</v>
      </c>
      <c r="C443" s="93">
        <v>7620877272</v>
      </c>
      <c r="D443" s="93">
        <v>59583002</v>
      </c>
      <c r="E443" s="93" t="str">
        <f>VLOOKUP(Tabla1[[#This Row],[CODIGO]],DATOS!A:B,2,0)</f>
        <v>VINO TRAPICHE VINEYARDS MALBEC 750ML</v>
      </c>
      <c r="F443" s="93">
        <v>1</v>
      </c>
      <c r="G443" s="93" t="s">
        <v>13384</v>
      </c>
      <c r="H443" s="93" t="s">
        <v>25</v>
      </c>
      <c r="I443" s="90" t="s">
        <v>12940</v>
      </c>
      <c r="J443" s="101" t="s">
        <v>13024</v>
      </c>
      <c r="K443" s="94">
        <v>7620877340</v>
      </c>
      <c r="L443" s="94" t="s">
        <v>13385</v>
      </c>
      <c r="M443" s="85" t="s">
        <v>15</v>
      </c>
      <c r="N443" s="85" t="s">
        <v>18</v>
      </c>
      <c r="O443" s="94" t="s">
        <v>13369</v>
      </c>
      <c r="P443" s="94" t="s">
        <v>28</v>
      </c>
      <c r="Q443" s="93" t="s">
        <v>39</v>
      </c>
      <c r="R443" s="91" t="str">
        <f>VLOOKUP(Tabla1[[#This Row],[DETALLE ]],DATOS!L:M,2,0)</f>
        <v>PICKING</v>
      </c>
      <c r="S443" s="91" t="str">
        <f>IFERROR(IFERROR(VLOOKUP(Tabla1[[#This Row],[USUARIO PICKING ERROR]],DATOS!H:J,3,0),VLOOKUP(Tabla1[[#This Row],[USUARIO FILTRO ERROR]],DATOS!O:P,2,0)),"-")</f>
        <v>-</v>
      </c>
      <c r="T443" s="91" t="str">
        <f>UPPER(VLOOKUP(Tabla1[[#This Row],[CODIGO]],DATOS!A:E,5,0))</f>
        <v>FLUJO CONTINUO</v>
      </c>
      <c r="U443" s="95">
        <f>(Tabla1[[#This Row],[CANTIDAD]])*(VLOOKUP(Tabla1[[#This Row],[CODIGO]],DATOS!A:D,4,0))</f>
        <v>21.55</v>
      </c>
      <c r="V443" s="95" t="str">
        <f>VLOOKUP(Tabla1[[#This Row],[CODIGO]],DATOS!A:C,3,0)</f>
        <v>ABARROTES BEBIBLES</v>
      </c>
      <c r="W443" s="31" t="s">
        <v>13325</v>
      </c>
      <c r="X443" s="28" t="s">
        <v>13086</v>
      </c>
      <c r="Y443" s="28" t="s">
        <v>13111</v>
      </c>
    </row>
    <row r="444" spans="1:25" ht="12" x14ac:dyDescent="0.25">
      <c r="A444" s="46">
        <v>45778</v>
      </c>
      <c r="B444" s="83" t="s">
        <v>48</v>
      </c>
      <c r="C444" s="83">
        <v>7620877280</v>
      </c>
      <c r="D444" s="83">
        <v>886902</v>
      </c>
      <c r="E444" s="83" t="s">
        <v>4897</v>
      </c>
      <c r="F444" s="83">
        <v>2</v>
      </c>
      <c r="G444" s="83" t="s">
        <v>15</v>
      </c>
      <c r="H444" s="83" t="s">
        <v>17</v>
      </c>
      <c r="I444" s="75" t="s">
        <v>12940</v>
      </c>
      <c r="J444" s="84" t="s">
        <v>15</v>
      </c>
      <c r="K444" s="85" t="s">
        <v>15</v>
      </c>
      <c r="L444" s="85" t="s">
        <v>13121</v>
      </c>
      <c r="M444" s="85" t="s">
        <v>15</v>
      </c>
      <c r="N444" s="85" t="s">
        <v>18</v>
      </c>
      <c r="O444" s="85" t="s">
        <v>13369</v>
      </c>
      <c r="P444" s="85" t="s">
        <v>17</v>
      </c>
      <c r="Q444" s="83" t="s">
        <v>29</v>
      </c>
      <c r="R444" s="41" t="str">
        <f>VLOOKUP(Tabla1[[#This Row],[DETALLE ]],DATOS!L:M,2,0)</f>
        <v>PICKING</v>
      </c>
      <c r="S444" s="41" t="str">
        <f>IFERROR(IFERROR(VLOOKUP(Tabla1[[#This Row],[USUARIO PICKING ERROR]],DATOS!H:J,3,0),VLOOKUP(Tabla1[[#This Row],[USUARIO FILTRO ERROR]],DATOS!O:P,2,0)),"-")</f>
        <v>BENJAMIN LIZARBE</v>
      </c>
      <c r="T444" s="41" t="str">
        <f>UPPER(VLOOKUP(Tabla1[[#This Row],[CODIGO]],DATOS!A:E,5,0))</f>
        <v>FLUJO CONTINUO</v>
      </c>
      <c r="U444" s="87">
        <f>(Tabla1[[#This Row],[CANTIDAD]])*(VLOOKUP(Tabla1[[#This Row],[CODIGO]],DATOS!A:D,4,0))</f>
        <v>12.96</v>
      </c>
      <c r="V444" s="87" t="str">
        <f>VLOOKUP(Tabla1[[#This Row],[CODIGO]],DATOS!A:C,3,0)</f>
        <v>ABARROTES BEBIBLES</v>
      </c>
      <c r="W444" s="31" t="s">
        <v>13325</v>
      </c>
      <c r="X444" s="28" t="s">
        <v>13086</v>
      </c>
      <c r="Y444" s="28" t="s">
        <v>13113</v>
      </c>
    </row>
    <row r="445" spans="1:25" ht="12" x14ac:dyDescent="0.25">
      <c r="A445" s="46">
        <v>45778</v>
      </c>
      <c r="B445" s="83" t="s">
        <v>15</v>
      </c>
      <c r="C445" s="83" t="s">
        <v>15</v>
      </c>
      <c r="D445" s="106">
        <v>113219055</v>
      </c>
      <c r="E445" s="103" t="s">
        <v>9307</v>
      </c>
      <c r="F445" s="106">
        <v>1</v>
      </c>
      <c r="G445" s="106" t="s">
        <v>15</v>
      </c>
      <c r="H445" s="106" t="s">
        <v>25</v>
      </c>
      <c r="I445" s="75" t="s">
        <v>13137</v>
      </c>
      <c r="J445" s="9" t="s">
        <v>15</v>
      </c>
      <c r="K445" s="10" t="s">
        <v>15</v>
      </c>
      <c r="L445" s="10" t="s">
        <v>12935</v>
      </c>
      <c r="M445" s="10" t="s">
        <v>15</v>
      </c>
      <c r="N445" s="85" t="s">
        <v>13136</v>
      </c>
      <c r="O445" s="10" t="s">
        <v>13382</v>
      </c>
      <c r="P445" s="85" t="s">
        <v>25</v>
      </c>
      <c r="Q445" s="83" t="s">
        <v>29</v>
      </c>
      <c r="R445" s="41" t="str">
        <f>VLOOKUP(Tabla1[[#This Row],[DETALLE ]],DATOS!L:M,2,0)</f>
        <v>DESPACHO</v>
      </c>
      <c r="S445" s="41" t="str">
        <f>IFERROR(IFERROR(VLOOKUP(Tabla1[[#This Row],[USUARIO PICKING ERROR]],DATOS!H:J,3,0),VLOOKUP(Tabla1[[#This Row],[USUARIO FILTRO ERROR]],DATOS!O:P,2,0)),"-")</f>
        <v>BENJAMIN LIZARBE</v>
      </c>
      <c r="T445" s="27" t="str">
        <f>UPPER(VLOOKUP(Tabla1[[#This Row],[CODIGO]],DATOS!A:E,5,0))</f>
        <v>FLUJO CONTINUO</v>
      </c>
      <c r="U445" s="31">
        <f>(Tabla1[[#This Row],[CANTIDAD]])*(VLOOKUP(Tabla1[[#This Row],[CODIGO]],DATOS!A:D,4,0))</f>
        <v>25.64</v>
      </c>
      <c r="V445" s="31" t="str">
        <f>VLOOKUP(Tabla1[[#This Row],[CODIGO]],DATOS!A:C,3,0)</f>
        <v>ABARROTES NO COMESTIBLES</v>
      </c>
      <c r="W445" s="31" t="s">
        <v>13389</v>
      </c>
      <c r="X445" s="28" t="s">
        <v>13086</v>
      </c>
      <c r="Y445" s="28" t="s">
        <v>13113</v>
      </c>
    </row>
    <row r="446" spans="1:25" ht="12" x14ac:dyDescent="0.25">
      <c r="A446" s="46">
        <v>45778</v>
      </c>
      <c r="B446" s="83" t="s">
        <v>15</v>
      </c>
      <c r="C446" s="83">
        <v>8201509119</v>
      </c>
      <c r="D446" s="2">
        <v>269992</v>
      </c>
      <c r="E446" s="83" t="s">
        <v>1505</v>
      </c>
      <c r="F446" s="2">
        <v>12</v>
      </c>
      <c r="G446" s="2" t="s">
        <v>13374</v>
      </c>
      <c r="H446" s="2" t="s">
        <v>17</v>
      </c>
      <c r="I446" s="75" t="s">
        <v>12940</v>
      </c>
      <c r="J446" s="9" t="s">
        <v>15</v>
      </c>
      <c r="K446" s="10" t="s">
        <v>15</v>
      </c>
      <c r="L446" s="10" t="s">
        <v>12928</v>
      </c>
      <c r="M446" s="10" t="s">
        <v>15</v>
      </c>
      <c r="N446" s="85" t="s">
        <v>18</v>
      </c>
      <c r="O446" s="10" t="s">
        <v>13383</v>
      </c>
      <c r="P446" s="85" t="s">
        <v>28</v>
      </c>
      <c r="Q446" s="83" t="s">
        <v>29</v>
      </c>
      <c r="R446" s="41" t="str">
        <f>VLOOKUP(Tabla1[[#This Row],[DETALLE ]],DATOS!L:M,2,0)</f>
        <v>PICKING</v>
      </c>
      <c r="S446" s="88" t="str">
        <f>IFERROR(IFERROR(VLOOKUP(Tabla1[[#This Row],[USUARIO PICKING ERROR]],DATOS!H:J,3,0),VLOOKUP(Tabla1[[#This Row],[USUARIO FILTRO ERROR]],DATOS!O:P,2,0)),"-")</f>
        <v>DANIEL PEREZ</v>
      </c>
      <c r="T446" s="27" t="str">
        <f>UPPER(VLOOKUP(Tabla1[[#This Row],[CODIGO]],DATOS!A:E,5,0))</f>
        <v>FLUJO CONTINUO</v>
      </c>
      <c r="U446" s="31">
        <f>(Tabla1[[#This Row],[CANTIDAD]])*(VLOOKUP(Tabla1[[#This Row],[CODIGO]],DATOS!A:D,4,0))</f>
        <v>165.72</v>
      </c>
      <c r="V446" s="31" t="str">
        <f>VLOOKUP(Tabla1[[#This Row],[CODIGO]],DATOS!A:C,3,0)</f>
        <v>HOGAR</v>
      </c>
      <c r="W446" s="31" t="s">
        <v>13389</v>
      </c>
      <c r="X446" s="28" t="s">
        <v>13086</v>
      </c>
      <c r="Y446" s="28" t="s">
        <v>13113</v>
      </c>
    </row>
    <row r="447" spans="1:25" ht="12" x14ac:dyDescent="0.25">
      <c r="A447" s="46">
        <v>45778</v>
      </c>
      <c r="B447" s="83" t="s">
        <v>15</v>
      </c>
      <c r="C447" s="83" t="s">
        <v>15</v>
      </c>
      <c r="D447" s="105">
        <v>294596019</v>
      </c>
      <c r="E447" s="104" t="str">
        <f>VLOOKUP(Tabla1[[#This Row],[CODIGO]],DATOS!A:B,2,0)</f>
        <v>TINTE CREME GLOSS C, CASTAÑO NATURAL 400</v>
      </c>
      <c r="F447" s="105">
        <v>6</v>
      </c>
      <c r="G447" s="105" t="s">
        <v>13105</v>
      </c>
      <c r="H447" s="105" t="s">
        <v>25</v>
      </c>
      <c r="I447" s="90" t="s">
        <v>12940</v>
      </c>
      <c r="J447" s="9" t="s">
        <v>15</v>
      </c>
      <c r="K447" s="10" t="s">
        <v>15</v>
      </c>
      <c r="L447" s="98" t="s">
        <v>12935</v>
      </c>
      <c r="M447" s="10" t="s">
        <v>15</v>
      </c>
      <c r="N447" s="94" t="s">
        <v>18</v>
      </c>
      <c r="O447" s="94" t="s">
        <v>13103</v>
      </c>
      <c r="P447" s="10" t="s">
        <v>25</v>
      </c>
      <c r="Q447" s="83" t="s">
        <v>29</v>
      </c>
      <c r="R447" s="99" t="str">
        <f>VLOOKUP(Tabla1[[#This Row],[DETALLE ]],DATOS!L:M,2,0)</f>
        <v>PICKING</v>
      </c>
      <c r="S447" s="102" t="str">
        <f>IFERROR(IFERROR(VLOOKUP(Tabla1[[#This Row],[USUARIO PICKING ERROR]],DATOS!H:J,3,0),VLOOKUP(Tabla1[[#This Row],[USUARIO FILTRO ERROR]],DATOS!O:P,2,0)),"-")</f>
        <v>BENJAMIN LIZARBE</v>
      </c>
      <c r="T447" s="99" t="str">
        <f>UPPER(VLOOKUP(Tabla1[[#This Row],[CODIGO]],DATOS!A:E,5,0))</f>
        <v>FLUJO CONTINUO</v>
      </c>
      <c r="U447" s="100">
        <f>(Tabla1[[#This Row],[CANTIDAD]])*(VLOOKUP(Tabla1[[#This Row],[CODIGO]],DATOS!A:D,4,0))</f>
        <v>150</v>
      </c>
      <c r="V447" s="100" t="str">
        <f>VLOOKUP(Tabla1[[#This Row],[CODIGO]],DATOS!A:C,3,0)</f>
        <v>ABARROTES NO COMESTIBLES</v>
      </c>
      <c r="W447" s="31" t="s">
        <v>13389</v>
      </c>
      <c r="X447" s="28" t="s">
        <v>13086</v>
      </c>
      <c r="Y447" s="28" t="s">
        <v>13113</v>
      </c>
    </row>
    <row r="448" spans="1:25" ht="12" x14ac:dyDescent="0.25">
      <c r="A448" s="46">
        <v>45778</v>
      </c>
      <c r="B448" s="93" t="s">
        <v>13106</v>
      </c>
      <c r="C448" s="93">
        <v>7620870785</v>
      </c>
      <c r="D448" s="105">
        <v>794886</v>
      </c>
      <c r="E448" s="104" t="s">
        <v>4854</v>
      </c>
      <c r="F448" s="105">
        <v>12</v>
      </c>
      <c r="G448" s="105" t="s">
        <v>24</v>
      </c>
      <c r="H448" s="105" t="s">
        <v>25</v>
      </c>
      <c r="I448" s="90" t="s">
        <v>12940</v>
      </c>
      <c r="J448" s="9" t="s">
        <v>15</v>
      </c>
      <c r="K448" s="10" t="s">
        <v>15</v>
      </c>
      <c r="L448" s="10" t="s">
        <v>12935</v>
      </c>
      <c r="M448" s="10" t="s">
        <v>15</v>
      </c>
      <c r="N448" s="85" t="s">
        <v>18</v>
      </c>
      <c r="O448" s="98" t="s">
        <v>13369</v>
      </c>
      <c r="P448" s="10" t="s">
        <v>25</v>
      </c>
      <c r="Q448" s="83" t="s">
        <v>39</v>
      </c>
      <c r="R448" s="99" t="str">
        <f>VLOOKUP(Tabla1[[#This Row],[DETALLE ]],DATOS!L:M,2,0)</f>
        <v>PICKING</v>
      </c>
      <c r="S448" s="102" t="str">
        <f>IFERROR(IFERROR(VLOOKUP(Tabla1[[#This Row],[USUARIO PICKING ERROR]],DATOS!H:J,3,0),VLOOKUP(Tabla1[[#This Row],[USUARIO FILTRO ERROR]],DATOS!O:P,2,0)),"-")</f>
        <v>BENJAMIN LIZARBE</v>
      </c>
      <c r="T448" s="99" t="str">
        <f>UPPER(VLOOKUP(Tabla1[[#This Row],[CODIGO]],DATOS!A:E,5,0))</f>
        <v>FLUJO CONTINUO</v>
      </c>
      <c r="U448" s="100">
        <f>(Tabla1[[#This Row],[CANTIDAD]])*(VLOOKUP(Tabla1[[#This Row],[CODIGO]],DATOS!A:D,4,0))</f>
        <v>220.07999999999998</v>
      </c>
      <c r="V448" s="100" t="str">
        <f>VLOOKUP(Tabla1[[#This Row],[CODIGO]],DATOS!A:C,3,0)</f>
        <v>ABARROTES NO COMESTIBLES</v>
      </c>
      <c r="W448" s="31" t="s">
        <v>13389</v>
      </c>
      <c r="X448" s="28" t="s">
        <v>13086</v>
      </c>
      <c r="Y448" s="28" t="s">
        <v>13113</v>
      </c>
    </row>
    <row r="449" spans="1:25" ht="12" x14ac:dyDescent="0.25">
      <c r="A449" s="46">
        <v>45778</v>
      </c>
      <c r="B449" s="83" t="s">
        <v>15</v>
      </c>
      <c r="C449" s="83" t="s">
        <v>15</v>
      </c>
      <c r="D449" s="83">
        <v>54620015</v>
      </c>
      <c r="E449" s="83" t="s">
        <v>9124</v>
      </c>
      <c r="F449" s="83">
        <v>2</v>
      </c>
      <c r="G449" s="83" t="s">
        <v>12998</v>
      </c>
      <c r="H449" s="2" t="s">
        <v>17</v>
      </c>
      <c r="I449" s="75" t="s">
        <v>19</v>
      </c>
      <c r="J449" s="84" t="s">
        <v>15</v>
      </c>
      <c r="K449" s="85" t="s">
        <v>15</v>
      </c>
      <c r="L449" s="85" t="s">
        <v>13329</v>
      </c>
      <c r="M449" s="85" t="s">
        <v>15</v>
      </c>
      <c r="N449" s="85" t="s">
        <v>18</v>
      </c>
      <c r="O449" s="85" t="s">
        <v>13369</v>
      </c>
      <c r="P449" s="85" t="s">
        <v>17</v>
      </c>
      <c r="Q449" s="83" t="s">
        <v>39</v>
      </c>
      <c r="R449" s="41" t="str">
        <f>VLOOKUP(Tabla1[[#This Row],[DETALLE ]],DATOS!L:M,2,0)</f>
        <v>PICKING</v>
      </c>
      <c r="S449" s="41" t="str">
        <f>IFERROR(IFERROR(VLOOKUP(Tabla1[[#This Row],[USUARIO PICKING ERROR]],DATOS!H:J,3,0),VLOOKUP(Tabla1[[#This Row],[USUARIO FILTRO ERROR]],DATOS!O:P,2,0)),"-")</f>
        <v>DAVID PIÑAN</v>
      </c>
      <c r="T449" s="41" t="str">
        <f>UPPER(VLOOKUP(Tabla1[[#This Row],[CODIGO]],DATOS!A:E,5,0))</f>
        <v>FLUJO CONTINUO</v>
      </c>
      <c r="U449" s="87">
        <f>(Tabla1[[#This Row],[CANTIDAD]])*(VLOOKUP(Tabla1[[#This Row],[CODIGO]],DATOS!A:D,4,0))</f>
        <v>31.4</v>
      </c>
      <c r="V449" s="87" t="str">
        <f>VLOOKUP(Tabla1[[#This Row],[CODIGO]],DATOS!A:C,3,0)</f>
        <v>ABARROTES NO COMESTIBLES</v>
      </c>
      <c r="W449" s="31" t="s">
        <v>13389</v>
      </c>
      <c r="X449" s="28" t="s">
        <v>13086</v>
      </c>
      <c r="Y449" s="28" t="s">
        <v>13113</v>
      </c>
    </row>
    <row r="450" spans="1:25" ht="12" x14ac:dyDescent="0.25">
      <c r="A450" s="46">
        <v>45778</v>
      </c>
      <c r="B450" s="2" t="s">
        <v>15</v>
      </c>
      <c r="C450" s="2" t="s">
        <v>15</v>
      </c>
      <c r="D450" s="2">
        <v>1024564</v>
      </c>
      <c r="E450" s="83" t="s">
        <v>12417</v>
      </c>
      <c r="F450" s="2">
        <v>36</v>
      </c>
      <c r="G450" s="2" t="s">
        <v>12998</v>
      </c>
      <c r="H450" s="2" t="s">
        <v>17</v>
      </c>
      <c r="I450" s="75" t="s">
        <v>19</v>
      </c>
      <c r="J450" s="9" t="s">
        <v>15</v>
      </c>
      <c r="K450" s="10" t="s">
        <v>15</v>
      </c>
      <c r="L450" s="10" t="s">
        <v>13329</v>
      </c>
      <c r="M450" s="10" t="s">
        <v>15</v>
      </c>
      <c r="N450" s="85" t="s">
        <v>18</v>
      </c>
      <c r="O450" s="85" t="s">
        <v>13369</v>
      </c>
      <c r="P450" s="10" t="s">
        <v>17</v>
      </c>
      <c r="Q450" s="2" t="s">
        <v>39</v>
      </c>
      <c r="R450" s="27" t="str">
        <f>VLOOKUP(Tabla1[[#This Row],[DETALLE ]],DATOS!L:M,2,0)</f>
        <v>PICKING</v>
      </c>
      <c r="S450" s="41" t="str">
        <f>IFERROR(IFERROR(VLOOKUP(Tabla1[[#This Row],[USUARIO PICKING ERROR]],DATOS!H:J,3,0),VLOOKUP(Tabla1[[#This Row],[USUARIO FILTRO ERROR]],DATOS!O:P,2,0)),"-")</f>
        <v>DAVID PIÑAN</v>
      </c>
      <c r="T450" s="27" t="str">
        <f>UPPER(VLOOKUP(Tabla1[[#This Row],[CODIGO]],DATOS!A:E,5,0))</f>
        <v>FLUJO CONTINUO</v>
      </c>
      <c r="U450" s="31">
        <f>(Tabla1[[#This Row],[CANTIDAD]])*(VLOOKUP(Tabla1[[#This Row],[CODIGO]],DATOS!A:D,4,0))</f>
        <v>680.04</v>
      </c>
      <c r="V450" s="31" t="str">
        <f>VLOOKUP(Tabla1[[#This Row],[CODIGO]],DATOS!A:C,3,0)</f>
        <v>ABARROTES NO COMESTIBLES</v>
      </c>
      <c r="W450" s="31" t="s">
        <v>13389</v>
      </c>
      <c r="X450" s="28" t="s">
        <v>13086</v>
      </c>
      <c r="Y450" s="28" t="s">
        <v>13113</v>
      </c>
    </row>
    <row r="451" spans="1:25" ht="12" x14ac:dyDescent="0.25">
      <c r="A451" s="46">
        <v>45778</v>
      </c>
      <c r="B451" s="93" t="s">
        <v>12978</v>
      </c>
      <c r="C451" s="93">
        <v>7620888663</v>
      </c>
      <c r="D451" s="93">
        <v>86452</v>
      </c>
      <c r="E451" s="93" t="str">
        <f>VLOOKUP(Tabla1[[#This Row],[CODIGO]],DATOS!A:B,2,0)</f>
        <v>VINO N.SENETINER ESTATE MALBEC BOT 750ML</v>
      </c>
      <c r="F451" s="93">
        <v>1</v>
      </c>
      <c r="G451" s="93" t="s">
        <v>13118</v>
      </c>
      <c r="H451" s="93" t="s">
        <v>25</v>
      </c>
      <c r="I451" s="90" t="s">
        <v>12940</v>
      </c>
      <c r="J451" s="84" t="s">
        <v>15</v>
      </c>
      <c r="K451" s="85" t="s">
        <v>15</v>
      </c>
      <c r="L451" s="94" t="s">
        <v>13121</v>
      </c>
      <c r="M451" s="85" t="s">
        <v>15</v>
      </c>
      <c r="N451" s="85" t="s">
        <v>18</v>
      </c>
      <c r="O451" s="85" t="s">
        <v>18</v>
      </c>
      <c r="P451" s="85" t="s">
        <v>25</v>
      </c>
      <c r="Q451" s="93" t="s">
        <v>39</v>
      </c>
      <c r="R451" s="91" t="str">
        <f>VLOOKUP(Tabla1[[#This Row],[DETALLE ]],DATOS!L:M,2,0)</f>
        <v>PICKING</v>
      </c>
      <c r="S451" s="91" t="str">
        <f>IFERROR(IFERROR(VLOOKUP(Tabla1[[#This Row],[USUARIO PICKING ERROR]],DATOS!H:J,3,0),VLOOKUP(Tabla1[[#This Row],[USUARIO FILTRO ERROR]],DATOS!O:P,2,0)),"-")</f>
        <v>BENJAMIN LIZARBE</v>
      </c>
      <c r="T451" s="91" t="str">
        <f>UPPER(VLOOKUP(Tabla1[[#This Row],[CODIGO]],DATOS!A:E,5,0))</f>
        <v>FLUJO CONTINUO</v>
      </c>
      <c r="U451" s="95">
        <f>(Tabla1[[#This Row],[CANTIDAD]])*(VLOOKUP(Tabla1[[#This Row],[CODIGO]],DATOS!A:D,4,0))</f>
        <v>40.24</v>
      </c>
      <c r="V451" s="95" t="str">
        <f>VLOOKUP(Tabla1[[#This Row],[CODIGO]],DATOS!A:C,3,0)</f>
        <v>ABARROTES BEBIBLES</v>
      </c>
      <c r="W451" s="31" t="s">
        <v>13389</v>
      </c>
      <c r="X451" s="28" t="s">
        <v>13086</v>
      </c>
      <c r="Y451" s="28" t="s">
        <v>13113</v>
      </c>
    </row>
    <row r="452" spans="1:25" ht="12" x14ac:dyDescent="0.25">
      <c r="A452" s="46">
        <v>45778</v>
      </c>
      <c r="B452" s="96" t="s">
        <v>12978</v>
      </c>
      <c r="C452" s="96">
        <v>7640116540</v>
      </c>
      <c r="D452" s="96">
        <v>1019409</v>
      </c>
      <c r="E452" s="96" t="str">
        <f>VLOOKUP(Tabla1[[#This Row],[CODIGO]],DATOS!A:B,2,0)</f>
        <v>CERVEZA HEINEKEN PK 12 LT 310ML</v>
      </c>
      <c r="F452" s="96">
        <v>1</v>
      </c>
      <c r="G452" s="96" t="s">
        <v>13118</v>
      </c>
      <c r="H452" s="96" t="s">
        <v>25</v>
      </c>
      <c r="I452" s="90" t="s">
        <v>12940</v>
      </c>
      <c r="J452" s="9" t="s">
        <v>15</v>
      </c>
      <c r="K452" s="10" t="s">
        <v>15</v>
      </c>
      <c r="L452" s="98" t="s">
        <v>87</v>
      </c>
      <c r="M452" s="10" t="s">
        <v>15</v>
      </c>
      <c r="N452" s="10" t="s">
        <v>18</v>
      </c>
      <c r="O452" s="10" t="s">
        <v>18</v>
      </c>
      <c r="P452" s="10" t="s">
        <v>25</v>
      </c>
      <c r="Q452" s="96" t="s">
        <v>29</v>
      </c>
      <c r="R452" s="99" t="str">
        <f>VLOOKUP(Tabla1[[#This Row],[DETALLE ]],DATOS!L:M,2,0)</f>
        <v>PICKING</v>
      </c>
      <c r="S452" s="91" t="str">
        <f>IFERROR(IFERROR(VLOOKUP(Tabla1[[#This Row],[USUARIO PICKING ERROR]],DATOS!H:J,3,0),VLOOKUP(Tabla1[[#This Row],[USUARIO FILTRO ERROR]],DATOS!O:P,2,0)),"-")</f>
        <v>BENJAMIN LIZARBE</v>
      </c>
      <c r="T452" s="99" t="str">
        <f>UPPER(VLOOKUP(Tabla1[[#This Row],[CODIGO]],DATOS!A:E,5,0))</f>
        <v>FLUJO CONTINUO</v>
      </c>
      <c r="U452" s="100">
        <f>(Tabla1[[#This Row],[CANTIDAD]])*(VLOOKUP(Tabla1[[#This Row],[CODIGO]],DATOS!A:D,4,0))</f>
        <v>38.92</v>
      </c>
      <c r="V452" s="100" t="str">
        <f>VLOOKUP(Tabla1[[#This Row],[CODIGO]],DATOS!A:C,3,0)</f>
        <v>ABARROTES BEBIBLES</v>
      </c>
      <c r="W452" s="31" t="s">
        <v>13389</v>
      </c>
      <c r="X452" s="28" t="s">
        <v>13086</v>
      </c>
      <c r="Y452" s="28" t="s">
        <v>13113</v>
      </c>
    </row>
    <row r="453" spans="1:25" ht="12" x14ac:dyDescent="0.25">
      <c r="A453" s="46">
        <v>45778</v>
      </c>
      <c r="B453" s="93" t="s">
        <v>15</v>
      </c>
      <c r="C453" s="93" t="s">
        <v>15</v>
      </c>
      <c r="D453" s="104">
        <v>568242</v>
      </c>
      <c r="E453" s="104" t="str">
        <f>VLOOKUP(Tabla1[[#This Row],[CODIGO]],DATOS!A:B,2,0)</f>
        <v>SPAGHETTI S/GLUTEN MOL.DEL MUNDO 400G.</v>
      </c>
      <c r="F453" s="104">
        <v>12</v>
      </c>
      <c r="G453" s="104" t="s">
        <v>13386</v>
      </c>
      <c r="H453" s="104" t="s">
        <v>25</v>
      </c>
      <c r="I453" s="90" t="s">
        <v>13124</v>
      </c>
      <c r="J453" s="101" t="s">
        <v>15</v>
      </c>
      <c r="K453" s="94" t="s">
        <v>15</v>
      </c>
      <c r="L453" s="85" t="s">
        <v>14</v>
      </c>
      <c r="M453" s="85" t="s">
        <v>15</v>
      </c>
      <c r="N453" s="98" t="s">
        <v>18</v>
      </c>
      <c r="O453" s="94" t="s">
        <v>13103</v>
      </c>
      <c r="P453" s="85" t="s">
        <v>25</v>
      </c>
      <c r="Q453" s="93" t="s">
        <v>29</v>
      </c>
      <c r="R453" s="91" t="str">
        <f>VLOOKUP(Tabla1[[#This Row],[DETALLE ]],DATOS!L:M,2,0)</f>
        <v>PICKING</v>
      </c>
      <c r="S453" s="102" t="str">
        <f>IFERROR(IFERROR(VLOOKUP(Tabla1[[#This Row],[USUARIO PICKING ERROR]],DATOS!H:J,3,0),VLOOKUP(Tabla1[[#This Row],[USUARIO FILTRO ERROR]],DATOS!O:P,2,0)),"-")</f>
        <v>ALMACEN</v>
      </c>
      <c r="T453" s="91" t="str">
        <f>UPPER(VLOOKUP(Tabla1[[#This Row],[CODIGO]],DATOS!A:E,5,0))</f>
        <v>ALMACENADO</v>
      </c>
      <c r="U453" s="95">
        <f>(Tabla1[[#This Row],[CANTIDAD]])*(VLOOKUP(Tabla1[[#This Row],[CODIGO]],DATOS!A:D,4,0))</f>
        <v>155.28</v>
      </c>
      <c r="V453" s="95" t="str">
        <f>VLOOKUP(Tabla1[[#This Row],[CODIGO]],DATOS!A:C,3,0)</f>
        <v>ABARROTES COMESTIBLES</v>
      </c>
      <c r="W453" s="31" t="s">
        <v>13389</v>
      </c>
      <c r="X453" s="28" t="s">
        <v>13086</v>
      </c>
      <c r="Y453" s="28" t="s">
        <v>13113</v>
      </c>
    </row>
    <row r="454" spans="1:25" ht="12" x14ac:dyDescent="0.25">
      <c r="A454" s="46">
        <v>45780</v>
      </c>
      <c r="B454" s="83" t="s">
        <v>12970</v>
      </c>
      <c r="C454" s="83">
        <v>7620888244</v>
      </c>
      <c r="D454" s="83">
        <v>466494</v>
      </c>
      <c r="E454" s="110" t="str">
        <f>VLOOKUP(Tabla1[[#This Row],[CODIGO]],DATOS!A:B,2,0)</f>
        <v>VINO TACAMA S.ESPECIAL A.BOUSCHET 750ML</v>
      </c>
      <c r="F454" s="83">
        <v>1</v>
      </c>
      <c r="G454" s="83" t="s">
        <v>24</v>
      </c>
      <c r="H454" s="83" t="s">
        <v>17</v>
      </c>
      <c r="I454" s="75" t="s">
        <v>12940</v>
      </c>
      <c r="J454" s="84" t="s">
        <v>12970</v>
      </c>
      <c r="K454" s="85">
        <v>7620888244</v>
      </c>
      <c r="L454" s="85" t="s">
        <v>12894</v>
      </c>
      <c r="M454" s="85" t="s">
        <v>15</v>
      </c>
      <c r="N454" s="85" t="s">
        <v>18</v>
      </c>
      <c r="O454" s="94" t="s">
        <v>13103</v>
      </c>
      <c r="P454" s="85" t="s">
        <v>28</v>
      </c>
      <c r="Q454" s="83" t="s">
        <v>39</v>
      </c>
      <c r="R454" s="41" t="str">
        <f>VLOOKUP(Tabla1[[#This Row],[DETALLE ]],DATOS!L:M,2,0)</f>
        <v>PICKING</v>
      </c>
      <c r="S454" s="41" t="str">
        <f>IFERROR(IFERROR(VLOOKUP(Tabla1[[#This Row],[USUARIO PICKING ERROR]],DATOS!H:J,3,0),VLOOKUP(Tabla1[[#This Row],[USUARIO FILTRO ERROR]],DATOS!O:P,2,0)),"-")</f>
        <v>DAVID PIÑAN</v>
      </c>
      <c r="T454" s="41" t="str">
        <f>UPPER(VLOOKUP(Tabla1[[#This Row],[CODIGO]],DATOS!A:E,5,0))</f>
        <v>FLUJO CONTINUO</v>
      </c>
      <c r="U454" s="87">
        <f>(Tabla1[[#This Row],[CANTIDAD]])*(VLOOKUP(Tabla1[[#This Row],[CODIGO]],DATOS!A:D,4,0))</f>
        <v>34.4</v>
      </c>
      <c r="V454" s="87" t="str">
        <f>VLOOKUP(Tabla1[[#This Row],[CODIGO]],DATOS!A:C,3,0)</f>
        <v>ABARROTES BEBIBLES</v>
      </c>
      <c r="W454" s="31" t="s">
        <v>13389</v>
      </c>
      <c r="X454" s="28" t="s">
        <v>13086</v>
      </c>
      <c r="Y454" s="28" t="s">
        <v>13113</v>
      </c>
    </row>
    <row r="455" spans="1:25" ht="12" x14ac:dyDescent="0.25">
      <c r="A455" s="46">
        <v>45780</v>
      </c>
      <c r="B455" s="2" t="s">
        <v>15</v>
      </c>
      <c r="C455" s="2" t="s">
        <v>15</v>
      </c>
      <c r="D455" s="2">
        <v>3868</v>
      </c>
      <c r="E455" s="110" t="str">
        <f>VLOOKUP(Tabla1[[#This Row],[CODIGO]],DATOS!A:B,2,0)</f>
        <v>VINO TACAMA GRAN TINTO X  750 ML.</v>
      </c>
      <c r="F455" s="2">
        <v>3</v>
      </c>
      <c r="G455" s="2" t="s">
        <v>12990</v>
      </c>
      <c r="H455" s="2" t="s">
        <v>17</v>
      </c>
      <c r="I455" s="75" t="s">
        <v>19</v>
      </c>
      <c r="J455" s="9" t="s">
        <v>12986</v>
      </c>
      <c r="K455" s="10">
        <v>7620874193</v>
      </c>
      <c r="L455" s="10" t="s">
        <v>57</v>
      </c>
      <c r="M455" s="10" t="s">
        <v>15</v>
      </c>
      <c r="N455" s="85" t="s">
        <v>18</v>
      </c>
      <c r="O455" s="94" t="s">
        <v>13103</v>
      </c>
      <c r="P455" s="10" t="s">
        <v>28</v>
      </c>
      <c r="Q455" s="2" t="s">
        <v>39</v>
      </c>
      <c r="R455" s="27" t="str">
        <f>VLOOKUP(Tabla1[[#This Row],[DETALLE ]],DATOS!L:M,2,0)</f>
        <v>PICKING</v>
      </c>
      <c r="S455" s="41" t="str">
        <f>IFERROR(IFERROR(VLOOKUP(Tabla1[[#This Row],[USUARIO PICKING ERROR]],DATOS!H:J,3,0),VLOOKUP(Tabla1[[#This Row],[USUARIO FILTRO ERROR]],DATOS!O:P,2,0)),"-")</f>
        <v>DAVID PIÑAN</v>
      </c>
      <c r="T455" s="27" t="str">
        <f>UPPER(VLOOKUP(Tabla1[[#This Row],[CODIGO]],DATOS!A:E,5,0))</f>
        <v>FLUJO CONTINUO</v>
      </c>
      <c r="U455" s="31">
        <f>(Tabla1[[#This Row],[CANTIDAD]])*(VLOOKUP(Tabla1[[#This Row],[CODIGO]],DATOS!A:D,4,0))</f>
        <v>55.11</v>
      </c>
      <c r="V455" s="31" t="str">
        <f>VLOOKUP(Tabla1[[#This Row],[CODIGO]],DATOS!A:C,3,0)</f>
        <v>ABARROTES BEBIBLES</v>
      </c>
      <c r="W455" s="31" t="s">
        <v>13389</v>
      </c>
      <c r="X455" s="28" t="s">
        <v>13086</v>
      </c>
      <c r="Y455" s="28" t="s">
        <v>13113</v>
      </c>
    </row>
    <row r="456" spans="1:25" ht="12" x14ac:dyDescent="0.25">
      <c r="A456" s="46">
        <v>45780</v>
      </c>
      <c r="B456" s="2" t="s">
        <v>12974</v>
      </c>
      <c r="C456" s="2">
        <v>7620870759</v>
      </c>
      <c r="D456" s="112">
        <v>789044</v>
      </c>
      <c r="E456" s="110" t="str">
        <f>VLOOKUP(Tabla1[[#This Row],[CODIGO]],DATOS!A:B,2,0)</f>
        <v>ACEIT NEGRA COCKTAIL 280G CUISINE&amp;CO POT</v>
      </c>
      <c r="F456" s="112">
        <v>18</v>
      </c>
      <c r="G456" s="83" t="s">
        <v>13390</v>
      </c>
      <c r="H456" s="2" t="s">
        <v>17</v>
      </c>
      <c r="I456" s="75" t="s">
        <v>19</v>
      </c>
      <c r="J456" s="84" t="s">
        <v>13024</v>
      </c>
      <c r="K456" s="113">
        <v>7620875001</v>
      </c>
      <c r="L456" s="113" t="s">
        <v>13329</v>
      </c>
      <c r="M456" s="10" t="s">
        <v>15</v>
      </c>
      <c r="N456" s="85" t="s">
        <v>18</v>
      </c>
      <c r="O456" s="94" t="s">
        <v>13103</v>
      </c>
      <c r="P456" s="85" t="s">
        <v>28</v>
      </c>
      <c r="Q456" s="83" t="s">
        <v>39</v>
      </c>
      <c r="R456" s="111" t="str">
        <f>VLOOKUP(Tabla1[[#This Row],[DETALLE ]],DATOS!L:M,2,0)</f>
        <v>PICKING</v>
      </c>
      <c r="S456" s="111" t="str">
        <f>IFERROR(IFERROR(VLOOKUP(Tabla1[[#This Row],[USUARIO PICKING ERROR]],DATOS!H:J,3,0),VLOOKUP(Tabla1[[#This Row],[USUARIO FILTRO ERROR]],DATOS!O:P,2,0)),"-")</f>
        <v>DAVID PIÑAN</v>
      </c>
      <c r="T456" s="111" t="str">
        <f>UPPER(VLOOKUP(Tabla1[[#This Row],[CODIGO]],DATOS!A:E,5,0))</f>
        <v>FLUJO CONTINUO</v>
      </c>
      <c r="U456" s="114">
        <f>(Tabla1[[#This Row],[CANTIDAD]])*(VLOOKUP(Tabla1[[#This Row],[CODIGO]],DATOS!A:D,4,0))</f>
        <v>103.67999999999999</v>
      </c>
      <c r="V456" s="114" t="str">
        <f>VLOOKUP(Tabla1[[#This Row],[CODIGO]],DATOS!A:C,3,0)</f>
        <v>ABARROTES COMESTIBLES</v>
      </c>
      <c r="W456" s="31" t="s">
        <v>13389</v>
      </c>
      <c r="X456" s="28" t="s">
        <v>13086</v>
      </c>
      <c r="Y456" s="28" t="s">
        <v>13113</v>
      </c>
    </row>
    <row r="457" spans="1:25" ht="12" x14ac:dyDescent="0.25">
      <c r="A457" s="115">
        <v>45782</v>
      </c>
      <c r="B457" s="116" t="s">
        <v>99</v>
      </c>
      <c r="C457" s="116">
        <v>7620871354</v>
      </c>
      <c r="D457" s="116">
        <v>990565</v>
      </c>
      <c r="E457" s="110" t="str">
        <f>VLOOKUP(Tabla1[[#This Row],[CODIGO]],DATOS!A:B,2,0)</f>
        <v>WHISKY MONKEY SHOULDER BOT 700ML</v>
      </c>
      <c r="F457" s="116">
        <v>6</v>
      </c>
      <c r="G457" s="116" t="s">
        <v>13105</v>
      </c>
      <c r="H457" s="116" t="s">
        <v>25</v>
      </c>
      <c r="I457" s="117" t="s">
        <v>12940</v>
      </c>
      <c r="J457" s="118" t="s">
        <v>130</v>
      </c>
      <c r="K457" s="119">
        <v>7620889059</v>
      </c>
      <c r="L457" s="119" t="s">
        <v>12894</v>
      </c>
      <c r="M457" s="10" t="s">
        <v>15</v>
      </c>
      <c r="N457" s="85" t="s">
        <v>18</v>
      </c>
      <c r="O457" s="94" t="s">
        <v>13103</v>
      </c>
      <c r="P457" s="119" t="s">
        <v>28</v>
      </c>
      <c r="Q457" s="116" t="s">
        <v>39</v>
      </c>
      <c r="R457" s="120" t="str">
        <f>VLOOKUP(Tabla1[[#This Row],[DETALLE ]],DATOS!L:M,2,0)</f>
        <v>PICKING</v>
      </c>
      <c r="S457" s="111" t="str">
        <f>IFERROR(IFERROR(VLOOKUP(Tabla1[[#This Row],[USUARIO PICKING ERROR]],DATOS!H:J,3,0),VLOOKUP(Tabla1[[#This Row],[USUARIO FILTRO ERROR]],DATOS!O:P,2,0)),"-")</f>
        <v>DAVID PIÑAN</v>
      </c>
      <c r="T457" s="120" t="str">
        <f>UPPER(VLOOKUP(Tabla1[[#This Row],[CODIGO]],DATOS!A:E,5,0))</f>
        <v>FLUJO CONTINUO</v>
      </c>
      <c r="U457" s="122">
        <f>(Tabla1[[#This Row],[CANTIDAD]])*(VLOOKUP(Tabla1[[#This Row],[CODIGO]],DATOS!A:D,4,0))</f>
        <v>475.43999999999994</v>
      </c>
      <c r="V457" s="122" t="str">
        <f>VLOOKUP(Tabla1[[#This Row],[CODIGO]],DATOS!A:C,3,0)</f>
        <v>ABARROTES BEBIBLES</v>
      </c>
      <c r="W457" s="31" t="s">
        <v>13389</v>
      </c>
      <c r="X457" s="28" t="s">
        <v>13086</v>
      </c>
      <c r="Y457" s="28" t="s">
        <v>13113</v>
      </c>
    </row>
    <row r="458" spans="1:25" ht="12" x14ac:dyDescent="0.25">
      <c r="A458" s="115">
        <v>45782</v>
      </c>
      <c r="B458" s="116" t="s">
        <v>102</v>
      </c>
      <c r="C458" s="116">
        <v>7620867511</v>
      </c>
      <c r="D458" s="116">
        <v>135380001</v>
      </c>
      <c r="E458" s="110" t="str">
        <f>VLOOKUP(Tabla1[[#This Row],[CODIGO]],DATOS!A:B,2,0)</f>
        <v>VINO TINTO BENJAMIN NIETO CAB/SAUV X 750</v>
      </c>
      <c r="F458" s="116">
        <v>2</v>
      </c>
      <c r="G458" s="116" t="s">
        <v>13105</v>
      </c>
      <c r="H458" s="116" t="s">
        <v>25</v>
      </c>
      <c r="I458" s="117" t="s">
        <v>12940</v>
      </c>
      <c r="J458" s="118" t="s">
        <v>13024</v>
      </c>
      <c r="K458" s="119">
        <v>7620877274</v>
      </c>
      <c r="L458" s="119" t="s">
        <v>90</v>
      </c>
      <c r="M458" s="10" t="s">
        <v>15</v>
      </c>
      <c r="N458" s="85" t="s">
        <v>18</v>
      </c>
      <c r="O458" s="94" t="s">
        <v>13103</v>
      </c>
      <c r="P458" s="10" t="s">
        <v>28</v>
      </c>
      <c r="Q458" s="116" t="s">
        <v>29</v>
      </c>
      <c r="R458" s="120" t="str">
        <f>VLOOKUP(Tabla1[[#This Row],[DETALLE ]],DATOS!L:M,2,0)</f>
        <v>PICKING</v>
      </c>
      <c r="S458" s="121" t="str">
        <f>IFERROR(IFERROR(VLOOKUP(Tabla1[[#This Row],[USUARIO PICKING ERROR]],DATOS!H:J,3,0),VLOOKUP(Tabla1[[#This Row],[USUARIO FILTRO ERROR]],DATOS!O:P,2,0)),"-")</f>
        <v>BENJAMIN LIZARBE</v>
      </c>
      <c r="T458" s="120" t="str">
        <f>UPPER(VLOOKUP(Tabla1[[#This Row],[CODIGO]],DATOS!A:E,5,0))</f>
        <v>FLUJO CONTINUO</v>
      </c>
      <c r="U458" s="122">
        <f>(Tabla1[[#This Row],[CANTIDAD]])*(VLOOKUP(Tabla1[[#This Row],[CODIGO]],DATOS!A:D,4,0))</f>
        <v>60.3</v>
      </c>
      <c r="V458" s="122" t="str">
        <f>VLOOKUP(Tabla1[[#This Row],[CODIGO]],DATOS!A:C,3,0)</f>
        <v>ABARROTES BEBIBLES</v>
      </c>
      <c r="W458" s="31" t="s">
        <v>13389</v>
      </c>
      <c r="X458" s="28" t="s">
        <v>13086</v>
      </c>
      <c r="Y458" s="28" t="s">
        <v>13113</v>
      </c>
    </row>
    <row r="459" spans="1:25" ht="12" x14ac:dyDescent="0.25">
      <c r="A459" s="115">
        <v>45782</v>
      </c>
      <c r="B459" s="116" t="s">
        <v>99</v>
      </c>
      <c r="C459" s="116">
        <v>7620871354</v>
      </c>
      <c r="D459" s="116">
        <v>3754</v>
      </c>
      <c r="E459" s="110" t="str">
        <f>VLOOKUP(Tabla1[[#This Row],[CODIGO]],DATOS!A:B,2,0)</f>
        <v>PISCO BIONDI ITALIA X 500 ML</v>
      </c>
      <c r="F459" s="116">
        <v>4</v>
      </c>
      <c r="G459" s="116" t="s">
        <v>13105</v>
      </c>
      <c r="H459" s="116" t="s">
        <v>17</v>
      </c>
      <c r="I459" s="117" t="s">
        <v>12940</v>
      </c>
      <c r="J459" s="118" t="s">
        <v>99</v>
      </c>
      <c r="K459" s="119">
        <v>7620871354</v>
      </c>
      <c r="L459" s="119" t="s">
        <v>15</v>
      </c>
      <c r="M459" s="10" t="s">
        <v>13105</v>
      </c>
      <c r="N459" s="119" t="s">
        <v>12957</v>
      </c>
      <c r="O459" s="119" t="s">
        <v>13100</v>
      </c>
      <c r="P459" s="119" t="s">
        <v>28</v>
      </c>
      <c r="Q459" s="116" t="s">
        <v>29</v>
      </c>
      <c r="R459" s="120" t="str">
        <f>VLOOKUP(Tabla1[[#This Row],[DETALLE ]],DATOS!L:M,2,0)</f>
        <v>FILTRO</v>
      </c>
      <c r="S459" s="121" t="str">
        <f>IFERROR(IFERROR(VLOOKUP(Tabla1[[#This Row],[USUARIO PICKING ERROR]],DATOS!H:J,3,0),VLOOKUP(Tabla1[[#This Row],[USUARIO FILTRO ERROR]],DATOS!O:P,2,0)),"-")</f>
        <v>-</v>
      </c>
      <c r="T459" s="120" t="str">
        <f>UPPER(VLOOKUP(Tabla1[[#This Row],[CODIGO]],DATOS!A:E,5,0))</f>
        <v>FLUJO CONTINUO</v>
      </c>
      <c r="U459" s="122">
        <f>(Tabla1[[#This Row],[CANTIDAD]])*(VLOOKUP(Tabla1[[#This Row],[CODIGO]],DATOS!A:D,4,0))</f>
        <v>181.16</v>
      </c>
      <c r="V459" s="122" t="str">
        <f>VLOOKUP(Tabla1[[#This Row],[CODIGO]],DATOS!A:C,3,0)</f>
        <v>ABARROTES BEBIBLES</v>
      </c>
      <c r="W459" s="31" t="s">
        <v>13389</v>
      </c>
      <c r="X459" s="28" t="s">
        <v>13086</v>
      </c>
      <c r="Y459" s="28" t="s">
        <v>13113</v>
      </c>
    </row>
    <row r="460" spans="1:25" ht="12" x14ac:dyDescent="0.25">
      <c r="A460" s="115">
        <v>45782</v>
      </c>
      <c r="B460" s="116" t="s">
        <v>15</v>
      </c>
      <c r="C460" s="93" t="s">
        <v>15</v>
      </c>
      <c r="D460" s="116">
        <v>45959</v>
      </c>
      <c r="E460" s="110" t="str">
        <f>VLOOKUP(Tabla1[[#This Row],[CODIGO]],DATOS!A:B,2,0)</f>
        <v>POLENTA INSTANTANEA X 500 GR AGNESI</v>
      </c>
      <c r="F460" s="116">
        <v>2</v>
      </c>
      <c r="G460" s="2" t="s">
        <v>13124</v>
      </c>
      <c r="H460" s="2" t="s">
        <v>25</v>
      </c>
      <c r="I460" s="75" t="s">
        <v>13124</v>
      </c>
      <c r="J460" s="101" t="s">
        <v>15</v>
      </c>
      <c r="K460" s="94" t="s">
        <v>15</v>
      </c>
      <c r="L460" s="85" t="s">
        <v>14</v>
      </c>
      <c r="M460" s="85" t="s">
        <v>15</v>
      </c>
      <c r="N460" s="119" t="s">
        <v>18</v>
      </c>
      <c r="O460" s="10" t="s">
        <v>13135</v>
      </c>
      <c r="P460" s="10" t="s">
        <v>25</v>
      </c>
      <c r="Q460" s="116" t="s">
        <v>29</v>
      </c>
      <c r="R460" s="120" t="str">
        <f>VLOOKUP(Tabla1[[#This Row],[DETALLE ]],DATOS!L:M,2,0)</f>
        <v>PICKING</v>
      </c>
      <c r="S460" s="102" t="str">
        <f>IFERROR(IFERROR(VLOOKUP(Tabla1[[#This Row],[USUARIO PICKING ERROR]],DATOS!H:J,3,0),VLOOKUP(Tabla1[[#This Row],[USUARIO FILTRO ERROR]],DATOS!O:P,2,0)),"-")</f>
        <v>ALMACEN</v>
      </c>
      <c r="T460" s="120" t="str">
        <f>UPPER(VLOOKUP(Tabla1[[#This Row],[CODIGO]],DATOS!A:E,5,0))</f>
        <v>ALMACENADO</v>
      </c>
      <c r="U460" s="122">
        <f>(Tabla1[[#This Row],[CANTIDAD]])*(VLOOKUP(Tabla1[[#This Row],[CODIGO]],DATOS!A:D,4,0))</f>
        <v>18.88</v>
      </c>
      <c r="V460" s="122" t="str">
        <f>VLOOKUP(Tabla1[[#This Row],[CODIGO]],DATOS!A:C,3,0)</f>
        <v>ABARROTES COMESTIBLES</v>
      </c>
      <c r="W460" s="31" t="s">
        <v>13389</v>
      </c>
      <c r="X460" s="28" t="s">
        <v>13086</v>
      </c>
      <c r="Y460" s="28" t="s">
        <v>13113</v>
      </c>
    </row>
    <row r="461" spans="1:25" ht="12" x14ac:dyDescent="0.25">
      <c r="A461" s="115">
        <v>45782</v>
      </c>
      <c r="B461" s="116" t="s">
        <v>15</v>
      </c>
      <c r="C461" s="93" t="s">
        <v>15</v>
      </c>
      <c r="D461" s="116">
        <v>4724</v>
      </c>
      <c r="E461" s="110" t="str">
        <f>VLOOKUP(Tabla1[[#This Row],[CODIGO]],DATOS!A:B,2,0)</f>
        <v>ESCENCIA SABOR A VAINILLA UNIVERSAL</v>
      </c>
      <c r="F461" s="116">
        <v>36</v>
      </c>
      <c r="G461" s="2" t="s">
        <v>13124</v>
      </c>
      <c r="H461" s="2" t="s">
        <v>25</v>
      </c>
      <c r="I461" s="75" t="s">
        <v>13124</v>
      </c>
      <c r="J461" s="101" t="s">
        <v>15</v>
      </c>
      <c r="K461" s="94" t="s">
        <v>15</v>
      </c>
      <c r="L461" s="85" t="s">
        <v>14</v>
      </c>
      <c r="M461" s="85" t="s">
        <v>15</v>
      </c>
      <c r="N461" s="119" t="s">
        <v>18</v>
      </c>
      <c r="O461" s="10" t="s">
        <v>13135</v>
      </c>
      <c r="P461" s="10" t="s">
        <v>25</v>
      </c>
      <c r="Q461" s="116" t="s">
        <v>29</v>
      </c>
      <c r="R461" s="120" t="str">
        <f>VLOOKUP(Tabla1[[#This Row],[DETALLE ]],DATOS!L:M,2,0)</f>
        <v>PICKING</v>
      </c>
      <c r="S461" s="102" t="str">
        <f>IFERROR(IFERROR(VLOOKUP(Tabla1[[#This Row],[USUARIO PICKING ERROR]],DATOS!H:J,3,0),VLOOKUP(Tabla1[[#This Row],[USUARIO FILTRO ERROR]],DATOS!O:P,2,0)),"-")</f>
        <v>ALMACEN</v>
      </c>
      <c r="T461" s="120" t="str">
        <f>UPPER(VLOOKUP(Tabla1[[#This Row],[CODIGO]],DATOS!A:E,5,0))</f>
        <v>ALMACENADO</v>
      </c>
      <c r="U461" s="122">
        <f>(Tabla1[[#This Row],[CANTIDAD]])*(VLOOKUP(Tabla1[[#This Row],[CODIGO]],DATOS!A:D,4,0))</f>
        <v>46.800000000000004</v>
      </c>
      <c r="V461" s="122" t="str">
        <f>VLOOKUP(Tabla1[[#This Row],[CODIGO]],DATOS!A:C,3,0)</f>
        <v>ABARROTES COMESTIBLES</v>
      </c>
      <c r="W461" s="31" t="s">
        <v>13389</v>
      </c>
      <c r="X461" s="28" t="s">
        <v>13086</v>
      </c>
      <c r="Y461" s="28" t="s">
        <v>13113</v>
      </c>
    </row>
    <row r="462" spans="1:25" ht="12" x14ac:dyDescent="0.25">
      <c r="A462" s="115">
        <v>45782</v>
      </c>
      <c r="B462" s="116" t="s">
        <v>15</v>
      </c>
      <c r="C462" s="93" t="s">
        <v>15</v>
      </c>
      <c r="D462" s="116">
        <v>932074</v>
      </c>
      <c r="E462" s="110" t="str">
        <f>VLOOKUP(Tabla1[[#This Row],[CODIGO]],DATOS!A:B,2,0)</f>
        <v>MAZAMORRA PIÑA 150GR UNIVERSAL</v>
      </c>
      <c r="F462" s="116">
        <v>2</v>
      </c>
      <c r="G462" s="2" t="s">
        <v>13124</v>
      </c>
      <c r="H462" s="2" t="s">
        <v>25</v>
      </c>
      <c r="I462" s="75" t="s">
        <v>13124</v>
      </c>
      <c r="J462" s="101" t="s">
        <v>15</v>
      </c>
      <c r="K462" s="94" t="s">
        <v>15</v>
      </c>
      <c r="L462" s="85" t="s">
        <v>14</v>
      </c>
      <c r="M462" s="85" t="s">
        <v>15</v>
      </c>
      <c r="N462" s="119" t="s">
        <v>18</v>
      </c>
      <c r="O462" s="10" t="s">
        <v>13135</v>
      </c>
      <c r="P462" s="10" t="s">
        <v>25</v>
      </c>
      <c r="Q462" s="116" t="s">
        <v>29</v>
      </c>
      <c r="R462" s="120" t="str">
        <f>VLOOKUP(Tabla1[[#This Row],[DETALLE ]],DATOS!L:M,2,0)</f>
        <v>PICKING</v>
      </c>
      <c r="S462" s="102" t="str">
        <f>IFERROR(IFERROR(VLOOKUP(Tabla1[[#This Row],[USUARIO PICKING ERROR]],DATOS!H:J,3,0),VLOOKUP(Tabla1[[#This Row],[USUARIO FILTRO ERROR]],DATOS!O:P,2,0)),"-")</f>
        <v>ALMACEN</v>
      </c>
      <c r="T462" s="120" t="str">
        <f>UPPER(VLOOKUP(Tabla1[[#This Row],[CODIGO]],DATOS!A:E,5,0))</f>
        <v>ALMACENADO</v>
      </c>
      <c r="U462" s="122">
        <f>(Tabla1[[#This Row],[CANTIDAD]])*(VLOOKUP(Tabla1[[#This Row],[CODIGO]],DATOS!A:D,4,0))</f>
        <v>4</v>
      </c>
      <c r="V462" s="122" t="str">
        <f>VLOOKUP(Tabla1[[#This Row],[CODIGO]],DATOS!A:C,3,0)</f>
        <v>ABARROTES COMESTIBLES</v>
      </c>
      <c r="W462" s="31" t="s">
        <v>13389</v>
      </c>
      <c r="X462" s="28" t="s">
        <v>13086</v>
      </c>
      <c r="Y462" s="28" t="s">
        <v>13113</v>
      </c>
    </row>
    <row r="463" spans="1:25" ht="12" x14ac:dyDescent="0.25">
      <c r="A463" s="115">
        <v>45783</v>
      </c>
      <c r="B463" s="116" t="s">
        <v>13026</v>
      </c>
      <c r="C463" s="116">
        <v>7620869905</v>
      </c>
      <c r="D463" s="116">
        <v>567945</v>
      </c>
      <c r="E463" s="110" t="str">
        <f>VLOOKUP(Tabla1[[#This Row],[CODIGO]],DATOS!A:B,2,0)</f>
        <v>PISCO MV HUAMANI ACHOLADO 700 ML</v>
      </c>
      <c r="F463" s="116">
        <v>1</v>
      </c>
      <c r="G463" s="116" t="s">
        <v>49</v>
      </c>
      <c r="H463" s="116" t="s">
        <v>17</v>
      </c>
      <c r="I463" s="117" t="s">
        <v>12940</v>
      </c>
      <c r="J463" s="118" t="s">
        <v>13391</v>
      </c>
      <c r="K463" s="119">
        <v>7620856066</v>
      </c>
      <c r="L463" s="119" t="s">
        <v>57</v>
      </c>
      <c r="M463" s="85" t="s">
        <v>15</v>
      </c>
      <c r="N463" s="119" t="s">
        <v>18</v>
      </c>
      <c r="O463" s="10" t="s">
        <v>13143</v>
      </c>
      <c r="P463" s="119" t="s">
        <v>28</v>
      </c>
      <c r="Q463" s="116" t="s">
        <v>39</v>
      </c>
      <c r="R463" s="120" t="str">
        <f>VLOOKUP(Tabla1[[#This Row],[DETALLE ]],DATOS!L:M,2,0)</f>
        <v>PICKING</v>
      </c>
      <c r="S463" s="111" t="str">
        <f>IFERROR(IFERROR(VLOOKUP(Tabla1[[#This Row],[USUARIO PICKING ERROR]],DATOS!H:J,3,0),VLOOKUP(Tabla1[[#This Row],[USUARIO FILTRO ERROR]],DATOS!O:P,2,0)),"-")</f>
        <v>DAVID PIÑAN</v>
      </c>
      <c r="T463" s="120" t="str">
        <f>UPPER(VLOOKUP(Tabla1[[#This Row],[CODIGO]],DATOS!A:E,5,0))</f>
        <v>FLUJO CONTINUO</v>
      </c>
      <c r="U463" s="122">
        <f>(Tabla1[[#This Row],[CANTIDAD]])*(VLOOKUP(Tabla1[[#This Row],[CODIGO]],DATOS!A:D,4,0))</f>
        <v>65.39</v>
      </c>
      <c r="V463" s="122" t="str">
        <f>VLOOKUP(Tabla1[[#This Row],[CODIGO]],DATOS!A:C,3,0)</f>
        <v>ABARROTES BEBIBLES</v>
      </c>
      <c r="W463" s="31" t="s">
        <v>13389</v>
      </c>
      <c r="X463" s="28" t="s">
        <v>13086</v>
      </c>
      <c r="Y463" s="28" t="s">
        <v>13113</v>
      </c>
    </row>
    <row r="464" spans="1:25" ht="12" x14ac:dyDescent="0.25">
      <c r="A464" s="115">
        <v>45783</v>
      </c>
      <c r="B464" s="116" t="s">
        <v>13026</v>
      </c>
      <c r="C464" s="116">
        <v>7620869905</v>
      </c>
      <c r="D464" s="116">
        <v>754407</v>
      </c>
      <c r="E464" s="123" t="str">
        <f>VLOOKUP(Tabla1[[#This Row],[CODIGO]],DATOS!A:B,2,0)</f>
        <v>JARABE DE GOMA BIZARRO, LIGHT</v>
      </c>
      <c r="F464" s="116">
        <v>3</v>
      </c>
      <c r="G464" s="116" t="s">
        <v>49</v>
      </c>
      <c r="H464" s="116" t="s">
        <v>17</v>
      </c>
      <c r="I464" s="117" t="s">
        <v>12940</v>
      </c>
      <c r="J464" s="118" t="s">
        <v>13391</v>
      </c>
      <c r="K464" s="119">
        <v>7620856066</v>
      </c>
      <c r="L464" s="119" t="s">
        <v>13385</v>
      </c>
      <c r="M464" s="85" t="s">
        <v>15</v>
      </c>
      <c r="N464" s="10" t="s">
        <v>18</v>
      </c>
      <c r="O464" s="119" t="s">
        <v>13143</v>
      </c>
      <c r="P464" s="10" t="s">
        <v>28</v>
      </c>
      <c r="Q464" s="116" t="s">
        <v>39</v>
      </c>
      <c r="R464" s="120" t="str">
        <f>VLOOKUP(Tabla1[[#This Row],[DETALLE ]],DATOS!L:M,2,0)</f>
        <v>PICKING</v>
      </c>
      <c r="S464" s="111" t="str">
        <f>IFERROR(IFERROR(VLOOKUP(Tabla1[[#This Row],[USUARIO PICKING ERROR]],DATOS!H:J,3,0),VLOOKUP(Tabla1[[#This Row],[USUARIO FILTRO ERROR]],DATOS!O:P,2,0)),"-")</f>
        <v>-</v>
      </c>
      <c r="T464" s="120" t="str">
        <f>UPPER(VLOOKUP(Tabla1[[#This Row],[CODIGO]],DATOS!A:E,5,0))</f>
        <v>FLUJO CONTINUO</v>
      </c>
      <c r="U464" s="122">
        <f>(Tabla1[[#This Row],[CANTIDAD]])*(VLOOKUP(Tabla1[[#This Row],[CODIGO]],DATOS!A:D,4,0))</f>
        <v>28.589999999999996</v>
      </c>
      <c r="V464" s="122" t="str">
        <f>VLOOKUP(Tabla1[[#This Row],[CODIGO]],DATOS!A:C,3,0)</f>
        <v>ABARROTES BEBIBLES</v>
      </c>
      <c r="W464" s="31" t="s">
        <v>13389</v>
      </c>
      <c r="X464" s="28" t="s">
        <v>13086</v>
      </c>
      <c r="Y464" s="28" t="s">
        <v>13113</v>
      </c>
    </row>
    <row r="465" spans="1:25" ht="12" x14ac:dyDescent="0.25">
      <c r="A465" s="115">
        <v>45783</v>
      </c>
      <c r="B465" s="116" t="s">
        <v>13026</v>
      </c>
      <c r="C465" s="116">
        <v>7620869905</v>
      </c>
      <c r="D465" s="116">
        <v>767799</v>
      </c>
      <c r="E465" s="123" t="str">
        <f>VLOOKUP(Tabla1[[#This Row],[CODIGO]],DATOS!A:B,2,0)</f>
        <v>LICOR JAGERMEISTER 350ML</v>
      </c>
      <c r="F465" s="116">
        <v>3</v>
      </c>
      <c r="G465" s="116" t="s">
        <v>49</v>
      </c>
      <c r="H465" s="116" t="s">
        <v>17</v>
      </c>
      <c r="I465" s="117" t="s">
        <v>12940</v>
      </c>
      <c r="J465" s="118" t="s">
        <v>13391</v>
      </c>
      <c r="K465" s="119">
        <v>7620856066</v>
      </c>
      <c r="L465" s="119" t="s">
        <v>98</v>
      </c>
      <c r="M465" s="85" t="s">
        <v>15</v>
      </c>
      <c r="N465" s="10" t="s">
        <v>18</v>
      </c>
      <c r="O465" s="119" t="s">
        <v>13143</v>
      </c>
      <c r="P465" s="10" t="s">
        <v>28</v>
      </c>
      <c r="Q465" s="116" t="s">
        <v>29</v>
      </c>
      <c r="R465" s="120" t="str">
        <f>VLOOKUP(Tabla1[[#This Row],[DETALLE ]],DATOS!L:M,2,0)</f>
        <v>PICKING</v>
      </c>
      <c r="S465" s="121" t="str">
        <f>IFERROR(IFERROR(VLOOKUP(Tabla1[[#This Row],[USUARIO PICKING ERROR]],DATOS!H:J,3,0),VLOOKUP(Tabla1[[#This Row],[USUARIO FILTRO ERROR]],DATOS!O:P,2,0)),"-")</f>
        <v>BENJAMIN LIZARBE</v>
      </c>
      <c r="T465" s="120" t="str">
        <f>UPPER(VLOOKUP(Tabla1[[#This Row],[CODIGO]],DATOS!A:E,5,0))</f>
        <v>FLUJO CONTINUO</v>
      </c>
      <c r="U465" s="122">
        <f>(Tabla1[[#This Row],[CANTIDAD]])*(VLOOKUP(Tabla1[[#This Row],[CODIGO]],DATOS!A:D,4,0))</f>
        <v>89.429999999999993</v>
      </c>
      <c r="V465" s="122" t="str">
        <f>VLOOKUP(Tabla1[[#This Row],[CODIGO]],DATOS!A:C,3,0)</f>
        <v>ABARROTES BEBIBLES</v>
      </c>
      <c r="W465" s="31" t="s">
        <v>13389</v>
      </c>
      <c r="X465" s="28" t="s">
        <v>13086</v>
      </c>
      <c r="Y465" s="28" t="s">
        <v>13113</v>
      </c>
    </row>
  </sheetData>
  <conditionalFormatting sqref="P2:P465">
    <cfRule type="containsText" dxfId="235" priority="4" operator="containsText" text="SOBRANTE">
      <formula>NOT(ISERROR(SEARCH("SOBRANTE",P2)))</formula>
    </cfRule>
    <cfRule type="containsText" dxfId="234" priority="5" operator="containsText" text="FALTANTE">
      <formula>NOT(ISERROR(SEARCH("FALTANTE",P2)))</formula>
    </cfRule>
  </conditionalFormatting>
  <conditionalFormatting sqref="P2:P465">
    <cfRule type="containsText" dxfId="233" priority="3" operator="containsText" text="CUADRADO">
      <formula>NOT(ISERROR(SEARCH("CUADRADO",P2)))</formula>
    </cfRule>
  </conditionalFormatting>
  <conditionalFormatting sqref="P2:P465">
    <cfRule type="containsText" dxfId="232" priority="2" operator="containsText" text="VALIDACION">
      <formula>NOT(ISERROR(SEARCH("VALIDACION",P2)))</formula>
    </cfRule>
  </conditionalFormatting>
  <conditionalFormatting sqref="K374">
    <cfRule type="duplicateValues" dxfId="231" priority="1"/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DATOS!$T$2:$T$4</xm:f>
          </x14:formula1>
          <xm:sqref>Q2:Q465</xm:sqref>
        </x14:dataValidation>
        <x14:dataValidation type="list" allowBlank="1" showInputMessage="1" showErrorMessage="1" xr:uid="{00000000-0002-0000-0200-000001000000}">
          <x14:formula1>
            <xm:f>DATOS!$L$2:$L$8</xm:f>
          </x14:formula1>
          <xm:sqref>N2:N465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1A75B-6603-4182-99A4-8E063953B2F9}">
  <dimension ref="A1:A363"/>
  <sheetViews>
    <sheetView workbookViewId="0">
      <selection sqref="A1:A363"/>
    </sheetView>
  </sheetViews>
  <sheetFormatPr baseColWidth="10" defaultRowHeight="15" x14ac:dyDescent="0.25"/>
  <sheetData>
    <row r="1" spans="1:1" x14ac:dyDescent="0.25">
      <c r="A1" s="2"/>
    </row>
    <row r="2" spans="1:1" x14ac:dyDescent="0.25">
      <c r="A2" s="2"/>
    </row>
    <row r="3" spans="1:1" x14ac:dyDescent="0.25">
      <c r="A3" s="2"/>
    </row>
    <row r="4" spans="1:1" x14ac:dyDescent="0.25">
      <c r="A4" s="2"/>
    </row>
    <row r="5" spans="1:1" x14ac:dyDescent="0.25">
      <c r="A5" s="2"/>
    </row>
    <row r="6" spans="1:1" x14ac:dyDescent="0.25">
      <c r="A6" s="2"/>
    </row>
    <row r="7" spans="1:1" x14ac:dyDescent="0.25">
      <c r="A7" s="2"/>
    </row>
    <row r="8" spans="1:1" x14ac:dyDescent="0.25">
      <c r="A8" s="2"/>
    </row>
    <row r="9" spans="1:1" x14ac:dyDescent="0.25">
      <c r="A9" s="2"/>
    </row>
    <row r="10" spans="1:1" x14ac:dyDescent="0.25">
      <c r="A10" s="2"/>
    </row>
    <row r="11" spans="1:1" x14ac:dyDescent="0.25">
      <c r="A11" s="2"/>
    </row>
    <row r="12" spans="1:1" x14ac:dyDescent="0.25">
      <c r="A12" s="2"/>
    </row>
    <row r="13" spans="1:1" x14ac:dyDescent="0.25">
      <c r="A13" s="2"/>
    </row>
    <row r="14" spans="1:1" x14ac:dyDescent="0.25">
      <c r="A14" s="2"/>
    </row>
    <row r="15" spans="1:1" x14ac:dyDescent="0.25">
      <c r="A15" s="2"/>
    </row>
    <row r="16" spans="1:1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  <row r="31" spans="1:1" x14ac:dyDescent="0.25">
      <c r="A31" s="2"/>
    </row>
    <row r="32" spans="1:1" x14ac:dyDescent="0.25">
      <c r="A32" s="2"/>
    </row>
    <row r="33" spans="1:1" x14ac:dyDescent="0.25">
      <c r="A33" s="2"/>
    </row>
    <row r="34" spans="1:1" x14ac:dyDescent="0.25">
      <c r="A34" s="2"/>
    </row>
    <row r="35" spans="1:1" x14ac:dyDescent="0.25">
      <c r="A35" s="2"/>
    </row>
    <row r="36" spans="1:1" x14ac:dyDescent="0.25">
      <c r="A36" s="2"/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  <row r="55" spans="1:1" x14ac:dyDescent="0.25">
      <c r="A55" s="2"/>
    </row>
    <row r="56" spans="1:1" x14ac:dyDescent="0.25">
      <c r="A56" s="2"/>
    </row>
    <row r="57" spans="1:1" x14ac:dyDescent="0.25">
      <c r="A57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  <row r="81" spans="1:1" x14ac:dyDescent="0.25">
      <c r="A81" s="2"/>
    </row>
    <row r="82" spans="1:1" x14ac:dyDescent="0.25">
      <c r="A82" s="2"/>
    </row>
    <row r="83" spans="1:1" x14ac:dyDescent="0.25">
      <c r="A83" s="2"/>
    </row>
    <row r="84" spans="1:1" x14ac:dyDescent="0.25">
      <c r="A84" s="2"/>
    </row>
    <row r="85" spans="1:1" x14ac:dyDescent="0.25">
      <c r="A85" s="2"/>
    </row>
    <row r="86" spans="1:1" x14ac:dyDescent="0.25">
      <c r="A86" s="2"/>
    </row>
    <row r="87" spans="1:1" x14ac:dyDescent="0.25">
      <c r="A87" s="2"/>
    </row>
    <row r="88" spans="1:1" x14ac:dyDescent="0.25">
      <c r="A88" s="2"/>
    </row>
    <row r="89" spans="1:1" x14ac:dyDescent="0.25">
      <c r="A89" s="2"/>
    </row>
    <row r="90" spans="1:1" x14ac:dyDescent="0.25">
      <c r="A90" s="2"/>
    </row>
    <row r="91" spans="1:1" x14ac:dyDescent="0.25">
      <c r="A91" s="2"/>
    </row>
    <row r="92" spans="1:1" x14ac:dyDescent="0.25">
      <c r="A92" s="2"/>
    </row>
    <row r="93" spans="1:1" x14ac:dyDescent="0.25">
      <c r="A93" s="2"/>
    </row>
    <row r="94" spans="1:1" x14ac:dyDescent="0.25">
      <c r="A94" s="2"/>
    </row>
    <row r="95" spans="1:1" x14ac:dyDescent="0.25">
      <c r="A95" s="2"/>
    </row>
    <row r="96" spans="1:1" x14ac:dyDescent="0.25">
      <c r="A96" s="2"/>
    </row>
    <row r="97" spans="1:1" x14ac:dyDescent="0.25">
      <c r="A97" s="2"/>
    </row>
    <row r="98" spans="1:1" x14ac:dyDescent="0.25">
      <c r="A98" s="2"/>
    </row>
    <row r="99" spans="1:1" x14ac:dyDescent="0.25">
      <c r="A99" s="2"/>
    </row>
    <row r="100" spans="1:1" x14ac:dyDescent="0.25">
      <c r="A100" s="2"/>
    </row>
    <row r="101" spans="1:1" x14ac:dyDescent="0.25">
      <c r="A101" s="2"/>
    </row>
    <row r="102" spans="1:1" x14ac:dyDescent="0.25">
      <c r="A102" s="2"/>
    </row>
    <row r="103" spans="1:1" x14ac:dyDescent="0.25">
      <c r="A103" s="2"/>
    </row>
    <row r="104" spans="1:1" x14ac:dyDescent="0.25">
      <c r="A104" s="2"/>
    </row>
    <row r="105" spans="1:1" x14ac:dyDescent="0.25">
      <c r="A105" s="2"/>
    </row>
    <row r="106" spans="1:1" x14ac:dyDescent="0.25">
      <c r="A106" s="2"/>
    </row>
    <row r="107" spans="1:1" x14ac:dyDescent="0.25">
      <c r="A107" s="2"/>
    </row>
    <row r="108" spans="1:1" x14ac:dyDescent="0.25">
      <c r="A108" s="2"/>
    </row>
    <row r="109" spans="1:1" x14ac:dyDescent="0.25">
      <c r="A109" s="2"/>
    </row>
    <row r="110" spans="1:1" x14ac:dyDescent="0.25">
      <c r="A110" s="2"/>
    </row>
    <row r="111" spans="1:1" x14ac:dyDescent="0.25">
      <c r="A111" s="2"/>
    </row>
    <row r="112" spans="1:1" x14ac:dyDescent="0.25">
      <c r="A112" s="2"/>
    </row>
    <row r="113" spans="1:1" x14ac:dyDescent="0.25">
      <c r="A113" s="2"/>
    </row>
    <row r="114" spans="1:1" x14ac:dyDescent="0.25">
      <c r="A114" s="2"/>
    </row>
    <row r="115" spans="1:1" x14ac:dyDescent="0.25">
      <c r="A115" s="2"/>
    </row>
    <row r="116" spans="1:1" x14ac:dyDescent="0.25">
      <c r="A116" s="2"/>
    </row>
    <row r="117" spans="1:1" x14ac:dyDescent="0.25">
      <c r="A117" s="2"/>
    </row>
    <row r="118" spans="1:1" x14ac:dyDescent="0.25">
      <c r="A118" s="2"/>
    </row>
    <row r="119" spans="1:1" x14ac:dyDescent="0.25">
      <c r="A119" s="2"/>
    </row>
    <row r="120" spans="1:1" x14ac:dyDescent="0.25">
      <c r="A120" s="2"/>
    </row>
    <row r="121" spans="1:1" x14ac:dyDescent="0.25">
      <c r="A121" s="2"/>
    </row>
    <row r="122" spans="1:1" x14ac:dyDescent="0.25">
      <c r="A122" s="2"/>
    </row>
    <row r="123" spans="1:1" x14ac:dyDescent="0.25">
      <c r="A123" s="2"/>
    </row>
    <row r="124" spans="1:1" x14ac:dyDescent="0.25">
      <c r="A124" s="2"/>
    </row>
    <row r="125" spans="1:1" x14ac:dyDescent="0.25">
      <c r="A125" s="2"/>
    </row>
    <row r="126" spans="1:1" x14ac:dyDescent="0.25">
      <c r="A126" s="2"/>
    </row>
    <row r="127" spans="1:1" x14ac:dyDescent="0.25">
      <c r="A127" s="2"/>
    </row>
    <row r="128" spans="1:1" x14ac:dyDescent="0.25">
      <c r="A128" s="2"/>
    </row>
    <row r="129" spans="1:1" x14ac:dyDescent="0.25">
      <c r="A129" s="2"/>
    </row>
    <row r="130" spans="1:1" x14ac:dyDescent="0.25">
      <c r="A130" s="2"/>
    </row>
    <row r="131" spans="1:1" x14ac:dyDescent="0.25">
      <c r="A131" s="2"/>
    </row>
    <row r="132" spans="1:1" x14ac:dyDescent="0.25">
      <c r="A132" s="2"/>
    </row>
    <row r="133" spans="1:1" x14ac:dyDescent="0.25">
      <c r="A133" s="2"/>
    </row>
    <row r="134" spans="1:1" x14ac:dyDescent="0.25">
      <c r="A134" s="2"/>
    </row>
    <row r="135" spans="1:1" x14ac:dyDescent="0.25">
      <c r="A135" s="2"/>
    </row>
    <row r="136" spans="1:1" x14ac:dyDescent="0.25">
      <c r="A136" s="2"/>
    </row>
    <row r="137" spans="1:1" x14ac:dyDescent="0.25">
      <c r="A137" s="2"/>
    </row>
    <row r="138" spans="1:1" x14ac:dyDescent="0.25">
      <c r="A138" s="2"/>
    </row>
    <row r="139" spans="1:1" x14ac:dyDescent="0.25">
      <c r="A139" s="2"/>
    </row>
    <row r="140" spans="1:1" x14ac:dyDescent="0.25">
      <c r="A140" s="2"/>
    </row>
    <row r="141" spans="1:1" x14ac:dyDescent="0.25">
      <c r="A141" s="2"/>
    </row>
    <row r="142" spans="1:1" x14ac:dyDescent="0.25">
      <c r="A142" s="2"/>
    </row>
    <row r="143" spans="1:1" x14ac:dyDescent="0.25">
      <c r="A143" s="2"/>
    </row>
    <row r="144" spans="1:1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89"/>
    </row>
    <row r="327" spans="1:1" x14ac:dyDescent="0.25">
      <c r="A327" s="89"/>
    </row>
    <row r="328" spans="1:1" x14ac:dyDescent="0.25">
      <c r="A328" s="89"/>
    </row>
    <row r="329" spans="1:1" x14ac:dyDescent="0.25">
      <c r="A329" s="2"/>
    </row>
    <row r="330" spans="1:1" x14ac:dyDescent="0.25">
      <c r="A330" s="106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106"/>
    </row>
    <row r="338" spans="1:1" x14ac:dyDescent="0.25">
      <c r="A338" s="89"/>
    </row>
    <row r="339" spans="1:1" x14ac:dyDescent="0.25">
      <c r="A339" s="89"/>
    </row>
    <row r="340" spans="1:1" x14ac:dyDescent="0.25">
      <c r="A340" s="106"/>
    </row>
    <row r="341" spans="1:1" x14ac:dyDescent="0.25">
      <c r="A341" s="106"/>
    </row>
    <row r="342" spans="1:1" x14ac:dyDescent="0.25">
      <c r="A342" s="106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106"/>
    </row>
    <row r="348" spans="1:1" x14ac:dyDescent="0.25">
      <c r="A348" s="106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106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T12975"/>
  <sheetViews>
    <sheetView workbookViewId="0">
      <selection activeCell="L6" sqref="L6"/>
    </sheetView>
  </sheetViews>
  <sheetFormatPr baseColWidth="10" defaultRowHeight="15" x14ac:dyDescent="0.25"/>
  <cols>
    <col min="1" max="1" width="9.5703125" style="22" bestFit="1" customWidth="1"/>
    <col min="2" max="2" width="37.7109375" style="22" bestFit="1" customWidth="1"/>
    <col min="3" max="3" width="23.42578125" style="22" bestFit="1" customWidth="1"/>
    <col min="4" max="4" width="10.7109375" style="22" bestFit="1" customWidth="1"/>
    <col min="5" max="5" width="11.28515625" style="22" bestFit="1" customWidth="1"/>
    <col min="6" max="7" width="11.42578125" style="22"/>
    <col min="8" max="8" width="16.85546875" style="22" bestFit="1" customWidth="1"/>
    <col min="9" max="9" width="12.140625" style="22" bestFit="1" customWidth="1"/>
    <col min="10" max="10" width="17.85546875" style="22" bestFit="1" customWidth="1"/>
    <col min="11" max="11" width="11.42578125" style="22"/>
    <col min="12" max="12" width="27.85546875" style="22" bestFit="1" customWidth="1"/>
    <col min="13" max="13" width="14.42578125" style="22" bestFit="1" customWidth="1"/>
    <col min="14" max="14" width="11.42578125" style="22"/>
    <col min="15" max="15" width="20.5703125" style="22" bestFit="1" customWidth="1"/>
    <col min="16" max="16" width="17.85546875" style="22" bestFit="1" customWidth="1"/>
    <col min="17" max="17" width="9.42578125" style="22" bestFit="1" customWidth="1"/>
    <col min="18" max="18" width="16.5703125" style="22" bestFit="1" customWidth="1"/>
    <col min="19" max="16384" width="11.42578125" style="22"/>
  </cols>
  <sheetData>
    <row r="1" spans="1:20" ht="33.75" x14ac:dyDescent="0.25">
      <c r="A1" s="11" t="s">
        <v>139</v>
      </c>
      <c r="B1" s="107" t="s">
        <v>140</v>
      </c>
      <c r="C1" s="56" t="s">
        <v>13028</v>
      </c>
      <c r="D1" s="12" t="s">
        <v>141</v>
      </c>
      <c r="E1" s="13" t="s">
        <v>142</v>
      </c>
      <c r="H1" s="17" t="s">
        <v>13087</v>
      </c>
      <c r="I1" s="18" t="s">
        <v>12</v>
      </c>
      <c r="J1" s="29" t="s">
        <v>135</v>
      </c>
      <c r="L1" s="21" t="s">
        <v>11</v>
      </c>
      <c r="M1" s="21"/>
      <c r="O1" s="42" t="s">
        <v>13011</v>
      </c>
      <c r="P1" s="42" t="s">
        <v>13012</v>
      </c>
      <c r="Q1" s="42" t="s">
        <v>12</v>
      </c>
      <c r="R1" s="42" t="s">
        <v>13013</v>
      </c>
      <c r="T1" s="22" t="s">
        <v>12</v>
      </c>
    </row>
    <row r="2" spans="1:20" x14ac:dyDescent="0.25">
      <c r="A2" s="14">
        <v>566761</v>
      </c>
      <c r="B2" s="14" t="s">
        <v>3040</v>
      </c>
      <c r="C2" s="14" t="s">
        <v>13037</v>
      </c>
      <c r="D2" s="15">
        <v>27.3</v>
      </c>
      <c r="E2" s="16" t="s">
        <v>30</v>
      </c>
      <c r="H2" s="23" t="s">
        <v>14</v>
      </c>
      <c r="I2" s="24" t="s">
        <v>14</v>
      </c>
      <c r="J2" s="30" t="s">
        <v>14</v>
      </c>
      <c r="L2" s="10" t="s">
        <v>18</v>
      </c>
      <c r="M2" s="10" t="s">
        <v>19</v>
      </c>
      <c r="O2" s="45" t="s">
        <v>12996</v>
      </c>
      <c r="P2" s="44" t="s">
        <v>13015</v>
      </c>
      <c r="Q2" s="44" t="s">
        <v>29</v>
      </c>
      <c r="R2" s="44" t="s">
        <v>12956</v>
      </c>
      <c r="T2" s="2" t="s">
        <v>39</v>
      </c>
    </row>
    <row r="3" spans="1:20" x14ac:dyDescent="0.25">
      <c r="A3" s="14">
        <v>566763</v>
      </c>
      <c r="B3" s="14" t="s">
        <v>3041</v>
      </c>
      <c r="C3" s="14" t="s">
        <v>13036</v>
      </c>
      <c r="D3" s="15">
        <v>27.3</v>
      </c>
      <c r="E3" s="16" t="s">
        <v>30</v>
      </c>
      <c r="H3" s="25" t="s">
        <v>13124</v>
      </c>
      <c r="I3" s="26" t="s">
        <v>13124</v>
      </c>
      <c r="J3" s="22" t="s">
        <v>13126</v>
      </c>
      <c r="L3" s="10" t="s">
        <v>12957</v>
      </c>
      <c r="M3" s="10" t="s">
        <v>12940</v>
      </c>
      <c r="O3" s="45" t="s">
        <v>13016</v>
      </c>
      <c r="P3" s="44" t="s">
        <v>13015</v>
      </c>
      <c r="Q3" s="44" t="s">
        <v>29</v>
      </c>
      <c r="R3" s="44" t="s">
        <v>12958</v>
      </c>
      <c r="T3" s="2" t="s">
        <v>14</v>
      </c>
    </row>
    <row r="4" spans="1:20" x14ac:dyDescent="0.25">
      <c r="A4" s="14" t="s">
        <v>13166</v>
      </c>
      <c r="B4" s="14" t="s">
        <v>5595</v>
      </c>
      <c r="C4" s="14" t="s">
        <v>13030</v>
      </c>
      <c r="D4" s="15">
        <v>17.739999999999998</v>
      </c>
      <c r="E4" s="14" t="s">
        <v>30</v>
      </c>
      <c r="H4" s="23" t="s">
        <v>90</v>
      </c>
      <c r="I4" s="24" t="s">
        <v>29</v>
      </c>
      <c r="J4" s="30" t="s">
        <v>12941</v>
      </c>
      <c r="L4" s="57" t="s">
        <v>13090</v>
      </c>
      <c r="M4" s="10" t="s">
        <v>13088</v>
      </c>
      <c r="O4" s="45" t="s">
        <v>13019</v>
      </c>
      <c r="P4" s="44" t="s">
        <v>13015</v>
      </c>
      <c r="Q4" s="44" t="s">
        <v>29</v>
      </c>
      <c r="R4" s="44" t="s">
        <v>12956</v>
      </c>
      <c r="T4" s="2" t="s">
        <v>29</v>
      </c>
    </row>
    <row r="5" spans="1:20" x14ac:dyDescent="0.25">
      <c r="A5" s="14">
        <v>80703</v>
      </c>
      <c r="B5" s="14" t="s">
        <v>143</v>
      </c>
      <c r="C5" s="14" t="s">
        <v>13029</v>
      </c>
      <c r="D5" s="15">
        <v>14.5</v>
      </c>
      <c r="E5" s="14" t="s">
        <v>20</v>
      </c>
      <c r="H5" s="23" t="s">
        <v>12888</v>
      </c>
      <c r="I5" s="24" t="s">
        <v>29</v>
      </c>
      <c r="J5" s="30" t="s">
        <v>12941</v>
      </c>
      <c r="L5" s="57" t="s">
        <v>13027</v>
      </c>
      <c r="M5" s="10" t="s">
        <v>13027</v>
      </c>
      <c r="O5" s="43" t="s">
        <v>13014</v>
      </c>
      <c r="P5" s="44" t="s">
        <v>12942</v>
      </c>
      <c r="Q5" s="44" t="s">
        <v>39</v>
      </c>
      <c r="R5" s="44" t="s">
        <v>12956</v>
      </c>
      <c r="T5"/>
    </row>
    <row r="6" spans="1:20" x14ac:dyDescent="0.25">
      <c r="A6" s="14">
        <v>80704</v>
      </c>
      <c r="B6" s="14" t="s">
        <v>144</v>
      </c>
      <c r="C6" s="14" t="s">
        <v>13029</v>
      </c>
      <c r="D6" s="15">
        <v>14.5</v>
      </c>
      <c r="E6" s="14" t="s">
        <v>20</v>
      </c>
      <c r="H6" s="25" t="s">
        <v>12889</v>
      </c>
      <c r="I6" s="26" t="s">
        <v>29</v>
      </c>
      <c r="J6" s="30" t="s">
        <v>12941</v>
      </c>
      <c r="L6" t="s">
        <v>13123</v>
      </c>
      <c r="M6" s="10" t="s">
        <v>13124</v>
      </c>
      <c r="O6" s="43" t="s">
        <v>13017</v>
      </c>
      <c r="P6" s="44" t="s">
        <v>12942</v>
      </c>
      <c r="Q6" s="44" t="s">
        <v>39</v>
      </c>
      <c r="R6" s="44" t="s">
        <v>12956</v>
      </c>
      <c r="T6"/>
    </row>
    <row r="7" spans="1:20" x14ac:dyDescent="0.25">
      <c r="A7" s="14">
        <v>341323</v>
      </c>
      <c r="B7" s="14" t="s">
        <v>145</v>
      </c>
      <c r="C7" s="14" t="s">
        <v>13029</v>
      </c>
      <c r="D7" s="15">
        <v>14.5</v>
      </c>
      <c r="E7" s="14" t="s">
        <v>20</v>
      </c>
      <c r="H7" s="23" t="s">
        <v>98</v>
      </c>
      <c r="I7" s="24" t="s">
        <v>29</v>
      </c>
      <c r="J7" s="30" t="s">
        <v>12941</v>
      </c>
      <c r="L7" s="22" t="s">
        <v>13128</v>
      </c>
      <c r="M7" s="10" t="s">
        <v>13129</v>
      </c>
      <c r="O7" s="43" t="s">
        <v>13018</v>
      </c>
      <c r="P7" s="44" t="s">
        <v>12942</v>
      </c>
      <c r="Q7" s="44" t="s">
        <v>39</v>
      </c>
      <c r="R7" s="44" t="s">
        <v>12956</v>
      </c>
      <c r="T7"/>
    </row>
    <row r="8" spans="1:20" x14ac:dyDescent="0.25">
      <c r="A8" s="14">
        <v>352305</v>
      </c>
      <c r="B8" s="14" t="s">
        <v>146</v>
      </c>
      <c r="C8" s="14" t="s">
        <v>13029</v>
      </c>
      <c r="D8" s="15">
        <v>13.37</v>
      </c>
      <c r="E8" s="14" t="s">
        <v>20</v>
      </c>
      <c r="H8" s="25" t="s">
        <v>12891</v>
      </c>
      <c r="I8" s="26" t="s">
        <v>29</v>
      </c>
      <c r="J8" s="30" t="s">
        <v>12941</v>
      </c>
      <c r="L8" t="s">
        <v>13136</v>
      </c>
      <c r="M8" s="10" t="s">
        <v>13137</v>
      </c>
      <c r="O8" s="43" t="s">
        <v>49</v>
      </c>
      <c r="P8" s="44" t="s">
        <v>12942</v>
      </c>
      <c r="Q8" s="44" t="s">
        <v>39</v>
      </c>
      <c r="R8" s="44" t="s">
        <v>12956</v>
      </c>
      <c r="T8"/>
    </row>
    <row r="9" spans="1:20" x14ac:dyDescent="0.25">
      <c r="A9" s="14">
        <v>382916</v>
      </c>
      <c r="B9" s="14" t="s">
        <v>147</v>
      </c>
      <c r="C9" s="14" t="s">
        <v>13029</v>
      </c>
      <c r="D9" s="15">
        <v>13.37</v>
      </c>
      <c r="E9" s="14" t="s">
        <v>20</v>
      </c>
      <c r="H9" s="25" t="s">
        <v>108</v>
      </c>
      <c r="I9" s="26" t="s">
        <v>29</v>
      </c>
      <c r="J9" s="30" t="s">
        <v>12941</v>
      </c>
      <c r="L9"/>
      <c r="M9" s="10"/>
      <c r="O9" s="45" t="s">
        <v>12991</v>
      </c>
      <c r="P9" s="44" t="s">
        <v>12942</v>
      </c>
      <c r="Q9" s="44" t="s">
        <v>39</v>
      </c>
      <c r="R9" s="44" t="s">
        <v>12956</v>
      </c>
      <c r="T9"/>
    </row>
    <row r="10" spans="1:20" x14ac:dyDescent="0.25">
      <c r="A10" s="14">
        <v>720331</v>
      </c>
      <c r="B10" s="14" t="s">
        <v>148</v>
      </c>
      <c r="C10" s="14" t="s">
        <v>13029</v>
      </c>
      <c r="D10" s="15">
        <v>12.49</v>
      </c>
      <c r="E10" s="14" t="s">
        <v>20</v>
      </c>
      <c r="H10" s="23" t="s">
        <v>12892</v>
      </c>
      <c r="I10" s="24" t="s">
        <v>29</v>
      </c>
      <c r="J10" s="30" t="s">
        <v>12941</v>
      </c>
      <c r="L10"/>
      <c r="O10" s="43" t="s">
        <v>101</v>
      </c>
      <c r="P10" s="44" t="s">
        <v>12942</v>
      </c>
      <c r="Q10" s="44" t="s">
        <v>39</v>
      </c>
      <c r="R10" s="44" t="s">
        <v>12956</v>
      </c>
      <c r="T10"/>
    </row>
    <row r="11" spans="1:20" x14ac:dyDescent="0.25">
      <c r="A11" s="14">
        <v>888434</v>
      </c>
      <c r="B11" s="14" t="s">
        <v>149</v>
      </c>
      <c r="C11" s="14" t="s">
        <v>13029</v>
      </c>
      <c r="D11" s="15">
        <v>13.37</v>
      </c>
      <c r="E11" s="14" t="s">
        <v>20</v>
      </c>
      <c r="H11" s="25" t="s">
        <v>12895</v>
      </c>
      <c r="I11" s="26" t="s">
        <v>29</v>
      </c>
      <c r="J11" s="30" t="s">
        <v>12941</v>
      </c>
      <c r="L11"/>
      <c r="O11" s="43" t="s">
        <v>12939</v>
      </c>
      <c r="P11" s="44" t="s">
        <v>12942</v>
      </c>
      <c r="Q11" s="44" t="s">
        <v>39</v>
      </c>
      <c r="R11" s="44" t="s">
        <v>12956</v>
      </c>
      <c r="T11"/>
    </row>
    <row r="12" spans="1:20" x14ac:dyDescent="0.25">
      <c r="A12" s="14">
        <v>941666</v>
      </c>
      <c r="B12" s="14" t="s">
        <v>150</v>
      </c>
      <c r="C12" s="14" t="s">
        <v>13029</v>
      </c>
      <c r="D12" s="15">
        <v>15.61</v>
      </c>
      <c r="E12" s="14" t="s">
        <v>20</v>
      </c>
      <c r="H12" s="23" t="s">
        <v>12897</v>
      </c>
      <c r="I12" s="24" t="s">
        <v>29</v>
      </c>
      <c r="J12" s="30" t="s">
        <v>12941</v>
      </c>
      <c r="L12"/>
      <c r="O12" s="43"/>
      <c r="P12" s="44"/>
      <c r="Q12" s="44"/>
      <c r="R12" s="44"/>
      <c r="T12"/>
    </row>
    <row r="13" spans="1:20" x14ac:dyDescent="0.25">
      <c r="A13" s="14">
        <v>941667</v>
      </c>
      <c r="B13" s="14" t="s">
        <v>151</v>
      </c>
      <c r="C13" s="14" t="s">
        <v>13029</v>
      </c>
      <c r="D13" s="15">
        <v>15.61</v>
      </c>
      <c r="E13" s="14" t="s">
        <v>20</v>
      </c>
      <c r="H13" s="23" t="s">
        <v>121</v>
      </c>
      <c r="I13" s="24" t="s">
        <v>29</v>
      </c>
      <c r="J13" s="30" t="s">
        <v>12941</v>
      </c>
      <c r="L13"/>
      <c r="T13"/>
    </row>
    <row r="14" spans="1:20" x14ac:dyDescent="0.25">
      <c r="A14" s="14">
        <v>954672</v>
      </c>
      <c r="B14" s="14" t="s">
        <v>152</v>
      </c>
      <c r="C14" s="14" t="s">
        <v>13030</v>
      </c>
      <c r="D14" s="15">
        <v>147.88999999999999</v>
      </c>
      <c r="E14" s="14" t="s">
        <v>20</v>
      </c>
      <c r="H14" s="25" t="s">
        <v>12899</v>
      </c>
      <c r="I14" s="26" t="s">
        <v>29</v>
      </c>
      <c r="J14" s="30" t="s">
        <v>12941</v>
      </c>
      <c r="L14"/>
      <c r="T14"/>
    </row>
    <row r="15" spans="1:20" x14ac:dyDescent="0.25">
      <c r="A15" s="14">
        <v>987077</v>
      </c>
      <c r="B15" s="14" t="s">
        <v>153</v>
      </c>
      <c r="C15" s="14" t="s">
        <v>13029</v>
      </c>
      <c r="D15" s="15">
        <v>15.61</v>
      </c>
      <c r="E15" s="14" t="s">
        <v>20</v>
      </c>
      <c r="H15" s="19" t="s">
        <v>108</v>
      </c>
      <c r="I15" s="24" t="s">
        <v>29</v>
      </c>
      <c r="J15" s="30" t="s">
        <v>12941</v>
      </c>
      <c r="L15"/>
      <c r="T15"/>
    </row>
    <row r="16" spans="1:20" x14ac:dyDescent="0.25">
      <c r="A16" s="14">
        <v>987079</v>
      </c>
      <c r="B16" s="14" t="s">
        <v>154</v>
      </c>
      <c r="C16" s="14" t="s">
        <v>13029</v>
      </c>
      <c r="D16" s="15">
        <v>15.61</v>
      </c>
      <c r="E16" s="14" t="s">
        <v>20</v>
      </c>
      <c r="H16" s="25" t="s">
        <v>121</v>
      </c>
      <c r="I16" s="26" t="s">
        <v>29</v>
      </c>
      <c r="J16" s="30" t="s">
        <v>12941</v>
      </c>
      <c r="L16"/>
      <c r="T16"/>
    </row>
    <row r="17" spans="1:20" x14ac:dyDescent="0.25">
      <c r="A17" s="14">
        <v>998918</v>
      </c>
      <c r="B17" s="14" t="s">
        <v>155</v>
      </c>
      <c r="C17" s="14" t="s">
        <v>13030</v>
      </c>
      <c r="D17" s="15">
        <v>49.92</v>
      </c>
      <c r="E17" s="16" t="s">
        <v>20</v>
      </c>
      <c r="H17" s="23" t="s">
        <v>12900</v>
      </c>
      <c r="I17" s="24" t="s">
        <v>29</v>
      </c>
      <c r="J17" s="30" t="s">
        <v>12941</v>
      </c>
      <c r="L17"/>
      <c r="T17"/>
    </row>
    <row r="18" spans="1:20" x14ac:dyDescent="0.25">
      <c r="A18" s="14">
        <v>1016890</v>
      </c>
      <c r="B18" s="14" t="s">
        <v>156</v>
      </c>
      <c r="C18" s="14" t="s">
        <v>13029</v>
      </c>
      <c r="D18" s="15">
        <v>15.61</v>
      </c>
      <c r="E18" s="14" t="s">
        <v>20</v>
      </c>
      <c r="H18" s="20" t="s">
        <v>12901</v>
      </c>
      <c r="I18" s="26" t="s">
        <v>29</v>
      </c>
      <c r="J18" s="30" t="s">
        <v>12941</v>
      </c>
      <c r="L18"/>
      <c r="T18"/>
    </row>
    <row r="19" spans="1:20" x14ac:dyDescent="0.25">
      <c r="A19" s="14">
        <v>1016894</v>
      </c>
      <c r="B19" s="14" t="s">
        <v>157</v>
      </c>
      <c r="C19" s="14" t="s">
        <v>13029</v>
      </c>
      <c r="D19" s="15">
        <v>15.61</v>
      </c>
      <c r="E19" s="14" t="s">
        <v>20</v>
      </c>
      <c r="H19" s="19" t="s">
        <v>12902</v>
      </c>
      <c r="I19" s="24" t="s">
        <v>29</v>
      </c>
      <c r="J19" s="30" t="s">
        <v>12941</v>
      </c>
      <c r="L19"/>
      <c r="T19"/>
    </row>
    <row r="20" spans="1:20" x14ac:dyDescent="0.25">
      <c r="A20" s="14">
        <v>408404002</v>
      </c>
      <c r="B20" s="14" t="s">
        <v>158</v>
      </c>
      <c r="C20" s="14" t="s">
        <v>13029</v>
      </c>
      <c r="D20" s="15">
        <v>13.37</v>
      </c>
      <c r="E20" s="14" t="s">
        <v>20</v>
      </c>
      <c r="H20" s="25" t="s">
        <v>132</v>
      </c>
      <c r="I20" s="26" t="s">
        <v>29</v>
      </c>
      <c r="J20" s="30" t="s">
        <v>12941</v>
      </c>
      <c r="L20"/>
      <c r="T20"/>
    </row>
    <row r="21" spans="1:20" x14ac:dyDescent="0.25">
      <c r="A21" s="14">
        <v>749932001</v>
      </c>
      <c r="B21" s="14" t="s">
        <v>159</v>
      </c>
      <c r="C21" s="14" t="s">
        <v>13029</v>
      </c>
      <c r="D21" s="15">
        <v>18.34</v>
      </c>
      <c r="E21" s="14" t="s">
        <v>20</v>
      </c>
      <c r="H21" s="23" t="s">
        <v>12905</v>
      </c>
      <c r="I21" s="24" t="s">
        <v>29</v>
      </c>
      <c r="J21" s="30" t="s">
        <v>12941</v>
      </c>
      <c r="L21"/>
      <c r="T21"/>
    </row>
    <row r="22" spans="1:20" x14ac:dyDescent="0.25">
      <c r="A22" s="14">
        <v>749932002</v>
      </c>
      <c r="B22" s="14" t="s">
        <v>160</v>
      </c>
      <c r="C22" s="14" t="s">
        <v>13029</v>
      </c>
      <c r="D22" s="15">
        <v>18.34</v>
      </c>
      <c r="E22" s="14" t="s">
        <v>20</v>
      </c>
      <c r="H22" s="25" t="s">
        <v>12906</v>
      </c>
      <c r="I22" s="26" t="s">
        <v>29</v>
      </c>
      <c r="J22" s="30" t="s">
        <v>12941</v>
      </c>
      <c r="L22"/>
      <c r="T22"/>
    </row>
    <row r="23" spans="1:20" x14ac:dyDescent="0.25">
      <c r="A23" s="14">
        <v>733411</v>
      </c>
      <c r="B23" s="14" t="s">
        <v>161</v>
      </c>
      <c r="C23" s="14" t="s">
        <v>13030</v>
      </c>
      <c r="D23" s="15">
        <v>51.17</v>
      </c>
      <c r="E23" s="16" t="s">
        <v>30</v>
      </c>
      <c r="H23" s="23" t="s">
        <v>87</v>
      </c>
      <c r="I23" s="24" t="s">
        <v>29</v>
      </c>
      <c r="J23" s="30" t="s">
        <v>12941</v>
      </c>
      <c r="L23"/>
      <c r="T23"/>
    </row>
    <row r="24" spans="1:20" x14ac:dyDescent="0.25">
      <c r="A24" s="14">
        <v>1003728</v>
      </c>
      <c r="B24" s="14" t="s">
        <v>162</v>
      </c>
      <c r="C24" s="14" t="s">
        <v>13030</v>
      </c>
      <c r="D24" s="15">
        <v>17.559999999999999</v>
      </c>
      <c r="E24" s="16" t="s">
        <v>30</v>
      </c>
      <c r="H24" s="25" t="s">
        <v>12907</v>
      </c>
      <c r="I24" s="26" t="s">
        <v>29</v>
      </c>
      <c r="J24" s="30" t="s">
        <v>12941</v>
      </c>
      <c r="L24"/>
      <c r="T24"/>
    </row>
    <row r="25" spans="1:20" x14ac:dyDescent="0.25">
      <c r="A25" s="14">
        <v>49094002</v>
      </c>
      <c r="B25" s="14" t="s">
        <v>163</v>
      </c>
      <c r="C25" s="14" t="s">
        <v>13030</v>
      </c>
      <c r="D25" s="15">
        <v>33.19</v>
      </c>
      <c r="E25" s="16" t="s">
        <v>30</v>
      </c>
      <c r="H25" s="23" t="s">
        <v>12908</v>
      </c>
      <c r="I25" s="24" t="s">
        <v>29</v>
      </c>
      <c r="J25" s="30" t="s">
        <v>12941</v>
      </c>
      <c r="L25"/>
      <c r="T25"/>
    </row>
    <row r="26" spans="1:20" x14ac:dyDescent="0.25">
      <c r="A26" s="14">
        <v>49094003</v>
      </c>
      <c r="B26" s="14" t="s">
        <v>164</v>
      </c>
      <c r="C26" s="14" t="s">
        <v>13030</v>
      </c>
      <c r="D26" s="15">
        <v>33.19</v>
      </c>
      <c r="E26" s="16" t="s">
        <v>30</v>
      </c>
      <c r="H26" s="25" t="s">
        <v>12909</v>
      </c>
      <c r="I26" s="26" t="s">
        <v>29</v>
      </c>
      <c r="J26" s="30" t="s">
        <v>12941</v>
      </c>
      <c r="L26"/>
      <c r="T26"/>
    </row>
    <row r="27" spans="1:20" x14ac:dyDescent="0.25">
      <c r="A27" s="14">
        <v>954610</v>
      </c>
      <c r="B27" s="14" t="s">
        <v>165</v>
      </c>
      <c r="C27" s="14" t="s">
        <v>13030</v>
      </c>
      <c r="D27" s="15">
        <v>138.21</v>
      </c>
      <c r="E27" s="14" t="s">
        <v>30</v>
      </c>
      <c r="H27" s="23" t="s">
        <v>12910</v>
      </c>
      <c r="I27" s="24" t="s">
        <v>29</v>
      </c>
      <c r="J27" s="30" t="s">
        <v>12941</v>
      </c>
      <c r="L27"/>
      <c r="T27"/>
    </row>
    <row r="28" spans="1:20" x14ac:dyDescent="0.25">
      <c r="A28" s="14">
        <v>954671</v>
      </c>
      <c r="B28" s="14" t="s">
        <v>166</v>
      </c>
      <c r="C28" s="14" t="s">
        <v>13030</v>
      </c>
      <c r="D28" s="15">
        <v>1787.69</v>
      </c>
      <c r="E28" s="14" t="s">
        <v>30</v>
      </c>
      <c r="H28" s="23" t="s">
        <v>12914</v>
      </c>
      <c r="I28" s="24" t="s">
        <v>29</v>
      </c>
      <c r="J28" s="30" t="s">
        <v>12941</v>
      </c>
      <c r="L28"/>
      <c r="T28"/>
    </row>
    <row r="29" spans="1:20" x14ac:dyDescent="0.25">
      <c r="A29" s="14">
        <v>1003729</v>
      </c>
      <c r="B29" s="14" t="s">
        <v>167</v>
      </c>
      <c r="C29" s="14" t="s">
        <v>13030</v>
      </c>
      <c r="D29" s="15">
        <v>27.05</v>
      </c>
      <c r="E29" s="16" t="s">
        <v>30</v>
      </c>
      <c r="H29" s="25" t="s">
        <v>82</v>
      </c>
      <c r="I29" s="26" t="s">
        <v>29</v>
      </c>
      <c r="J29" s="30" t="s">
        <v>12941</v>
      </c>
      <c r="L29"/>
      <c r="T29"/>
    </row>
    <row r="30" spans="1:20" x14ac:dyDescent="0.25">
      <c r="A30" s="14">
        <v>1003730</v>
      </c>
      <c r="B30" s="14" t="s">
        <v>168</v>
      </c>
      <c r="C30" s="14" t="s">
        <v>13030</v>
      </c>
      <c r="D30" s="15">
        <v>27.73</v>
      </c>
      <c r="E30" s="14" t="s">
        <v>30</v>
      </c>
      <c r="H30" s="25" t="s">
        <v>12914</v>
      </c>
      <c r="I30" s="26" t="s">
        <v>29</v>
      </c>
      <c r="J30" s="30" t="s">
        <v>12941</v>
      </c>
      <c r="L30"/>
      <c r="T30"/>
    </row>
    <row r="31" spans="1:20" x14ac:dyDescent="0.25">
      <c r="A31" s="14">
        <v>3731</v>
      </c>
      <c r="B31" s="14" t="s">
        <v>169</v>
      </c>
      <c r="C31" s="14" t="s">
        <v>13030</v>
      </c>
      <c r="D31" s="15">
        <v>11.46</v>
      </c>
      <c r="E31" s="14" t="s">
        <v>30</v>
      </c>
      <c r="H31" s="25" t="s">
        <v>12917</v>
      </c>
      <c r="I31" s="26" t="s">
        <v>29</v>
      </c>
      <c r="J31" s="30" t="s">
        <v>12941</v>
      </c>
      <c r="L31"/>
      <c r="T31"/>
    </row>
    <row r="32" spans="1:20" x14ac:dyDescent="0.25">
      <c r="A32" s="14">
        <v>3853</v>
      </c>
      <c r="B32" s="14" t="s">
        <v>170</v>
      </c>
      <c r="C32" s="14" t="s">
        <v>13030</v>
      </c>
      <c r="D32" s="15">
        <v>12.9</v>
      </c>
      <c r="E32" s="14" t="s">
        <v>30</v>
      </c>
      <c r="H32" s="23" t="s">
        <v>113</v>
      </c>
      <c r="I32" s="24" t="s">
        <v>29</v>
      </c>
      <c r="J32" s="30" t="s">
        <v>12941</v>
      </c>
      <c r="L32"/>
      <c r="T32"/>
    </row>
    <row r="33" spans="1:20" x14ac:dyDescent="0.25">
      <c r="A33" s="14">
        <v>3861</v>
      </c>
      <c r="B33" s="14" t="s">
        <v>171</v>
      </c>
      <c r="C33" s="14" t="s">
        <v>13030</v>
      </c>
      <c r="D33" s="15">
        <v>12.87</v>
      </c>
      <c r="E33" s="16" t="s">
        <v>30</v>
      </c>
      <c r="H33" s="25" t="s">
        <v>12918</v>
      </c>
      <c r="I33" s="26" t="s">
        <v>29</v>
      </c>
      <c r="J33" s="30" t="s">
        <v>12941</v>
      </c>
      <c r="L33"/>
      <c r="T33"/>
    </row>
    <row r="34" spans="1:20" x14ac:dyDescent="0.25">
      <c r="A34" s="14">
        <v>3862</v>
      </c>
      <c r="B34" s="14" t="s">
        <v>172</v>
      </c>
      <c r="C34" s="14" t="s">
        <v>13030</v>
      </c>
      <c r="D34" s="15">
        <v>12.87</v>
      </c>
      <c r="E34" s="16" t="s">
        <v>30</v>
      </c>
      <c r="H34" s="23" t="s">
        <v>55</v>
      </c>
      <c r="I34" s="24" t="s">
        <v>29</v>
      </c>
      <c r="J34" s="30" t="s">
        <v>12941</v>
      </c>
      <c r="L34"/>
      <c r="T34"/>
    </row>
    <row r="35" spans="1:20" x14ac:dyDescent="0.25">
      <c r="A35" s="14">
        <v>268101</v>
      </c>
      <c r="B35" s="14" t="s">
        <v>173</v>
      </c>
      <c r="C35" s="14" t="s">
        <v>13030</v>
      </c>
      <c r="D35" s="15">
        <v>36.4</v>
      </c>
      <c r="E35" s="16" t="s">
        <v>30</v>
      </c>
      <c r="H35" s="25" t="s">
        <v>12905</v>
      </c>
      <c r="I35" s="26" t="s">
        <v>29</v>
      </c>
      <c r="J35" s="30" t="s">
        <v>12941</v>
      </c>
      <c r="L35"/>
      <c r="T35"/>
    </row>
    <row r="36" spans="1:20" x14ac:dyDescent="0.25">
      <c r="A36" s="14">
        <v>333412</v>
      </c>
      <c r="B36" s="14" t="s">
        <v>174</v>
      </c>
      <c r="C36" s="14" t="s">
        <v>13030</v>
      </c>
      <c r="D36" s="15">
        <v>42.34</v>
      </c>
      <c r="E36" s="16" t="s">
        <v>30</v>
      </c>
      <c r="H36" s="23" t="s">
        <v>12920</v>
      </c>
      <c r="I36" s="24" t="s">
        <v>29</v>
      </c>
      <c r="J36" s="30" t="s">
        <v>12941</v>
      </c>
      <c r="L36"/>
      <c r="T36"/>
    </row>
    <row r="37" spans="1:20" x14ac:dyDescent="0.25">
      <c r="A37" s="14">
        <v>356100</v>
      </c>
      <c r="B37" s="14" t="s">
        <v>175</v>
      </c>
      <c r="C37" s="14" t="s">
        <v>13030</v>
      </c>
      <c r="D37" s="15">
        <v>367.55</v>
      </c>
      <c r="E37" s="14" t="s">
        <v>30</v>
      </c>
      <c r="H37" s="25" t="s">
        <v>12921</v>
      </c>
      <c r="I37" s="26" t="s">
        <v>29</v>
      </c>
      <c r="J37" s="30" t="s">
        <v>12941</v>
      </c>
      <c r="L37"/>
      <c r="T37"/>
    </row>
    <row r="38" spans="1:20" x14ac:dyDescent="0.25">
      <c r="A38" s="14">
        <v>359879</v>
      </c>
      <c r="B38" s="14" t="s">
        <v>176</v>
      </c>
      <c r="C38" s="14" t="s">
        <v>13030</v>
      </c>
      <c r="D38" s="15">
        <v>11.46</v>
      </c>
      <c r="E38" s="16" t="s">
        <v>30</v>
      </c>
      <c r="H38" s="23" t="s">
        <v>12922</v>
      </c>
      <c r="I38" s="24" t="s">
        <v>29</v>
      </c>
      <c r="J38" s="30" t="s">
        <v>12941</v>
      </c>
      <c r="L38"/>
      <c r="T38"/>
    </row>
    <row r="39" spans="1:20" x14ac:dyDescent="0.25">
      <c r="A39" s="14">
        <v>3726</v>
      </c>
      <c r="B39" s="14" t="s">
        <v>177</v>
      </c>
      <c r="C39" s="14" t="s">
        <v>13030</v>
      </c>
      <c r="D39" s="15">
        <v>9.93</v>
      </c>
      <c r="E39" s="16" t="s">
        <v>20</v>
      </c>
      <c r="H39" s="25" t="s">
        <v>12923</v>
      </c>
      <c r="I39" s="26" t="s">
        <v>29</v>
      </c>
      <c r="J39" s="30" t="s">
        <v>12941</v>
      </c>
      <c r="L39"/>
      <c r="T39"/>
    </row>
    <row r="40" spans="1:20" x14ac:dyDescent="0.25">
      <c r="A40" s="14">
        <v>497652</v>
      </c>
      <c r="B40" s="14" t="s">
        <v>178</v>
      </c>
      <c r="C40" s="14" t="s">
        <v>13030</v>
      </c>
      <c r="D40" s="15">
        <v>64.040000000000006</v>
      </c>
      <c r="E40" s="16" t="s">
        <v>20</v>
      </c>
      <c r="H40" s="25" t="s">
        <v>12925</v>
      </c>
      <c r="I40" s="26" t="s">
        <v>29</v>
      </c>
      <c r="J40" s="30" t="s">
        <v>12941</v>
      </c>
      <c r="L40"/>
      <c r="T40"/>
    </row>
    <row r="41" spans="1:20" x14ac:dyDescent="0.25">
      <c r="A41" s="14">
        <v>475300</v>
      </c>
      <c r="B41" s="14" t="s">
        <v>179</v>
      </c>
      <c r="C41" s="14" t="s">
        <v>13030</v>
      </c>
      <c r="D41" s="15">
        <v>82.38</v>
      </c>
      <c r="E41" s="16" t="s">
        <v>30</v>
      </c>
      <c r="H41" s="23" t="s">
        <v>12926</v>
      </c>
      <c r="I41" s="24" t="s">
        <v>29</v>
      </c>
      <c r="J41" s="30" t="s">
        <v>12941</v>
      </c>
      <c r="L41"/>
      <c r="T41"/>
    </row>
    <row r="42" spans="1:20" x14ac:dyDescent="0.25">
      <c r="A42" s="14">
        <v>519035</v>
      </c>
      <c r="B42" s="14" t="s">
        <v>180</v>
      </c>
      <c r="C42" s="14" t="s">
        <v>13030</v>
      </c>
      <c r="D42" s="15">
        <v>126.6</v>
      </c>
      <c r="E42" s="16" t="s">
        <v>20</v>
      </c>
      <c r="H42" s="23" t="s">
        <v>12928</v>
      </c>
      <c r="I42" s="24" t="s">
        <v>29</v>
      </c>
      <c r="J42" s="30" t="s">
        <v>13015</v>
      </c>
      <c r="L42"/>
      <c r="T42"/>
    </row>
    <row r="43" spans="1:20" x14ac:dyDescent="0.25">
      <c r="A43" s="14">
        <v>519042</v>
      </c>
      <c r="B43" s="14" t="s">
        <v>181</v>
      </c>
      <c r="C43" s="14" t="s">
        <v>13030</v>
      </c>
      <c r="D43" s="15">
        <v>65.11</v>
      </c>
      <c r="E43" s="16" t="s">
        <v>20</v>
      </c>
      <c r="H43" s="23" t="s">
        <v>12929</v>
      </c>
      <c r="I43" s="24" t="s">
        <v>29</v>
      </c>
      <c r="J43" s="30" t="s">
        <v>12941</v>
      </c>
      <c r="L43"/>
      <c r="T43"/>
    </row>
    <row r="44" spans="1:20" x14ac:dyDescent="0.25">
      <c r="A44" s="14">
        <v>1002204</v>
      </c>
      <c r="B44" s="14" t="s">
        <v>182</v>
      </c>
      <c r="C44" s="14" t="s">
        <v>13030</v>
      </c>
      <c r="D44" s="15">
        <v>44.89</v>
      </c>
      <c r="E44" s="16" t="s">
        <v>20</v>
      </c>
      <c r="H44" s="25" t="s">
        <v>12930</v>
      </c>
      <c r="I44" s="26" t="s">
        <v>29</v>
      </c>
      <c r="J44" s="30" t="s">
        <v>12941</v>
      </c>
      <c r="L44"/>
      <c r="T44"/>
    </row>
    <row r="45" spans="1:20" x14ac:dyDescent="0.25">
      <c r="A45" s="14">
        <v>1026696</v>
      </c>
      <c r="B45" s="14" t="s">
        <v>183</v>
      </c>
      <c r="C45" s="14" t="s">
        <v>13030</v>
      </c>
      <c r="D45" s="15">
        <v>90.96</v>
      </c>
      <c r="E45" s="14" t="s">
        <v>20</v>
      </c>
      <c r="H45" s="25" t="s">
        <v>12931</v>
      </c>
      <c r="I45" s="26" t="s">
        <v>29</v>
      </c>
      <c r="J45" s="30" t="s">
        <v>12941</v>
      </c>
      <c r="L45"/>
      <c r="T45"/>
    </row>
    <row r="46" spans="1:20" x14ac:dyDescent="0.25">
      <c r="A46" s="14">
        <v>16387</v>
      </c>
      <c r="B46" s="14" t="s">
        <v>184</v>
      </c>
      <c r="C46" s="14" t="s">
        <v>13030</v>
      </c>
      <c r="D46" s="15">
        <v>11.45</v>
      </c>
      <c r="E46" s="16" t="s">
        <v>20</v>
      </c>
      <c r="H46" s="23" t="s">
        <v>12932</v>
      </c>
      <c r="I46" s="24" t="s">
        <v>29</v>
      </c>
      <c r="J46" s="30" t="s">
        <v>12941</v>
      </c>
      <c r="L46"/>
      <c r="T46"/>
    </row>
    <row r="47" spans="1:20" x14ac:dyDescent="0.25">
      <c r="A47" s="14">
        <v>26620</v>
      </c>
      <c r="B47" s="14" t="s">
        <v>185</v>
      </c>
      <c r="C47" s="14" t="s">
        <v>13030</v>
      </c>
      <c r="D47" s="15">
        <v>15.49</v>
      </c>
      <c r="E47" s="16" t="s">
        <v>20</v>
      </c>
      <c r="H47" s="25" t="s">
        <v>24</v>
      </c>
      <c r="I47" s="26" t="s">
        <v>29</v>
      </c>
      <c r="J47" s="30" t="s">
        <v>12941</v>
      </c>
      <c r="L47"/>
      <c r="T47"/>
    </row>
    <row r="48" spans="1:20" x14ac:dyDescent="0.25">
      <c r="A48" s="14">
        <v>199417</v>
      </c>
      <c r="B48" s="14" t="s">
        <v>186</v>
      </c>
      <c r="C48" s="14" t="s">
        <v>13030</v>
      </c>
      <c r="D48" s="15">
        <v>47.23</v>
      </c>
      <c r="E48" s="16" t="s">
        <v>20</v>
      </c>
      <c r="H48" s="23" t="s">
        <v>12933</v>
      </c>
      <c r="I48" s="24" t="s">
        <v>29</v>
      </c>
      <c r="J48" s="30" t="s">
        <v>12941</v>
      </c>
      <c r="L48"/>
      <c r="T48"/>
    </row>
    <row r="49" spans="1:20" x14ac:dyDescent="0.25">
      <c r="A49" s="14">
        <v>486789</v>
      </c>
      <c r="B49" s="14" t="s">
        <v>187</v>
      </c>
      <c r="C49" s="14" t="s">
        <v>13030</v>
      </c>
      <c r="D49" s="15">
        <v>43.15</v>
      </c>
      <c r="E49" s="16" t="s">
        <v>20</v>
      </c>
      <c r="H49" s="23" t="s">
        <v>12934</v>
      </c>
      <c r="I49" s="24" t="s">
        <v>29</v>
      </c>
      <c r="J49" s="30" t="s">
        <v>12941</v>
      </c>
      <c r="L49"/>
      <c r="T49"/>
    </row>
    <row r="50" spans="1:20" x14ac:dyDescent="0.25">
      <c r="A50" s="14">
        <v>516433</v>
      </c>
      <c r="B50" s="14" t="s">
        <v>188</v>
      </c>
      <c r="C50" s="14" t="s">
        <v>13030</v>
      </c>
      <c r="D50" s="15">
        <v>47.23</v>
      </c>
      <c r="E50" s="16" t="s">
        <v>20</v>
      </c>
      <c r="H50" s="25" t="s">
        <v>12935</v>
      </c>
      <c r="I50" s="26" t="s">
        <v>29</v>
      </c>
      <c r="J50" s="30" t="s">
        <v>12941</v>
      </c>
      <c r="L50"/>
      <c r="T50"/>
    </row>
    <row r="51" spans="1:20" x14ac:dyDescent="0.25">
      <c r="A51" s="14">
        <v>702115</v>
      </c>
      <c r="B51" s="14" t="s">
        <v>107</v>
      </c>
      <c r="C51" s="14" t="s">
        <v>13030</v>
      </c>
      <c r="D51" s="15">
        <v>76.239999999999995</v>
      </c>
      <c r="E51" s="16" t="s">
        <v>20</v>
      </c>
      <c r="H51" s="23" t="s">
        <v>12929</v>
      </c>
      <c r="I51" s="24" t="s">
        <v>29</v>
      </c>
      <c r="J51" s="30" t="s">
        <v>12941</v>
      </c>
      <c r="L51"/>
      <c r="T51"/>
    </row>
    <row r="52" spans="1:20" x14ac:dyDescent="0.25">
      <c r="A52" s="14">
        <v>1002190</v>
      </c>
      <c r="B52" s="14" t="s">
        <v>189</v>
      </c>
      <c r="C52" s="14" t="s">
        <v>13030</v>
      </c>
      <c r="D52" s="15">
        <v>100.79</v>
      </c>
      <c r="E52" s="16" t="s">
        <v>20</v>
      </c>
      <c r="H52" s="23" t="s">
        <v>67</v>
      </c>
      <c r="I52" s="24" t="s">
        <v>29</v>
      </c>
      <c r="J52" s="30" t="s">
        <v>12941</v>
      </c>
      <c r="L52"/>
      <c r="T52"/>
    </row>
    <row r="53" spans="1:20" x14ac:dyDescent="0.25">
      <c r="A53" s="14">
        <v>1002194</v>
      </c>
      <c r="B53" s="14" t="s">
        <v>190</v>
      </c>
      <c r="C53" s="14" t="s">
        <v>13030</v>
      </c>
      <c r="D53" s="15">
        <v>83.5</v>
      </c>
      <c r="E53" s="16" t="s">
        <v>20</v>
      </c>
      <c r="H53" s="23" t="s">
        <v>27</v>
      </c>
      <c r="I53" s="24" t="s">
        <v>29</v>
      </c>
      <c r="J53" s="30" t="s">
        <v>12941</v>
      </c>
      <c r="L53"/>
      <c r="T53"/>
    </row>
    <row r="54" spans="1:20" x14ac:dyDescent="0.25">
      <c r="A54" s="14">
        <v>1002195</v>
      </c>
      <c r="B54" s="14" t="s">
        <v>191</v>
      </c>
      <c r="C54" s="14" t="s">
        <v>13030</v>
      </c>
      <c r="D54" s="15">
        <v>57.56</v>
      </c>
      <c r="E54" s="16" t="s">
        <v>20</v>
      </c>
      <c r="H54" s="25" t="s">
        <v>12937</v>
      </c>
      <c r="I54" s="26" t="s">
        <v>29</v>
      </c>
      <c r="J54" s="30" t="s">
        <v>12941</v>
      </c>
      <c r="L54"/>
      <c r="T54"/>
    </row>
    <row r="55" spans="1:20" x14ac:dyDescent="0.25">
      <c r="A55" s="14">
        <v>1002200</v>
      </c>
      <c r="B55" s="14" t="s">
        <v>192</v>
      </c>
      <c r="C55" s="14" t="s">
        <v>13030</v>
      </c>
      <c r="D55" s="15">
        <v>285.25</v>
      </c>
      <c r="E55" s="16" t="s">
        <v>20</v>
      </c>
      <c r="H55" s="25" t="s">
        <v>43</v>
      </c>
      <c r="I55" s="26" t="s">
        <v>29</v>
      </c>
      <c r="J55" s="30" t="s">
        <v>12941</v>
      </c>
      <c r="L55"/>
      <c r="T55"/>
    </row>
    <row r="56" spans="1:20" x14ac:dyDescent="0.25">
      <c r="A56" s="14">
        <v>1025604</v>
      </c>
      <c r="B56" s="14" t="s">
        <v>193</v>
      </c>
      <c r="C56" s="14" t="s">
        <v>13030</v>
      </c>
      <c r="D56" s="15">
        <v>103.49</v>
      </c>
      <c r="E56" s="16" t="s">
        <v>20</v>
      </c>
      <c r="H56" s="23" t="s">
        <v>78</v>
      </c>
      <c r="I56" s="24" t="s">
        <v>29</v>
      </c>
      <c r="J56" s="30" t="s">
        <v>12941</v>
      </c>
      <c r="L56"/>
      <c r="T56"/>
    </row>
    <row r="57" spans="1:20" x14ac:dyDescent="0.25">
      <c r="A57" s="14">
        <v>1025605</v>
      </c>
      <c r="B57" s="14" t="s">
        <v>194</v>
      </c>
      <c r="C57" s="14" t="s">
        <v>13030</v>
      </c>
      <c r="D57" s="15">
        <v>63.41</v>
      </c>
      <c r="E57" s="16" t="s">
        <v>20</v>
      </c>
      <c r="H57" s="25" t="s">
        <v>35</v>
      </c>
      <c r="I57" s="26" t="s">
        <v>29</v>
      </c>
      <c r="J57" s="30" t="s">
        <v>12941</v>
      </c>
      <c r="L57"/>
      <c r="T57"/>
    </row>
    <row r="58" spans="1:20" x14ac:dyDescent="0.25">
      <c r="A58" s="14">
        <v>1025606</v>
      </c>
      <c r="B58" s="14" t="s">
        <v>195</v>
      </c>
      <c r="C58" s="14" t="s">
        <v>13030</v>
      </c>
      <c r="D58" s="15">
        <v>80.8</v>
      </c>
      <c r="E58" s="16" t="s">
        <v>20</v>
      </c>
      <c r="H58" s="25" t="s">
        <v>109</v>
      </c>
      <c r="I58" s="26" t="s">
        <v>29</v>
      </c>
      <c r="J58" s="30" t="s">
        <v>12941</v>
      </c>
      <c r="L58"/>
      <c r="T58"/>
    </row>
    <row r="59" spans="1:20" x14ac:dyDescent="0.25">
      <c r="A59" s="14">
        <v>929009</v>
      </c>
      <c r="B59" s="14" t="s">
        <v>196</v>
      </c>
      <c r="C59" s="14" t="s">
        <v>13030</v>
      </c>
      <c r="D59" s="15">
        <v>164.41</v>
      </c>
      <c r="E59" s="16" t="s">
        <v>20</v>
      </c>
      <c r="H59" s="23" t="s">
        <v>13096</v>
      </c>
      <c r="I59" s="24" t="s">
        <v>29</v>
      </c>
      <c r="J59" s="30" t="s">
        <v>12941</v>
      </c>
      <c r="L59"/>
      <c r="T59"/>
    </row>
    <row r="60" spans="1:20" x14ac:dyDescent="0.25">
      <c r="A60" s="14">
        <v>933089</v>
      </c>
      <c r="B60" s="14" t="s">
        <v>197</v>
      </c>
      <c r="C60" s="14" t="s">
        <v>13030</v>
      </c>
      <c r="D60" s="15">
        <v>26.99</v>
      </c>
      <c r="E60" s="16" t="s">
        <v>20</v>
      </c>
      <c r="H60" s="25" t="s">
        <v>13119</v>
      </c>
      <c r="I60" s="26" t="s">
        <v>29</v>
      </c>
      <c r="J60" s="30" t="s">
        <v>12941</v>
      </c>
      <c r="L60"/>
      <c r="T60"/>
    </row>
    <row r="61" spans="1:20" x14ac:dyDescent="0.25">
      <c r="A61" s="14">
        <v>933090</v>
      </c>
      <c r="B61" s="14" t="s">
        <v>198</v>
      </c>
      <c r="C61" s="14" t="s">
        <v>13030</v>
      </c>
      <c r="D61" s="15">
        <v>28.74</v>
      </c>
      <c r="E61" s="16" t="s">
        <v>20</v>
      </c>
      <c r="H61" s="23" t="s">
        <v>98</v>
      </c>
      <c r="I61" s="24" t="s">
        <v>29</v>
      </c>
      <c r="J61" s="30" t="s">
        <v>12941</v>
      </c>
      <c r="L61"/>
      <c r="T61"/>
    </row>
    <row r="62" spans="1:20" x14ac:dyDescent="0.25">
      <c r="A62" s="14">
        <v>964924</v>
      </c>
      <c r="B62" s="14" t="s">
        <v>199</v>
      </c>
      <c r="C62" s="14" t="s">
        <v>13030</v>
      </c>
      <c r="D62" s="15">
        <v>32.299999999999997</v>
      </c>
      <c r="E62" s="16" t="s">
        <v>20</v>
      </c>
      <c r="H62" s="25" t="s">
        <v>13152</v>
      </c>
      <c r="I62" s="26" t="s">
        <v>29</v>
      </c>
      <c r="J62" s="22" t="s">
        <v>12941</v>
      </c>
      <c r="L62"/>
      <c r="T62"/>
    </row>
    <row r="63" spans="1:20" x14ac:dyDescent="0.25">
      <c r="A63" s="14">
        <v>964926</v>
      </c>
      <c r="B63" s="14" t="s">
        <v>200</v>
      </c>
      <c r="C63" s="14" t="s">
        <v>13030</v>
      </c>
      <c r="D63" s="15">
        <v>36.479999999999997</v>
      </c>
      <c r="E63" s="16" t="s">
        <v>20</v>
      </c>
      <c r="H63" s="25" t="s">
        <v>13121</v>
      </c>
      <c r="I63" s="26" t="s">
        <v>29</v>
      </c>
      <c r="J63" s="22" t="s">
        <v>12941</v>
      </c>
      <c r="L63"/>
      <c r="T63"/>
    </row>
    <row r="64" spans="1:20" x14ac:dyDescent="0.25">
      <c r="A64" s="14">
        <v>971450</v>
      </c>
      <c r="B64" s="14" t="s">
        <v>201</v>
      </c>
      <c r="C64" s="14" t="s">
        <v>13030</v>
      </c>
      <c r="D64" s="15">
        <v>114.41</v>
      </c>
      <c r="E64" s="16" t="s">
        <v>20</v>
      </c>
      <c r="H64" s="25" t="s">
        <v>13159</v>
      </c>
      <c r="I64" s="26" t="s">
        <v>29</v>
      </c>
      <c r="J64" s="22" t="s">
        <v>12941</v>
      </c>
      <c r="L64"/>
      <c r="T64"/>
    </row>
    <row r="65" spans="1:20" x14ac:dyDescent="0.25">
      <c r="A65" s="14">
        <v>972569</v>
      </c>
      <c r="B65" s="14" t="s">
        <v>202</v>
      </c>
      <c r="C65" s="14" t="s">
        <v>13030</v>
      </c>
      <c r="D65" s="15">
        <v>52.16</v>
      </c>
      <c r="E65" s="16" t="s">
        <v>20</v>
      </c>
      <c r="H65" s="25" t="s">
        <v>13316</v>
      </c>
      <c r="I65" s="26" t="s">
        <v>29</v>
      </c>
      <c r="J65" s="22" t="s">
        <v>13131</v>
      </c>
      <c r="L65"/>
      <c r="T65"/>
    </row>
    <row r="66" spans="1:20" x14ac:dyDescent="0.25">
      <c r="A66" s="14">
        <v>972570</v>
      </c>
      <c r="B66" s="14" t="s">
        <v>203</v>
      </c>
      <c r="C66" s="14" t="s">
        <v>13030</v>
      </c>
      <c r="D66" s="15">
        <v>55.71</v>
      </c>
      <c r="E66" s="16" t="s">
        <v>20</v>
      </c>
      <c r="H66" s="25" t="s">
        <v>13317</v>
      </c>
      <c r="I66" s="26" t="s">
        <v>29</v>
      </c>
      <c r="J66" s="22" t="s">
        <v>12941</v>
      </c>
      <c r="L66"/>
      <c r="T66"/>
    </row>
    <row r="67" spans="1:20" x14ac:dyDescent="0.25">
      <c r="A67" s="14">
        <v>972571</v>
      </c>
      <c r="B67" s="14" t="s">
        <v>204</v>
      </c>
      <c r="C67" s="14" t="s">
        <v>13030</v>
      </c>
      <c r="D67" s="15">
        <v>55.07</v>
      </c>
      <c r="E67" s="16" t="s">
        <v>20</v>
      </c>
      <c r="H67" s="25" t="s">
        <v>13318</v>
      </c>
      <c r="I67" s="26" t="s">
        <v>29</v>
      </c>
      <c r="J67" s="22" t="s">
        <v>12941</v>
      </c>
      <c r="L67"/>
      <c r="T67"/>
    </row>
    <row r="68" spans="1:20" x14ac:dyDescent="0.25">
      <c r="A68" s="14">
        <v>973317</v>
      </c>
      <c r="B68" s="14" t="s">
        <v>205</v>
      </c>
      <c r="C68" s="14" t="s">
        <v>13030</v>
      </c>
      <c r="D68" s="15">
        <v>40.090000000000003</v>
      </c>
      <c r="E68" s="16" t="s">
        <v>20</v>
      </c>
      <c r="H68" s="25" t="s">
        <v>13337</v>
      </c>
      <c r="I68" s="26" t="s">
        <v>29</v>
      </c>
      <c r="J68" s="22" t="s">
        <v>12941</v>
      </c>
      <c r="L68"/>
      <c r="T68"/>
    </row>
    <row r="69" spans="1:20" x14ac:dyDescent="0.25">
      <c r="A69" s="14">
        <v>973318</v>
      </c>
      <c r="B69" s="14" t="s">
        <v>206</v>
      </c>
      <c r="C69" s="14" t="s">
        <v>13030</v>
      </c>
      <c r="D69" s="15">
        <v>49.09</v>
      </c>
      <c r="E69" s="16" t="s">
        <v>20</v>
      </c>
      <c r="H69" s="25" t="s">
        <v>13367</v>
      </c>
      <c r="I69" s="26" t="s">
        <v>29</v>
      </c>
      <c r="J69" s="22" t="s">
        <v>12941</v>
      </c>
      <c r="L69"/>
      <c r="T69"/>
    </row>
    <row r="70" spans="1:20" x14ac:dyDescent="0.25">
      <c r="A70" s="14">
        <v>973319</v>
      </c>
      <c r="B70" s="14" t="s">
        <v>207</v>
      </c>
      <c r="C70" s="14" t="s">
        <v>13030</v>
      </c>
      <c r="D70" s="15">
        <v>73.010000000000005</v>
      </c>
      <c r="E70" s="16" t="s">
        <v>20</v>
      </c>
      <c r="H70" s="25" t="s">
        <v>12897</v>
      </c>
      <c r="I70" s="26" t="s">
        <v>29</v>
      </c>
      <c r="J70" s="22" t="s">
        <v>12941</v>
      </c>
      <c r="L70"/>
      <c r="T70"/>
    </row>
    <row r="71" spans="1:20" x14ac:dyDescent="0.25">
      <c r="A71" s="14">
        <v>973320</v>
      </c>
      <c r="B71" s="14" t="s">
        <v>208</v>
      </c>
      <c r="C71" s="14" t="s">
        <v>13030</v>
      </c>
      <c r="D71" s="15">
        <v>30.26</v>
      </c>
      <c r="E71" s="16" t="s">
        <v>20</v>
      </c>
      <c r="H71" s="25" t="s">
        <v>13121</v>
      </c>
      <c r="I71" s="26" t="s">
        <v>29</v>
      </c>
      <c r="J71" s="22" t="s">
        <v>12941</v>
      </c>
      <c r="L71"/>
      <c r="T71"/>
    </row>
    <row r="72" spans="1:20" x14ac:dyDescent="0.25">
      <c r="A72" s="14">
        <v>973321</v>
      </c>
      <c r="B72" s="14" t="s">
        <v>209</v>
      </c>
      <c r="C72" s="14" t="s">
        <v>13030</v>
      </c>
      <c r="D72" s="15">
        <v>20.89</v>
      </c>
      <c r="E72" s="16" t="s">
        <v>20</v>
      </c>
      <c r="H72" s="25" t="s">
        <v>13375</v>
      </c>
      <c r="I72" s="26" t="s">
        <v>29</v>
      </c>
      <c r="J72" s="22" t="s">
        <v>13015</v>
      </c>
      <c r="L72"/>
      <c r="T72"/>
    </row>
    <row r="73" spans="1:20" x14ac:dyDescent="0.25">
      <c r="A73" s="14">
        <v>973322</v>
      </c>
      <c r="B73" s="14" t="s">
        <v>210</v>
      </c>
      <c r="C73" s="14" t="s">
        <v>13030</v>
      </c>
      <c r="D73" s="15">
        <v>39.9</v>
      </c>
      <c r="E73" s="16" t="s">
        <v>20</v>
      </c>
      <c r="H73" s="25" t="s">
        <v>12887</v>
      </c>
      <c r="I73" s="26" t="s">
        <v>39</v>
      </c>
      <c r="J73" s="30" t="s">
        <v>12942</v>
      </c>
      <c r="L73"/>
      <c r="T73"/>
    </row>
    <row r="74" spans="1:20" x14ac:dyDescent="0.25">
      <c r="A74" s="14">
        <v>973323</v>
      </c>
      <c r="B74" s="14" t="s">
        <v>211</v>
      </c>
      <c r="C74" s="14" t="s">
        <v>13030</v>
      </c>
      <c r="D74" s="15">
        <v>41.3</v>
      </c>
      <c r="E74" s="16" t="s">
        <v>20</v>
      </c>
      <c r="H74" s="25" t="s">
        <v>12890</v>
      </c>
      <c r="I74" s="26" t="s">
        <v>39</v>
      </c>
      <c r="J74" s="30" t="s">
        <v>12942</v>
      </c>
      <c r="L74"/>
      <c r="T74"/>
    </row>
    <row r="75" spans="1:20" x14ac:dyDescent="0.25">
      <c r="A75" s="14">
        <v>973324</v>
      </c>
      <c r="B75" s="14" t="s">
        <v>212</v>
      </c>
      <c r="C75" s="14" t="s">
        <v>13030</v>
      </c>
      <c r="D75" s="15">
        <v>38.83</v>
      </c>
      <c r="E75" s="16" t="s">
        <v>20</v>
      </c>
      <c r="H75" s="23" t="s">
        <v>57</v>
      </c>
      <c r="I75" s="24" t="s">
        <v>39</v>
      </c>
      <c r="J75" s="30" t="s">
        <v>12942</v>
      </c>
      <c r="L75"/>
      <c r="T75"/>
    </row>
    <row r="76" spans="1:20" x14ac:dyDescent="0.25">
      <c r="A76" s="14">
        <v>973325</v>
      </c>
      <c r="B76" s="14" t="s">
        <v>213</v>
      </c>
      <c r="C76" s="14" t="s">
        <v>13030</v>
      </c>
      <c r="D76" s="15">
        <v>43.14</v>
      </c>
      <c r="E76" s="16" t="s">
        <v>20</v>
      </c>
      <c r="H76" s="23" t="s">
        <v>84</v>
      </c>
      <c r="I76" s="24" t="s">
        <v>39</v>
      </c>
      <c r="J76" s="30" t="s">
        <v>12942</v>
      </c>
      <c r="L76"/>
      <c r="T76"/>
    </row>
    <row r="77" spans="1:20" x14ac:dyDescent="0.25">
      <c r="A77" s="14">
        <v>973326</v>
      </c>
      <c r="B77" s="14" t="s">
        <v>214</v>
      </c>
      <c r="C77" s="14" t="s">
        <v>13030</v>
      </c>
      <c r="D77" s="15">
        <v>67.28</v>
      </c>
      <c r="E77" s="16" t="s">
        <v>20</v>
      </c>
      <c r="H77" s="25" t="s">
        <v>12893</v>
      </c>
      <c r="I77" s="26" t="s">
        <v>39</v>
      </c>
      <c r="J77" s="30" t="s">
        <v>12942</v>
      </c>
      <c r="L77"/>
      <c r="T77"/>
    </row>
    <row r="78" spans="1:20" x14ac:dyDescent="0.25">
      <c r="A78" s="14">
        <v>974359</v>
      </c>
      <c r="B78" s="14" t="s">
        <v>215</v>
      </c>
      <c r="C78" s="14" t="s">
        <v>13030</v>
      </c>
      <c r="D78" s="15">
        <v>43.71</v>
      </c>
      <c r="E78" s="16" t="s">
        <v>20</v>
      </c>
      <c r="H78" s="23" t="s">
        <v>12894</v>
      </c>
      <c r="I78" s="24" t="s">
        <v>39</v>
      </c>
      <c r="J78" s="30" t="s">
        <v>12942</v>
      </c>
      <c r="L78"/>
      <c r="T78"/>
    </row>
    <row r="79" spans="1:20" x14ac:dyDescent="0.25">
      <c r="A79" s="14">
        <v>3746</v>
      </c>
      <c r="B79" s="14" t="s">
        <v>216</v>
      </c>
      <c r="C79" s="14" t="s">
        <v>13030</v>
      </c>
      <c r="D79" s="15">
        <v>19</v>
      </c>
      <c r="E79" s="16" t="s">
        <v>20</v>
      </c>
      <c r="H79" s="23" t="s">
        <v>12896</v>
      </c>
      <c r="I79" s="24" t="s">
        <v>39</v>
      </c>
      <c r="J79" s="30" t="s">
        <v>12942</v>
      </c>
      <c r="L79"/>
      <c r="T79"/>
    </row>
    <row r="80" spans="1:20" x14ac:dyDescent="0.25">
      <c r="A80" s="14">
        <v>471453</v>
      </c>
      <c r="B80" s="14" t="s">
        <v>217</v>
      </c>
      <c r="C80" s="14" t="s">
        <v>13030</v>
      </c>
      <c r="D80" s="15">
        <v>141.47999999999999</v>
      </c>
      <c r="E80" s="16" t="s">
        <v>20</v>
      </c>
      <c r="H80" s="25" t="s">
        <v>38</v>
      </c>
      <c r="I80" s="26" t="s">
        <v>39</v>
      </c>
      <c r="J80" s="30" t="s">
        <v>12942</v>
      </c>
      <c r="L80"/>
      <c r="T80"/>
    </row>
    <row r="81" spans="1:20" x14ac:dyDescent="0.25">
      <c r="A81" s="14">
        <v>483909</v>
      </c>
      <c r="B81" s="14" t="s">
        <v>218</v>
      </c>
      <c r="C81" s="14" t="s">
        <v>13030</v>
      </c>
      <c r="D81" s="15">
        <v>5.31</v>
      </c>
      <c r="E81" s="14" t="s">
        <v>20</v>
      </c>
      <c r="H81" s="25" t="s">
        <v>12898</v>
      </c>
      <c r="I81" s="26" t="s">
        <v>39</v>
      </c>
      <c r="J81" s="30" t="s">
        <v>12942</v>
      </c>
      <c r="L81"/>
      <c r="T81"/>
    </row>
    <row r="82" spans="1:20" x14ac:dyDescent="0.25">
      <c r="A82" s="14">
        <v>993725</v>
      </c>
      <c r="B82" s="14" t="s">
        <v>219</v>
      </c>
      <c r="C82" s="14" t="s">
        <v>13030</v>
      </c>
      <c r="D82" s="15">
        <v>83.23</v>
      </c>
      <c r="E82" s="16" t="s">
        <v>20</v>
      </c>
      <c r="H82" s="20" t="s">
        <v>12903</v>
      </c>
      <c r="I82" s="26" t="s">
        <v>39</v>
      </c>
      <c r="J82" s="30" t="s">
        <v>12942</v>
      </c>
      <c r="L82"/>
      <c r="T82"/>
    </row>
    <row r="83" spans="1:20" x14ac:dyDescent="0.25">
      <c r="A83" s="14">
        <v>993726</v>
      </c>
      <c r="B83" s="14" t="s">
        <v>220</v>
      </c>
      <c r="C83" s="14" t="s">
        <v>13030</v>
      </c>
      <c r="D83" s="15">
        <v>107.94</v>
      </c>
      <c r="E83" s="16" t="s">
        <v>20</v>
      </c>
      <c r="H83" s="23" t="s">
        <v>12904</v>
      </c>
      <c r="I83" s="24" t="s">
        <v>39</v>
      </c>
      <c r="J83" s="30" t="s">
        <v>12942</v>
      </c>
      <c r="L83"/>
      <c r="T83"/>
    </row>
    <row r="84" spans="1:20" x14ac:dyDescent="0.25">
      <c r="A84" s="14">
        <v>993727</v>
      </c>
      <c r="B84" s="14" t="s">
        <v>221</v>
      </c>
      <c r="C84" s="14" t="s">
        <v>13030</v>
      </c>
      <c r="D84" s="15">
        <v>186.86</v>
      </c>
      <c r="E84" s="16" t="s">
        <v>20</v>
      </c>
      <c r="H84" s="25" t="s">
        <v>12911</v>
      </c>
      <c r="I84" s="26" t="s">
        <v>39</v>
      </c>
      <c r="J84" s="30" t="s">
        <v>12942</v>
      </c>
      <c r="L84"/>
      <c r="T84"/>
    </row>
    <row r="85" spans="1:20" x14ac:dyDescent="0.25">
      <c r="A85" s="14">
        <v>997979</v>
      </c>
      <c r="B85" s="14" t="s">
        <v>222</v>
      </c>
      <c r="C85" s="14" t="s">
        <v>13030</v>
      </c>
      <c r="D85" s="15">
        <v>41.1</v>
      </c>
      <c r="E85" s="14" t="s">
        <v>20</v>
      </c>
      <c r="H85" s="23" t="s">
        <v>12912</v>
      </c>
      <c r="I85" s="24" t="s">
        <v>39</v>
      </c>
      <c r="J85" s="30" t="s">
        <v>12942</v>
      </c>
      <c r="L85"/>
      <c r="T85"/>
    </row>
    <row r="86" spans="1:20" x14ac:dyDescent="0.25">
      <c r="A86" s="14">
        <v>997980</v>
      </c>
      <c r="B86" s="14" t="s">
        <v>223</v>
      </c>
      <c r="C86" s="14" t="s">
        <v>13030</v>
      </c>
      <c r="D86" s="15">
        <v>41.53</v>
      </c>
      <c r="E86" s="16" t="s">
        <v>20</v>
      </c>
      <c r="H86" s="25" t="s">
        <v>12913</v>
      </c>
      <c r="I86" s="26" t="s">
        <v>39</v>
      </c>
      <c r="J86" s="30" t="s">
        <v>12942</v>
      </c>
      <c r="L86"/>
      <c r="T86"/>
    </row>
    <row r="87" spans="1:20" x14ac:dyDescent="0.25">
      <c r="A87" s="14">
        <v>997981</v>
      </c>
      <c r="B87" s="14" t="s">
        <v>224</v>
      </c>
      <c r="C87" s="14" t="s">
        <v>13030</v>
      </c>
      <c r="D87" s="15">
        <v>50.95</v>
      </c>
      <c r="E87" s="16" t="s">
        <v>20</v>
      </c>
      <c r="H87" s="23" t="s">
        <v>12915</v>
      </c>
      <c r="I87" s="24" t="s">
        <v>39</v>
      </c>
      <c r="J87" s="30" t="s">
        <v>12942</v>
      </c>
      <c r="L87"/>
      <c r="T87"/>
    </row>
    <row r="88" spans="1:20" x14ac:dyDescent="0.25">
      <c r="A88" s="14">
        <v>1003669</v>
      </c>
      <c r="B88" s="14" t="s">
        <v>225</v>
      </c>
      <c r="C88" s="14" t="s">
        <v>13030</v>
      </c>
      <c r="D88" s="15">
        <v>18.059999999999999</v>
      </c>
      <c r="E88" s="16" t="s">
        <v>20</v>
      </c>
      <c r="H88" s="23" t="s">
        <v>12916</v>
      </c>
      <c r="I88" s="24" t="s">
        <v>39</v>
      </c>
      <c r="J88" s="30" t="s">
        <v>12942</v>
      </c>
      <c r="L88"/>
      <c r="T88"/>
    </row>
    <row r="89" spans="1:20" x14ac:dyDescent="0.25">
      <c r="A89" s="14">
        <v>1003670</v>
      </c>
      <c r="B89" s="14" t="s">
        <v>226</v>
      </c>
      <c r="C89" s="14" t="s">
        <v>13030</v>
      </c>
      <c r="D89" s="15">
        <v>25.42</v>
      </c>
      <c r="E89" s="16" t="s">
        <v>20</v>
      </c>
      <c r="H89" s="23" t="s">
        <v>12919</v>
      </c>
      <c r="I89" s="24" t="s">
        <v>39</v>
      </c>
      <c r="J89" s="30" t="s">
        <v>12942</v>
      </c>
      <c r="L89"/>
      <c r="T89"/>
    </row>
    <row r="90" spans="1:20" x14ac:dyDescent="0.25">
      <c r="A90" s="14">
        <v>123548001</v>
      </c>
      <c r="B90" s="14" t="s">
        <v>227</v>
      </c>
      <c r="C90" s="14" t="s">
        <v>13030</v>
      </c>
      <c r="D90" s="15">
        <v>41.81</v>
      </c>
      <c r="E90" s="16" t="s">
        <v>20</v>
      </c>
      <c r="H90" s="25" t="s">
        <v>42</v>
      </c>
      <c r="I90" s="26" t="s">
        <v>39</v>
      </c>
      <c r="J90" s="30" t="s">
        <v>12942</v>
      </c>
      <c r="L90"/>
      <c r="T90"/>
    </row>
    <row r="91" spans="1:20" x14ac:dyDescent="0.25">
      <c r="A91" s="14">
        <v>123548003</v>
      </c>
      <c r="B91" s="14" t="s">
        <v>228</v>
      </c>
      <c r="C91" s="14" t="s">
        <v>13030</v>
      </c>
      <c r="D91" s="15">
        <v>36.79</v>
      </c>
      <c r="E91" s="16" t="s">
        <v>20</v>
      </c>
      <c r="H91" s="23" t="s">
        <v>12924</v>
      </c>
      <c r="I91" s="24" t="s">
        <v>39</v>
      </c>
      <c r="J91" s="30" t="s">
        <v>12942</v>
      </c>
      <c r="L91"/>
      <c r="T91"/>
    </row>
    <row r="92" spans="1:20" x14ac:dyDescent="0.25">
      <c r="A92" s="14">
        <v>476544001</v>
      </c>
      <c r="B92" s="14" t="s">
        <v>229</v>
      </c>
      <c r="C92" s="14" t="s">
        <v>13030</v>
      </c>
      <c r="D92" s="15">
        <v>50.73</v>
      </c>
      <c r="E92" s="16" t="s">
        <v>20</v>
      </c>
      <c r="H92" s="25" t="s">
        <v>12927</v>
      </c>
      <c r="I92" s="26" t="s">
        <v>39</v>
      </c>
      <c r="J92" s="30" t="s">
        <v>12942</v>
      </c>
      <c r="L92"/>
      <c r="T92"/>
    </row>
    <row r="93" spans="1:20" x14ac:dyDescent="0.25">
      <c r="A93" s="14">
        <v>522389</v>
      </c>
      <c r="B93" s="14" t="s">
        <v>230</v>
      </c>
      <c r="C93" s="14" t="s">
        <v>13030</v>
      </c>
      <c r="D93" s="15">
        <v>44.53</v>
      </c>
      <c r="E93" s="16" t="s">
        <v>30</v>
      </c>
      <c r="H93" s="22" t="s">
        <v>101</v>
      </c>
      <c r="I93" s="22" t="s">
        <v>39</v>
      </c>
      <c r="J93" s="30" t="s">
        <v>12942</v>
      </c>
      <c r="L93"/>
      <c r="T93"/>
    </row>
    <row r="94" spans="1:20" x14ac:dyDescent="0.25">
      <c r="A94" s="14">
        <v>3859</v>
      </c>
      <c r="B94" s="14" t="s">
        <v>231</v>
      </c>
      <c r="C94" s="14" t="s">
        <v>13030</v>
      </c>
      <c r="D94" s="15">
        <v>20.45</v>
      </c>
      <c r="E94" s="16" t="s">
        <v>20</v>
      </c>
      <c r="H94" s="22" t="s">
        <v>49</v>
      </c>
      <c r="I94" s="22" t="s">
        <v>39</v>
      </c>
      <c r="J94" s="30" t="s">
        <v>12942</v>
      </c>
      <c r="L94"/>
      <c r="T94"/>
    </row>
    <row r="95" spans="1:20" x14ac:dyDescent="0.25">
      <c r="A95" s="14">
        <v>733184002</v>
      </c>
      <c r="B95" s="14" t="s">
        <v>232</v>
      </c>
      <c r="C95" s="14" t="s">
        <v>13030</v>
      </c>
      <c r="D95" s="15">
        <v>31.16</v>
      </c>
      <c r="E95" s="16" t="s">
        <v>20</v>
      </c>
      <c r="H95" s="22" t="s">
        <v>12936</v>
      </c>
      <c r="I95" s="22" t="s">
        <v>39</v>
      </c>
      <c r="J95" s="30" t="s">
        <v>12942</v>
      </c>
      <c r="L95"/>
      <c r="T95"/>
    </row>
    <row r="96" spans="1:20" x14ac:dyDescent="0.25">
      <c r="A96" s="14">
        <v>483910</v>
      </c>
      <c r="B96" s="14" t="s">
        <v>233</v>
      </c>
      <c r="C96" s="14" t="s">
        <v>13030</v>
      </c>
      <c r="D96" s="15">
        <v>5.31</v>
      </c>
      <c r="E96" s="14" t="s">
        <v>20</v>
      </c>
      <c r="H96" s="22" t="s">
        <v>53</v>
      </c>
      <c r="I96" s="22" t="s">
        <v>39</v>
      </c>
      <c r="J96" s="30" t="s">
        <v>12942</v>
      </c>
      <c r="L96"/>
      <c r="T96"/>
    </row>
    <row r="97" spans="1:20" x14ac:dyDescent="0.25">
      <c r="A97" s="14">
        <v>483911</v>
      </c>
      <c r="B97" s="14" t="s">
        <v>234</v>
      </c>
      <c r="C97" s="14" t="s">
        <v>13030</v>
      </c>
      <c r="D97" s="15">
        <v>5.96</v>
      </c>
      <c r="E97" s="14" t="s">
        <v>20</v>
      </c>
      <c r="H97" s="30" t="s">
        <v>123</v>
      </c>
      <c r="I97" s="30" t="s">
        <v>39</v>
      </c>
      <c r="J97" s="30" t="s">
        <v>12942</v>
      </c>
      <c r="L97"/>
      <c r="T97"/>
    </row>
    <row r="98" spans="1:20" x14ac:dyDescent="0.25">
      <c r="A98" s="14">
        <v>483912</v>
      </c>
      <c r="B98" s="14" t="s">
        <v>235</v>
      </c>
      <c r="C98" s="14" t="s">
        <v>13030</v>
      </c>
      <c r="D98" s="15">
        <v>5.31</v>
      </c>
      <c r="E98" s="14" t="s">
        <v>20</v>
      </c>
      <c r="H98" s="22" t="s">
        <v>12938</v>
      </c>
      <c r="I98" s="22" t="s">
        <v>39</v>
      </c>
      <c r="J98" s="30" t="s">
        <v>12942</v>
      </c>
      <c r="L98"/>
      <c r="T98"/>
    </row>
    <row r="99" spans="1:20" x14ac:dyDescent="0.25">
      <c r="A99" s="14">
        <v>768743001</v>
      </c>
      <c r="B99" s="14" t="s">
        <v>236</v>
      </c>
      <c r="C99" s="14" t="s">
        <v>13030</v>
      </c>
      <c r="D99" s="15">
        <v>34.24</v>
      </c>
      <c r="E99" s="16" t="s">
        <v>20</v>
      </c>
      <c r="H99" s="30" t="s">
        <v>12939</v>
      </c>
      <c r="I99" s="30" t="s">
        <v>39</v>
      </c>
      <c r="J99" s="30" t="s">
        <v>12942</v>
      </c>
      <c r="L99"/>
      <c r="T99"/>
    </row>
    <row r="100" spans="1:20" x14ac:dyDescent="0.25">
      <c r="A100" s="14">
        <v>768743002</v>
      </c>
      <c r="B100" s="14" t="s">
        <v>237</v>
      </c>
      <c r="C100" s="14" t="s">
        <v>13030</v>
      </c>
      <c r="D100" s="15">
        <v>36.96</v>
      </c>
      <c r="E100" s="16" t="s">
        <v>20</v>
      </c>
      <c r="H100" s="22" t="s">
        <v>63</v>
      </c>
      <c r="I100" s="22" t="s">
        <v>39</v>
      </c>
      <c r="J100" s="30" t="s">
        <v>12942</v>
      </c>
      <c r="L100"/>
      <c r="T100"/>
    </row>
    <row r="101" spans="1:20" x14ac:dyDescent="0.25">
      <c r="A101" s="14">
        <v>768743003</v>
      </c>
      <c r="B101" s="14" t="s">
        <v>238</v>
      </c>
      <c r="C101" s="14" t="s">
        <v>13030</v>
      </c>
      <c r="D101" s="15">
        <v>37.65</v>
      </c>
      <c r="E101" s="16" t="s">
        <v>20</v>
      </c>
      <c r="H101" s="30" t="s">
        <v>59</v>
      </c>
      <c r="I101" s="30" t="s">
        <v>39</v>
      </c>
      <c r="J101" s="30" t="s">
        <v>12942</v>
      </c>
      <c r="L101"/>
      <c r="T101"/>
    </row>
    <row r="102" spans="1:20" x14ac:dyDescent="0.25">
      <c r="A102" s="14">
        <v>768743004</v>
      </c>
      <c r="B102" s="14" t="s">
        <v>239</v>
      </c>
      <c r="C102" s="14" t="s">
        <v>13030</v>
      </c>
      <c r="D102" s="15">
        <v>31.94</v>
      </c>
      <c r="E102" s="16" t="s">
        <v>20</v>
      </c>
      <c r="H102" s="22" t="s">
        <v>93</v>
      </c>
      <c r="I102" s="22" t="s">
        <v>39</v>
      </c>
      <c r="J102" s="30" t="s">
        <v>12942</v>
      </c>
      <c r="L102"/>
      <c r="T102"/>
    </row>
    <row r="103" spans="1:20" x14ac:dyDescent="0.25">
      <c r="A103" s="14">
        <v>483913</v>
      </c>
      <c r="B103" s="14" t="s">
        <v>240</v>
      </c>
      <c r="C103" s="14" t="s">
        <v>13030</v>
      </c>
      <c r="D103" s="15">
        <v>5.31</v>
      </c>
      <c r="E103" s="14" t="s">
        <v>20</v>
      </c>
      <c r="H103" s="30" t="s">
        <v>104</v>
      </c>
      <c r="I103" s="30" t="s">
        <v>39</v>
      </c>
      <c r="J103" s="30" t="s">
        <v>12942</v>
      </c>
      <c r="L103"/>
      <c r="T103"/>
    </row>
    <row r="104" spans="1:20" x14ac:dyDescent="0.25">
      <c r="A104" s="14">
        <v>768745001</v>
      </c>
      <c r="B104" s="14" t="s">
        <v>241</v>
      </c>
      <c r="C104" s="14" t="s">
        <v>13030</v>
      </c>
      <c r="D104" s="15">
        <v>32.93</v>
      </c>
      <c r="E104" s="16" t="s">
        <v>20</v>
      </c>
      <c r="H104" s="22" t="s">
        <v>13147</v>
      </c>
      <c r="I104" s="22" t="s">
        <v>39</v>
      </c>
      <c r="J104" s="22" t="s">
        <v>12942</v>
      </c>
      <c r="L104"/>
      <c r="T104"/>
    </row>
    <row r="105" spans="1:20" x14ac:dyDescent="0.25">
      <c r="A105" s="14">
        <v>964922001</v>
      </c>
      <c r="B105" s="14" t="s">
        <v>242</v>
      </c>
      <c r="C105" s="14" t="s">
        <v>13030</v>
      </c>
      <c r="D105" s="15">
        <v>36.909999999999997</v>
      </c>
      <c r="E105" s="16" t="s">
        <v>20</v>
      </c>
      <c r="H105" s="22" t="s">
        <v>13153</v>
      </c>
      <c r="I105" s="22" t="s">
        <v>39</v>
      </c>
      <c r="J105" s="22" t="s">
        <v>12942</v>
      </c>
      <c r="L105"/>
      <c r="T105"/>
    </row>
    <row r="106" spans="1:20" x14ac:dyDescent="0.25">
      <c r="A106" s="14">
        <v>964922002</v>
      </c>
      <c r="B106" s="14" t="s">
        <v>243</v>
      </c>
      <c r="C106" s="14" t="s">
        <v>13030</v>
      </c>
      <c r="D106" s="15">
        <v>38.15</v>
      </c>
      <c r="E106" s="16" t="s">
        <v>20</v>
      </c>
      <c r="H106" s="22" t="s">
        <v>13167</v>
      </c>
      <c r="I106" s="22" t="s">
        <v>39</v>
      </c>
      <c r="J106" s="22" t="s">
        <v>12941</v>
      </c>
      <c r="L106"/>
      <c r="T106"/>
    </row>
    <row r="107" spans="1:20" x14ac:dyDescent="0.25">
      <c r="A107" s="14">
        <v>964922003</v>
      </c>
      <c r="B107" s="14" t="s">
        <v>244</v>
      </c>
      <c r="C107" s="14" t="s">
        <v>13030</v>
      </c>
      <c r="D107" s="15">
        <v>37.18</v>
      </c>
      <c r="E107" s="16" t="s">
        <v>20</v>
      </c>
      <c r="H107" s="22" t="s">
        <v>13329</v>
      </c>
      <c r="I107" s="22" t="s">
        <v>39</v>
      </c>
      <c r="J107" s="22" t="s">
        <v>12942</v>
      </c>
      <c r="L107"/>
      <c r="T107"/>
    </row>
    <row r="108" spans="1:20" x14ac:dyDescent="0.25">
      <c r="A108" s="14">
        <v>964923001</v>
      </c>
      <c r="B108" s="14" t="s">
        <v>245</v>
      </c>
      <c r="C108" s="14" t="s">
        <v>13030</v>
      </c>
      <c r="D108" s="15">
        <v>29.34</v>
      </c>
      <c r="E108" s="16" t="s">
        <v>20</v>
      </c>
      <c r="H108" s="22" t="s">
        <v>13331</v>
      </c>
      <c r="I108" s="22" t="s">
        <v>39</v>
      </c>
      <c r="J108" s="22" t="s">
        <v>12942</v>
      </c>
      <c r="L108"/>
      <c r="T108"/>
    </row>
    <row r="109" spans="1:20" x14ac:dyDescent="0.25">
      <c r="A109" s="14">
        <v>964923002</v>
      </c>
      <c r="B109" s="14" t="s">
        <v>246</v>
      </c>
      <c r="C109" s="14" t="s">
        <v>13030</v>
      </c>
      <c r="D109" s="15">
        <v>28.51</v>
      </c>
      <c r="E109" s="16" t="s">
        <v>20</v>
      </c>
      <c r="H109" s="22" t="s">
        <v>13387</v>
      </c>
      <c r="I109" s="22" t="s">
        <v>39</v>
      </c>
      <c r="J109" s="22" t="s">
        <v>12942</v>
      </c>
      <c r="L109"/>
      <c r="T109"/>
    </row>
    <row r="110" spans="1:20" x14ac:dyDescent="0.25">
      <c r="A110" s="14">
        <v>483914</v>
      </c>
      <c r="B110" s="14" t="s">
        <v>247</v>
      </c>
      <c r="C110" s="14" t="s">
        <v>13030</v>
      </c>
      <c r="D110" s="15">
        <v>5.31</v>
      </c>
      <c r="E110" s="14" t="s">
        <v>20</v>
      </c>
      <c r="H110" s="30" t="s">
        <v>60</v>
      </c>
      <c r="I110" s="30" t="s">
        <v>60</v>
      </c>
      <c r="J110" s="30" t="s">
        <v>12943</v>
      </c>
      <c r="L110"/>
      <c r="T110"/>
    </row>
    <row r="111" spans="1:20" x14ac:dyDescent="0.25">
      <c r="A111" s="14">
        <v>964925002</v>
      </c>
      <c r="B111" s="14" t="s">
        <v>248</v>
      </c>
      <c r="C111" s="14" t="s">
        <v>13030</v>
      </c>
      <c r="D111" s="15">
        <v>24.22</v>
      </c>
      <c r="E111" s="16" t="s">
        <v>20</v>
      </c>
      <c r="L111"/>
      <c r="T111"/>
    </row>
    <row r="112" spans="1:20" x14ac:dyDescent="0.25">
      <c r="A112" s="14">
        <v>964925003</v>
      </c>
      <c r="B112" s="14" t="s">
        <v>249</v>
      </c>
      <c r="C112" s="14" t="s">
        <v>13030</v>
      </c>
      <c r="D112" s="15">
        <v>25.5</v>
      </c>
      <c r="E112" s="16" t="s">
        <v>20</v>
      </c>
      <c r="L112"/>
      <c r="T112"/>
    </row>
    <row r="113" spans="1:20" x14ac:dyDescent="0.25">
      <c r="A113" s="14">
        <v>515988</v>
      </c>
      <c r="B113" s="14" t="s">
        <v>250</v>
      </c>
      <c r="C113" s="14" t="s">
        <v>13030</v>
      </c>
      <c r="D113" s="15">
        <v>41.22</v>
      </c>
      <c r="E113" s="16" t="s">
        <v>20</v>
      </c>
      <c r="L113"/>
      <c r="T113"/>
    </row>
    <row r="114" spans="1:20" x14ac:dyDescent="0.25">
      <c r="A114" s="14">
        <v>987346001</v>
      </c>
      <c r="B114" s="14" t="s">
        <v>251</v>
      </c>
      <c r="C114" s="14" t="s">
        <v>13031</v>
      </c>
      <c r="D114" s="15">
        <v>12.22</v>
      </c>
      <c r="E114" s="16" t="s">
        <v>20</v>
      </c>
      <c r="L114"/>
      <c r="T114"/>
    </row>
    <row r="115" spans="1:20" x14ac:dyDescent="0.25">
      <c r="A115" s="14">
        <v>987346002</v>
      </c>
      <c r="B115" s="14" t="s">
        <v>252</v>
      </c>
      <c r="C115" s="14" t="s">
        <v>13031</v>
      </c>
      <c r="D115" s="15" t="e">
        <v>#N/A</v>
      </c>
      <c r="E115" s="16" t="s">
        <v>20</v>
      </c>
      <c r="L115"/>
      <c r="T115"/>
    </row>
    <row r="116" spans="1:20" x14ac:dyDescent="0.25">
      <c r="A116" s="14">
        <v>713720</v>
      </c>
      <c r="B116" s="14" t="s">
        <v>253</v>
      </c>
      <c r="C116" s="14" t="s">
        <v>13030</v>
      </c>
      <c r="D116" s="15">
        <v>4.6900000000000004</v>
      </c>
      <c r="E116" s="14" t="s">
        <v>20</v>
      </c>
      <c r="L116"/>
      <c r="T116"/>
    </row>
    <row r="117" spans="1:20" x14ac:dyDescent="0.25">
      <c r="A117" s="14">
        <v>768054</v>
      </c>
      <c r="B117" s="14" t="s">
        <v>254</v>
      </c>
      <c r="C117" s="14" t="s">
        <v>13030</v>
      </c>
      <c r="D117" s="15">
        <v>14.29</v>
      </c>
      <c r="E117" s="14" t="s">
        <v>20</v>
      </c>
      <c r="L117"/>
      <c r="T117"/>
    </row>
    <row r="118" spans="1:20" x14ac:dyDescent="0.25">
      <c r="A118" s="14">
        <v>768055</v>
      </c>
      <c r="B118" s="14" t="s">
        <v>255</v>
      </c>
      <c r="C118" s="14" t="s">
        <v>13030</v>
      </c>
      <c r="D118" s="15">
        <v>13.67</v>
      </c>
      <c r="E118" s="14" t="s">
        <v>20</v>
      </c>
      <c r="L118"/>
      <c r="T118"/>
    </row>
    <row r="119" spans="1:20" x14ac:dyDescent="0.25">
      <c r="A119" s="14">
        <v>929127</v>
      </c>
      <c r="B119" s="14" t="s">
        <v>256</v>
      </c>
      <c r="C119" s="14" t="s">
        <v>13030</v>
      </c>
      <c r="D119" s="15">
        <v>33.130000000000003</v>
      </c>
      <c r="E119" s="14" t="s">
        <v>20</v>
      </c>
      <c r="L119"/>
      <c r="T119"/>
    </row>
    <row r="120" spans="1:20" x14ac:dyDescent="0.25">
      <c r="A120" s="14">
        <v>929128</v>
      </c>
      <c r="B120" s="14" t="s">
        <v>257</v>
      </c>
      <c r="C120" s="14" t="s">
        <v>13030</v>
      </c>
      <c r="D120" s="15">
        <v>33.130000000000003</v>
      </c>
      <c r="E120" s="14" t="s">
        <v>20</v>
      </c>
      <c r="L120"/>
      <c r="T120"/>
    </row>
    <row r="121" spans="1:20" x14ac:dyDescent="0.25">
      <c r="A121" s="14">
        <v>930957</v>
      </c>
      <c r="B121" s="14" t="s">
        <v>258</v>
      </c>
      <c r="C121" s="14" t="s">
        <v>13030</v>
      </c>
      <c r="D121" s="15">
        <v>24.59</v>
      </c>
      <c r="E121" s="14" t="s">
        <v>20</v>
      </c>
      <c r="L121"/>
      <c r="T121"/>
    </row>
    <row r="122" spans="1:20" x14ac:dyDescent="0.25">
      <c r="A122" s="14">
        <v>942494</v>
      </c>
      <c r="B122" s="14" t="s">
        <v>259</v>
      </c>
      <c r="C122" s="14" t="s">
        <v>13031</v>
      </c>
      <c r="D122" s="15">
        <v>2.13</v>
      </c>
      <c r="E122" s="16" t="s">
        <v>20</v>
      </c>
      <c r="L122"/>
      <c r="T122"/>
    </row>
    <row r="123" spans="1:20" x14ac:dyDescent="0.25">
      <c r="A123" s="14">
        <v>972622</v>
      </c>
      <c r="B123" s="14" t="s">
        <v>260</v>
      </c>
      <c r="C123" s="14" t="s">
        <v>13030</v>
      </c>
      <c r="D123" s="15">
        <v>25.77</v>
      </c>
      <c r="E123" s="14" t="s">
        <v>20</v>
      </c>
      <c r="L123"/>
      <c r="T123"/>
    </row>
    <row r="124" spans="1:20" x14ac:dyDescent="0.25">
      <c r="A124" s="14">
        <v>972623</v>
      </c>
      <c r="B124" s="14" t="s">
        <v>261</v>
      </c>
      <c r="C124" s="14" t="s">
        <v>13030</v>
      </c>
      <c r="D124" s="15">
        <v>32.700000000000003</v>
      </c>
      <c r="E124" s="14" t="s">
        <v>20</v>
      </c>
      <c r="L124"/>
      <c r="T124"/>
    </row>
    <row r="125" spans="1:20" x14ac:dyDescent="0.25">
      <c r="A125" s="14">
        <v>972624</v>
      </c>
      <c r="B125" s="14" t="s">
        <v>262</v>
      </c>
      <c r="C125" s="14" t="s">
        <v>13030</v>
      </c>
      <c r="D125" s="15">
        <v>70.53</v>
      </c>
      <c r="E125" s="14" t="s">
        <v>20</v>
      </c>
      <c r="L125"/>
      <c r="T125"/>
    </row>
    <row r="126" spans="1:20" x14ac:dyDescent="0.25">
      <c r="A126" s="14">
        <v>973205</v>
      </c>
      <c r="B126" s="14" t="s">
        <v>263</v>
      </c>
      <c r="C126" s="14" t="s">
        <v>13030</v>
      </c>
      <c r="D126" s="15">
        <v>6.88</v>
      </c>
      <c r="E126" s="16" t="s">
        <v>20</v>
      </c>
      <c r="L126"/>
      <c r="T126"/>
    </row>
    <row r="127" spans="1:20" x14ac:dyDescent="0.25">
      <c r="A127" s="14">
        <v>973206</v>
      </c>
      <c r="B127" s="14" t="s">
        <v>264</v>
      </c>
      <c r="C127" s="14" t="s">
        <v>13030</v>
      </c>
      <c r="D127" s="15">
        <v>8</v>
      </c>
      <c r="E127" s="16" t="s">
        <v>20</v>
      </c>
      <c r="L127"/>
      <c r="T127"/>
    </row>
    <row r="128" spans="1:20" x14ac:dyDescent="0.25">
      <c r="A128" s="14">
        <v>975131</v>
      </c>
      <c r="B128" s="14" t="s">
        <v>265</v>
      </c>
      <c r="C128" s="14" t="s">
        <v>13030</v>
      </c>
      <c r="D128" s="15">
        <v>296.61</v>
      </c>
      <c r="E128" s="16" t="s">
        <v>20</v>
      </c>
      <c r="L128"/>
      <c r="T128"/>
    </row>
    <row r="129" spans="1:20" x14ac:dyDescent="0.25">
      <c r="A129" s="14">
        <v>976848</v>
      </c>
      <c r="B129" s="14" t="s">
        <v>266</v>
      </c>
      <c r="C129" s="14" t="s">
        <v>13031</v>
      </c>
      <c r="D129" s="15">
        <v>4.22</v>
      </c>
      <c r="E129" s="14" t="s">
        <v>20</v>
      </c>
      <c r="L129"/>
      <c r="T129"/>
    </row>
    <row r="130" spans="1:20" x14ac:dyDescent="0.25">
      <c r="A130" s="14">
        <v>3202</v>
      </c>
      <c r="B130" s="14" t="s">
        <v>267</v>
      </c>
      <c r="C130" s="14" t="s">
        <v>13031</v>
      </c>
      <c r="D130" s="15">
        <v>5</v>
      </c>
      <c r="E130" s="16" t="s">
        <v>20</v>
      </c>
      <c r="L130"/>
      <c r="T130"/>
    </row>
    <row r="131" spans="1:20" x14ac:dyDescent="0.25">
      <c r="A131" s="14">
        <v>3282</v>
      </c>
      <c r="B131" s="14" t="s">
        <v>268</v>
      </c>
      <c r="C131" s="14" t="s">
        <v>13031</v>
      </c>
      <c r="D131" s="15">
        <v>2.5</v>
      </c>
      <c r="E131" s="16" t="s">
        <v>20</v>
      </c>
      <c r="L131"/>
      <c r="T131"/>
    </row>
    <row r="132" spans="1:20" x14ac:dyDescent="0.25">
      <c r="A132" s="14">
        <v>3283</v>
      </c>
      <c r="B132" s="14" t="s">
        <v>128</v>
      </c>
      <c r="C132" s="14" t="s">
        <v>13031</v>
      </c>
      <c r="D132" s="15">
        <v>5</v>
      </c>
      <c r="E132" s="16" t="s">
        <v>20</v>
      </c>
      <c r="L132"/>
      <c r="T132"/>
    </row>
    <row r="133" spans="1:20" x14ac:dyDescent="0.25">
      <c r="A133" s="14">
        <v>3286</v>
      </c>
      <c r="B133" s="14" t="s">
        <v>269</v>
      </c>
      <c r="C133" s="14" t="s">
        <v>13031</v>
      </c>
      <c r="D133" s="15">
        <v>2.5</v>
      </c>
      <c r="E133" s="16" t="s">
        <v>20</v>
      </c>
      <c r="L133"/>
      <c r="T133"/>
    </row>
    <row r="134" spans="1:20" x14ac:dyDescent="0.25">
      <c r="A134" s="14">
        <v>3287</v>
      </c>
      <c r="B134" s="14" t="s">
        <v>270</v>
      </c>
      <c r="C134" s="14" t="s">
        <v>13031</v>
      </c>
      <c r="D134" s="15">
        <v>5</v>
      </c>
      <c r="E134" s="16" t="s">
        <v>20</v>
      </c>
      <c r="L134"/>
      <c r="T134"/>
    </row>
    <row r="135" spans="1:20" x14ac:dyDescent="0.25">
      <c r="A135" s="14">
        <v>3289</v>
      </c>
      <c r="B135" s="14" t="s">
        <v>271</v>
      </c>
      <c r="C135" s="14" t="s">
        <v>13031</v>
      </c>
      <c r="D135" s="15">
        <v>5</v>
      </c>
      <c r="E135" s="16" t="s">
        <v>20</v>
      </c>
      <c r="L135"/>
      <c r="T135"/>
    </row>
    <row r="136" spans="1:20" x14ac:dyDescent="0.25">
      <c r="A136" s="14">
        <v>3378</v>
      </c>
      <c r="B136" s="14" t="s">
        <v>272</v>
      </c>
      <c r="C136" s="14" t="s">
        <v>13031</v>
      </c>
      <c r="D136" s="15">
        <v>10.36</v>
      </c>
      <c r="E136" s="16" t="s">
        <v>20</v>
      </c>
      <c r="L136"/>
      <c r="T136"/>
    </row>
    <row r="137" spans="1:20" x14ac:dyDescent="0.25">
      <c r="A137" s="14">
        <v>3385</v>
      </c>
      <c r="B137" s="14" t="s">
        <v>273</v>
      </c>
      <c r="C137" s="14" t="s">
        <v>13031</v>
      </c>
      <c r="D137" s="15">
        <v>7.5</v>
      </c>
      <c r="E137" s="16" t="s">
        <v>20</v>
      </c>
      <c r="L137"/>
      <c r="T137"/>
    </row>
    <row r="138" spans="1:20" x14ac:dyDescent="0.25">
      <c r="A138" s="14">
        <v>3386</v>
      </c>
      <c r="B138" s="14" t="s">
        <v>274</v>
      </c>
      <c r="C138" s="14" t="s">
        <v>13031</v>
      </c>
      <c r="D138" s="15">
        <v>14.87</v>
      </c>
      <c r="E138" s="16" t="s">
        <v>20</v>
      </c>
      <c r="L138"/>
      <c r="T138"/>
    </row>
    <row r="139" spans="1:20" x14ac:dyDescent="0.25">
      <c r="A139" s="14">
        <v>3389</v>
      </c>
      <c r="B139" s="14" t="s">
        <v>275</v>
      </c>
      <c r="C139" s="14" t="s">
        <v>13031</v>
      </c>
      <c r="D139" s="15">
        <v>10.36</v>
      </c>
      <c r="E139" s="16" t="s">
        <v>20</v>
      </c>
      <c r="L139"/>
      <c r="T139"/>
    </row>
    <row r="140" spans="1:20" x14ac:dyDescent="0.25">
      <c r="A140" s="14">
        <v>979230</v>
      </c>
      <c r="B140" s="14" t="s">
        <v>276</v>
      </c>
      <c r="C140" s="14" t="s">
        <v>13031</v>
      </c>
      <c r="D140" s="15">
        <v>20.7</v>
      </c>
      <c r="E140" s="16" t="s">
        <v>20</v>
      </c>
      <c r="L140"/>
      <c r="T140"/>
    </row>
    <row r="141" spans="1:20" x14ac:dyDescent="0.25">
      <c r="A141" s="14">
        <v>979231</v>
      </c>
      <c r="B141" s="14" t="s">
        <v>277</v>
      </c>
      <c r="C141" s="14" t="s">
        <v>13031</v>
      </c>
      <c r="D141" s="15">
        <v>38.56</v>
      </c>
      <c r="E141" s="14" t="s">
        <v>20</v>
      </c>
      <c r="L141"/>
      <c r="T141"/>
    </row>
    <row r="142" spans="1:20" x14ac:dyDescent="0.25">
      <c r="A142" s="14">
        <v>979232</v>
      </c>
      <c r="B142" s="14" t="s">
        <v>278</v>
      </c>
      <c r="C142" s="14" t="s">
        <v>13031</v>
      </c>
      <c r="D142" s="15">
        <v>26.69</v>
      </c>
      <c r="E142" s="16" t="s">
        <v>20</v>
      </c>
      <c r="L142"/>
      <c r="T142"/>
    </row>
    <row r="143" spans="1:20" x14ac:dyDescent="0.25">
      <c r="A143" s="14">
        <v>979233</v>
      </c>
      <c r="B143" s="14" t="s">
        <v>279</v>
      </c>
      <c r="C143" s="14" t="s">
        <v>13031</v>
      </c>
      <c r="D143" s="15">
        <v>26.69</v>
      </c>
      <c r="E143" s="16" t="s">
        <v>20</v>
      </c>
      <c r="L143"/>
      <c r="T143"/>
    </row>
    <row r="144" spans="1:20" x14ac:dyDescent="0.25">
      <c r="A144" s="14">
        <v>979998</v>
      </c>
      <c r="B144" s="14" t="s">
        <v>280</v>
      </c>
      <c r="C144" s="14" t="s">
        <v>13030</v>
      </c>
      <c r="D144" s="15">
        <v>11.27</v>
      </c>
      <c r="E144" s="14" t="s">
        <v>20</v>
      </c>
      <c r="L144"/>
      <c r="T144"/>
    </row>
    <row r="145" spans="1:20" x14ac:dyDescent="0.25">
      <c r="A145" s="14">
        <v>979999</v>
      </c>
      <c r="B145" s="14" t="s">
        <v>281</v>
      </c>
      <c r="C145" s="14" t="s">
        <v>13030</v>
      </c>
      <c r="D145" s="15">
        <v>11.27</v>
      </c>
      <c r="E145" s="14" t="s">
        <v>20</v>
      </c>
      <c r="L145"/>
      <c r="T145"/>
    </row>
    <row r="146" spans="1:20" x14ac:dyDescent="0.25">
      <c r="A146" s="14">
        <v>986339</v>
      </c>
      <c r="B146" s="14" t="s">
        <v>282</v>
      </c>
      <c r="C146" s="14" t="s">
        <v>13031</v>
      </c>
      <c r="D146" s="15">
        <v>29.07</v>
      </c>
      <c r="E146" s="16" t="s">
        <v>20</v>
      </c>
      <c r="L146"/>
      <c r="T146"/>
    </row>
    <row r="147" spans="1:20" x14ac:dyDescent="0.25">
      <c r="A147" s="14">
        <v>4227</v>
      </c>
      <c r="B147" s="14" t="s">
        <v>283</v>
      </c>
      <c r="C147" s="14" t="s">
        <v>13031</v>
      </c>
      <c r="D147" s="15">
        <v>4</v>
      </c>
      <c r="E147" s="16" t="s">
        <v>20</v>
      </c>
      <c r="L147"/>
      <c r="T147"/>
    </row>
    <row r="148" spans="1:20" x14ac:dyDescent="0.25">
      <c r="A148" s="14">
        <v>990019</v>
      </c>
      <c r="B148" s="14" t="s">
        <v>284</v>
      </c>
      <c r="C148" s="14" t="s">
        <v>13031</v>
      </c>
      <c r="D148" s="15">
        <v>38.56</v>
      </c>
      <c r="E148" s="14" t="s">
        <v>20</v>
      </c>
      <c r="L148"/>
      <c r="T148"/>
    </row>
    <row r="149" spans="1:20" x14ac:dyDescent="0.25">
      <c r="A149" s="14">
        <v>49072001</v>
      </c>
      <c r="B149" s="14" t="s">
        <v>285</v>
      </c>
      <c r="C149" s="14" t="s">
        <v>13030</v>
      </c>
      <c r="D149" s="15">
        <v>281.61</v>
      </c>
      <c r="E149" s="16" t="s">
        <v>20</v>
      </c>
      <c r="L149"/>
      <c r="T149"/>
    </row>
    <row r="150" spans="1:20" x14ac:dyDescent="0.25">
      <c r="A150" s="14">
        <v>4228</v>
      </c>
      <c r="B150" s="14" t="s">
        <v>286</v>
      </c>
      <c r="C150" s="14" t="s">
        <v>13031</v>
      </c>
      <c r="D150" s="15">
        <v>5.5</v>
      </c>
      <c r="E150" s="16" t="s">
        <v>20</v>
      </c>
      <c r="L150"/>
      <c r="T150"/>
    </row>
    <row r="151" spans="1:20" x14ac:dyDescent="0.25">
      <c r="A151" s="14">
        <v>4229</v>
      </c>
      <c r="B151" s="14" t="s">
        <v>287</v>
      </c>
      <c r="C151" s="14" t="s">
        <v>13031</v>
      </c>
      <c r="D151" s="15">
        <v>5</v>
      </c>
      <c r="E151" s="16" t="s">
        <v>20</v>
      </c>
      <c r="L151"/>
      <c r="T151"/>
    </row>
    <row r="152" spans="1:20" x14ac:dyDescent="0.25">
      <c r="A152" s="14">
        <v>4231</v>
      </c>
      <c r="B152" s="14" t="s">
        <v>288</v>
      </c>
      <c r="C152" s="14" t="s">
        <v>13031</v>
      </c>
      <c r="D152" s="15">
        <v>7</v>
      </c>
      <c r="E152" s="16" t="s">
        <v>20</v>
      </c>
      <c r="L152"/>
      <c r="T152"/>
    </row>
    <row r="153" spans="1:20" x14ac:dyDescent="0.25">
      <c r="A153" s="14">
        <v>4235</v>
      </c>
      <c r="B153" s="14" t="s">
        <v>289</v>
      </c>
      <c r="C153" s="14" t="s">
        <v>13031</v>
      </c>
      <c r="D153" s="15">
        <v>5.9</v>
      </c>
      <c r="E153" s="16" t="s">
        <v>20</v>
      </c>
      <c r="L153"/>
      <c r="T153"/>
    </row>
    <row r="154" spans="1:20" x14ac:dyDescent="0.25">
      <c r="A154" s="14">
        <v>733974001</v>
      </c>
      <c r="B154" s="14" t="s">
        <v>290</v>
      </c>
      <c r="C154" s="14" t="s">
        <v>13030</v>
      </c>
      <c r="D154" s="15">
        <v>18.98</v>
      </c>
      <c r="E154" s="16" t="s">
        <v>20</v>
      </c>
      <c r="L154"/>
      <c r="T154"/>
    </row>
    <row r="155" spans="1:20" x14ac:dyDescent="0.25">
      <c r="A155" s="14">
        <v>577306</v>
      </c>
      <c r="B155" s="14" t="s">
        <v>291</v>
      </c>
      <c r="C155" s="14" t="s">
        <v>13030</v>
      </c>
      <c r="D155" s="15">
        <v>47.23</v>
      </c>
      <c r="E155" s="16" t="s">
        <v>30</v>
      </c>
      <c r="L155"/>
      <c r="T155"/>
    </row>
    <row r="156" spans="1:20" x14ac:dyDescent="0.25">
      <c r="A156" s="14">
        <v>702367</v>
      </c>
      <c r="B156" s="14" t="s">
        <v>292</v>
      </c>
      <c r="C156" s="14" t="s">
        <v>13030</v>
      </c>
      <c r="D156" s="15">
        <v>83.65</v>
      </c>
      <c r="E156" s="16" t="s">
        <v>30</v>
      </c>
      <c r="L156"/>
      <c r="T156"/>
    </row>
    <row r="157" spans="1:20" x14ac:dyDescent="0.25">
      <c r="A157" s="14">
        <v>946617</v>
      </c>
      <c r="B157" s="14" t="s">
        <v>293</v>
      </c>
      <c r="C157" s="14" t="s">
        <v>13030</v>
      </c>
      <c r="D157" s="15">
        <v>83.21</v>
      </c>
      <c r="E157" s="16" t="s">
        <v>30</v>
      </c>
      <c r="L157"/>
      <c r="T157"/>
    </row>
    <row r="158" spans="1:20" x14ac:dyDescent="0.25">
      <c r="A158" s="14">
        <v>947971</v>
      </c>
      <c r="B158" s="14" t="s">
        <v>294</v>
      </c>
      <c r="C158" s="14" t="s">
        <v>13030</v>
      </c>
      <c r="D158" s="15">
        <v>44.53</v>
      </c>
      <c r="E158" s="16" t="s">
        <v>30</v>
      </c>
      <c r="L158"/>
      <c r="T158"/>
    </row>
    <row r="159" spans="1:20" x14ac:dyDescent="0.25">
      <c r="A159" s="14">
        <v>733974002</v>
      </c>
      <c r="B159" s="14" t="s">
        <v>295</v>
      </c>
      <c r="C159" s="14" t="s">
        <v>13030</v>
      </c>
      <c r="D159" s="15">
        <v>18.98</v>
      </c>
      <c r="E159" s="16" t="s">
        <v>20</v>
      </c>
      <c r="L159"/>
      <c r="T159"/>
    </row>
    <row r="160" spans="1:20" x14ac:dyDescent="0.25">
      <c r="A160" s="14">
        <v>4236</v>
      </c>
      <c r="B160" s="14" t="s">
        <v>296</v>
      </c>
      <c r="C160" s="14" t="s">
        <v>13031</v>
      </c>
      <c r="D160" s="15">
        <v>3</v>
      </c>
      <c r="E160" s="16" t="s">
        <v>20</v>
      </c>
      <c r="L160"/>
      <c r="T160"/>
    </row>
    <row r="161" spans="1:20" x14ac:dyDescent="0.25">
      <c r="A161" s="14">
        <v>954669</v>
      </c>
      <c r="B161" s="14" t="s">
        <v>297</v>
      </c>
      <c r="C161" s="14" t="s">
        <v>13030</v>
      </c>
      <c r="D161" s="15">
        <v>308.31</v>
      </c>
      <c r="E161" s="16" t="s">
        <v>30</v>
      </c>
      <c r="L161"/>
      <c r="T161"/>
    </row>
    <row r="162" spans="1:20" x14ac:dyDescent="0.25">
      <c r="A162" s="14">
        <v>954670</v>
      </c>
      <c r="B162" s="14" t="s">
        <v>298</v>
      </c>
      <c r="C162" s="14" t="s">
        <v>13030</v>
      </c>
      <c r="D162" s="15">
        <v>297.7</v>
      </c>
      <c r="E162" s="16" t="s">
        <v>30</v>
      </c>
      <c r="L162"/>
      <c r="T162"/>
    </row>
    <row r="163" spans="1:20" x14ac:dyDescent="0.25">
      <c r="A163" s="14">
        <v>733974003</v>
      </c>
      <c r="B163" s="14" t="s">
        <v>299</v>
      </c>
      <c r="C163" s="14" t="s">
        <v>13030</v>
      </c>
      <c r="D163" s="15">
        <v>18.98</v>
      </c>
      <c r="E163" s="14" t="s">
        <v>20</v>
      </c>
      <c r="L163"/>
      <c r="T163"/>
    </row>
    <row r="164" spans="1:20" x14ac:dyDescent="0.25">
      <c r="A164" s="14">
        <v>1027857</v>
      </c>
      <c r="B164" s="14" t="s">
        <v>300</v>
      </c>
      <c r="C164" s="14" t="s">
        <v>13030</v>
      </c>
      <c r="D164" s="15">
        <v>47.88</v>
      </c>
      <c r="E164" s="14" t="s">
        <v>30</v>
      </c>
      <c r="L164"/>
      <c r="T164"/>
    </row>
    <row r="165" spans="1:20" x14ac:dyDescent="0.25">
      <c r="A165" s="14">
        <v>1027858</v>
      </c>
      <c r="B165" s="14" t="s">
        <v>301</v>
      </c>
      <c r="C165" s="14" t="s">
        <v>13030</v>
      </c>
      <c r="D165" s="15">
        <v>47.88</v>
      </c>
      <c r="E165" s="14" t="s">
        <v>30</v>
      </c>
      <c r="L165"/>
      <c r="T165"/>
    </row>
    <row r="166" spans="1:20" x14ac:dyDescent="0.25">
      <c r="A166" s="14">
        <v>49071001</v>
      </c>
      <c r="B166" s="14" t="s">
        <v>302</v>
      </c>
      <c r="C166" s="14" t="s">
        <v>13030</v>
      </c>
      <c r="D166" s="15">
        <v>47.23</v>
      </c>
      <c r="E166" s="16" t="s">
        <v>30</v>
      </c>
      <c r="L166"/>
      <c r="T166"/>
    </row>
    <row r="167" spans="1:20" x14ac:dyDescent="0.25">
      <c r="A167" s="14">
        <v>49072002</v>
      </c>
      <c r="B167" s="14" t="s">
        <v>303</v>
      </c>
      <c r="C167" s="14" t="s">
        <v>13030</v>
      </c>
      <c r="D167" s="15">
        <v>286.14</v>
      </c>
      <c r="E167" s="14" t="s">
        <v>30</v>
      </c>
      <c r="L167"/>
      <c r="T167"/>
    </row>
    <row r="168" spans="1:20" x14ac:dyDescent="0.25">
      <c r="A168" s="14">
        <v>49073001</v>
      </c>
      <c r="B168" s="14" t="s">
        <v>304</v>
      </c>
      <c r="C168" s="14" t="s">
        <v>13030</v>
      </c>
      <c r="D168" s="15">
        <v>55.69</v>
      </c>
      <c r="E168" s="16" t="s">
        <v>30</v>
      </c>
      <c r="L168"/>
      <c r="T168"/>
    </row>
    <row r="169" spans="1:20" x14ac:dyDescent="0.25">
      <c r="A169" s="14">
        <v>49074002</v>
      </c>
      <c r="B169" s="14" t="s">
        <v>305</v>
      </c>
      <c r="C169" s="14" t="s">
        <v>13030</v>
      </c>
      <c r="D169" s="15">
        <v>32.76</v>
      </c>
      <c r="E169" s="16" t="s">
        <v>30</v>
      </c>
      <c r="L169"/>
      <c r="T169"/>
    </row>
    <row r="170" spans="1:20" x14ac:dyDescent="0.25">
      <c r="A170" s="14">
        <v>64210</v>
      </c>
      <c r="B170" s="14" t="s">
        <v>306</v>
      </c>
      <c r="C170" s="14" t="s">
        <v>13030</v>
      </c>
      <c r="D170" s="15">
        <v>69.89</v>
      </c>
      <c r="E170" s="16" t="s">
        <v>30</v>
      </c>
      <c r="L170"/>
      <c r="T170"/>
    </row>
    <row r="171" spans="1:20" x14ac:dyDescent="0.25">
      <c r="A171" s="14">
        <v>902148</v>
      </c>
      <c r="B171" s="14" t="s">
        <v>307</v>
      </c>
      <c r="C171" s="14" t="s">
        <v>13030</v>
      </c>
      <c r="D171" s="15">
        <v>45.03</v>
      </c>
      <c r="E171" s="16" t="s">
        <v>30</v>
      </c>
      <c r="L171"/>
      <c r="T171"/>
    </row>
    <row r="172" spans="1:20" x14ac:dyDescent="0.25">
      <c r="A172" s="14">
        <v>966937</v>
      </c>
      <c r="B172" s="14" t="s">
        <v>308</v>
      </c>
      <c r="C172" s="14" t="s">
        <v>13030</v>
      </c>
      <c r="D172" s="15">
        <v>61.87</v>
      </c>
      <c r="E172" s="16" t="s">
        <v>30</v>
      </c>
      <c r="L172"/>
      <c r="T172"/>
    </row>
    <row r="173" spans="1:20" x14ac:dyDescent="0.25">
      <c r="A173" s="14">
        <v>929997001</v>
      </c>
      <c r="B173" s="14" t="s">
        <v>309</v>
      </c>
      <c r="C173" s="14" t="s">
        <v>13030</v>
      </c>
      <c r="D173" s="15">
        <v>34.58</v>
      </c>
      <c r="E173" s="16" t="s">
        <v>30</v>
      </c>
      <c r="L173"/>
      <c r="T173"/>
    </row>
    <row r="174" spans="1:20" x14ac:dyDescent="0.25">
      <c r="A174" s="14">
        <v>929997002</v>
      </c>
      <c r="B174" s="14" t="s">
        <v>310</v>
      </c>
      <c r="C174" s="14" t="s">
        <v>13030</v>
      </c>
      <c r="D174" s="15">
        <v>39.75</v>
      </c>
      <c r="E174" s="16" t="s">
        <v>30</v>
      </c>
      <c r="L174"/>
      <c r="T174"/>
    </row>
    <row r="175" spans="1:20" x14ac:dyDescent="0.25">
      <c r="A175" s="14">
        <v>929997003</v>
      </c>
      <c r="B175" s="14" t="s">
        <v>311</v>
      </c>
      <c r="C175" s="14" t="s">
        <v>13030</v>
      </c>
      <c r="D175" s="15">
        <v>39.75</v>
      </c>
      <c r="E175" s="16" t="s">
        <v>30</v>
      </c>
      <c r="L175"/>
      <c r="T175"/>
    </row>
    <row r="176" spans="1:20" x14ac:dyDescent="0.25">
      <c r="A176" s="14">
        <v>929998001</v>
      </c>
      <c r="B176" s="14" t="s">
        <v>312</v>
      </c>
      <c r="C176" s="14" t="s">
        <v>13030</v>
      </c>
      <c r="D176" s="15">
        <v>39.75</v>
      </c>
      <c r="E176" s="16" t="s">
        <v>30</v>
      </c>
      <c r="L176"/>
      <c r="T176"/>
    </row>
    <row r="177" spans="1:20" x14ac:dyDescent="0.25">
      <c r="A177" s="14">
        <v>966936001</v>
      </c>
      <c r="B177" s="14" t="s">
        <v>313</v>
      </c>
      <c r="C177" s="14" t="s">
        <v>13030</v>
      </c>
      <c r="D177" s="15">
        <v>61.87</v>
      </c>
      <c r="E177" s="16" t="s">
        <v>30</v>
      </c>
      <c r="L177"/>
      <c r="T177"/>
    </row>
    <row r="178" spans="1:20" x14ac:dyDescent="0.25">
      <c r="A178" s="14">
        <v>966936002</v>
      </c>
      <c r="B178" s="14" t="s">
        <v>314</v>
      </c>
      <c r="C178" s="14" t="s">
        <v>13030</v>
      </c>
      <c r="D178" s="15">
        <v>61.87</v>
      </c>
      <c r="E178" s="16" t="s">
        <v>30</v>
      </c>
      <c r="L178"/>
      <c r="T178"/>
    </row>
    <row r="179" spans="1:20" x14ac:dyDescent="0.25">
      <c r="A179" s="14">
        <v>966936003</v>
      </c>
      <c r="B179" s="14" t="s">
        <v>315</v>
      </c>
      <c r="C179" s="14" t="s">
        <v>13030</v>
      </c>
      <c r="D179" s="15">
        <v>61.87</v>
      </c>
      <c r="E179" s="16" t="s">
        <v>30</v>
      </c>
      <c r="L179"/>
      <c r="T179"/>
    </row>
    <row r="180" spans="1:20" x14ac:dyDescent="0.25">
      <c r="A180" s="14">
        <v>71685</v>
      </c>
      <c r="B180" s="14" t="s">
        <v>316</v>
      </c>
      <c r="C180" s="14" t="s">
        <v>13030</v>
      </c>
      <c r="D180" s="15">
        <v>63.75</v>
      </c>
      <c r="E180" s="16" t="s">
        <v>30</v>
      </c>
      <c r="L180"/>
      <c r="T180"/>
    </row>
    <row r="181" spans="1:20" x14ac:dyDescent="0.25">
      <c r="A181" s="14">
        <v>492072</v>
      </c>
      <c r="B181" s="14" t="s">
        <v>317</v>
      </c>
      <c r="C181" s="14" t="s">
        <v>13030</v>
      </c>
      <c r="D181" s="15">
        <v>82.38</v>
      </c>
      <c r="E181" s="16" t="s">
        <v>30</v>
      </c>
      <c r="L181"/>
      <c r="T181"/>
    </row>
    <row r="182" spans="1:20" x14ac:dyDescent="0.25">
      <c r="A182" s="14">
        <v>973060</v>
      </c>
      <c r="B182" s="14" t="s">
        <v>318</v>
      </c>
      <c r="C182" s="14" t="s">
        <v>13030</v>
      </c>
      <c r="D182" s="15">
        <v>61.15</v>
      </c>
      <c r="E182" s="16" t="s">
        <v>30</v>
      </c>
      <c r="L182"/>
      <c r="T182"/>
    </row>
    <row r="183" spans="1:20" x14ac:dyDescent="0.25">
      <c r="A183" s="14">
        <v>141285002</v>
      </c>
      <c r="B183" s="14" t="s">
        <v>319</v>
      </c>
      <c r="C183" s="14" t="s">
        <v>13030</v>
      </c>
      <c r="D183" s="15">
        <v>33.19</v>
      </c>
      <c r="E183" s="16" t="s">
        <v>30</v>
      </c>
      <c r="L183"/>
      <c r="T183"/>
    </row>
    <row r="184" spans="1:20" x14ac:dyDescent="0.25">
      <c r="A184" s="14">
        <v>479300001</v>
      </c>
      <c r="B184" s="14" t="s">
        <v>320</v>
      </c>
      <c r="C184" s="14" t="s">
        <v>13030</v>
      </c>
      <c r="D184" s="15">
        <v>34.9</v>
      </c>
      <c r="E184" s="16" t="s">
        <v>30</v>
      </c>
      <c r="L184"/>
      <c r="T184"/>
    </row>
    <row r="185" spans="1:20" x14ac:dyDescent="0.25">
      <c r="A185" s="14">
        <v>10458</v>
      </c>
      <c r="B185" s="14" t="s">
        <v>321</v>
      </c>
      <c r="C185" s="14" t="s">
        <v>13030</v>
      </c>
      <c r="D185" s="15">
        <v>76.53</v>
      </c>
      <c r="E185" s="16" t="s">
        <v>30</v>
      </c>
      <c r="L185"/>
      <c r="T185"/>
    </row>
    <row r="186" spans="1:20" x14ac:dyDescent="0.25">
      <c r="A186" s="14">
        <v>41344</v>
      </c>
      <c r="B186" s="14" t="s">
        <v>322</v>
      </c>
      <c r="C186" s="14" t="s">
        <v>13030</v>
      </c>
      <c r="D186" s="15">
        <v>44.88</v>
      </c>
      <c r="E186" s="16" t="s">
        <v>30</v>
      </c>
      <c r="L186"/>
      <c r="T186"/>
    </row>
    <row r="187" spans="1:20" x14ac:dyDescent="0.25">
      <c r="A187" s="14">
        <v>295360</v>
      </c>
      <c r="B187" s="14" t="s">
        <v>323</v>
      </c>
      <c r="C187" s="14" t="s">
        <v>13030</v>
      </c>
      <c r="D187" s="15">
        <v>33.19</v>
      </c>
      <c r="E187" s="16" t="s">
        <v>30</v>
      </c>
      <c r="L187"/>
      <c r="T187"/>
    </row>
    <row r="188" spans="1:20" x14ac:dyDescent="0.25">
      <c r="A188" s="14">
        <v>546975</v>
      </c>
      <c r="B188" s="14" t="s">
        <v>324</v>
      </c>
      <c r="C188" s="14" t="s">
        <v>13030</v>
      </c>
      <c r="D188" s="15">
        <v>218.83</v>
      </c>
      <c r="E188" s="16" t="s">
        <v>30</v>
      </c>
      <c r="L188"/>
      <c r="T188"/>
    </row>
    <row r="189" spans="1:20" x14ac:dyDescent="0.25">
      <c r="A189" s="14">
        <v>968763</v>
      </c>
      <c r="B189" s="14" t="s">
        <v>325</v>
      </c>
      <c r="C189" s="14" t="s">
        <v>13031</v>
      </c>
      <c r="D189" s="15">
        <v>10.37</v>
      </c>
      <c r="E189" s="14" t="s">
        <v>30</v>
      </c>
      <c r="L189"/>
      <c r="T189"/>
    </row>
    <row r="190" spans="1:20" x14ac:dyDescent="0.25">
      <c r="A190" s="14">
        <v>968764</v>
      </c>
      <c r="B190" s="14" t="s">
        <v>326</v>
      </c>
      <c r="C190" s="14" t="s">
        <v>13031</v>
      </c>
      <c r="D190" s="15">
        <v>14.23</v>
      </c>
      <c r="E190" s="16" t="s">
        <v>30</v>
      </c>
      <c r="L190"/>
      <c r="T190"/>
    </row>
    <row r="191" spans="1:20" x14ac:dyDescent="0.25">
      <c r="A191" s="14">
        <v>974363</v>
      </c>
      <c r="B191" s="14" t="s">
        <v>327</v>
      </c>
      <c r="C191" s="14" t="s">
        <v>13030</v>
      </c>
      <c r="D191" s="15">
        <v>30.44</v>
      </c>
      <c r="E191" s="16" t="s">
        <v>30</v>
      </c>
      <c r="L191"/>
      <c r="T191"/>
    </row>
    <row r="192" spans="1:20" x14ac:dyDescent="0.25">
      <c r="A192" s="14">
        <v>974364</v>
      </c>
      <c r="B192" s="14" t="s">
        <v>328</v>
      </c>
      <c r="C192" s="14" t="s">
        <v>13030</v>
      </c>
      <c r="D192" s="15">
        <v>41.46</v>
      </c>
      <c r="E192" s="16" t="s">
        <v>30</v>
      </c>
      <c r="L192"/>
      <c r="T192"/>
    </row>
    <row r="193" spans="1:20" x14ac:dyDescent="0.25">
      <c r="A193" s="14">
        <v>49094001</v>
      </c>
      <c r="B193" s="14" t="s">
        <v>329</v>
      </c>
      <c r="C193" s="14" t="s">
        <v>13030</v>
      </c>
      <c r="D193" s="15">
        <v>33.19</v>
      </c>
      <c r="E193" s="16" t="s">
        <v>30</v>
      </c>
      <c r="L193"/>
      <c r="T193"/>
    </row>
    <row r="194" spans="1:20" x14ac:dyDescent="0.25">
      <c r="A194" s="14">
        <v>929998002</v>
      </c>
      <c r="B194" s="14" t="s">
        <v>330</v>
      </c>
      <c r="C194" s="14" t="s">
        <v>13030</v>
      </c>
      <c r="D194" s="15">
        <v>39.75</v>
      </c>
      <c r="E194" s="16" t="s">
        <v>30</v>
      </c>
      <c r="L194"/>
      <c r="T194"/>
    </row>
    <row r="195" spans="1:20" x14ac:dyDescent="0.25">
      <c r="A195" s="14">
        <v>929998004</v>
      </c>
      <c r="B195" s="14" t="s">
        <v>331</v>
      </c>
      <c r="C195" s="14" t="s">
        <v>13030</v>
      </c>
      <c r="D195" s="15">
        <v>39.75</v>
      </c>
      <c r="E195" s="16" t="s">
        <v>30</v>
      </c>
      <c r="L195"/>
      <c r="T195"/>
    </row>
    <row r="196" spans="1:20" x14ac:dyDescent="0.25">
      <c r="A196" s="14">
        <v>243</v>
      </c>
      <c r="B196" s="14" t="s">
        <v>332</v>
      </c>
      <c r="C196" s="14" t="s">
        <v>13030</v>
      </c>
      <c r="D196" s="15">
        <v>7.22</v>
      </c>
      <c r="E196" s="16" t="s">
        <v>30</v>
      </c>
      <c r="L196"/>
      <c r="T196"/>
    </row>
    <row r="197" spans="1:20" x14ac:dyDescent="0.25">
      <c r="A197" s="14">
        <v>744</v>
      </c>
      <c r="B197" s="14" t="s">
        <v>333</v>
      </c>
      <c r="C197" s="14" t="s">
        <v>13030</v>
      </c>
      <c r="D197" s="15">
        <v>23.48</v>
      </c>
      <c r="E197" s="16" t="s">
        <v>30</v>
      </c>
      <c r="L197"/>
      <c r="T197"/>
    </row>
    <row r="198" spans="1:20" x14ac:dyDescent="0.25">
      <c r="A198" s="14">
        <v>4809</v>
      </c>
      <c r="B198" s="14" t="s">
        <v>334</v>
      </c>
      <c r="C198" s="14" t="s">
        <v>13031</v>
      </c>
      <c r="D198" s="15">
        <v>17</v>
      </c>
      <c r="E198" s="16" t="s">
        <v>30</v>
      </c>
      <c r="L198"/>
      <c r="T198"/>
    </row>
    <row r="199" spans="1:20" x14ac:dyDescent="0.25">
      <c r="A199" s="14">
        <v>4849</v>
      </c>
      <c r="B199" s="14" t="s">
        <v>335</v>
      </c>
      <c r="C199" s="14" t="s">
        <v>13031</v>
      </c>
      <c r="D199" s="15">
        <v>15.45</v>
      </c>
      <c r="E199" s="16" t="s">
        <v>30</v>
      </c>
      <c r="L199"/>
      <c r="T199"/>
    </row>
    <row r="200" spans="1:20" x14ac:dyDescent="0.25">
      <c r="A200" s="14">
        <v>4876</v>
      </c>
      <c r="B200" s="14" t="s">
        <v>336</v>
      </c>
      <c r="C200" s="14" t="s">
        <v>13031</v>
      </c>
      <c r="D200" s="15">
        <v>15.45</v>
      </c>
      <c r="E200" s="16" t="s">
        <v>30</v>
      </c>
      <c r="L200"/>
      <c r="T200"/>
    </row>
    <row r="201" spans="1:20" x14ac:dyDescent="0.25">
      <c r="A201" s="14">
        <v>13685</v>
      </c>
      <c r="B201" s="14" t="s">
        <v>337</v>
      </c>
      <c r="C201" s="14" t="s">
        <v>13031</v>
      </c>
      <c r="D201" s="15">
        <v>16.61</v>
      </c>
      <c r="E201" s="16" t="s">
        <v>30</v>
      </c>
      <c r="L201"/>
      <c r="T201"/>
    </row>
    <row r="202" spans="1:20" x14ac:dyDescent="0.25">
      <c r="A202" s="14">
        <v>25250</v>
      </c>
      <c r="B202" s="14" t="s">
        <v>338</v>
      </c>
      <c r="C202" s="14" t="s">
        <v>13031</v>
      </c>
      <c r="D202" s="15">
        <v>11.9</v>
      </c>
      <c r="E202" s="16" t="s">
        <v>30</v>
      </c>
      <c r="L202"/>
      <c r="T202"/>
    </row>
    <row r="203" spans="1:20" x14ac:dyDescent="0.25">
      <c r="A203" s="14">
        <v>3309</v>
      </c>
      <c r="B203" s="14" t="s">
        <v>339</v>
      </c>
      <c r="C203" s="14" t="s">
        <v>13031</v>
      </c>
      <c r="D203" s="15">
        <v>10.46</v>
      </c>
      <c r="E203" s="16" t="s">
        <v>30</v>
      </c>
      <c r="L203"/>
      <c r="T203"/>
    </row>
    <row r="204" spans="1:20" x14ac:dyDescent="0.25">
      <c r="A204" s="14">
        <v>3312</v>
      </c>
      <c r="B204" s="14" t="s">
        <v>340</v>
      </c>
      <c r="C204" s="14" t="s">
        <v>13031</v>
      </c>
      <c r="D204" s="15">
        <v>18.62</v>
      </c>
      <c r="E204" s="16" t="s">
        <v>30</v>
      </c>
      <c r="L204"/>
      <c r="T204"/>
    </row>
    <row r="205" spans="1:20" x14ac:dyDescent="0.25">
      <c r="A205" s="14">
        <v>3314</v>
      </c>
      <c r="B205" s="14" t="s">
        <v>341</v>
      </c>
      <c r="C205" s="14" t="s">
        <v>13031</v>
      </c>
      <c r="D205" s="15">
        <v>16.61</v>
      </c>
      <c r="E205" s="16" t="s">
        <v>30</v>
      </c>
      <c r="L205"/>
      <c r="T205"/>
    </row>
    <row r="206" spans="1:20" x14ac:dyDescent="0.25">
      <c r="A206" s="14">
        <v>75945</v>
      </c>
      <c r="B206" s="14" t="s">
        <v>342</v>
      </c>
      <c r="C206" s="14" t="s">
        <v>13031</v>
      </c>
      <c r="D206" s="15">
        <v>20.5</v>
      </c>
      <c r="E206" s="16" t="s">
        <v>30</v>
      </c>
      <c r="L206"/>
      <c r="T206"/>
    </row>
    <row r="207" spans="1:20" x14ac:dyDescent="0.25">
      <c r="A207" s="14">
        <v>87947</v>
      </c>
      <c r="B207" s="14" t="s">
        <v>343</v>
      </c>
      <c r="C207" s="14" t="s">
        <v>13031</v>
      </c>
      <c r="D207" s="15">
        <v>15.45</v>
      </c>
      <c r="E207" s="16" t="s">
        <v>30</v>
      </c>
      <c r="L207"/>
      <c r="T207"/>
    </row>
    <row r="208" spans="1:20" x14ac:dyDescent="0.25">
      <c r="A208" s="14">
        <v>92387</v>
      </c>
      <c r="B208" s="14" t="s">
        <v>344</v>
      </c>
      <c r="C208" s="14" t="s">
        <v>13031</v>
      </c>
      <c r="D208" s="15">
        <v>15.45</v>
      </c>
      <c r="E208" s="16" t="s">
        <v>30</v>
      </c>
      <c r="L208"/>
      <c r="T208"/>
    </row>
    <row r="209" spans="1:20" x14ac:dyDescent="0.25">
      <c r="A209" s="14">
        <v>123789</v>
      </c>
      <c r="B209" s="14" t="s">
        <v>345</v>
      </c>
      <c r="C209" s="14" t="s">
        <v>13031</v>
      </c>
      <c r="D209" s="15">
        <v>20</v>
      </c>
      <c r="E209" s="16" t="s">
        <v>30</v>
      </c>
      <c r="L209"/>
      <c r="T209"/>
    </row>
    <row r="210" spans="1:20" x14ac:dyDescent="0.25">
      <c r="A210" s="14">
        <v>3728</v>
      </c>
      <c r="B210" s="14" t="s">
        <v>346</v>
      </c>
      <c r="C210" s="14" t="s">
        <v>13030</v>
      </c>
      <c r="D210" s="15">
        <v>14.3</v>
      </c>
      <c r="E210" s="14" t="s">
        <v>30</v>
      </c>
      <c r="L210"/>
      <c r="T210"/>
    </row>
    <row r="211" spans="1:20" x14ac:dyDescent="0.25">
      <c r="A211" s="14">
        <v>3730</v>
      </c>
      <c r="B211" s="14" t="s">
        <v>97</v>
      </c>
      <c r="C211" s="14" t="s">
        <v>13030</v>
      </c>
      <c r="D211" s="15">
        <v>14.3</v>
      </c>
      <c r="E211" s="14" t="s">
        <v>30</v>
      </c>
      <c r="L211"/>
      <c r="T211"/>
    </row>
    <row r="212" spans="1:20" x14ac:dyDescent="0.25">
      <c r="A212" s="14">
        <v>3734</v>
      </c>
      <c r="B212" s="14" t="s">
        <v>347</v>
      </c>
      <c r="C212" s="14" t="s">
        <v>13030</v>
      </c>
      <c r="D212" s="15">
        <v>31.57</v>
      </c>
      <c r="E212" s="16" t="s">
        <v>30</v>
      </c>
      <c r="L212"/>
      <c r="T212"/>
    </row>
    <row r="213" spans="1:20" x14ac:dyDescent="0.25">
      <c r="A213" s="14">
        <v>3745</v>
      </c>
      <c r="B213" s="14" t="s">
        <v>348</v>
      </c>
      <c r="C213" s="14" t="s">
        <v>13030</v>
      </c>
      <c r="D213" s="15">
        <v>19.329999999999998</v>
      </c>
      <c r="E213" s="16" t="s">
        <v>30</v>
      </c>
      <c r="L213"/>
      <c r="T213"/>
    </row>
    <row r="214" spans="1:20" x14ac:dyDescent="0.25">
      <c r="A214" s="14">
        <v>3753</v>
      </c>
      <c r="B214" s="14" t="s">
        <v>349</v>
      </c>
      <c r="C214" s="14" t="s">
        <v>13030</v>
      </c>
      <c r="D214" s="15">
        <v>17.78</v>
      </c>
      <c r="E214" s="16" t="s">
        <v>30</v>
      </c>
      <c r="L214"/>
      <c r="T214"/>
    </row>
    <row r="215" spans="1:20" x14ac:dyDescent="0.25">
      <c r="A215" s="14">
        <v>3754</v>
      </c>
      <c r="B215" s="14" t="s">
        <v>350</v>
      </c>
      <c r="C215" s="14" t="s">
        <v>13030</v>
      </c>
      <c r="D215" s="15">
        <v>45.29</v>
      </c>
      <c r="E215" s="16" t="s">
        <v>30</v>
      </c>
      <c r="L215"/>
      <c r="T215"/>
    </row>
    <row r="216" spans="1:20" x14ac:dyDescent="0.25">
      <c r="A216" s="14">
        <v>3755</v>
      </c>
      <c r="B216" s="14" t="s">
        <v>351</v>
      </c>
      <c r="C216" s="14" t="s">
        <v>13030</v>
      </c>
      <c r="D216" s="15">
        <v>45.29</v>
      </c>
      <c r="E216" s="16" t="s">
        <v>30</v>
      </c>
      <c r="L216"/>
      <c r="T216"/>
    </row>
    <row r="217" spans="1:20" x14ac:dyDescent="0.25">
      <c r="A217" s="14">
        <v>3756</v>
      </c>
      <c r="B217" s="14" t="s">
        <v>352</v>
      </c>
      <c r="C217" s="14" t="s">
        <v>13030</v>
      </c>
      <c r="D217" s="15">
        <v>23.86</v>
      </c>
      <c r="E217" s="16" t="s">
        <v>30</v>
      </c>
      <c r="L217"/>
      <c r="T217"/>
    </row>
    <row r="218" spans="1:20" x14ac:dyDescent="0.25">
      <c r="A218" s="14">
        <v>3760</v>
      </c>
      <c r="B218" s="14" t="s">
        <v>353</v>
      </c>
      <c r="C218" s="14" t="s">
        <v>13030</v>
      </c>
      <c r="D218" s="15">
        <v>29.6</v>
      </c>
      <c r="E218" s="16" t="s">
        <v>30</v>
      </c>
      <c r="L218"/>
      <c r="T218"/>
    </row>
    <row r="219" spans="1:20" x14ac:dyDescent="0.25">
      <c r="A219" s="14">
        <v>3764</v>
      </c>
      <c r="B219" s="14" t="s">
        <v>354</v>
      </c>
      <c r="C219" s="14" t="s">
        <v>13030</v>
      </c>
      <c r="D219" s="15">
        <v>13.31</v>
      </c>
      <c r="E219" s="16" t="s">
        <v>30</v>
      </c>
      <c r="L219"/>
      <c r="T219"/>
    </row>
    <row r="220" spans="1:20" x14ac:dyDescent="0.25">
      <c r="A220" s="14">
        <v>3765</v>
      </c>
      <c r="B220" s="14" t="s">
        <v>355</v>
      </c>
      <c r="C220" s="14" t="s">
        <v>13030</v>
      </c>
      <c r="D220" s="15">
        <v>13.31</v>
      </c>
      <c r="E220" s="16" t="s">
        <v>30</v>
      </c>
      <c r="L220"/>
      <c r="T220"/>
    </row>
    <row r="221" spans="1:20" x14ac:dyDescent="0.25">
      <c r="A221" s="14">
        <v>3766</v>
      </c>
      <c r="B221" s="14" t="s">
        <v>356</v>
      </c>
      <c r="C221" s="14" t="s">
        <v>13030</v>
      </c>
      <c r="D221" s="15">
        <v>22.77</v>
      </c>
      <c r="E221" s="16" t="s">
        <v>30</v>
      </c>
      <c r="L221"/>
      <c r="T221"/>
    </row>
    <row r="222" spans="1:20" x14ac:dyDescent="0.25">
      <c r="A222" s="14">
        <v>3770</v>
      </c>
      <c r="B222" s="14" t="s">
        <v>357</v>
      </c>
      <c r="C222" s="14" t="s">
        <v>13030</v>
      </c>
      <c r="D222" s="15">
        <v>19.27</v>
      </c>
      <c r="E222" s="14" t="s">
        <v>30</v>
      </c>
      <c r="L222"/>
      <c r="T222"/>
    </row>
    <row r="223" spans="1:20" x14ac:dyDescent="0.25">
      <c r="A223" s="14">
        <v>3771</v>
      </c>
      <c r="B223" s="14" t="s">
        <v>358</v>
      </c>
      <c r="C223" s="14" t="s">
        <v>13030</v>
      </c>
      <c r="D223" s="15">
        <v>18.37</v>
      </c>
      <c r="E223" s="16" t="s">
        <v>30</v>
      </c>
      <c r="L223"/>
      <c r="T223"/>
    </row>
    <row r="224" spans="1:20" x14ac:dyDescent="0.25">
      <c r="A224" s="14">
        <v>563048</v>
      </c>
      <c r="B224" s="14" t="s">
        <v>359</v>
      </c>
      <c r="C224" s="14" t="s">
        <v>13030</v>
      </c>
      <c r="D224" s="15">
        <v>187.94</v>
      </c>
      <c r="E224" s="16" t="s">
        <v>30</v>
      </c>
      <c r="L224"/>
      <c r="T224"/>
    </row>
    <row r="225" spans="1:20" x14ac:dyDescent="0.25">
      <c r="A225" s="14">
        <v>3775</v>
      </c>
      <c r="B225" s="14" t="s">
        <v>360</v>
      </c>
      <c r="C225" s="14" t="s">
        <v>13030</v>
      </c>
      <c r="D225" s="15">
        <v>34.4</v>
      </c>
      <c r="E225" s="16" t="s">
        <v>30</v>
      </c>
      <c r="L225"/>
      <c r="T225"/>
    </row>
    <row r="226" spans="1:20" x14ac:dyDescent="0.25">
      <c r="A226" s="14">
        <v>3776</v>
      </c>
      <c r="B226" s="14" t="s">
        <v>361</v>
      </c>
      <c r="C226" s="14" t="s">
        <v>13030</v>
      </c>
      <c r="D226" s="15">
        <v>12.16</v>
      </c>
      <c r="E226" s="16" t="s">
        <v>30</v>
      </c>
      <c r="L226"/>
      <c r="T226"/>
    </row>
    <row r="227" spans="1:20" x14ac:dyDescent="0.25">
      <c r="A227" s="14">
        <v>3780</v>
      </c>
      <c r="B227" s="14" t="s">
        <v>362</v>
      </c>
      <c r="C227" s="14" t="s">
        <v>13030</v>
      </c>
      <c r="D227" s="15">
        <v>29.81</v>
      </c>
      <c r="E227" s="16" t="s">
        <v>30</v>
      </c>
      <c r="L227"/>
      <c r="T227"/>
    </row>
    <row r="228" spans="1:20" x14ac:dyDescent="0.25">
      <c r="A228" s="14">
        <v>3789</v>
      </c>
      <c r="B228" s="14" t="s">
        <v>363</v>
      </c>
      <c r="C228" s="14" t="s">
        <v>13030</v>
      </c>
      <c r="D228" s="15">
        <v>2.82</v>
      </c>
      <c r="E228" s="16" t="s">
        <v>30</v>
      </c>
      <c r="L228"/>
    </row>
    <row r="229" spans="1:20" x14ac:dyDescent="0.25">
      <c r="A229" s="14">
        <v>3852</v>
      </c>
      <c r="B229" s="14" t="s">
        <v>364</v>
      </c>
      <c r="C229" s="14" t="s">
        <v>13030</v>
      </c>
      <c r="D229" s="15">
        <v>9.8000000000000007</v>
      </c>
      <c r="E229" s="14" t="s">
        <v>30</v>
      </c>
    </row>
    <row r="230" spans="1:20" x14ac:dyDescent="0.25">
      <c r="A230" s="14">
        <v>3856</v>
      </c>
      <c r="B230" s="14" t="s">
        <v>365</v>
      </c>
      <c r="C230" s="14" t="s">
        <v>13030</v>
      </c>
      <c r="D230" s="15">
        <v>19.489999999999998</v>
      </c>
      <c r="E230" s="14" t="s">
        <v>30</v>
      </c>
    </row>
    <row r="231" spans="1:20" x14ac:dyDescent="0.25">
      <c r="A231" s="14">
        <v>3860</v>
      </c>
      <c r="B231" s="14" t="s">
        <v>366</v>
      </c>
      <c r="C231" s="14" t="s">
        <v>13030</v>
      </c>
      <c r="D231" s="15">
        <v>16.600000000000001</v>
      </c>
      <c r="E231" s="14" t="s">
        <v>30</v>
      </c>
    </row>
    <row r="232" spans="1:20" x14ac:dyDescent="0.25">
      <c r="A232" s="14">
        <v>3865</v>
      </c>
      <c r="B232" s="14" t="s">
        <v>367</v>
      </c>
      <c r="C232" s="14" t="s">
        <v>13030</v>
      </c>
      <c r="D232" s="15">
        <v>17.940000000000001</v>
      </c>
      <c r="E232" s="14" t="s">
        <v>30</v>
      </c>
    </row>
    <row r="233" spans="1:20" x14ac:dyDescent="0.25">
      <c r="A233" s="14">
        <v>3866</v>
      </c>
      <c r="B233" s="14" t="s">
        <v>368</v>
      </c>
      <c r="C233" s="14" t="s">
        <v>13030</v>
      </c>
      <c r="D233" s="15">
        <v>12.16</v>
      </c>
      <c r="E233" s="16" t="s">
        <v>30</v>
      </c>
    </row>
    <row r="234" spans="1:20" x14ac:dyDescent="0.25">
      <c r="A234" s="14">
        <v>3867</v>
      </c>
      <c r="B234" s="14" t="s">
        <v>369</v>
      </c>
      <c r="C234" s="14" t="s">
        <v>13030</v>
      </c>
      <c r="D234" s="15">
        <v>34.4</v>
      </c>
      <c r="E234" s="16" t="s">
        <v>30</v>
      </c>
    </row>
    <row r="235" spans="1:20" x14ac:dyDescent="0.25">
      <c r="A235" s="14">
        <v>3868</v>
      </c>
      <c r="B235" s="14" t="s">
        <v>370</v>
      </c>
      <c r="C235" s="14" t="s">
        <v>13030</v>
      </c>
      <c r="D235" s="15">
        <v>18.37</v>
      </c>
      <c r="E235" s="16" t="s">
        <v>30</v>
      </c>
    </row>
    <row r="236" spans="1:20" x14ac:dyDescent="0.25">
      <c r="A236" s="14">
        <v>3889</v>
      </c>
      <c r="B236" s="14" t="s">
        <v>371</v>
      </c>
      <c r="C236" s="14" t="s">
        <v>13030</v>
      </c>
      <c r="D236" s="15">
        <v>7.41</v>
      </c>
      <c r="E236" s="16" t="s">
        <v>30</v>
      </c>
    </row>
    <row r="237" spans="1:20" x14ac:dyDescent="0.25">
      <c r="A237" s="14">
        <v>3890</v>
      </c>
      <c r="B237" s="14" t="s">
        <v>372</v>
      </c>
      <c r="C237" s="14" t="s">
        <v>13030</v>
      </c>
      <c r="D237" s="15">
        <v>6.86</v>
      </c>
      <c r="E237" s="16" t="s">
        <v>30</v>
      </c>
    </row>
    <row r="238" spans="1:20" x14ac:dyDescent="0.25">
      <c r="A238" s="14">
        <v>3891</v>
      </c>
      <c r="B238" s="14" t="s">
        <v>373</v>
      </c>
      <c r="C238" s="14" t="s">
        <v>13030</v>
      </c>
      <c r="D238" s="15">
        <v>4.96</v>
      </c>
      <c r="E238" s="16" t="s">
        <v>30</v>
      </c>
    </row>
    <row r="239" spans="1:20" x14ac:dyDescent="0.25">
      <c r="A239" s="14">
        <v>3899</v>
      </c>
      <c r="B239" s="14" t="s">
        <v>374</v>
      </c>
      <c r="C239" s="14" t="s">
        <v>13030</v>
      </c>
      <c r="D239" s="15">
        <v>7.12</v>
      </c>
      <c r="E239" s="16" t="s">
        <v>30</v>
      </c>
    </row>
    <row r="240" spans="1:20" x14ac:dyDescent="0.25">
      <c r="A240" s="14">
        <v>123791</v>
      </c>
      <c r="B240" s="14" t="s">
        <v>375</v>
      </c>
      <c r="C240" s="14" t="s">
        <v>13031</v>
      </c>
      <c r="D240" s="15">
        <v>20</v>
      </c>
      <c r="E240" s="16" t="s">
        <v>30</v>
      </c>
    </row>
    <row r="241" spans="1:5" x14ac:dyDescent="0.25">
      <c r="A241" s="14">
        <v>204871</v>
      </c>
      <c r="B241" s="14" t="s">
        <v>376</v>
      </c>
      <c r="C241" s="14" t="s">
        <v>13031</v>
      </c>
      <c r="D241" s="15">
        <v>17.8</v>
      </c>
      <c r="E241" s="16" t="s">
        <v>30</v>
      </c>
    </row>
    <row r="242" spans="1:5" x14ac:dyDescent="0.25">
      <c r="A242" s="14">
        <v>242442</v>
      </c>
      <c r="B242" s="14" t="s">
        <v>377</v>
      </c>
      <c r="C242" s="14" t="s">
        <v>13031</v>
      </c>
      <c r="D242" s="15">
        <v>15.45</v>
      </c>
      <c r="E242" s="16" t="s">
        <v>30</v>
      </c>
    </row>
    <row r="243" spans="1:5" x14ac:dyDescent="0.25">
      <c r="A243" s="14">
        <v>941354</v>
      </c>
      <c r="B243" s="14" t="s">
        <v>378</v>
      </c>
      <c r="C243" s="14" t="s">
        <v>13030</v>
      </c>
      <c r="D243" s="15">
        <v>68.36</v>
      </c>
      <c r="E243" s="16" t="s">
        <v>30</v>
      </c>
    </row>
    <row r="244" spans="1:5" x14ac:dyDescent="0.25">
      <c r="A244" s="14">
        <v>4246</v>
      </c>
      <c r="B244" s="14" t="s">
        <v>379</v>
      </c>
      <c r="C244" s="14" t="s">
        <v>13031</v>
      </c>
      <c r="D244" s="15">
        <v>19.41</v>
      </c>
      <c r="E244" s="16" t="s">
        <v>30</v>
      </c>
    </row>
    <row r="245" spans="1:5" x14ac:dyDescent="0.25">
      <c r="A245" s="14">
        <v>941355</v>
      </c>
      <c r="B245" s="14" t="s">
        <v>380</v>
      </c>
      <c r="C245" s="14" t="s">
        <v>13030</v>
      </c>
      <c r="D245" s="15">
        <v>83.49</v>
      </c>
      <c r="E245" s="16" t="s">
        <v>30</v>
      </c>
    </row>
    <row r="246" spans="1:5" x14ac:dyDescent="0.25">
      <c r="A246" s="14">
        <v>4249</v>
      </c>
      <c r="B246" s="14" t="s">
        <v>381</v>
      </c>
      <c r="C246" s="14" t="s">
        <v>13031</v>
      </c>
      <c r="D246" s="15">
        <v>8.64</v>
      </c>
      <c r="E246" s="16" t="s">
        <v>30</v>
      </c>
    </row>
    <row r="247" spans="1:5" x14ac:dyDescent="0.25">
      <c r="A247" s="14">
        <v>974357</v>
      </c>
      <c r="B247" s="14" t="s">
        <v>382</v>
      </c>
      <c r="C247" s="14" t="s">
        <v>13030</v>
      </c>
      <c r="D247" s="15">
        <v>83.49</v>
      </c>
      <c r="E247" s="16" t="s">
        <v>30</v>
      </c>
    </row>
    <row r="248" spans="1:5" x14ac:dyDescent="0.25">
      <c r="A248" s="14">
        <v>1002192</v>
      </c>
      <c r="B248" s="14" t="s">
        <v>383</v>
      </c>
      <c r="C248" s="14" t="s">
        <v>13030</v>
      </c>
      <c r="D248" s="15">
        <v>68.36</v>
      </c>
      <c r="E248" s="16" t="s">
        <v>30</v>
      </c>
    </row>
    <row r="249" spans="1:5" x14ac:dyDescent="0.25">
      <c r="A249" s="14">
        <v>4272</v>
      </c>
      <c r="B249" s="14" t="s">
        <v>384</v>
      </c>
      <c r="C249" s="14" t="s">
        <v>13031</v>
      </c>
      <c r="D249" s="15">
        <v>5.26</v>
      </c>
      <c r="E249" s="16" t="s">
        <v>30</v>
      </c>
    </row>
    <row r="250" spans="1:5" x14ac:dyDescent="0.25">
      <c r="A250" s="14">
        <v>4273</v>
      </c>
      <c r="B250" s="14" t="s">
        <v>385</v>
      </c>
      <c r="C250" s="14" t="s">
        <v>13031</v>
      </c>
      <c r="D250" s="15">
        <v>5.26</v>
      </c>
      <c r="E250" s="16" t="s">
        <v>30</v>
      </c>
    </row>
    <row r="251" spans="1:5" x14ac:dyDescent="0.25">
      <c r="A251" s="14">
        <v>1002196</v>
      </c>
      <c r="B251" s="14" t="s">
        <v>386</v>
      </c>
      <c r="C251" s="14" t="s">
        <v>13030</v>
      </c>
      <c r="D251" s="15">
        <v>172.8</v>
      </c>
      <c r="E251" s="14" t="s">
        <v>30</v>
      </c>
    </row>
    <row r="252" spans="1:5" x14ac:dyDescent="0.25">
      <c r="A252" s="14">
        <v>1002198</v>
      </c>
      <c r="B252" s="14" t="s">
        <v>387</v>
      </c>
      <c r="C252" s="14" t="s">
        <v>13030</v>
      </c>
      <c r="D252" s="15">
        <v>46.75</v>
      </c>
      <c r="E252" s="14" t="s">
        <v>30</v>
      </c>
    </row>
    <row r="253" spans="1:5" x14ac:dyDescent="0.25">
      <c r="A253" s="14">
        <v>4456</v>
      </c>
      <c r="B253" s="14" t="s">
        <v>388</v>
      </c>
      <c r="C253" s="14" t="s">
        <v>13031</v>
      </c>
      <c r="D253" s="15">
        <v>3.73</v>
      </c>
      <c r="E253" s="16" t="s">
        <v>30</v>
      </c>
    </row>
    <row r="254" spans="1:5" x14ac:dyDescent="0.25">
      <c r="A254" s="14">
        <v>4517</v>
      </c>
      <c r="B254" s="14" t="s">
        <v>389</v>
      </c>
      <c r="C254" s="14" t="s">
        <v>13031</v>
      </c>
      <c r="D254" s="15">
        <v>33.81</v>
      </c>
      <c r="E254" s="16" t="s">
        <v>30</v>
      </c>
    </row>
    <row r="255" spans="1:5" x14ac:dyDescent="0.25">
      <c r="A255" s="14">
        <v>4562</v>
      </c>
      <c r="B255" s="14" t="s">
        <v>390</v>
      </c>
      <c r="C255" s="14" t="s">
        <v>13031</v>
      </c>
      <c r="D255" s="15">
        <v>10.59</v>
      </c>
      <c r="E255" s="16" t="s">
        <v>30</v>
      </c>
    </row>
    <row r="256" spans="1:5" x14ac:dyDescent="0.25">
      <c r="A256" s="14">
        <v>4563</v>
      </c>
      <c r="B256" s="14" t="s">
        <v>391</v>
      </c>
      <c r="C256" s="14" t="s">
        <v>13031</v>
      </c>
      <c r="D256" s="15">
        <v>18.48</v>
      </c>
      <c r="E256" s="16" t="s">
        <v>30</v>
      </c>
    </row>
    <row r="257" spans="1:5" x14ac:dyDescent="0.25">
      <c r="A257" s="14">
        <v>4567</v>
      </c>
      <c r="B257" s="14" t="s">
        <v>392</v>
      </c>
      <c r="C257" s="14" t="s">
        <v>13031</v>
      </c>
      <c r="D257" s="15">
        <v>8.39</v>
      </c>
      <c r="E257" s="16" t="s">
        <v>30</v>
      </c>
    </row>
    <row r="258" spans="1:5" x14ac:dyDescent="0.25">
      <c r="A258" s="14">
        <v>4568</v>
      </c>
      <c r="B258" s="14" t="s">
        <v>393</v>
      </c>
      <c r="C258" s="14" t="s">
        <v>13031</v>
      </c>
      <c r="D258" s="15">
        <v>7.37</v>
      </c>
      <c r="E258" s="16" t="s">
        <v>30</v>
      </c>
    </row>
    <row r="259" spans="1:5" x14ac:dyDescent="0.25">
      <c r="A259" s="14">
        <v>4571</v>
      </c>
      <c r="B259" s="14" t="s">
        <v>394</v>
      </c>
      <c r="C259" s="14" t="s">
        <v>13031</v>
      </c>
      <c r="D259" s="15">
        <v>2.2999999999999998</v>
      </c>
      <c r="E259" s="16" t="s">
        <v>30</v>
      </c>
    </row>
    <row r="260" spans="1:5" x14ac:dyDescent="0.25">
      <c r="A260" s="14">
        <v>4580</v>
      </c>
      <c r="B260" s="14" t="s">
        <v>395</v>
      </c>
      <c r="C260" s="14" t="s">
        <v>13031</v>
      </c>
      <c r="D260" s="15">
        <v>6.85</v>
      </c>
      <c r="E260" s="16" t="s">
        <v>30</v>
      </c>
    </row>
    <row r="261" spans="1:5" x14ac:dyDescent="0.25">
      <c r="A261" s="14">
        <v>4592</v>
      </c>
      <c r="B261" s="14" t="s">
        <v>396</v>
      </c>
      <c r="C261" s="14" t="s">
        <v>13031</v>
      </c>
      <c r="D261" s="15">
        <v>0.01</v>
      </c>
      <c r="E261" s="16" t="s">
        <v>30</v>
      </c>
    </row>
    <row r="262" spans="1:5" x14ac:dyDescent="0.25">
      <c r="A262" s="14">
        <v>4599</v>
      </c>
      <c r="B262" s="14" t="s">
        <v>397</v>
      </c>
      <c r="C262" s="14" t="s">
        <v>13031</v>
      </c>
      <c r="D262" s="15">
        <v>2.5299999999999998</v>
      </c>
      <c r="E262" s="16" t="s">
        <v>30</v>
      </c>
    </row>
    <row r="263" spans="1:5" x14ac:dyDescent="0.25">
      <c r="A263" s="14">
        <v>4618</v>
      </c>
      <c r="B263" s="14" t="s">
        <v>398</v>
      </c>
      <c r="C263" s="14" t="s">
        <v>13031</v>
      </c>
      <c r="D263" s="15">
        <v>5.26</v>
      </c>
      <c r="E263" s="16" t="s">
        <v>30</v>
      </c>
    </row>
    <row r="264" spans="1:5" x14ac:dyDescent="0.25">
      <c r="A264" s="14">
        <v>1017603</v>
      </c>
      <c r="B264" s="14" t="s">
        <v>399</v>
      </c>
      <c r="C264" s="14" t="s">
        <v>13031</v>
      </c>
      <c r="D264" s="15">
        <v>1.7</v>
      </c>
      <c r="E264" s="14" t="s">
        <v>30</v>
      </c>
    </row>
    <row r="265" spans="1:5" x14ac:dyDescent="0.25">
      <c r="A265" s="14">
        <v>1017604</v>
      </c>
      <c r="B265" s="14" t="s">
        <v>400</v>
      </c>
      <c r="C265" s="14" t="s">
        <v>13031</v>
      </c>
      <c r="D265" s="15">
        <v>1.7</v>
      </c>
      <c r="E265" s="14" t="s">
        <v>30</v>
      </c>
    </row>
    <row r="266" spans="1:5" x14ac:dyDescent="0.25">
      <c r="A266" s="14">
        <v>1017605</v>
      </c>
      <c r="B266" s="14" t="s">
        <v>401</v>
      </c>
      <c r="C266" s="14" t="s">
        <v>13031</v>
      </c>
      <c r="D266" s="15">
        <v>1.8</v>
      </c>
      <c r="E266" s="14" t="s">
        <v>30</v>
      </c>
    </row>
    <row r="267" spans="1:5" x14ac:dyDescent="0.25">
      <c r="A267" s="14">
        <v>1017606</v>
      </c>
      <c r="B267" s="14" t="s">
        <v>402</v>
      </c>
      <c r="C267" s="14" t="s">
        <v>13031</v>
      </c>
      <c r="D267" s="15">
        <v>2.2999999999999998</v>
      </c>
      <c r="E267" s="14" t="s">
        <v>30</v>
      </c>
    </row>
    <row r="268" spans="1:5" x14ac:dyDescent="0.25">
      <c r="A268" s="14">
        <v>114092002</v>
      </c>
      <c r="B268" s="14" t="s">
        <v>403</v>
      </c>
      <c r="C268" s="14" t="s">
        <v>13031</v>
      </c>
      <c r="D268" s="15">
        <v>4.6900000000000004</v>
      </c>
      <c r="E268" s="14" t="s">
        <v>30</v>
      </c>
    </row>
    <row r="269" spans="1:5" x14ac:dyDescent="0.25">
      <c r="A269" s="14">
        <v>4706</v>
      </c>
      <c r="B269" s="14" t="s">
        <v>404</v>
      </c>
      <c r="C269" s="14" t="s">
        <v>13032</v>
      </c>
      <c r="D269" s="15">
        <v>18</v>
      </c>
      <c r="E269" s="16" t="s">
        <v>30</v>
      </c>
    </row>
    <row r="270" spans="1:5" x14ac:dyDescent="0.25">
      <c r="A270" s="14">
        <v>4707</v>
      </c>
      <c r="B270" s="14" t="s">
        <v>405</v>
      </c>
      <c r="C270" s="14" t="s">
        <v>13032</v>
      </c>
      <c r="D270" s="15">
        <v>33</v>
      </c>
      <c r="E270" s="16" t="s">
        <v>30</v>
      </c>
    </row>
    <row r="271" spans="1:5" x14ac:dyDescent="0.25">
      <c r="A271" s="14">
        <v>4708</v>
      </c>
      <c r="B271" s="14" t="s">
        <v>406</v>
      </c>
      <c r="C271" s="14" t="s">
        <v>13032</v>
      </c>
      <c r="D271" s="15">
        <v>30</v>
      </c>
      <c r="E271" s="16" t="s">
        <v>30</v>
      </c>
    </row>
    <row r="272" spans="1:5" x14ac:dyDescent="0.25">
      <c r="A272" s="14">
        <v>4711</v>
      </c>
      <c r="B272" s="14" t="s">
        <v>407</v>
      </c>
      <c r="C272" s="14" t="s">
        <v>13032</v>
      </c>
      <c r="D272" s="15">
        <v>105</v>
      </c>
      <c r="E272" s="16" t="s">
        <v>30</v>
      </c>
    </row>
    <row r="273" spans="1:5" x14ac:dyDescent="0.25">
      <c r="A273" s="14">
        <v>4712</v>
      </c>
      <c r="B273" s="14" t="s">
        <v>408</v>
      </c>
      <c r="C273" s="14" t="s">
        <v>13032</v>
      </c>
      <c r="D273" s="15">
        <v>76</v>
      </c>
      <c r="E273" s="16" t="s">
        <v>30</v>
      </c>
    </row>
    <row r="274" spans="1:5" x14ac:dyDescent="0.25">
      <c r="A274" s="14">
        <v>4714</v>
      </c>
      <c r="B274" s="14" t="s">
        <v>409</v>
      </c>
      <c r="C274" s="14" t="s">
        <v>13032</v>
      </c>
      <c r="D274" s="15">
        <v>75</v>
      </c>
      <c r="E274" s="16" t="s">
        <v>30</v>
      </c>
    </row>
    <row r="275" spans="1:5" x14ac:dyDescent="0.25">
      <c r="A275" s="14">
        <v>4720</v>
      </c>
      <c r="B275" s="14" t="s">
        <v>410</v>
      </c>
      <c r="C275" s="14" t="s">
        <v>13032</v>
      </c>
      <c r="D275" s="15">
        <v>55</v>
      </c>
      <c r="E275" s="16" t="s">
        <v>30</v>
      </c>
    </row>
    <row r="276" spans="1:5" x14ac:dyDescent="0.25">
      <c r="A276" s="14">
        <v>4727</v>
      </c>
      <c r="B276" s="14" t="s">
        <v>411</v>
      </c>
      <c r="C276" s="14" t="s">
        <v>13031</v>
      </c>
      <c r="D276" s="15">
        <v>6</v>
      </c>
      <c r="E276" s="14" t="s">
        <v>30</v>
      </c>
    </row>
    <row r="277" spans="1:5" x14ac:dyDescent="0.25">
      <c r="A277" s="14">
        <v>4735</v>
      </c>
      <c r="B277" s="14" t="s">
        <v>412</v>
      </c>
      <c r="C277" s="14" t="s">
        <v>13031</v>
      </c>
      <c r="D277" s="15">
        <v>3.36</v>
      </c>
      <c r="E277" s="16" t="s">
        <v>30</v>
      </c>
    </row>
    <row r="278" spans="1:5" x14ac:dyDescent="0.25">
      <c r="A278" s="14">
        <v>4740</v>
      </c>
      <c r="B278" s="14" t="s">
        <v>413</v>
      </c>
      <c r="C278" s="14" t="s">
        <v>13031</v>
      </c>
      <c r="D278" s="15">
        <v>3.1</v>
      </c>
      <c r="E278" s="14" t="s">
        <v>30</v>
      </c>
    </row>
    <row r="279" spans="1:5" x14ac:dyDescent="0.25">
      <c r="A279" s="14">
        <v>4741</v>
      </c>
      <c r="B279" s="14" t="s">
        <v>414</v>
      </c>
      <c r="C279" s="14" t="s">
        <v>13031</v>
      </c>
      <c r="D279" s="15">
        <v>7</v>
      </c>
      <c r="E279" s="16" t="s">
        <v>30</v>
      </c>
    </row>
    <row r="280" spans="1:5" x14ac:dyDescent="0.25">
      <c r="A280" s="14">
        <v>4743</v>
      </c>
      <c r="B280" s="14" t="s">
        <v>415</v>
      </c>
      <c r="C280" s="14" t="s">
        <v>13031</v>
      </c>
      <c r="D280" s="15">
        <v>11.5</v>
      </c>
      <c r="E280" s="16" t="s">
        <v>30</v>
      </c>
    </row>
    <row r="281" spans="1:5" x14ac:dyDescent="0.25">
      <c r="A281" s="14">
        <v>4771</v>
      </c>
      <c r="B281" s="14" t="s">
        <v>416</v>
      </c>
      <c r="C281" s="14" t="s">
        <v>13031</v>
      </c>
      <c r="D281" s="15">
        <v>12.86</v>
      </c>
      <c r="E281" s="16" t="s">
        <v>30</v>
      </c>
    </row>
    <row r="282" spans="1:5" x14ac:dyDescent="0.25">
      <c r="A282" s="14">
        <v>4772</v>
      </c>
      <c r="B282" s="14" t="s">
        <v>417</v>
      </c>
      <c r="C282" s="14" t="s">
        <v>13031</v>
      </c>
      <c r="D282" s="15">
        <v>12.98</v>
      </c>
      <c r="E282" s="16" t="s">
        <v>30</v>
      </c>
    </row>
    <row r="283" spans="1:5" x14ac:dyDescent="0.25">
      <c r="A283" s="14">
        <v>4773</v>
      </c>
      <c r="B283" s="14" t="s">
        <v>418</v>
      </c>
      <c r="C283" s="14" t="s">
        <v>13031</v>
      </c>
      <c r="D283" s="15">
        <v>22.46</v>
      </c>
      <c r="E283" s="16" t="s">
        <v>30</v>
      </c>
    </row>
    <row r="284" spans="1:5" x14ac:dyDescent="0.25">
      <c r="A284" s="14">
        <v>4774</v>
      </c>
      <c r="B284" s="14" t="s">
        <v>419</v>
      </c>
      <c r="C284" s="14" t="s">
        <v>13031</v>
      </c>
      <c r="D284" s="15">
        <v>25.65</v>
      </c>
      <c r="E284" s="16" t="s">
        <v>30</v>
      </c>
    </row>
    <row r="285" spans="1:5" x14ac:dyDescent="0.25">
      <c r="A285" s="14">
        <v>4778</v>
      </c>
      <c r="B285" s="14" t="s">
        <v>420</v>
      </c>
      <c r="C285" s="14" t="s">
        <v>13031</v>
      </c>
      <c r="D285" s="15">
        <v>20.6</v>
      </c>
      <c r="E285" s="16" t="s">
        <v>30</v>
      </c>
    </row>
    <row r="286" spans="1:5" x14ac:dyDescent="0.25">
      <c r="A286" s="14">
        <v>4916</v>
      </c>
      <c r="B286" s="14" t="s">
        <v>421</v>
      </c>
      <c r="C286" s="14" t="s">
        <v>13031</v>
      </c>
      <c r="D286" s="15">
        <v>8.81</v>
      </c>
      <c r="E286" s="16" t="s">
        <v>30</v>
      </c>
    </row>
    <row r="287" spans="1:5" x14ac:dyDescent="0.25">
      <c r="A287" s="14">
        <v>4945</v>
      </c>
      <c r="B287" s="14" t="s">
        <v>422</v>
      </c>
      <c r="C287" s="14" t="s">
        <v>13031</v>
      </c>
      <c r="D287" s="15">
        <v>9.8800000000000008</v>
      </c>
      <c r="E287" s="16" t="s">
        <v>30</v>
      </c>
    </row>
    <row r="288" spans="1:5" x14ac:dyDescent="0.25">
      <c r="A288" s="14">
        <v>4949</v>
      </c>
      <c r="B288" s="14" t="s">
        <v>423</v>
      </c>
      <c r="C288" s="14" t="s">
        <v>13031</v>
      </c>
      <c r="D288" s="15">
        <v>18.46</v>
      </c>
      <c r="E288" s="16" t="s">
        <v>30</v>
      </c>
    </row>
    <row r="289" spans="1:5" x14ac:dyDescent="0.25">
      <c r="A289" s="14">
        <v>900428</v>
      </c>
      <c r="B289" s="14" t="s">
        <v>424</v>
      </c>
      <c r="C289" s="14" t="s">
        <v>13030</v>
      </c>
      <c r="D289" s="15">
        <v>187.22</v>
      </c>
      <c r="E289" s="16" t="s">
        <v>30</v>
      </c>
    </row>
    <row r="290" spans="1:5" x14ac:dyDescent="0.25">
      <c r="A290" s="14">
        <v>4950</v>
      </c>
      <c r="B290" s="14" t="s">
        <v>425</v>
      </c>
      <c r="C290" s="14" t="s">
        <v>13031</v>
      </c>
      <c r="D290" s="15">
        <v>14.86</v>
      </c>
      <c r="E290" s="16" t="s">
        <v>30</v>
      </c>
    </row>
    <row r="291" spans="1:5" x14ac:dyDescent="0.25">
      <c r="A291" s="14">
        <v>4952</v>
      </c>
      <c r="B291" s="14" t="s">
        <v>426</v>
      </c>
      <c r="C291" s="14" t="s">
        <v>13031</v>
      </c>
      <c r="D291" s="15">
        <v>18.46</v>
      </c>
      <c r="E291" s="16" t="s">
        <v>30</v>
      </c>
    </row>
    <row r="292" spans="1:5" x14ac:dyDescent="0.25">
      <c r="A292" s="14">
        <v>4963</v>
      </c>
      <c r="B292" s="14" t="s">
        <v>427</v>
      </c>
      <c r="C292" s="14" t="s">
        <v>13031</v>
      </c>
      <c r="D292" s="15">
        <v>23.84</v>
      </c>
      <c r="E292" s="16" t="s">
        <v>30</v>
      </c>
    </row>
    <row r="293" spans="1:5" x14ac:dyDescent="0.25">
      <c r="A293" s="14">
        <v>4964</v>
      </c>
      <c r="B293" s="14" t="s">
        <v>428</v>
      </c>
      <c r="C293" s="14" t="s">
        <v>13031</v>
      </c>
      <c r="D293" s="15">
        <v>12.36</v>
      </c>
      <c r="E293" s="16" t="s">
        <v>30</v>
      </c>
    </row>
    <row r="294" spans="1:5" x14ac:dyDescent="0.25">
      <c r="A294" s="14">
        <v>4966</v>
      </c>
      <c r="B294" s="14" t="s">
        <v>429</v>
      </c>
      <c r="C294" s="14" t="s">
        <v>13031</v>
      </c>
      <c r="D294" s="15">
        <v>18.46</v>
      </c>
      <c r="E294" s="16" t="s">
        <v>30</v>
      </c>
    </row>
    <row r="295" spans="1:5" x14ac:dyDescent="0.25">
      <c r="A295" s="14">
        <v>4969</v>
      </c>
      <c r="B295" s="14" t="s">
        <v>430</v>
      </c>
      <c r="C295" s="14" t="s">
        <v>13031</v>
      </c>
      <c r="D295" s="15">
        <v>17.22</v>
      </c>
      <c r="E295" s="16" t="s">
        <v>30</v>
      </c>
    </row>
    <row r="296" spans="1:5" x14ac:dyDescent="0.25">
      <c r="A296" s="14">
        <v>5062</v>
      </c>
      <c r="B296" s="14" t="s">
        <v>431</v>
      </c>
      <c r="C296" s="14" t="s">
        <v>13031</v>
      </c>
      <c r="D296" s="15">
        <v>7.46</v>
      </c>
      <c r="E296" s="16" t="s">
        <v>30</v>
      </c>
    </row>
    <row r="297" spans="1:5" x14ac:dyDescent="0.25">
      <c r="A297" s="14">
        <v>5103</v>
      </c>
      <c r="B297" s="14" t="s">
        <v>432</v>
      </c>
      <c r="C297" s="14" t="s">
        <v>13031</v>
      </c>
      <c r="D297" s="15">
        <v>10.119999999999999</v>
      </c>
      <c r="E297" s="16" t="s">
        <v>30</v>
      </c>
    </row>
    <row r="298" spans="1:5" x14ac:dyDescent="0.25">
      <c r="A298" s="14">
        <v>4247</v>
      </c>
      <c r="B298" s="14" t="s">
        <v>433</v>
      </c>
      <c r="C298" s="14" t="s">
        <v>13031</v>
      </c>
      <c r="D298" s="15">
        <v>3</v>
      </c>
      <c r="E298" s="16" t="s">
        <v>20</v>
      </c>
    </row>
    <row r="299" spans="1:5" x14ac:dyDescent="0.25">
      <c r="A299" s="14">
        <v>5104</v>
      </c>
      <c r="B299" s="14" t="s">
        <v>434</v>
      </c>
      <c r="C299" s="14" t="s">
        <v>13031</v>
      </c>
      <c r="D299" s="15">
        <v>10.119999999999999</v>
      </c>
      <c r="E299" s="16" t="s">
        <v>30</v>
      </c>
    </row>
    <row r="300" spans="1:5" x14ac:dyDescent="0.25">
      <c r="A300" s="14">
        <v>5235</v>
      </c>
      <c r="B300" s="14" t="s">
        <v>435</v>
      </c>
      <c r="C300" s="14" t="s">
        <v>13031</v>
      </c>
      <c r="D300" s="15">
        <v>15.2</v>
      </c>
      <c r="E300" s="14" t="s">
        <v>30</v>
      </c>
    </row>
    <row r="301" spans="1:5" x14ac:dyDescent="0.25">
      <c r="A301" s="14">
        <v>5237</v>
      </c>
      <c r="B301" s="14" t="s">
        <v>436</v>
      </c>
      <c r="C301" s="14" t="s">
        <v>13031</v>
      </c>
      <c r="D301" s="15">
        <v>23.13</v>
      </c>
      <c r="E301" s="14" t="s">
        <v>30</v>
      </c>
    </row>
    <row r="302" spans="1:5" x14ac:dyDescent="0.25">
      <c r="A302" s="14">
        <v>4248</v>
      </c>
      <c r="B302" s="14" t="s">
        <v>437</v>
      </c>
      <c r="C302" s="14" t="s">
        <v>13031</v>
      </c>
      <c r="D302" s="15">
        <v>6.5</v>
      </c>
      <c r="E302" s="16" t="s">
        <v>20</v>
      </c>
    </row>
    <row r="303" spans="1:5" x14ac:dyDescent="0.25">
      <c r="A303" s="14">
        <v>4250</v>
      </c>
      <c r="B303" s="14" t="s">
        <v>438</v>
      </c>
      <c r="C303" s="14" t="s">
        <v>13031</v>
      </c>
      <c r="D303" s="15">
        <v>6.5</v>
      </c>
      <c r="E303" s="16" t="s">
        <v>20</v>
      </c>
    </row>
    <row r="304" spans="1:5" x14ac:dyDescent="0.25">
      <c r="A304" s="14">
        <v>5242</v>
      </c>
      <c r="B304" s="14" t="s">
        <v>439</v>
      </c>
      <c r="C304" s="14" t="s">
        <v>13031</v>
      </c>
      <c r="D304" s="15">
        <v>5.94</v>
      </c>
      <c r="E304" s="16" t="s">
        <v>30</v>
      </c>
    </row>
    <row r="305" spans="1:5" x14ac:dyDescent="0.25">
      <c r="A305" s="14">
        <v>5332</v>
      </c>
      <c r="B305" s="14" t="s">
        <v>440</v>
      </c>
      <c r="C305" s="14" t="s">
        <v>13031</v>
      </c>
      <c r="D305" s="15">
        <v>5.68</v>
      </c>
      <c r="E305" s="16" t="s">
        <v>30</v>
      </c>
    </row>
    <row r="306" spans="1:5" x14ac:dyDescent="0.25">
      <c r="A306" s="14">
        <v>5333</v>
      </c>
      <c r="B306" s="14" t="s">
        <v>441</v>
      </c>
      <c r="C306" s="14" t="s">
        <v>13031</v>
      </c>
      <c r="D306" s="15">
        <v>5.68</v>
      </c>
      <c r="E306" s="16" t="s">
        <v>30</v>
      </c>
    </row>
    <row r="307" spans="1:5" x14ac:dyDescent="0.25">
      <c r="A307" s="14">
        <v>5431</v>
      </c>
      <c r="B307" s="14" t="s">
        <v>442</v>
      </c>
      <c r="C307" s="14" t="s">
        <v>13031</v>
      </c>
      <c r="D307" s="15">
        <v>10.36</v>
      </c>
      <c r="E307" s="16" t="s">
        <v>30</v>
      </c>
    </row>
    <row r="308" spans="1:5" x14ac:dyDescent="0.25">
      <c r="A308" s="14">
        <v>5434</v>
      </c>
      <c r="B308" s="14" t="s">
        <v>443</v>
      </c>
      <c r="C308" s="14" t="s">
        <v>13031</v>
      </c>
      <c r="D308" s="15">
        <v>33.049999999999997</v>
      </c>
      <c r="E308" s="14" t="s">
        <v>30</v>
      </c>
    </row>
    <row r="309" spans="1:5" x14ac:dyDescent="0.25">
      <c r="A309" s="14">
        <v>5499</v>
      </c>
      <c r="B309" s="14" t="s">
        <v>444</v>
      </c>
      <c r="C309" s="14" t="s">
        <v>13031</v>
      </c>
      <c r="D309" s="15">
        <v>2.5299999999999998</v>
      </c>
      <c r="E309" s="16" t="s">
        <v>30</v>
      </c>
    </row>
    <row r="310" spans="1:5" x14ac:dyDescent="0.25">
      <c r="A310" s="14">
        <v>5500</v>
      </c>
      <c r="B310" s="14" t="s">
        <v>445</v>
      </c>
      <c r="C310" s="14" t="s">
        <v>13031</v>
      </c>
      <c r="D310" s="15">
        <v>2.2000000000000002</v>
      </c>
      <c r="E310" s="16" t="s">
        <v>30</v>
      </c>
    </row>
    <row r="311" spans="1:5" x14ac:dyDescent="0.25">
      <c r="A311" s="14">
        <v>5508</v>
      </c>
      <c r="B311" s="14" t="s">
        <v>446</v>
      </c>
      <c r="C311" s="14" t="s">
        <v>13031</v>
      </c>
      <c r="D311" s="15">
        <v>15.26</v>
      </c>
      <c r="E311" s="16" t="s">
        <v>30</v>
      </c>
    </row>
    <row r="312" spans="1:5" x14ac:dyDescent="0.25">
      <c r="A312" s="14">
        <v>5516</v>
      </c>
      <c r="B312" s="14" t="s">
        <v>447</v>
      </c>
      <c r="C312" s="14" t="s">
        <v>13031</v>
      </c>
      <c r="D312" s="15">
        <v>14.84</v>
      </c>
      <c r="E312" s="16" t="s">
        <v>30</v>
      </c>
    </row>
    <row r="313" spans="1:5" x14ac:dyDescent="0.25">
      <c r="A313" s="14">
        <v>5992</v>
      </c>
      <c r="B313" s="14" t="s">
        <v>448</v>
      </c>
      <c r="C313" s="14" t="s">
        <v>13029</v>
      </c>
      <c r="D313" s="15">
        <v>4.8</v>
      </c>
      <c r="E313" s="16" t="s">
        <v>30</v>
      </c>
    </row>
    <row r="314" spans="1:5" x14ac:dyDescent="0.25">
      <c r="A314" s="14">
        <v>5995</v>
      </c>
      <c r="B314" s="14" t="s">
        <v>449</v>
      </c>
      <c r="C314" s="14" t="s">
        <v>13029</v>
      </c>
      <c r="D314" s="15">
        <v>4.8</v>
      </c>
      <c r="E314" s="16" t="s">
        <v>30</v>
      </c>
    </row>
    <row r="315" spans="1:5" x14ac:dyDescent="0.25">
      <c r="A315" s="14">
        <v>6000</v>
      </c>
      <c r="B315" s="14" t="s">
        <v>450</v>
      </c>
      <c r="C315" s="14" t="s">
        <v>13029</v>
      </c>
      <c r="D315" s="15">
        <v>2.7</v>
      </c>
      <c r="E315" s="16" t="s">
        <v>30</v>
      </c>
    </row>
    <row r="316" spans="1:5" x14ac:dyDescent="0.25">
      <c r="A316" s="14">
        <v>6001</v>
      </c>
      <c r="B316" s="14" t="s">
        <v>451</v>
      </c>
      <c r="C316" s="14" t="s">
        <v>13029</v>
      </c>
      <c r="D316" s="15">
        <v>2.75</v>
      </c>
      <c r="E316" s="16" t="s">
        <v>30</v>
      </c>
    </row>
    <row r="317" spans="1:5" x14ac:dyDescent="0.25">
      <c r="A317" s="14">
        <v>6003</v>
      </c>
      <c r="B317" s="14" t="s">
        <v>452</v>
      </c>
      <c r="C317" s="14" t="s">
        <v>13029</v>
      </c>
      <c r="D317" s="15">
        <v>4.8</v>
      </c>
      <c r="E317" s="16" t="s">
        <v>30</v>
      </c>
    </row>
    <row r="318" spans="1:5" x14ac:dyDescent="0.25">
      <c r="A318" s="14">
        <v>6011</v>
      </c>
      <c r="B318" s="14" t="s">
        <v>453</v>
      </c>
      <c r="C318" s="14" t="s">
        <v>13029</v>
      </c>
      <c r="D318" s="15">
        <v>7.63</v>
      </c>
      <c r="E318" s="16" t="s">
        <v>30</v>
      </c>
    </row>
    <row r="319" spans="1:5" x14ac:dyDescent="0.25">
      <c r="A319" s="14">
        <v>6025</v>
      </c>
      <c r="B319" s="14" t="s">
        <v>454</v>
      </c>
      <c r="C319" s="14" t="s">
        <v>13029</v>
      </c>
      <c r="D319" s="15">
        <v>3.2</v>
      </c>
      <c r="E319" s="16" t="s">
        <v>30</v>
      </c>
    </row>
    <row r="320" spans="1:5" x14ac:dyDescent="0.25">
      <c r="A320" s="14">
        <v>6033</v>
      </c>
      <c r="B320" s="14" t="s">
        <v>455</v>
      </c>
      <c r="C320" s="14" t="s">
        <v>13029</v>
      </c>
      <c r="D320" s="15">
        <v>4.5</v>
      </c>
      <c r="E320" s="16" t="s">
        <v>30</v>
      </c>
    </row>
    <row r="321" spans="1:5" x14ac:dyDescent="0.25">
      <c r="A321" s="14">
        <v>6034</v>
      </c>
      <c r="B321" s="14" t="s">
        <v>456</v>
      </c>
      <c r="C321" s="14" t="s">
        <v>13029</v>
      </c>
      <c r="D321" s="15">
        <v>2.52</v>
      </c>
      <c r="E321" s="16" t="s">
        <v>30</v>
      </c>
    </row>
    <row r="322" spans="1:5" x14ac:dyDescent="0.25">
      <c r="A322" s="14">
        <v>6060</v>
      </c>
      <c r="B322" s="14" t="s">
        <v>457</v>
      </c>
      <c r="C322" s="14" t="s">
        <v>13029</v>
      </c>
      <c r="D322" s="15">
        <v>25.66</v>
      </c>
      <c r="E322" s="16" t="s">
        <v>30</v>
      </c>
    </row>
    <row r="323" spans="1:5" x14ac:dyDescent="0.25">
      <c r="A323" s="14">
        <v>6099</v>
      </c>
      <c r="B323" s="14" t="s">
        <v>458</v>
      </c>
      <c r="C323" s="14" t="s">
        <v>13029</v>
      </c>
      <c r="D323" s="15">
        <v>1.35</v>
      </c>
      <c r="E323" s="16" t="s">
        <v>30</v>
      </c>
    </row>
    <row r="324" spans="1:5" x14ac:dyDescent="0.25">
      <c r="A324" s="14">
        <v>6103</v>
      </c>
      <c r="B324" s="14" t="s">
        <v>459</v>
      </c>
      <c r="C324" s="14" t="s">
        <v>13029</v>
      </c>
      <c r="D324" s="15">
        <v>2.97</v>
      </c>
      <c r="E324" s="16" t="s">
        <v>30</v>
      </c>
    </row>
    <row r="325" spans="1:5" x14ac:dyDescent="0.25">
      <c r="A325" s="14">
        <v>6104</v>
      </c>
      <c r="B325" s="14" t="s">
        <v>460</v>
      </c>
      <c r="C325" s="14" t="s">
        <v>13029</v>
      </c>
      <c r="D325" s="15">
        <v>1.1000000000000001</v>
      </c>
      <c r="E325" s="16" t="s">
        <v>30</v>
      </c>
    </row>
    <row r="326" spans="1:5" x14ac:dyDescent="0.25">
      <c r="A326" s="14">
        <v>6110</v>
      </c>
      <c r="B326" s="14" t="s">
        <v>461</v>
      </c>
      <c r="C326" s="14" t="s">
        <v>13029</v>
      </c>
      <c r="D326" s="15">
        <v>8.33</v>
      </c>
      <c r="E326" s="16" t="s">
        <v>30</v>
      </c>
    </row>
    <row r="327" spans="1:5" x14ac:dyDescent="0.25">
      <c r="A327" s="14">
        <v>6115</v>
      </c>
      <c r="B327" s="14" t="s">
        <v>462</v>
      </c>
      <c r="C327" s="14" t="s">
        <v>13029</v>
      </c>
      <c r="D327" s="15">
        <v>9.1999999999999993</v>
      </c>
      <c r="E327" s="16" t="s">
        <v>30</v>
      </c>
    </row>
    <row r="328" spans="1:5" x14ac:dyDescent="0.25">
      <c r="A328" s="14">
        <v>6122</v>
      </c>
      <c r="B328" s="14" t="s">
        <v>463</v>
      </c>
      <c r="C328" s="14" t="s">
        <v>13029</v>
      </c>
      <c r="D328" s="15">
        <v>8.1199999999999992</v>
      </c>
      <c r="E328" s="16" t="s">
        <v>30</v>
      </c>
    </row>
    <row r="329" spans="1:5" x14ac:dyDescent="0.25">
      <c r="A329" s="14">
        <v>4257</v>
      </c>
      <c r="B329" s="14" t="s">
        <v>464</v>
      </c>
      <c r="C329" s="14" t="s">
        <v>13031</v>
      </c>
      <c r="D329" s="15">
        <v>1.22</v>
      </c>
      <c r="E329" s="16" t="s">
        <v>20</v>
      </c>
    </row>
    <row r="330" spans="1:5" x14ac:dyDescent="0.25">
      <c r="A330" s="14">
        <v>4259</v>
      </c>
      <c r="B330" s="14" t="s">
        <v>465</v>
      </c>
      <c r="C330" s="14" t="s">
        <v>13031</v>
      </c>
      <c r="D330" s="15">
        <v>2.67</v>
      </c>
      <c r="E330" s="16" t="s">
        <v>20</v>
      </c>
    </row>
    <row r="331" spans="1:5" x14ac:dyDescent="0.25">
      <c r="A331" s="14">
        <v>4262</v>
      </c>
      <c r="B331" s="14" t="s">
        <v>466</v>
      </c>
      <c r="C331" s="14" t="s">
        <v>13031</v>
      </c>
      <c r="D331" s="15">
        <v>2.2000000000000002</v>
      </c>
      <c r="E331" s="16" t="s">
        <v>20</v>
      </c>
    </row>
    <row r="332" spans="1:5" x14ac:dyDescent="0.25">
      <c r="A332" s="14">
        <v>6148</v>
      </c>
      <c r="B332" s="14" t="s">
        <v>467</v>
      </c>
      <c r="C332" s="14" t="s">
        <v>13029</v>
      </c>
      <c r="D332" s="15">
        <v>1.84</v>
      </c>
      <c r="E332" s="16" t="s">
        <v>30</v>
      </c>
    </row>
    <row r="333" spans="1:5" x14ac:dyDescent="0.25">
      <c r="A333" s="14">
        <v>6153</v>
      </c>
      <c r="B333" s="14" t="s">
        <v>468</v>
      </c>
      <c r="C333" s="14" t="s">
        <v>13029</v>
      </c>
      <c r="D333" s="15">
        <v>4.84</v>
      </c>
      <c r="E333" s="16" t="s">
        <v>30</v>
      </c>
    </row>
    <row r="334" spans="1:5" x14ac:dyDescent="0.25">
      <c r="A334" s="14">
        <v>6154</v>
      </c>
      <c r="B334" s="14" t="s">
        <v>469</v>
      </c>
      <c r="C334" s="14" t="s">
        <v>13029</v>
      </c>
      <c r="D334" s="15">
        <v>3.8</v>
      </c>
      <c r="E334" s="16" t="s">
        <v>30</v>
      </c>
    </row>
    <row r="335" spans="1:5" x14ac:dyDescent="0.25">
      <c r="A335" s="14">
        <v>6164</v>
      </c>
      <c r="B335" s="14" t="s">
        <v>470</v>
      </c>
      <c r="C335" s="14" t="s">
        <v>13029</v>
      </c>
      <c r="D335" s="15">
        <v>1.24</v>
      </c>
      <c r="E335" s="16" t="s">
        <v>30</v>
      </c>
    </row>
    <row r="336" spans="1:5" x14ac:dyDescent="0.25">
      <c r="A336" s="14">
        <v>6165</v>
      </c>
      <c r="B336" s="14" t="s">
        <v>471</v>
      </c>
      <c r="C336" s="14" t="s">
        <v>13029</v>
      </c>
      <c r="D336" s="15">
        <v>2</v>
      </c>
      <c r="E336" s="16" t="s">
        <v>30</v>
      </c>
    </row>
    <row r="337" spans="1:5" x14ac:dyDescent="0.25">
      <c r="A337" s="14">
        <v>6167</v>
      </c>
      <c r="B337" s="14" t="s">
        <v>472</v>
      </c>
      <c r="C337" s="14" t="s">
        <v>13029</v>
      </c>
      <c r="D337" s="15">
        <v>2.16</v>
      </c>
      <c r="E337" s="16" t="s">
        <v>30</v>
      </c>
    </row>
    <row r="338" spans="1:5" x14ac:dyDescent="0.25">
      <c r="A338" s="14">
        <v>6169</v>
      </c>
      <c r="B338" s="14" t="s">
        <v>473</v>
      </c>
      <c r="C338" s="14" t="s">
        <v>13029</v>
      </c>
      <c r="D338" s="15">
        <v>0.96</v>
      </c>
      <c r="E338" s="16" t="s">
        <v>30</v>
      </c>
    </row>
    <row r="339" spans="1:5" x14ac:dyDescent="0.25">
      <c r="A339" s="14">
        <v>6172</v>
      </c>
      <c r="B339" s="14" t="s">
        <v>474</v>
      </c>
      <c r="C339" s="14" t="s">
        <v>13029</v>
      </c>
      <c r="D339" s="15">
        <v>2.52</v>
      </c>
      <c r="E339" s="16" t="s">
        <v>30</v>
      </c>
    </row>
    <row r="340" spans="1:5" x14ac:dyDescent="0.25">
      <c r="A340" s="14">
        <v>6173</v>
      </c>
      <c r="B340" s="14" t="s">
        <v>475</v>
      </c>
      <c r="C340" s="14" t="s">
        <v>13029</v>
      </c>
      <c r="D340" s="15">
        <v>3.51</v>
      </c>
      <c r="E340" s="16" t="s">
        <v>30</v>
      </c>
    </row>
    <row r="341" spans="1:5" x14ac:dyDescent="0.25">
      <c r="A341" s="14">
        <v>6174</v>
      </c>
      <c r="B341" s="14" t="s">
        <v>476</v>
      </c>
      <c r="C341" s="14" t="s">
        <v>13029</v>
      </c>
      <c r="D341" s="15">
        <v>6.31</v>
      </c>
      <c r="E341" s="16" t="s">
        <v>30</v>
      </c>
    </row>
    <row r="342" spans="1:5" x14ac:dyDescent="0.25">
      <c r="A342" s="14">
        <v>6176</v>
      </c>
      <c r="B342" s="14" t="s">
        <v>477</v>
      </c>
      <c r="C342" s="14" t="s">
        <v>13029</v>
      </c>
      <c r="D342" s="15">
        <v>2.4</v>
      </c>
      <c r="E342" s="16" t="s">
        <v>30</v>
      </c>
    </row>
    <row r="343" spans="1:5" x14ac:dyDescent="0.25">
      <c r="A343" s="14">
        <v>6179</v>
      </c>
      <c r="B343" s="14" t="s">
        <v>478</v>
      </c>
      <c r="C343" s="14" t="s">
        <v>13029</v>
      </c>
      <c r="D343" s="15">
        <v>2.04</v>
      </c>
      <c r="E343" s="16" t="s">
        <v>30</v>
      </c>
    </row>
    <row r="344" spans="1:5" x14ac:dyDescent="0.25">
      <c r="A344" s="14">
        <v>6180</v>
      </c>
      <c r="B344" s="14" t="s">
        <v>479</v>
      </c>
      <c r="C344" s="14" t="s">
        <v>13029</v>
      </c>
      <c r="D344" s="15">
        <v>1.64</v>
      </c>
      <c r="E344" s="16" t="s">
        <v>30</v>
      </c>
    </row>
    <row r="345" spans="1:5" x14ac:dyDescent="0.25">
      <c r="A345" s="14">
        <v>6184</v>
      </c>
      <c r="B345" s="14" t="s">
        <v>480</v>
      </c>
      <c r="C345" s="14" t="s">
        <v>13029</v>
      </c>
      <c r="D345" s="15">
        <v>2.08</v>
      </c>
      <c r="E345" s="16" t="s">
        <v>30</v>
      </c>
    </row>
    <row r="346" spans="1:5" x14ac:dyDescent="0.25">
      <c r="A346" s="14">
        <v>6185</v>
      </c>
      <c r="B346" s="14" t="s">
        <v>481</v>
      </c>
      <c r="C346" s="14" t="s">
        <v>13029</v>
      </c>
      <c r="D346" s="15">
        <v>5.04</v>
      </c>
      <c r="E346" s="16" t="s">
        <v>30</v>
      </c>
    </row>
    <row r="347" spans="1:5" x14ac:dyDescent="0.25">
      <c r="A347" s="14">
        <v>6188</v>
      </c>
      <c r="B347" s="14" t="s">
        <v>482</v>
      </c>
      <c r="C347" s="14" t="s">
        <v>13029</v>
      </c>
      <c r="D347" s="15">
        <v>5.07</v>
      </c>
      <c r="E347" s="16" t="s">
        <v>30</v>
      </c>
    </row>
    <row r="348" spans="1:5" x14ac:dyDescent="0.25">
      <c r="A348" s="14">
        <v>6234</v>
      </c>
      <c r="B348" s="14" t="s">
        <v>483</v>
      </c>
      <c r="C348" s="14" t="s">
        <v>13029</v>
      </c>
      <c r="D348" s="15">
        <v>1.28</v>
      </c>
      <c r="E348" s="16" t="s">
        <v>30</v>
      </c>
    </row>
    <row r="349" spans="1:5" x14ac:dyDescent="0.25">
      <c r="A349" s="14">
        <v>6298</v>
      </c>
      <c r="B349" s="14" t="s">
        <v>484</v>
      </c>
      <c r="C349" s="14" t="s">
        <v>13029</v>
      </c>
      <c r="D349" s="15">
        <v>8.67</v>
      </c>
      <c r="E349" s="16" t="s">
        <v>30</v>
      </c>
    </row>
    <row r="350" spans="1:5" x14ac:dyDescent="0.25">
      <c r="A350" s="14">
        <v>1002193</v>
      </c>
      <c r="B350" s="14" t="s">
        <v>485</v>
      </c>
      <c r="C350" s="14" t="s">
        <v>13030</v>
      </c>
      <c r="D350" s="15">
        <v>83.48</v>
      </c>
      <c r="E350" s="16" t="s">
        <v>30</v>
      </c>
    </row>
    <row r="351" spans="1:5" x14ac:dyDescent="0.25">
      <c r="A351" s="14">
        <v>6299</v>
      </c>
      <c r="B351" s="14" t="s">
        <v>486</v>
      </c>
      <c r="C351" s="14" t="s">
        <v>13029</v>
      </c>
      <c r="D351" s="15">
        <v>4.76</v>
      </c>
      <c r="E351" s="16" t="s">
        <v>30</v>
      </c>
    </row>
    <row r="352" spans="1:5" x14ac:dyDescent="0.25">
      <c r="A352" s="14">
        <v>6357</v>
      </c>
      <c r="B352" s="14" t="s">
        <v>487</v>
      </c>
      <c r="C352" s="14" t="s">
        <v>13029</v>
      </c>
      <c r="D352" s="15">
        <v>5.94</v>
      </c>
      <c r="E352" s="16" t="s">
        <v>30</v>
      </c>
    </row>
    <row r="353" spans="1:5" x14ac:dyDescent="0.25">
      <c r="A353" s="14">
        <v>6430</v>
      </c>
      <c r="B353" s="14" t="s">
        <v>488</v>
      </c>
      <c r="C353" s="14" t="s">
        <v>13029</v>
      </c>
      <c r="D353" s="15">
        <v>12.43</v>
      </c>
      <c r="E353" s="16" t="s">
        <v>30</v>
      </c>
    </row>
    <row r="354" spans="1:5" x14ac:dyDescent="0.25">
      <c r="A354" s="14">
        <v>6439</v>
      </c>
      <c r="B354" s="14" t="s">
        <v>489</v>
      </c>
      <c r="C354" s="14" t="s">
        <v>13033</v>
      </c>
      <c r="D354" s="15">
        <v>17.59</v>
      </c>
      <c r="E354" s="16" t="s">
        <v>30</v>
      </c>
    </row>
    <row r="355" spans="1:5" x14ac:dyDescent="0.25">
      <c r="A355" s="14">
        <v>6444</v>
      </c>
      <c r="B355" s="14" t="s">
        <v>490</v>
      </c>
      <c r="C355" s="14" t="s">
        <v>13033</v>
      </c>
      <c r="D355" s="15">
        <v>17.59</v>
      </c>
      <c r="E355" s="16" t="s">
        <v>30</v>
      </c>
    </row>
    <row r="356" spans="1:5" x14ac:dyDescent="0.25">
      <c r="A356" s="14">
        <v>6468</v>
      </c>
      <c r="B356" s="14" t="s">
        <v>491</v>
      </c>
      <c r="C356" s="14" t="s">
        <v>13029</v>
      </c>
      <c r="D356" s="15">
        <v>14.77</v>
      </c>
      <c r="E356" s="14" t="s">
        <v>30</v>
      </c>
    </row>
    <row r="357" spans="1:5" x14ac:dyDescent="0.25">
      <c r="A357" s="14">
        <v>6541</v>
      </c>
      <c r="B357" s="14" t="s">
        <v>492</v>
      </c>
      <c r="C357" s="14" t="s">
        <v>13029</v>
      </c>
      <c r="D357" s="15">
        <v>17.32</v>
      </c>
      <c r="E357" s="16" t="s">
        <v>30</v>
      </c>
    </row>
    <row r="358" spans="1:5" x14ac:dyDescent="0.25">
      <c r="A358" s="14">
        <v>6752</v>
      </c>
      <c r="B358" s="14" t="s">
        <v>493</v>
      </c>
      <c r="C358" s="14" t="s">
        <v>13029</v>
      </c>
      <c r="D358" s="15">
        <v>1.44</v>
      </c>
      <c r="E358" s="16" t="s">
        <v>30</v>
      </c>
    </row>
    <row r="359" spans="1:5" x14ac:dyDescent="0.25">
      <c r="A359" s="14">
        <v>6756</v>
      </c>
      <c r="B359" s="14" t="s">
        <v>494</v>
      </c>
      <c r="C359" s="14" t="s">
        <v>13029</v>
      </c>
      <c r="D359" s="15">
        <v>3.85</v>
      </c>
      <c r="E359" s="16" t="s">
        <v>30</v>
      </c>
    </row>
    <row r="360" spans="1:5" x14ac:dyDescent="0.25">
      <c r="A360" s="14">
        <v>6757</v>
      </c>
      <c r="B360" s="14" t="s">
        <v>495</v>
      </c>
      <c r="C360" s="14" t="s">
        <v>13029</v>
      </c>
      <c r="D360" s="15">
        <v>2.87</v>
      </c>
      <c r="E360" s="16" t="s">
        <v>30</v>
      </c>
    </row>
    <row r="361" spans="1:5" x14ac:dyDescent="0.25">
      <c r="A361" s="14">
        <v>6758</v>
      </c>
      <c r="B361" s="14" t="s">
        <v>496</v>
      </c>
      <c r="C361" s="14" t="s">
        <v>13029</v>
      </c>
      <c r="D361" s="15">
        <v>2.16</v>
      </c>
      <c r="E361" s="16" t="s">
        <v>30</v>
      </c>
    </row>
    <row r="362" spans="1:5" x14ac:dyDescent="0.25">
      <c r="A362" s="14">
        <v>1016354</v>
      </c>
      <c r="B362" s="14" t="s">
        <v>497</v>
      </c>
      <c r="C362" s="14" t="s">
        <v>13030</v>
      </c>
      <c r="D362" s="15">
        <v>20.48</v>
      </c>
      <c r="E362" s="16" t="s">
        <v>30</v>
      </c>
    </row>
    <row r="363" spans="1:5" x14ac:dyDescent="0.25">
      <c r="A363" s="14">
        <v>6767</v>
      </c>
      <c r="B363" s="14" t="s">
        <v>498</v>
      </c>
      <c r="C363" s="14" t="s">
        <v>13029</v>
      </c>
      <c r="D363" s="15">
        <v>2.74</v>
      </c>
      <c r="E363" s="16" t="s">
        <v>30</v>
      </c>
    </row>
    <row r="364" spans="1:5" x14ac:dyDescent="0.25">
      <c r="A364" s="14">
        <v>6768</v>
      </c>
      <c r="B364" s="14" t="s">
        <v>499</v>
      </c>
      <c r="C364" s="14" t="s">
        <v>13029</v>
      </c>
      <c r="D364" s="15">
        <v>1.86</v>
      </c>
      <c r="E364" s="16" t="s">
        <v>30</v>
      </c>
    </row>
    <row r="365" spans="1:5" x14ac:dyDescent="0.25">
      <c r="A365" s="14">
        <v>6788</v>
      </c>
      <c r="B365" s="14" t="s">
        <v>500</v>
      </c>
      <c r="C365" s="14" t="s">
        <v>13029</v>
      </c>
      <c r="D365" s="15">
        <v>5.05</v>
      </c>
      <c r="E365" s="16" t="s">
        <v>30</v>
      </c>
    </row>
    <row r="366" spans="1:5" x14ac:dyDescent="0.25">
      <c r="A366" s="14">
        <v>6869</v>
      </c>
      <c r="B366" s="14" t="s">
        <v>501</v>
      </c>
      <c r="C366" s="14" t="s">
        <v>13030</v>
      </c>
      <c r="D366" s="15">
        <v>15.74</v>
      </c>
      <c r="E366" s="16" t="s">
        <v>30</v>
      </c>
    </row>
    <row r="367" spans="1:5" x14ac:dyDescent="0.25">
      <c r="A367" s="14">
        <v>7024</v>
      </c>
      <c r="B367" s="14" t="s">
        <v>502</v>
      </c>
      <c r="C367" s="14" t="s">
        <v>13029</v>
      </c>
      <c r="D367" s="15">
        <v>28.65</v>
      </c>
      <c r="E367" s="16" t="s">
        <v>30</v>
      </c>
    </row>
    <row r="368" spans="1:5" x14ac:dyDescent="0.25">
      <c r="A368" s="14">
        <v>7034</v>
      </c>
      <c r="B368" s="14" t="s">
        <v>503</v>
      </c>
      <c r="C368" s="14" t="s">
        <v>13029</v>
      </c>
      <c r="D368" s="15">
        <v>28.65</v>
      </c>
      <c r="E368" s="16" t="s">
        <v>30</v>
      </c>
    </row>
    <row r="369" spans="1:5" x14ac:dyDescent="0.25">
      <c r="A369" s="14">
        <v>7071</v>
      </c>
      <c r="B369" s="14" t="s">
        <v>504</v>
      </c>
      <c r="C369" s="14" t="s">
        <v>13034</v>
      </c>
      <c r="D369" s="15">
        <v>11.74</v>
      </c>
      <c r="E369" s="16" t="s">
        <v>30</v>
      </c>
    </row>
    <row r="370" spans="1:5" x14ac:dyDescent="0.25">
      <c r="A370" s="14">
        <v>7073</v>
      </c>
      <c r="B370" s="14" t="s">
        <v>505</v>
      </c>
      <c r="C370" s="14" t="s">
        <v>13034</v>
      </c>
      <c r="D370" s="15">
        <v>14.56</v>
      </c>
      <c r="E370" s="16" t="s">
        <v>30</v>
      </c>
    </row>
    <row r="371" spans="1:5" x14ac:dyDescent="0.25">
      <c r="A371" s="14">
        <v>7076</v>
      </c>
      <c r="B371" s="14" t="s">
        <v>506</v>
      </c>
      <c r="C371" s="14" t="s">
        <v>13034</v>
      </c>
      <c r="D371" s="15">
        <v>21</v>
      </c>
      <c r="E371" s="16" t="s">
        <v>30</v>
      </c>
    </row>
    <row r="372" spans="1:5" x14ac:dyDescent="0.25">
      <c r="A372" s="14">
        <v>7077</v>
      </c>
      <c r="B372" s="14" t="s">
        <v>507</v>
      </c>
      <c r="C372" s="14" t="s">
        <v>13034</v>
      </c>
      <c r="D372" s="15">
        <v>23.6</v>
      </c>
      <c r="E372" s="16" t="s">
        <v>30</v>
      </c>
    </row>
    <row r="373" spans="1:5" x14ac:dyDescent="0.25">
      <c r="A373" s="14">
        <v>7376</v>
      </c>
      <c r="B373" s="14" t="s">
        <v>508</v>
      </c>
      <c r="C373" s="14" t="s">
        <v>13029</v>
      </c>
      <c r="D373" s="15">
        <v>5.72</v>
      </c>
      <c r="E373" s="16" t="s">
        <v>30</v>
      </c>
    </row>
    <row r="374" spans="1:5" x14ac:dyDescent="0.25">
      <c r="A374" s="14">
        <v>7523</v>
      </c>
      <c r="B374" s="14" t="s">
        <v>509</v>
      </c>
      <c r="C374" s="14" t="s">
        <v>13029</v>
      </c>
      <c r="D374" s="15">
        <v>19.23</v>
      </c>
      <c r="E374" s="16" t="s">
        <v>30</v>
      </c>
    </row>
    <row r="375" spans="1:5" x14ac:dyDescent="0.25">
      <c r="A375" s="14">
        <v>8259</v>
      </c>
      <c r="B375" s="14" t="s">
        <v>510</v>
      </c>
      <c r="C375" s="14" t="s">
        <v>13029</v>
      </c>
      <c r="D375" s="15">
        <v>9.31</v>
      </c>
      <c r="E375" s="16" t="s">
        <v>30</v>
      </c>
    </row>
    <row r="376" spans="1:5" x14ac:dyDescent="0.25">
      <c r="A376" s="14">
        <v>8260</v>
      </c>
      <c r="B376" s="14" t="s">
        <v>511</v>
      </c>
      <c r="C376" s="14" t="s">
        <v>13029</v>
      </c>
      <c r="D376" s="15">
        <v>12.66</v>
      </c>
      <c r="E376" s="16" t="s">
        <v>30</v>
      </c>
    </row>
    <row r="377" spans="1:5" x14ac:dyDescent="0.25">
      <c r="A377" s="14">
        <v>8261</v>
      </c>
      <c r="B377" s="14" t="s">
        <v>512</v>
      </c>
      <c r="C377" s="14" t="s">
        <v>13029</v>
      </c>
      <c r="D377" s="15">
        <v>28.5</v>
      </c>
      <c r="E377" s="16" t="s">
        <v>30</v>
      </c>
    </row>
    <row r="378" spans="1:5" x14ac:dyDescent="0.25">
      <c r="A378" s="14">
        <v>4288</v>
      </c>
      <c r="B378" s="14" t="s">
        <v>513</v>
      </c>
      <c r="C378" s="14" t="s">
        <v>13031</v>
      </c>
      <c r="D378" s="15">
        <v>3</v>
      </c>
      <c r="E378" s="16" t="s">
        <v>20</v>
      </c>
    </row>
    <row r="379" spans="1:5" x14ac:dyDescent="0.25">
      <c r="A379" s="14">
        <v>8267</v>
      </c>
      <c r="B379" s="14" t="s">
        <v>514</v>
      </c>
      <c r="C379" s="14" t="s">
        <v>13029</v>
      </c>
      <c r="D379" s="15">
        <v>17.37</v>
      </c>
      <c r="E379" s="16" t="s">
        <v>30</v>
      </c>
    </row>
    <row r="380" spans="1:5" x14ac:dyDescent="0.25">
      <c r="A380" s="14">
        <v>8269</v>
      </c>
      <c r="B380" s="14" t="s">
        <v>515</v>
      </c>
      <c r="C380" s="14" t="s">
        <v>13029</v>
      </c>
      <c r="D380" s="15">
        <v>7.19</v>
      </c>
      <c r="E380" s="16" t="s">
        <v>30</v>
      </c>
    </row>
    <row r="381" spans="1:5" x14ac:dyDescent="0.25">
      <c r="A381" s="14">
        <v>8272</v>
      </c>
      <c r="B381" s="14" t="s">
        <v>516</v>
      </c>
      <c r="C381" s="14" t="s">
        <v>13029</v>
      </c>
      <c r="D381" s="15">
        <v>22.08</v>
      </c>
      <c r="E381" s="16" t="s">
        <v>30</v>
      </c>
    </row>
    <row r="382" spans="1:5" x14ac:dyDescent="0.25">
      <c r="A382" s="14">
        <v>8274</v>
      </c>
      <c r="B382" s="14" t="s">
        <v>517</v>
      </c>
      <c r="C382" s="14" t="s">
        <v>13029</v>
      </c>
      <c r="D382" s="15">
        <v>12.63</v>
      </c>
      <c r="E382" s="16" t="s">
        <v>30</v>
      </c>
    </row>
    <row r="383" spans="1:5" x14ac:dyDescent="0.25">
      <c r="A383" s="14">
        <v>8299</v>
      </c>
      <c r="B383" s="14" t="s">
        <v>518</v>
      </c>
      <c r="C383" s="14" t="s">
        <v>13034</v>
      </c>
      <c r="D383" s="15">
        <v>7.75</v>
      </c>
      <c r="E383" s="16" t="s">
        <v>30</v>
      </c>
    </row>
    <row r="384" spans="1:5" x14ac:dyDescent="0.25">
      <c r="A384" s="14">
        <v>8300</v>
      </c>
      <c r="B384" s="14" t="s">
        <v>519</v>
      </c>
      <c r="C384" s="14" t="s">
        <v>13034</v>
      </c>
      <c r="D384" s="15">
        <v>6.12</v>
      </c>
      <c r="E384" s="16" t="s">
        <v>30</v>
      </c>
    </row>
    <row r="385" spans="1:5" x14ac:dyDescent="0.25">
      <c r="A385" s="14">
        <v>8354</v>
      </c>
      <c r="B385" s="14" t="s">
        <v>520</v>
      </c>
      <c r="C385" s="14" t="s">
        <v>13029</v>
      </c>
      <c r="D385" s="15">
        <v>19.579999999999998</v>
      </c>
      <c r="E385" s="16" t="s">
        <v>30</v>
      </c>
    </row>
    <row r="386" spans="1:5" x14ac:dyDescent="0.25">
      <c r="A386" s="14">
        <v>8355</v>
      </c>
      <c r="B386" s="14" t="s">
        <v>521</v>
      </c>
      <c r="C386" s="14" t="s">
        <v>13029</v>
      </c>
      <c r="D386" s="15">
        <v>19.579999999999998</v>
      </c>
      <c r="E386" s="16" t="s">
        <v>30</v>
      </c>
    </row>
    <row r="387" spans="1:5" x14ac:dyDescent="0.25">
      <c r="A387" s="14">
        <v>8521</v>
      </c>
      <c r="B387" s="14" t="s">
        <v>522</v>
      </c>
      <c r="C387" s="14" t="s">
        <v>13029</v>
      </c>
      <c r="D387" s="15">
        <v>17.89</v>
      </c>
      <c r="E387" s="16" t="s">
        <v>30</v>
      </c>
    </row>
    <row r="388" spans="1:5" x14ac:dyDescent="0.25">
      <c r="A388" s="14">
        <v>8522</v>
      </c>
      <c r="B388" s="14" t="s">
        <v>523</v>
      </c>
      <c r="C388" s="14" t="s">
        <v>13029</v>
      </c>
      <c r="D388" s="15">
        <v>16.920000000000002</v>
      </c>
      <c r="E388" s="16" t="s">
        <v>30</v>
      </c>
    </row>
    <row r="389" spans="1:5" x14ac:dyDescent="0.25">
      <c r="A389" s="14">
        <v>10006</v>
      </c>
      <c r="B389" s="14" t="s">
        <v>524</v>
      </c>
      <c r="C389" s="14" t="s">
        <v>13029</v>
      </c>
      <c r="D389" s="15">
        <v>1.36</v>
      </c>
      <c r="E389" s="16" t="s">
        <v>30</v>
      </c>
    </row>
    <row r="390" spans="1:5" x14ac:dyDescent="0.25">
      <c r="A390" s="14">
        <v>10376</v>
      </c>
      <c r="B390" s="14" t="s">
        <v>525</v>
      </c>
      <c r="C390" s="14" t="s">
        <v>13030</v>
      </c>
      <c r="D390" s="15">
        <v>145.87</v>
      </c>
      <c r="E390" s="16" t="s">
        <v>30</v>
      </c>
    </row>
    <row r="391" spans="1:5" x14ac:dyDescent="0.25">
      <c r="A391" s="14">
        <v>10388</v>
      </c>
      <c r="B391" s="14" t="s">
        <v>526</v>
      </c>
      <c r="C391" s="14" t="s">
        <v>13030</v>
      </c>
      <c r="D391" s="15">
        <v>45.11</v>
      </c>
      <c r="E391" s="16" t="s">
        <v>30</v>
      </c>
    </row>
    <row r="392" spans="1:5" x14ac:dyDescent="0.25">
      <c r="A392" s="14">
        <v>10390</v>
      </c>
      <c r="B392" s="14" t="s">
        <v>527</v>
      </c>
      <c r="C392" s="14" t="s">
        <v>13030</v>
      </c>
      <c r="D392" s="15">
        <v>1007.53</v>
      </c>
      <c r="E392" s="16" t="s">
        <v>30</v>
      </c>
    </row>
    <row r="393" spans="1:5" x14ac:dyDescent="0.25">
      <c r="A393" s="14">
        <v>10391</v>
      </c>
      <c r="B393" s="14" t="s">
        <v>528</v>
      </c>
      <c r="C393" s="14" t="s">
        <v>13030</v>
      </c>
      <c r="D393" s="15">
        <v>138.91</v>
      </c>
      <c r="E393" s="16" t="s">
        <v>30</v>
      </c>
    </row>
    <row r="394" spans="1:5" x14ac:dyDescent="0.25">
      <c r="A394" s="14">
        <v>10395</v>
      </c>
      <c r="B394" s="14" t="s">
        <v>529</v>
      </c>
      <c r="C394" s="14" t="s">
        <v>13030</v>
      </c>
      <c r="D394" s="15">
        <v>47.55</v>
      </c>
      <c r="E394" s="16" t="s">
        <v>30</v>
      </c>
    </row>
    <row r="395" spans="1:5" x14ac:dyDescent="0.25">
      <c r="A395" s="14">
        <v>10399</v>
      </c>
      <c r="B395" s="14" t="s">
        <v>530</v>
      </c>
      <c r="C395" s="14" t="s">
        <v>13030</v>
      </c>
      <c r="D395" s="15">
        <v>76.42</v>
      </c>
      <c r="E395" s="16" t="s">
        <v>30</v>
      </c>
    </row>
    <row r="396" spans="1:5" x14ac:dyDescent="0.25">
      <c r="A396" s="14">
        <v>10400</v>
      </c>
      <c r="B396" s="14" t="s">
        <v>531</v>
      </c>
      <c r="C396" s="14" t="s">
        <v>13030</v>
      </c>
      <c r="D396" s="15">
        <v>104.16</v>
      </c>
      <c r="E396" s="16" t="s">
        <v>30</v>
      </c>
    </row>
    <row r="397" spans="1:5" x14ac:dyDescent="0.25">
      <c r="A397" s="14">
        <v>10402</v>
      </c>
      <c r="B397" s="14" t="s">
        <v>532</v>
      </c>
      <c r="C397" s="14" t="s">
        <v>13030</v>
      </c>
      <c r="D397" s="15">
        <v>83.33</v>
      </c>
      <c r="E397" s="16" t="s">
        <v>30</v>
      </c>
    </row>
    <row r="398" spans="1:5" x14ac:dyDescent="0.25">
      <c r="A398" s="14">
        <v>10404</v>
      </c>
      <c r="B398" s="14" t="s">
        <v>533</v>
      </c>
      <c r="C398" s="14" t="s">
        <v>13030</v>
      </c>
      <c r="D398" s="15">
        <v>39.54</v>
      </c>
      <c r="E398" s="16" t="s">
        <v>30</v>
      </c>
    </row>
    <row r="399" spans="1:5" x14ac:dyDescent="0.25">
      <c r="A399" s="14">
        <v>10412</v>
      </c>
      <c r="B399" s="14" t="s">
        <v>534</v>
      </c>
      <c r="C399" s="14" t="s">
        <v>13030</v>
      </c>
      <c r="D399" s="15">
        <v>44.4</v>
      </c>
      <c r="E399" s="16" t="s">
        <v>30</v>
      </c>
    </row>
    <row r="400" spans="1:5" x14ac:dyDescent="0.25">
      <c r="A400" s="14">
        <v>10413</v>
      </c>
      <c r="B400" s="14" t="s">
        <v>535</v>
      </c>
      <c r="C400" s="14" t="s">
        <v>13030</v>
      </c>
      <c r="D400" s="15">
        <v>44.4</v>
      </c>
      <c r="E400" s="16" t="s">
        <v>30</v>
      </c>
    </row>
    <row r="401" spans="1:5" x14ac:dyDescent="0.25">
      <c r="A401" s="14">
        <v>10414</v>
      </c>
      <c r="B401" s="14" t="s">
        <v>536</v>
      </c>
      <c r="C401" s="14" t="s">
        <v>13030</v>
      </c>
      <c r="D401" s="15">
        <v>76.28</v>
      </c>
      <c r="E401" s="16" t="s">
        <v>30</v>
      </c>
    </row>
    <row r="402" spans="1:5" x14ac:dyDescent="0.25">
      <c r="A402" s="14">
        <v>10419</v>
      </c>
      <c r="B402" s="14" t="s">
        <v>537</v>
      </c>
      <c r="C402" s="14" t="s">
        <v>13030</v>
      </c>
      <c r="D402" s="15">
        <v>185.56</v>
      </c>
      <c r="E402" s="16" t="s">
        <v>30</v>
      </c>
    </row>
    <row r="403" spans="1:5" x14ac:dyDescent="0.25">
      <c r="A403" s="14">
        <v>10420</v>
      </c>
      <c r="B403" s="14" t="s">
        <v>538</v>
      </c>
      <c r="C403" s="14" t="s">
        <v>13030</v>
      </c>
      <c r="D403" s="15">
        <v>54.15</v>
      </c>
      <c r="E403" s="16" t="s">
        <v>30</v>
      </c>
    </row>
    <row r="404" spans="1:5" x14ac:dyDescent="0.25">
      <c r="A404" s="14">
        <v>733974004</v>
      </c>
      <c r="B404" s="14" t="s">
        <v>539</v>
      </c>
      <c r="C404" s="14" t="s">
        <v>13030</v>
      </c>
      <c r="D404" s="15">
        <v>18.98</v>
      </c>
      <c r="E404" s="16" t="s">
        <v>20</v>
      </c>
    </row>
    <row r="405" spans="1:5" x14ac:dyDescent="0.25">
      <c r="A405" s="14">
        <v>4352</v>
      </c>
      <c r="B405" s="14" t="s">
        <v>540</v>
      </c>
      <c r="C405" s="14" t="s">
        <v>13031</v>
      </c>
      <c r="D405" s="15">
        <v>3</v>
      </c>
      <c r="E405" s="16" t="s">
        <v>20</v>
      </c>
    </row>
    <row r="406" spans="1:5" x14ac:dyDescent="0.25">
      <c r="A406" s="14">
        <v>10429</v>
      </c>
      <c r="B406" s="14" t="s">
        <v>541</v>
      </c>
      <c r="C406" s="14" t="s">
        <v>13030</v>
      </c>
      <c r="D406" s="15">
        <v>1085.28</v>
      </c>
      <c r="E406" s="14" t="s">
        <v>30</v>
      </c>
    </row>
    <row r="407" spans="1:5" x14ac:dyDescent="0.25">
      <c r="A407" s="14">
        <v>10433</v>
      </c>
      <c r="B407" s="14" t="s">
        <v>542</v>
      </c>
      <c r="C407" s="14" t="s">
        <v>13030</v>
      </c>
      <c r="D407" s="15">
        <v>41.71</v>
      </c>
      <c r="E407" s="16" t="s">
        <v>30</v>
      </c>
    </row>
    <row r="408" spans="1:5" x14ac:dyDescent="0.25">
      <c r="A408" s="14">
        <v>10445</v>
      </c>
      <c r="B408" s="14" t="s">
        <v>543</v>
      </c>
      <c r="C408" s="14" t="s">
        <v>13030</v>
      </c>
      <c r="D408" s="15">
        <v>43.15</v>
      </c>
      <c r="E408" s="16" t="s">
        <v>30</v>
      </c>
    </row>
    <row r="409" spans="1:5" x14ac:dyDescent="0.25">
      <c r="A409" s="14">
        <v>10446</v>
      </c>
      <c r="B409" s="14" t="s">
        <v>544</v>
      </c>
      <c r="C409" s="14" t="s">
        <v>13030</v>
      </c>
      <c r="D409" s="15">
        <v>30.9</v>
      </c>
      <c r="E409" s="16" t="s">
        <v>30</v>
      </c>
    </row>
    <row r="410" spans="1:5" x14ac:dyDescent="0.25">
      <c r="A410" s="14">
        <v>10447</v>
      </c>
      <c r="B410" s="14" t="s">
        <v>545</v>
      </c>
      <c r="C410" s="14" t="s">
        <v>13030</v>
      </c>
      <c r="D410" s="15">
        <v>65.95</v>
      </c>
      <c r="E410" s="16" t="s">
        <v>30</v>
      </c>
    </row>
    <row r="411" spans="1:5" x14ac:dyDescent="0.25">
      <c r="A411" s="14">
        <v>10448</v>
      </c>
      <c r="B411" s="14" t="s">
        <v>546</v>
      </c>
      <c r="C411" s="14" t="s">
        <v>13030</v>
      </c>
      <c r="D411" s="15">
        <v>63.41</v>
      </c>
      <c r="E411" s="16" t="s">
        <v>30</v>
      </c>
    </row>
    <row r="412" spans="1:5" x14ac:dyDescent="0.25">
      <c r="A412" s="14">
        <v>10452</v>
      </c>
      <c r="B412" s="14" t="s">
        <v>547</v>
      </c>
      <c r="C412" s="14" t="s">
        <v>13030</v>
      </c>
      <c r="D412" s="15">
        <v>61.87</v>
      </c>
      <c r="E412" s="16" t="s">
        <v>30</v>
      </c>
    </row>
    <row r="413" spans="1:5" x14ac:dyDescent="0.25">
      <c r="A413" s="14">
        <v>10456</v>
      </c>
      <c r="B413" s="14" t="s">
        <v>548</v>
      </c>
      <c r="C413" s="14" t="s">
        <v>13030</v>
      </c>
      <c r="D413" s="15">
        <v>54.86</v>
      </c>
      <c r="E413" s="16" t="s">
        <v>30</v>
      </c>
    </row>
    <row r="414" spans="1:5" x14ac:dyDescent="0.25">
      <c r="A414" s="14">
        <v>4375</v>
      </c>
      <c r="B414" s="14" t="s">
        <v>549</v>
      </c>
      <c r="C414" s="14" t="s">
        <v>13031</v>
      </c>
      <c r="D414" s="15">
        <v>3</v>
      </c>
      <c r="E414" s="16" t="s">
        <v>20</v>
      </c>
    </row>
    <row r="415" spans="1:5" x14ac:dyDescent="0.25">
      <c r="A415" s="14">
        <v>4625</v>
      </c>
      <c r="B415" s="14" t="s">
        <v>550</v>
      </c>
      <c r="C415" s="14" t="s">
        <v>13031</v>
      </c>
      <c r="D415" s="15">
        <v>2.2000000000000002</v>
      </c>
      <c r="E415" s="16" t="s">
        <v>20</v>
      </c>
    </row>
    <row r="416" spans="1:5" x14ac:dyDescent="0.25">
      <c r="A416" s="14">
        <v>733974005</v>
      </c>
      <c r="B416" s="14" t="s">
        <v>551</v>
      </c>
      <c r="C416" s="14" t="s">
        <v>13030</v>
      </c>
      <c r="D416" s="15">
        <v>18.98</v>
      </c>
      <c r="E416" s="14" t="s">
        <v>20</v>
      </c>
    </row>
    <row r="417" spans="1:5" x14ac:dyDescent="0.25">
      <c r="A417" s="14">
        <v>10462</v>
      </c>
      <c r="B417" s="14" t="s">
        <v>552</v>
      </c>
      <c r="C417" s="14" t="s">
        <v>13030</v>
      </c>
      <c r="D417" s="15">
        <v>55.52</v>
      </c>
      <c r="E417" s="16" t="s">
        <v>30</v>
      </c>
    </row>
    <row r="418" spans="1:5" x14ac:dyDescent="0.25">
      <c r="A418" s="14">
        <v>10464</v>
      </c>
      <c r="B418" s="14" t="s">
        <v>553</v>
      </c>
      <c r="C418" s="14" t="s">
        <v>13030</v>
      </c>
      <c r="D418" s="15">
        <v>89.12</v>
      </c>
      <c r="E418" s="16" t="s">
        <v>30</v>
      </c>
    </row>
    <row r="419" spans="1:5" x14ac:dyDescent="0.25">
      <c r="A419" s="14">
        <v>10465</v>
      </c>
      <c r="B419" s="14" t="s">
        <v>554</v>
      </c>
      <c r="C419" s="14" t="s">
        <v>13030</v>
      </c>
      <c r="D419" s="15">
        <v>61.07</v>
      </c>
      <c r="E419" s="16" t="s">
        <v>30</v>
      </c>
    </row>
    <row r="420" spans="1:5" x14ac:dyDescent="0.25">
      <c r="A420" s="14">
        <v>10474</v>
      </c>
      <c r="B420" s="14" t="s">
        <v>555</v>
      </c>
      <c r="C420" s="14" t="s">
        <v>13030</v>
      </c>
      <c r="D420" s="15">
        <v>45.11</v>
      </c>
      <c r="E420" s="16" t="s">
        <v>30</v>
      </c>
    </row>
    <row r="421" spans="1:5" x14ac:dyDescent="0.25">
      <c r="A421" s="14">
        <v>10478</v>
      </c>
      <c r="B421" s="14" t="s">
        <v>556</v>
      </c>
      <c r="C421" s="14" t="s">
        <v>13030</v>
      </c>
      <c r="D421" s="15">
        <v>26.65</v>
      </c>
      <c r="E421" s="16" t="s">
        <v>30</v>
      </c>
    </row>
    <row r="422" spans="1:5" x14ac:dyDescent="0.25">
      <c r="A422" s="14">
        <v>10483</v>
      </c>
      <c r="B422" s="14" t="s">
        <v>557</v>
      </c>
      <c r="C422" s="14" t="s">
        <v>13030</v>
      </c>
      <c r="D422" s="15">
        <v>69.95</v>
      </c>
      <c r="E422" s="16" t="s">
        <v>30</v>
      </c>
    </row>
    <row r="423" spans="1:5" x14ac:dyDescent="0.25">
      <c r="A423" s="14">
        <v>10494</v>
      </c>
      <c r="B423" s="14" t="s">
        <v>558</v>
      </c>
      <c r="C423" s="14" t="s">
        <v>13030</v>
      </c>
      <c r="D423" s="15">
        <v>18.079999999999998</v>
      </c>
      <c r="E423" s="16" t="s">
        <v>30</v>
      </c>
    </row>
    <row r="424" spans="1:5" x14ac:dyDescent="0.25">
      <c r="A424" s="14">
        <v>10503</v>
      </c>
      <c r="B424" s="14" t="s">
        <v>559</v>
      </c>
      <c r="C424" s="14" t="s">
        <v>13030</v>
      </c>
      <c r="D424" s="15">
        <v>61.06</v>
      </c>
      <c r="E424" s="16" t="s">
        <v>30</v>
      </c>
    </row>
    <row r="425" spans="1:5" x14ac:dyDescent="0.25">
      <c r="A425" s="14">
        <v>10504</v>
      </c>
      <c r="B425" s="14" t="s">
        <v>560</v>
      </c>
      <c r="C425" s="14" t="s">
        <v>13030</v>
      </c>
      <c r="D425" s="15">
        <v>33.97</v>
      </c>
      <c r="E425" s="16" t="s">
        <v>30</v>
      </c>
    </row>
    <row r="426" spans="1:5" x14ac:dyDescent="0.25">
      <c r="A426" s="14">
        <v>10506</v>
      </c>
      <c r="B426" s="14" t="s">
        <v>561</v>
      </c>
      <c r="C426" s="14" t="s">
        <v>13030</v>
      </c>
      <c r="D426" s="15">
        <v>59.69</v>
      </c>
      <c r="E426" s="16" t="s">
        <v>30</v>
      </c>
    </row>
    <row r="427" spans="1:5" x14ac:dyDescent="0.25">
      <c r="A427" s="14">
        <v>10507</v>
      </c>
      <c r="B427" s="14" t="s">
        <v>562</v>
      </c>
      <c r="C427" s="14" t="s">
        <v>13030</v>
      </c>
      <c r="D427" s="15">
        <v>59.69</v>
      </c>
      <c r="E427" s="16" t="s">
        <v>30</v>
      </c>
    </row>
    <row r="428" spans="1:5" x14ac:dyDescent="0.25">
      <c r="A428" s="14">
        <v>10519</v>
      </c>
      <c r="B428" s="14" t="s">
        <v>563</v>
      </c>
      <c r="C428" s="14" t="s">
        <v>13030</v>
      </c>
      <c r="D428" s="15">
        <v>32.36</v>
      </c>
      <c r="E428" s="16" t="s">
        <v>30</v>
      </c>
    </row>
    <row r="429" spans="1:5" x14ac:dyDescent="0.25">
      <c r="A429" s="14">
        <v>733974006</v>
      </c>
      <c r="B429" s="14" t="s">
        <v>564</v>
      </c>
      <c r="C429" s="14" t="s">
        <v>13030</v>
      </c>
      <c r="D429" s="15">
        <v>18.98</v>
      </c>
      <c r="E429" s="14" t="s">
        <v>20</v>
      </c>
    </row>
    <row r="430" spans="1:5" x14ac:dyDescent="0.25">
      <c r="A430" s="14">
        <v>759551002</v>
      </c>
      <c r="B430" s="14" t="s">
        <v>565</v>
      </c>
      <c r="C430" s="14" t="s">
        <v>13030</v>
      </c>
      <c r="D430" s="15">
        <v>10.61</v>
      </c>
      <c r="E430" s="14" t="s">
        <v>20</v>
      </c>
    </row>
    <row r="431" spans="1:5" x14ac:dyDescent="0.25">
      <c r="A431" s="14">
        <v>759552003</v>
      </c>
      <c r="B431" s="14" t="s">
        <v>566</v>
      </c>
      <c r="C431" s="14" t="s">
        <v>13030</v>
      </c>
      <c r="D431" s="15">
        <v>10.61</v>
      </c>
      <c r="E431" s="14" t="s">
        <v>20</v>
      </c>
    </row>
    <row r="432" spans="1:5" x14ac:dyDescent="0.25">
      <c r="A432" s="14">
        <v>759552005</v>
      </c>
      <c r="B432" s="14" t="s">
        <v>567</v>
      </c>
      <c r="C432" s="14" t="s">
        <v>13030</v>
      </c>
      <c r="D432" s="15">
        <v>10.61</v>
      </c>
      <c r="E432" s="14" t="s">
        <v>20</v>
      </c>
    </row>
    <row r="433" spans="1:5" x14ac:dyDescent="0.25">
      <c r="A433" s="14">
        <v>10520</v>
      </c>
      <c r="B433" s="14" t="s">
        <v>568</v>
      </c>
      <c r="C433" s="14" t="s">
        <v>13030</v>
      </c>
      <c r="D433" s="15">
        <v>47.32</v>
      </c>
      <c r="E433" s="16" t="s">
        <v>30</v>
      </c>
    </row>
    <row r="434" spans="1:5" x14ac:dyDescent="0.25">
      <c r="A434" s="14">
        <v>10521</v>
      </c>
      <c r="B434" s="14" t="s">
        <v>569</v>
      </c>
      <c r="C434" s="14" t="s">
        <v>13030</v>
      </c>
      <c r="D434" s="15">
        <v>33.19</v>
      </c>
      <c r="E434" s="16" t="s">
        <v>30</v>
      </c>
    </row>
    <row r="435" spans="1:5" x14ac:dyDescent="0.25">
      <c r="A435" s="14">
        <v>10522</v>
      </c>
      <c r="B435" s="14" t="s">
        <v>100</v>
      </c>
      <c r="C435" s="14" t="s">
        <v>13030</v>
      </c>
      <c r="D435" s="15">
        <v>25.14</v>
      </c>
      <c r="E435" s="16" t="s">
        <v>30</v>
      </c>
    </row>
    <row r="436" spans="1:5" x14ac:dyDescent="0.25">
      <c r="A436" s="14">
        <v>10523</v>
      </c>
      <c r="B436" s="14" t="s">
        <v>570</v>
      </c>
      <c r="C436" s="14" t="s">
        <v>13030</v>
      </c>
      <c r="D436" s="15">
        <v>35.950000000000003</v>
      </c>
      <c r="E436" s="16" t="s">
        <v>30</v>
      </c>
    </row>
    <row r="437" spans="1:5" x14ac:dyDescent="0.25">
      <c r="A437" s="14">
        <v>10526</v>
      </c>
      <c r="B437" s="14" t="s">
        <v>571</v>
      </c>
      <c r="C437" s="14" t="s">
        <v>13030</v>
      </c>
      <c r="D437" s="15">
        <v>19.89</v>
      </c>
      <c r="E437" s="16" t="s">
        <v>30</v>
      </c>
    </row>
    <row r="438" spans="1:5" x14ac:dyDescent="0.25">
      <c r="A438" s="14">
        <v>10541</v>
      </c>
      <c r="B438" s="14" t="s">
        <v>572</v>
      </c>
      <c r="C438" s="14" t="s">
        <v>13030</v>
      </c>
      <c r="D438" s="15">
        <v>11.42</v>
      </c>
      <c r="E438" s="16" t="s">
        <v>30</v>
      </c>
    </row>
    <row r="439" spans="1:5" x14ac:dyDescent="0.25">
      <c r="A439" s="14">
        <v>10549</v>
      </c>
      <c r="B439" s="14" t="s">
        <v>573</v>
      </c>
      <c r="C439" s="14" t="s">
        <v>13030</v>
      </c>
      <c r="D439" s="15">
        <v>45.43</v>
      </c>
      <c r="E439" s="16" t="s">
        <v>30</v>
      </c>
    </row>
    <row r="440" spans="1:5" x14ac:dyDescent="0.25">
      <c r="A440" s="14">
        <v>10551</v>
      </c>
      <c r="B440" s="14" t="s">
        <v>574</v>
      </c>
      <c r="C440" s="14" t="s">
        <v>13030</v>
      </c>
      <c r="D440" s="15">
        <v>32.35</v>
      </c>
      <c r="E440" s="16" t="s">
        <v>30</v>
      </c>
    </row>
    <row r="441" spans="1:5" x14ac:dyDescent="0.25">
      <c r="A441" s="14">
        <v>10564</v>
      </c>
      <c r="B441" s="14" t="s">
        <v>575</v>
      </c>
      <c r="C441" s="14" t="s">
        <v>13030</v>
      </c>
      <c r="D441" s="15">
        <v>11.41</v>
      </c>
      <c r="E441" s="16" t="s">
        <v>30</v>
      </c>
    </row>
    <row r="442" spans="1:5" x14ac:dyDescent="0.25">
      <c r="A442" s="14">
        <v>10573</v>
      </c>
      <c r="B442" s="14" t="s">
        <v>576</v>
      </c>
      <c r="C442" s="14" t="s">
        <v>13030</v>
      </c>
      <c r="D442" s="15">
        <v>32.340000000000003</v>
      </c>
      <c r="E442" s="16" t="s">
        <v>30</v>
      </c>
    </row>
    <row r="443" spans="1:5" x14ac:dyDescent="0.25">
      <c r="A443" s="14">
        <v>10574</v>
      </c>
      <c r="B443" s="14" t="s">
        <v>577</v>
      </c>
      <c r="C443" s="14" t="s">
        <v>13030</v>
      </c>
      <c r="D443" s="15">
        <v>32.369999999999997</v>
      </c>
      <c r="E443" s="16" t="s">
        <v>30</v>
      </c>
    </row>
    <row r="444" spans="1:5" x14ac:dyDescent="0.25">
      <c r="A444" s="14">
        <v>10575</v>
      </c>
      <c r="B444" s="14" t="s">
        <v>578</v>
      </c>
      <c r="C444" s="14" t="s">
        <v>13030</v>
      </c>
      <c r="D444" s="15">
        <v>667.06</v>
      </c>
      <c r="E444" s="16" t="s">
        <v>30</v>
      </c>
    </row>
    <row r="445" spans="1:5" x14ac:dyDescent="0.25">
      <c r="A445" s="14">
        <v>10576</v>
      </c>
      <c r="B445" s="14" t="s">
        <v>579</v>
      </c>
      <c r="C445" s="14" t="s">
        <v>13030</v>
      </c>
      <c r="D445" s="15">
        <v>19.89</v>
      </c>
      <c r="E445" s="16" t="s">
        <v>30</v>
      </c>
    </row>
    <row r="446" spans="1:5" x14ac:dyDescent="0.25">
      <c r="A446" s="14">
        <v>10578</v>
      </c>
      <c r="B446" s="14" t="s">
        <v>580</v>
      </c>
      <c r="C446" s="14" t="s">
        <v>13030</v>
      </c>
      <c r="D446" s="15">
        <v>69.78</v>
      </c>
      <c r="E446" s="16" t="s">
        <v>30</v>
      </c>
    </row>
    <row r="447" spans="1:5" x14ac:dyDescent="0.25">
      <c r="A447" s="14">
        <v>10583</v>
      </c>
      <c r="B447" s="14" t="s">
        <v>581</v>
      </c>
      <c r="C447" s="14" t="s">
        <v>13030</v>
      </c>
      <c r="D447" s="15">
        <v>49.97</v>
      </c>
      <c r="E447" s="16" t="s">
        <v>30</v>
      </c>
    </row>
    <row r="448" spans="1:5" x14ac:dyDescent="0.25">
      <c r="A448" s="14">
        <v>10585</v>
      </c>
      <c r="B448" s="14" t="s">
        <v>582</v>
      </c>
      <c r="C448" s="14" t="s">
        <v>13030</v>
      </c>
      <c r="D448" s="15">
        <v>52.47</v>
      </c>
      <c r="E448" s="16" t="s">
        <v>30</v>
      </c>
    </row>
    <row r="449" spans="1:5" x14ac:dyDescent="0.25">
      <c r="A449" s="14">
        <v>10587</v>
      </c>
      <c r="B449" s="14" t="s">
        <v>583</v>
      </c>
      <c r="C449" s="14" t="s">
        <v>13030</v>
      </c>
      <c r="D449" s="15">
        <v>41.97</v>
      </c>
      <c r="E449" s="16" t="s">
        <v>30</v>
      </c>
    </row>
    <row r="450" spans="1:5" x14ac:dyDescent="0.25">
      <c r="A450" s="14">
        <v>10589</v>
      </c>
      <c r="B450" s="14" t="s">
        <v>584</v>
      </c>
      <c r="C450" s="14" t="s">
        <v>13030</v>
      </c>
      <c r="D450" s="15">
        <v>34.65</v>
      </c>
      <c r="E450" s="16" t="s">
        <v>30</v>
      </c>
    </row>
    <row r="451" spans="1:5" x14ac:dyDescent="0.25">
      <c r="A451" s="14">
        <v>10590</v>
      </c>
      <c r="B451" s="14" t="s">
        <v>585</v>
      </c>
      <c r="C451" s="14" t="s">
        <v>13030</v>
      </c>
      <c r="D451" s="15">
        <v>38.15</v>
      </c>
      <c r="E451" s="16" t="s">
        <v>30</v>
      </c>
    </row>
    <row r="452" spans="1:5" x14ac:dyDescent="0.25">
      <c r="A452" s="14">
        <v>10591</v>
      </c>
      <c r="B452" s="14" t="s">
        <v>586</v>
      </c>
      <c r="C452" s="14" t="s">
        <v>13030</v>
      </c>
      <c r="D452" s="15">
        <v>58.99</v>
      </c>
      <c r="E452" s="16" t="s">
        <v>30</v>
      </c>
    </row>
    <row r="453" spans="1:5" x14ac:dyDescent="0.25">
      <c r="A453" s="14">
        <v>10607</v>
      </c>
      <c r="B453" s="14" t="s">
        <v>587</v>
      </c>
      <c r="C453" s="14" t="s">
        <v>13030</v>
      </c>
      <c r="D453" s="15">
        <v>35.94</v>
      </c>
      <c r="E453" s="16" t="s">
        <v>30</v>
      </c>
    </row>
    <row r="454" spans="1:5" x14ac:dyDescent="0.25">
      <c r="A454" s="14">
        <v>759552006</v>
      </c>
      <c r="B454" s="14" t="s">
        <v>588</v>
      </c>
      <c r="C454" s="14" t="s">
        <v>13030</v>
      </c>
      <c r="D454" s="15">
        <v>10.61</v>
      </c>
      <c r="E454" s="14" t="s">
        <v>20</v>
      </c>
    </row>
    <row r="455" spans="1:5" x14ac:dyDescent="0.25">
      <c r="A455" s="14">
        <v>10618</v>
      </c>
      <c r="B455" s="14" t="s">
        <v>589</v>
      </c>
      <c r="C455" s="14" t="s">
        <v>13030</v>
      </c>
      <c r="D455" s="15">
        <v>36.4</v>
      </c>
      <c r="E455" s="16" t="s">
        <v>30</v>
      </c>
    </row>
    <row r="456" spans="1:5" x14ac:dyDescent="0.25">
      <c r="A456" s="14">
        <v>10625</v>
      </c>
      <c r="B456" s="14" t="s">
        <v>590</v>
      </c>
      <c r="C456" s="14" t="s">
        <v>13030</v>
      </c>
      <c r="D456" s="15">
        <v>33.19</v>
      </c>
      <c r="E456" s="16" t="s">
        <v>30</v>
      </c>
    </row>
    <row r="457" spans="1:5" x14ac:dyDescent="0.25">
      <c r="A457" s="14">
        <v>10629</v>
      </c>
      <c r="B457" s="14" t="s">
        <v>591</v>
      </c>
      <c r="C457" s="14" t="s">
        <v>13030</v>
      </c>
      <c r="D457" s="15">
        <v>33.79</v>
      </c>
      <c r="E457" s="16" t="s">
        <v>30</v>
      </c>
    </row>
    <row r="458" spans="1:5" x14ac:dyDescent="0.25">
      <c r="A458" s="14">
        <v>10640</v>
      </c>
      <c r="B458" s="14" t="s">
        <v>592</v>
      </c>
      <c r="C458" s="14" t="s">
        <v>13030</v>
      </c>
      <c r="D458" s="15">
        <v>73.98</v>
      </c>
      <c r="E458" s="16" t="s">
        <v>30</v>
      </c>
    </row>
    <row r="459" spans="1:5" x14ac:dyDescent="0.25">
      <c r="A459" s="14">
        <v>10649</v>
      </c>
      <c r="B459" s="14" t="s">
        <v>593</v>
      </c>
      <c r="C459" s="14" t="s">
        <v>13030</v>
      </c>
      <c r="D459" s="15">
        <v>73.62</v>
      </c>
      <c r="E459" s="16" t="s">
        <v>30</v>
      </c>
    </row>
    <row r="460" spans="1:5" x14ac:dyDescent="0.25">
      <c r="A460" s="14">
        <v>10651</v>
      </c>
      <c r="B460" s="14" t="s">
        <v>594</v>
      </c>
      <c r="C460" s="14" t="s">
        <v>13030</v>
      </c>
      <c r="D460" s="15">
        <v>43.09</v>
      </c>
      <c r="E460" s="16" t="s">
        <v>30</v>
      </c>
    </row>
    <row r="461" spans="1:5" x14ac:dyDescent="0.25">
      <c r="A461" s="14">
        <v>10653</v>
      </c>
      <c r="B461" s="14" t="s">
        <v>595</v>
      </c>
      <c r="C461" s="14" t="s">
        <v>13030</v>
      </c>
      <c r="D461" s="15">
        <v>45.31</v>
      </c>
      <c r="E461" s="14" t="s">
        <v>30</v>
      </c>
    </row>
    <row r="462" spans="1:5" x14ac:dyDescent="0.25">
      <c r="A462" s="14">
        <v>10654</v>
      </c>
      <c r="B462" s="14" t="s">
        <v>596</v>
      </c>
      <c r="C462" s="14" t="s">
        <v>13030</v>
      </c>
      <c r="D462" s="15">
        <v>71.959999999999994</v>
      </c>
      <c r="E462" s="14" t="s">
        <v>30</v>
      </c>
    </row>
    <row r="463" spans="1:5" x14ac:dyDescent="0.25">
      <c r="A463" s="14">
        <v>10655</v>
      </c>
      <c r="B463" s="14" t="s">
        <v>597</v>
      </c>
      <c r="C463" s="14" t="s">
        <v>13030</v>
      </c>
      <c r="D463" s="15">
        <v>30.91</v>
      </c>
      <c r="E463" s="14" t="s">
        <v>30</v>
      </c>
    </row>
    <row r="464" spans="1:5" x14ac:dyDescent="0.25">
      <c r="A464" s="14">
        <v>10657</v>
      </c>
      <c r="B464" s="14" t="s">
        <v>598</v>
      </c>
      <c r="C464" s="14" t="s">
        <v>13030</v>
      </c>
      <c r="D464" s="15">
        <v>17.66</v>
      </c>
      <c r="E464" s="16" t="s">
        <v>30</v>
      </c>
    </row>
    <row r="465" spans="1:5" x14ac:dyDescent="0.25">
      <c r="A465" s="14">
        <v>10659</v>
      </c>
      <c r="B465" s="14" t="s">
        <v>599</v>
      </c>
      <c r="C465" s="14" t="s">
        <v>13030</v>
      </c>
      <c r="D465" s="15">
        <v>29.91</v>
      </c>
      <c r="E465" s="16" t="s">
        <v>30</v>
      </c>
    </row>
    <row r="466" spans="1:5" x14ac:dyDescent="0.25">
      <c r="A466" s="14">
        <v>10891</v>
      </c>
      <c r="B466" s="14" t="s">
        <v>600</v>
      </c>
      <c r="C466" s="14" t="s">
        <v>13029</v>
      </c>
      <c r="D466" s="15">
        <v>7.89</v>
      </c>
      <c r="E466" s="16" t="s">
        <v>30</v>
      </c>
    </row>
    <row r="467" spans="1:5" x14ac:dyDescent="0.25">
      <c r="A467" s="14">
        <v>10892</v>
      </c>
      <c r="B467" s="14" t="s">
        <v>601</v>
      </c>
      <c r="C467" s="14" t="s">
        <v>13029</v>
      </c>
      <c r="D467" s="15">
        <v>7.89</v>
      </c>
      <c r="E467" s="16" t="s">
        <v>30</v>
      </c>
    </row>
    <row r="468" spans="1:5" x14ac:dyDescent="0.25">
      <c r="A468" s="14">
        <v>10964</v>
      </c>
      <c r="B468" s="14" t="s">
        <v>602</v>
      </c>
      <c r="C468" s="14" t="s">
        <v>13030</v>
      </c>
      <c r="D468" s="15">
        <v>19.850000000000001</v>
      </c>
      <c r="E468" s="16" t="s">
        <v>30</v>
      </c>
    </row>
    <row r="469" spans="1:5" x14ac:dyDescent="0.25">
      <c r="A469" s="14">
        <v>11206</v>
      </c>
      <c r="B469" s="14" t="s">
        <v>603</v>
      </c>
      <c r="C469" s="14" t="s">
        <v>13029</v>
      </c>
      <c r="D469" s="15">
        <v>6</v>
      </c>
      <c r="E469" s="16" t="s">
        <v>30</v>
      </c>
    </row>
    <row r="470" spans="1:5" x14ac:dyDescent="0.25">
      <c r="A470" s="14">
        <v>12575</v>
      </c>
      <c r="B470" s="14" t="s">
        <v>604</v>
      </c>
      <c r="C470" s="14" t="s">
        <v>13030</v>
      </c>
      <c r="D470" s="15">
        <v>41.94</v>
      </c>
      <c r="E470" s="16" t="s">
        <v>30</v>
      </c>
    </row>
    <row r="471" spans="1:5" x14ac:dyDescent="0.25">
      <c r="A471" s="14">
        <v>12821</v>
      </c>
      <c r="B471" s="14" t="s">
        <v>605</v>
      </c>
      <c r="C471" s="14" t="s">
        <v>13030</v>
      </c>
      <c r="D471" s="15">
        <v>48.57</v>
      </c>
      <c r="E471" s="16" t="s">
        <v>30</v>
      </c>
    </row>
    <row r="472" spans="1:5" x14ac:dyDescent="0.25">
      <c r="A472" s="14">
        <v>12824</v>
      </c>
      <c r="B472" s="14" t="s">
        <v>606</v>
      </c>
      <c r="C472" s="14" t="s">
        <v>13029</v>
      </c>
      <c r="D472" s="15">
        <v>13.37</v>
      </c>
      <c r="E472" s="14" t="s">
        <v>30</v>
      </c>
    </row>
    <row r="473" spans="1:5" x14ac:dyDescent="0.25">
      <c r="A473" s="14">
        <v>13444</v>
      </c>
      <c r="B473" s="14" t="s">
        <v>607</v>
      </c>
      <c r="C473" s="14" t="s">
        <v>13029</v>
      </c>
      <c r="D473" s="15">
        <v>17.899999999999999</v>
      </c>
      <c r="E473" s="14" t="s">
        <v>30</v>
      </c>
    </row>
    <row r="474" spans="1:5" x14ac:dyDescent="0.25">
      <c r="A474" s="14">
        <v>13505</v>
      </c>
      <c r="B474" s="14" t="s">
        <v>608</v>
      </c>
      <c r="C474" s="14" t="s">
        <v>13030</v>
      </c>
      <c r="D474" s="15">
        <v>71.95</v>
      </c>
      <c r="E474" s="16" t="s">
        <v>30</v>
      </c>
    </row>
    <row r="475" spans="1:5" x14ac:dyDescent="0.25">
      <c r="A475" s="14">
        <v>13531</v>
      </c>
      <c r="B475" s="14" t="s">
        <v>609</v>
      </c>
      <c r="C475" s="14" t="s">
        <v>13030</v>
      </c>
      <c r="D475" s="15">
        <v>38.15</v>
      </c>
      <c r="E475" s="16" t="s">
        <v>30</v>
      </c>
    </row>
    <row r="476" spans="1:5" x14ac:dyDescent="0.25">
      <c r="A476" s="14">
        <v>768744001</v>
      </c>
      <c r="B476" s="14" t="s">
        <v>610</v>
      </c>
      <c r="C476" s="14" t="s">
        <v>13030</v>
      </c>
      <c r="D476" s="15">
        <v>32.520000000000003</v>
      </c>
      <c r="E476" s="16" t="s">
        <v>20</v>
      </c>
    </row>
    <row r="477" spans="1:5" x14ac:dyDescent="0.25">
      <c r="A477" s="14">
        <v>13992</v>
      </c>
      <c r="B477" s="14" t="s">
        <v>611</v>
      </c>
      <c r="C477" s="14" t="s">
        <v>13031</v>
      </c>
      <c r="D477" s="15">
        <v>20.57</v>
      </c>
      <c r="E477" s="16" t="s">
        <v>30</v>
      </c>
    </row>
    <row r="478" spans="1:5" x14ac:dyDescent="0.25">
      <c r="A478" s="14">
        <v>14048</v>
      </c>
      <c r="B478" s="14" t="s">
        <v>612</v>
      </c>
      <c r="C478" s="14" t="s">
        <v>13029</v>
      </c>
      <c r="D478" s="15">
        <v>5</v>
      </c>
      <c r="E478" s="16" t="s">
        <v>30</v>
      </c>
    </row>
    <row r="479" spans="1:5" x14ac:dyDescent="0.25">
      <c r="A479" s="14">
        <v>14049</v>
      </c>
      <c r="B479" s="14" t="s">
        <v>613</v>
      </c>
      <c r="C479" s="14" t="s">
        <v>13029</v>
      </c>
      <c r="D479" s="15">
        <v>4.8</v>
      </c>
      <c r="E479" s="16" t="s">
        <v>30</v>
      </c>
    </row>
    <row r="480" spans="1:5" x14ac:dyDescent="0.25">
      <c r="A480" s="14">
        <v>14050</v>
      </c>
      <c r="B480" s="14" t="s">
        <v>614</v>
      </c>
      <c r="C480" s="14" t="s">
        <v>13029</v>
      </c>
      <c r="D480" s="15">
        <v>4.8899999999999997</v>
      </c>
      <c r="E480" s="16" t="s">
        <v>30</v>
      </c>
    </row>
    <row r="481" spans="1:5" x14ac:dyDescent="0.25">
      <c r="A481" s="14">
        <v>14275</v>
      </c>
      <c r="B481" s="14" t="s">
        <v>615</v>
      </c>
      <c r="C481" s="14" t="s">
        <v>13030</v>
      </c>
      <c r="D481" s="15">
        <v>44.49</v>
      </c>
      <c r="E481" s="16" t="s">
        <v>30</v>
      </c>
    </row>
    <row r="482" spans="1:5" x14ac:dyDescent="0.25">
      <c r="A482" s="14">
        <v>14276</v>
      </c>
      <c r="B482" s="14" t="s">
        <v>616</v>
      </c>
      <c r="C482" s="14" t="s">
        <v>13030</v>
      </c>
      <c r="D482" s="15">
        <v>32.08</v>
      </c>
      <c r="E482" s="16" t="s">
        <v>30</v>
      </c>
    </row>
    <row r="483" spans="1:5" x14ac:dyDescent="0.25">
      <c r="A483" s="14">
        <v>14277</v>
      </c>
      <c r="B483" s="14" t="s">
        <v>83</v>
      </c>
      <c r="C483" s="14" t="s">
        <v>13030</v>
      </c>
      <c r="D483" s="15">
        <v>43.98</v>
      </c>
      <c r="E483" s="16" t="s">
        <v>30</v>
      </c>
    </row>
    <row r="484" spans="1:5" x14ac:dyDescent="0.25">
      <c r="A484" s="14">
        <v>14493</v>
      </c>
      <c r="B484" s="14" t="s">
        <v>617</v>
      </c>
      <c r="C484" s="14" t="s">
        <v>13033</v>
      </c>
      <c r="D484" s="15">
        <v>11.43</v>
      </c>
      <c r="E484" s="16" t="s">
        <v>30</v>
      </c>
    </row>
    <row r="485" spans="1:5" x14ac:dyDescent="0.25">
      <c r="A485" s="14">
        <v>14734</v>
      </c>
      <c r="B485" s="14" t="s">
        <v>618</v>
      </c>
      <c r="C485" s="14" t="s">
        <v>13030</v>
      </c>
      <c r="D485" s="15">
        <v>70.97</v>
      </c>
      <c r="E485" s="16" t="s">
        <v>30</v>
      </c>
    </row>
    <row r="486" spans="1:5" x14ac:dyDescent="0.25">
      <c r="A486" s="14">
        <v>14735</v>
      </c>
      <c r="B486" s="14" t="s">
        <v>619</v>
      </c>
      <c r="C486" s="14" t="s">
        <v>13030</v>
      </c>
      <c r="D486" s="15">
        <v>54.64</v>
      </c>
      <c r="E486" s="16" t="s">
        <v>30</v>
      </c>
    </row>
    <row r="487" spans="1:5" x14ac:dyDescent="0.25">
      <c r="A487" s="14">
        <v>14924</v>
      </c>
      <c r="B487" s="14" t="s">
        <v>620</v>
      </c>
      <c r="C487" s="14" t="s">
        <v>13031</v>
      </c>
      <c r="D487" s="15">
        <v>16.53</v>
      </c>
      <c r="E487" s="16" t="s">
        <v>30</v>
      </c>
    </row>
    <row r="488" spans="1:5" x14ac:dyDescent="0.25">
      <c r="A488" s="14">
        <v>14948</v>
      </c>
      <c r="B488" s="14" t="s">
        <v>621</v>
      </c>
      <c r="C488" s="14" t="s">
        <v>13031</v>
      </c>
      <c r="D488" s="15">
        <v>8.39</v>
      </c>
      <c r="E488" s="16" t="s">
        <v>30</v>
      </c>
    </row>
    <row r="489" spans="1:5" x14ac:dyDescent="0.25">
      <c r="A489" s="14">
        <v>14949</v>
      </c>
      <c r="B489" s="14" t="s">
        <v>622</v>
      </c>
      <c r="C489" s="14" t="s">
        <v>13031</v>
      </c>
      <c r="D489" s="15">
        <v>11.61</v>
      </c>
      <c r="E489" s="16" t="s">
        <v>30</v>
      </c>
    </row>
    <row r="490" spans="1:5" x14ac:dyDescent="0.25">
      <c r="A490" s="14">
        <v>15125</v>
      </c>
      <c r="B490" s="14" t="s">
        <v>623</v>
      </c>
      <c r="C490" s="14" t="s">
        <v>13030</v>
      </c>
      <c r="D490" s="15">
        <v>39.6</v>
      </c>
      <c r="E490" s="16" t="s">
        <v>30</v>
      </c>
    </row>
    <row r="491" spans="1:5" x14ac:dyDescent="0.25">
      <c r="A491" s="14">
        <v>4626</v>
      </c>
      <c r="B491" s="14" t="s">
        <v>624</v>
      </c>
      <c r="C491" s="14" t="s">
        <v>13031</v>
      </c>
      <c r="D491" s="15">
        <v>6.36</v>
      </c>
      <c r="E491" s="16" t="s">
        <v>20</v>
      </c>
    </row>
    <row r="492" spans="1:5" x14ac:dyDescent="0.25">
      <c r="A492" s="14">
        <v>4628</v>
      </c>
      <c r="B492" s="14" t="s">
        <v>625</v>
      </c>
      <c r="C492" s="14" t="s">
        <v>13031</v>
      </c>
      <c r="D492" s="15">
        <v>5.37</v>
      </c>
      <c r="E492" s="16" t="s">
        <v>20</v>
      </c>
    </row>
    <row r="493" spans="1:5" x14ac:dyDescent="0.25">
      <c r="A493" s="14">
        <v>15285</v>
      </c>
      <c r="B493" s="14" t="s">
        <v>626</v>
      </c>
      <c r="C493" s="14" t="s">
        <v>13029</v>
      </c>
      <c r="D493" s="15">
        <v>8.0500000000000007</v>
      </c>
      <c r="E493" s="16" t="s">
        <v>30</v>
      </c>
    </row>
    <row r="494" spans="1:5" x14ac:dyDescent="0.25">
      <c r="A494" s="14">
        <v>15433</v>
      </c>
      <c r="B494" s="14" t="s">
        <v>627</v>
      </c>
      <c r="C494" s="14" t="s">
        <v>13030</v>
      </c>
      <c r="D494" s="15">
        <v>40.93</v>
      </c>
      <c r="E494" s="16" t="s">
        <v>30</v>
      </c>
    </row>
    <row r="495" spans="1:5" x14ac:dyDescent="0.25">
      <c r="A495" s="14">
        <v>15512</v>
      </c>
      <c r="B495" s="14" t="s">
        <v>628</v>
      </c>
      <c r="C495" s="14" t="s">
        <v>13030</v>
      </c>
      <c r="D495" s="15">
        <v>11.45</v>
      </c>
      <c r="E495" s="16" t="s">
        <v>30</v>
      </c>
    </row>
    <row r="496" spans="1:5" x14ac:dyDescent="0.25">
      <c r="A496" s="14">
        <v>15513</v>
      </c>
      <c r="B496" s="14" t="s">
        <v>629</v>
      </c>
      <c r="C496" s="14" t="s">
        <v>13030</v>
      </c>
      <c r="D496" s="15">
        <v>11.45</v>
      </c>
      <c r="E496" s="16" t="s">
        <v>30</v>
      </c>
    </row>
    <row r="497" spans="1:5" x14ac:dyDescent="0.25">
      <c r="A497" s="14">
        <v>15514</v>
      </c>
      <c r="B497" s="14" t="s">
        <v>630</v>
      </c>
      <c r="C497" s="14" t="s">
        <v>13030</v>
      </c>
      <c r="D497" s="15">
        <v>11.45</v>
      </c>
      <c r="E497" s="16" t="s">
        <v>30</v>
      </c>
    </row>
    <row r="498" spans="1:5" x14ac:dyDescent="0.25">
      <c r="A498" s="14">
        <v>15516</v>
      </c>
      <c r="B498" s="14" t="s">
        <v>631</v>
      </c>
      <c r="C498" s="14" t="s">
        <v>13030</v>
      </c>
      <c r="D498" s="15">
        <v>11.45</v>
      </c>
      <c r="E498" s="16" t="s">
        <v>30</v>
      </c>
    </row>
    <row r="499" spans="1:5" x14ac:dyDescent="0.25">
      <c r="A499" s="14">
        <v>15522</v>
      </c>
      <c r="B499" s="14" t="s">
        <v>632</v>
      </c>
      <c r="C499" s="14" t="s">
        <v>13034</v>
      </c>
      <c r="D499" s="15">
        <v>0.95</v>
      </c>
      <c r="E499" s="16" t="s">
        <v>30</v>
      </c>
    </row>
    <row r="500" spans="1:5" x14ac:dyDescent="0.25">
      <c r="A500" s="14">
        <v>15821</v>
      </c>
      <c r="B500" s="14" t="s">
        <v>633</v>
      </c>
      <c r="C500" s="14" t="s">
        <v>13030</v>
      </c>
      <c r="D500" s="15">
        <v>1007.55</v>
      </c>
      <c r="E500" s="16" t="s">
        <v>30</v>
      </c>
    </row>
    <row r="501" spans="1:5" x14ac:dyDescent="0.25">
      <c r="A501" s="14">
        <v>15842</v>
      </c>
      <c r="B501" s="14" t="s">
        <v>634</v>
      </c>
      <c r="C501" s="14" t="s">
        <v>13030</v>
      </c>
      <c r="D501" s="15">
        <v>13.84</v>
      </c>
      <c r="E501" s="16" t="s">
        <v>30</v>
      </c>
    </row>
    <row r="502" spans="1:5" x14ac:dyDescent="0.25">
      <c r="A502" s="14">
        <v>15844</v>
      </c>
      <c r="B502" s="14" t="s">
        <v>635</v>
      </c>
      <c r="C502" s="14" t="s">
        <v>13034</v>
      </c>
      <c r="D502" s="15">
        <v>1.35</v>
      </c>
      <c r="E502" s="16" t="s">
        <v>30</v>
      </c>
    </row>
    <row r="503" spans="1:5" x14ac:dyDescent="0.25">
      <c r="A503" s="14">
        <v>16130</v>
      </c>
      <c r="B503" s="14" t="s">
        <v>636</v>
      </c>
      <c r="C503" s="14" t="s">
        <v>13031</v>
      </c>
      <c r="D503" s="15">
        <v>5.09</v>
      </c>
      <c r="E503" s="16" t="s">
        <v>30</v>
      </c>
    </row>
    <row r="504" spans="1:5" x14ac:dyDescent="0.25">
      <c r="A504" s="14">
        <v>964925001</v>
      </c>
      <c r="B504" s="14" t="s">
        <v>637</v>
      </c>
      <c r="C504" s="14" t="s">
        <v>13030</v>
      </c>
      <c r="D504" s="15">
        <v>25.56</v>
      </c>
      <c r="E504" s="16" t="s">
        <v>20</v>
      </c>
    </row>
    <row r="505" spans="1:5" x14ac:dyDescent="0.25">
      <c r="A505" s="14">
        <v>16323</v>
      </c>
      <c r="B505" s="14" t="s">
        <v>638</v>
      </c>
      <c r="C505" s="14" t="s">
        <v>13031</v>
      </c>
      <c r="D505" s="15">
        <v>1.44</v>
      </c>
      <c r="E505" s="16" t="s">
        <v>30</v>
      </c>
    </row>
    <row r="506" spans="1:5" x14ac:dyDescent="0.25">
      <c r="A506" s="14">
        <v>16326</v>
      </c>
      <c r="B506" s="14" t="s">
        <v>639</v>
      </c>
      <c r="C506" s="14" t="s">
        <v>13031</v>
      </c>
      <c r="D506" s="15">
        <v>13.92</v>
      </c>
      <c r="E506" s="16" t="s">
        <v>30</v>
      </c>
    </row>
    <row r="507" spans="1:5" x14ac:dyDescent="0.25">
      <c r="A507" s="14">
        <v>16383</v>
      </c>
      <c r="B507" s="14" t="s">
        <v>640</v>
      </c>
      <c r="C507" s="14" t="s">
        <v>13030</v>
      </c>
      <c r="D507" s="15">
        <v>11.1</v>
      </c>
      <c r="E507" s="16" t="s">
        <v>30</v>
      </c>
    </row>
    <row r="508" spans="1:5" x14ac:dyDescent="0.25">
      <c r="A508" s="14">
        <v>16439</v>
      </c>
      <c r="B508" s="14" t="s">
        <v>641</v>
      </c>
      <c r="C508" s="14" t="s">
        <v>13029</v>
      </c>
      <c r="D508" s="15">
        <v>11.8</v>
      </c>
      <c r="E508" s="14" t="s">
        <v>30</v>
      </c>
    </row>
    <row r="509" spans="1:5" x14ac:dyDescent="0.25">
      <c r="A509" s="14">
        <v>16538</v>
      </c>
      <c r="B509" s="14" t="s">
        <v>642</v>
      </c>
      <c r="C509" s="14" t="s">
        <v>13030</v>
      </c>
      <c r="D509" s="15">
        <v>32.35</v>
      </c>
      <c r="E509" s="16" t="s">
        <v>30</v>
      </c>
    </row>
    <row r="510" spans="1:5" x14ac:dyDescent="0.25">
      <c r="A510" s="14">
        <v>16561</v>
      </c>
      <c r="B510" s="14" t="s">
        <v>643</v>
      </c>
      <c r="C510" s="14" t="s">
        <v>13030</v>
      </c>
      <c r="D510" s="15">
        <v>24.95</v>
      </c>
      <c r="E510" s="16" t="s">
        <v>30</v>
      </c>
    </row>
    <row r="511" spans="1:5" x14ac:dyDescent="0.25">
      <c r="A511" s="14">
        <v>16730</v>
      </c>
      <c r="B511" s="14" t="s">
        <v>644</v>
      </c>
      <c r="C511" s="14" t="s">
        <v>13029</v>
      </c>
      <c r="D511" s="15">
        <v>8.74</v>
      </c>
      <c r="E511" s="16" t="s">
        <v>30</v>
      </c>
    </row>
    <row r="512" spans="1:5" x14ac:dyDescent="0.25">
      <c r="A512" s="14">
        <v>16731</v>
      </c>
      <c r="B512" s="14" t="s">
        <v>645</v>
      </c>
      <c r="C512" s="14" t="s">
        <v>13029</v>
      </c>
      <c r="D512" s="15">
        <v>12.23</v>
      </c>
      <c r="E512" s="16" t="s">
        <v>30</v>
      </c>
    </row>
    <row r="513" spans="1:5" x14ac:dyDescent="0.25">
      <c r="A513" s="14">
        <v>16732</v>
      </c>
      <c r="B513" s="14" t="s">
        <v>646</v>
      </c>
      <c r="C513" s="14" t="s">
        <v>13029</v>
      </c>
      <c r="D513" s="15">
        <v>7.1</v>
      </c>
      <c r="E513" s="16" t="s">
        <v>30</v>
      </c>
    </row>
    <row r="514" spans="1:5" x14ac:dyDescent="0.25">
      <c r="A514" s="14">
        <v>16733</v>
      </c>
      <c r="B514" s="14" t="s">
        <v>647</v>
      </c>
      <c r="C514" s="14" t="s">
        <v>13029</v>
      </c>
      <c r="D514" s="15">
        <v>12.72</v>
      </c>
      <c r="E514" s="16" t="s">
        <v>30</v>
      </c>
    </row>
    <row r="515" spans="1:5" x14ac:dyDescent="0.25">
      <c r="A515" s="14">
        <v>16761</v>
      </c>
      <c r="B515" s="14" t="s">
        <v>648</v>
      </c>
      <c r="C515" s="14" t="s">
        <v>13029</v>
      </c>
      <c r="D515" s="15">
        <v>7.66</v>
      </c>
      <c r="E515" s="16" t="s">
        <v>30</v>
      </c>
    </row>
    <row r="516" spans="1:5" x14ac:dyDescent="0.25">
      <c r="A516" s="14">
        <v>16772</v>
      </c>
      <c r="B516" s="14" t="s">
        <v>649</v>
      </c>
      <c r="C516" s="14" t="s">
        <v>13031</v>
      </c>
      <c r="D516" s="15">
        <v>5.73</v>
      </c>
      <c r="E516" s="16" t="s">
        <v>30</v>
      </c>
    </row>
    <row r="517" spans="1:5" x14ac:dyDescent="0.25">
      <c r="A517" s="14">
        <v>17096</v>
      </c>
      <c r="B517" s="14" t="s">
        <v>650</v>
      </c>
      <c r="C517" s="14" t="s">
        <v>13030</v>
      </c>
      <c r="D517" s="15">
        <v>12.99</v>
      </c>
      <c r="E517" s="16" t="s">
        <v>30</v>
      </c>
    </row>
    <row r="518" spans="1:5" x14ac:dyDescent="0.25">
      <c r="A518" s="14">
        <v>979234001</v>
      </c>
      <c r="B518" s="14" t="s">
        <v>651</v>
      </c>
      <c r="C518" s="14" t="s">
        <v>13031</v>
      </c>
      <c r="D518" s="15">
        <v>20.76</v>
      </c>
      <c r="E518" s="16" t="s">
        <v>20</v>
      </c>
    </row>
    <row r="519" spans="1:5" x14ac:dyDescent="0.25">
      <c r="A519" s="14">
        <v>17098</v>
      </c>
      <c r="B519" s="14" t="s">
        <v>652</v>
      </c>
      <c r="C519" s="14" t="s">
        <v>13030</v>
      </c>
      <c r="D519" s="15">
        <v>12.99</v>
      </c>
      <c r="E519" s="16" t="s">
        <v>30</v>
      </c>
    </row>
    <row r="520" spans="1:5" x14ac:dyDescent="0.25">
      <c r="A520" s="14">
        <v>17127</v>
      </c>
      <c r="B520" s="14" t="s">
        <v>653</v>
      </c>
      <c r="C520" s="14" t="s">
        <v>13030</v>
      </c>
      <c r="D520" s="15">
        <v>12.87</v>
      </c>
      <c r="E520" s="16" t="s">
        <v>30</v>
      </c>
    </row>
    <row r="521" spans="1:5" x14ac:dyDescent="0.25">
      <c r="A521" s="14">
        <v>979234002</v>
      </c>
      <c r="B521" s="14" t="s">
        <v>654</v>
      </c>
      <c r="C521" s="14" t="s">
        <v>13031</v>
      </c>
      <c r="D521" s="15">
        <v>20.76</v>
      </c>
      <c r="E521" s="16" t="s">
        <v>20</v>
      </c>
    </row>
    <row r="522" spans="1:5" x14ac:dyDescent="0.25">
      <c r="A522" s="14">
        <v>4631</v>
      </c>
      <c r="B522" s="14" t="s">
        <v>655</v>
      </c>
      <c r="C522" s="14" t="s">
        <v>13031</v>
      </c>
      <c r="D522" s="15">
        <v>6.36</v>
      </c>
      <c r="E522" s="16" t="s">
        <v>20</v>
      </c>
    </row>
    <row r="523" spans="1:5" x14ac:dyDescent="0.25">
      <c r="A523" s="14">
        <v>17128</v>
      </c>
      <c r="B523" s="14" t="s">
        <v>656</v>
      </c>
      <c r="C523" s="14" t="s">
        <v>13030</v>
      </c>
      <c r="D523" s="15">
        <v>12.87</v>
      </c>
      <c r="E523" s="16" t="s">
        <v>30</v>
      </c>
    </row>
    <row r="524" spans="1:5" x14ac:dyDescent="0.25">
      <c r="A524" s="14">
        <v>17129</v>
      </c>
      <c r="B524" s="14" t="s">
        <v>657</v>
      </c>
      <c r="C524" s="14" t="s">
        <v>13030</v>
      </c>
      <c r="D524" s="15">
        <v>12.87</v>
      </c>
      <c r="E524" s="16" t="s">
        <v>30</v>
      </c>
    </row>
    <row r="525" spans="1:5" x14ac:dyDescent="0.25">
      <c r="A525" s="14">
        <v>17197</v>
      </c>
      <c r="B525" s="14" t="s">
        <v>658</v>
      </c>
      <c r="C525" s="14" t="s">
        <v>13031</v>
      </c>
      <c r="D525" s="15">
        <v>11.58</v>
      </c>
      <c r="E525" s="16" t="s">
        <v>30</v>
      </c>
    </row>
    <row r="526" spans="1:5" x14ac:dyDescent="0.25">
      <c r="A526" s="14">
        <v>969801</v>
      </c>
      <c r="B526" s="14" t="s">
        <v>659</v>
      </c>
      <c r="C526" s="14" t="s">
        <v>13031</v>
      </c>
      <c r="D526" s="15">
        <v>10.029999999999999</v>
      </c>
      <c r="E526" s="16" t="s">
        <v>20</v>
      </c>
    </row>
    <row r="527" spans="1:5" x14ac:dyDescent="0.25">
      <c r="A527" s="14">
        <v>17462</v>
      </c>
      <c r="B527" s="14" t="s">
        <v>660</v>
      </c>
      <c r="C527" s="14" t="s">
        <v>13033</v>
      </c>
      <c r="D527" s="15">
        <v>9.57</v>
      </c>
      <c r="E527" s="16" t="s">
        <v>30</v>
      </c>
    </row>
    <row r="528" spans="1:5" x14ac:dyDescent="0.25">
      <c r="A528" s="14">
        <v>17833</v>
      </c>
      <c r="B528" s="14" t="s">
        <v>661</v>
      </c>
      <c r="C528" s="14" t="s">
        <v>13031</v>
      </c>
      <c r="D528" s="15">
        <v>19.989999999999998</v>
      </c>
      <c r="E528" s="16" t="s">
        <v>30</v>
      </c>
    </row>
    <row r="529" spans="1:5" x14ac:dyDescent="0.25">
      <c r="A529" s="14">
        <v>18569</v>
      </c>
      <c r="B529" s="14" t="s">
        <v>662</v>
      </c>
      <c r="C529" s="14" t="s">
        <v>13031</v>
      </c>
      <c r="D529" s="15">
        <v>2.75</v>
      </c>
      <c r="E529" s="16" t="s">
        <v>30</v>
      </c>
    </row>
    <row r="530" spans="1:5" x14ac:dyDescent="0.25">
      <c r="A530" s="14">
        <v>1002179</v>
      </c>
      <c r="B530" s="14" t="s">
        <v>663</v>
      </c>
      <c r="C530" s="14" t="s">
        <v>13031</v>
      </c>
      <c r="D530" s="15">
        <v>11.8</v>
      </c>
      <c r="E530" s="16" t="s">
        <v>20</v>
      </c>
    </row>
    <row r="531" spans="1:5" x14ac:dyDescent="0.25">
      <c r="A531" s="14">
        <v>952081001</v>
      </c>
      <c r="B531" s="14" t="s">
        <v>664</v>
      </c>
      <c r="C531" s="14" t="s">
        <v>13030</v>
      </c>
      <c r="D531" s="15">
        <v>30.4</v>
      </c>
      <c r="E531" s="16" t="s">
        <v>20</v>
      </c>
    </row>
    <row r="532" spans="1:5" x14ac:dyDescent="0.25">
      <c r="A532" s="14">
        <v>18652</v>
      </c>
      <c r="B532" s="14" t="s">
        <v>665</v>
      </c>
      <c r="C532" s="14" t="s">
        <v>13030</v>
      </c>
      <c r="D532" s="15">
        <v>44.86</v>
      </c>
      <c r="E532" s="16" t="s">
        <v>30</v>
      </c>
    </row>
    <row r="533" spans="1:5" x14ac:dyDescent="0.25">
      <c r="A533" s="14">
        <v>18703</v>
      </c>
      <c r="B533" s="14" t="s">
        <v>666</v>
      </c>
      <c r="C533" s="14" t="s">
        <v>13031</v>
      </c>
      <c r="D533" s="15">
        <v>13</v>
      </c>
      <c r="E533" s="16" t="s">
        <v>30</v>
      </c>
    </row>
    <row r="534" spans="1:5" x14ac:dyDescent="0.25">
      <c r="A534" s="14">
        <v>18874</v>
      </c>
      <c r="B534" s="14" t="s">
        <v>667</v>
      </c>
      <c r="C534" s="14" t="s">
        <v>13030</v>
      </c>
      <c r="D534" s="15">
        <v>79.25</v>
      </c>
      <c r="E534" s="16" t="s">
        <v>30</v>
      </c>
    </row>
    <row r="535" spans="1:5" x14ac:dyDescent="0.25">
      <c r="A535" s="14">
        <v>18985</v>
      </c>
      <c r="B535" s="14" t="s">
        <v>668</v>
      </c>
      <c r="C535" s="14" t="s">
        <v>13031</v>
      </c>
      <c r="D535" s="15">
        <v>1.06</v>
      </c>
      <c r="E535" s="16" t="s">
        <v>30</v>
      </c>
    </row>
    <row r="536" spans="1:5" x14ac:dyDescent="0.25">
      <c r="A536" s="14">
        <v>18986</v>
      </c>
      <c r="B536" s="14" t="s">
        <v>669</v>
      </c>
      <c r="C536" s="14" t="s">
        <v>13031</v>
      </c>
      <c r="D536" s="15">
        <v>1.06</v>
      </c>
      <c r="E536" s="16" t="s">
        <v>30</v>
      </c>
    </row>
    <row r="537" spans="1:5" x14ac:dyDescent="0.25">
      <c r="A537" s="14">
        <v>4632</v>
      </c>
      <c r="B537" s="14" t="s">
        <v>670</v>
      </c>
      <c r="C537" s="14" t="s">
        <v>13031</v>
      </c>
      <c r="D537" s="15">
        <v>2.2000000000000002</v>
      </c>
      <c r="E537" s="16" t="s">
        <v>20</v>
      </c>
    </row>
    <row r="538" spans="1:5" x14ac:dyDescent="0.25">
      <c r="A538" s="14">
        <v>4638</v>
      </c>
      <c r="B538" s="14" t="s">
        <v>671</v>
      </c>
      <c r="C538" s="14" t="s">
        <v>13031</v>
      </c>
      <c r="D538" s="15">
        <v>6.36</v>
      </c>
      <c r="E538" s="16" t="s">
        <v>20</v>
      </c>
    </row>
    <row r="539" spans="1:5" x14ac:dyDescent="0.25">
      <c r="A539" s="14">
        <v>4639</v>
      </c>
      <c r="B539" s="14" t="s">
        <v>672</v>
      </c>
      <c r="C539" s="14" t="s">
        <v>13031</v>
      </c>
      <c r="D539" s="15">
        <v>2.21</v>
      </c>
      <c r="E539" s="16" t="s">
        <v>20</v>
      </c>
    </row>
    <row r="540" spans="1:5" x14ac:dyDescent="0.25">
      <c r="A540" s="14">
        <v>4685</v>
      </c>
      <c r="B540" s="14" t="s">
        <v>673</v>
      </c>
      <c r="C540" s="14" t="s">
        <v>13031</v>
      </c>
      <c r="D540" s="15">
        <v>2.34</v>
      </c>
      <c r="E540" s="16" t="s">
        <v>20</v>
      </c>
    </row>
    <row r="541" spans="1:5" x14ac:dyDescent="0.25">
      <c r="A541" s="14">
        <v>18987</v>
      </c>
      <c r="B541" s="14" t="s">
        <v>674</v>
      </c>
      <c r="C541" s="14" t="s">
        <v>13031</v>
      </c>
      <c r="D541" s="15">
        <v>0.68</v>
      </c>
      <c r="E541" s="16" t="s">
        <v>30</v>
      </c>
    </row>
    <row r="542" spans="1:5" x14ac:dyDescent="0.25">
      <c r="A542" s="14">
        <v>18988</v>
      </c>
      <c r="B542" s="14" t="s">
        <v>675</v>
      </c>
      <c r="C542" s="14" t="s">
        <v>13031</v>
      </c>
      <c r="D542" s="15">
        <v>0.72</v>
      </c>
      <c r="E542" s="16" t="s">
        <v>30</v>
      </c>
    </row>
    <row r="543" spans="1:5" x14ac:dyDescent="0.25">
      <c r="A543" s="14">
        <v>18989</v>
      </c>
      <c r="B543" s="14" t="s">
        <v>676</v>
      </c>
      <c r="C543" s="14" t="s">
        <v>13031</v>
      </c>
      <c r="D543" s="15">
        <v>0.67</v>
      </c>
      <c r="E543" s="16" t="s">
        <v>30</v>
      </c>
    </row>
    <row r="544" spans="1:5" x14ac:dyDescent="0.25">
      <c r="A544" s="14">
        <v>18990</v>
      </c>
      <c r="B544" s="14" t="s">
        <v>677</v>
      </c>
      <c r="C544" s="14" t="s">
        <v>13031</v>
      </c>
      <c r="D544" s="15">
        <v>0.72</v>
      </c>
      <c r="E544" s="16" t="s">
        <v>30</v>
      </c>
    </row>
    <row r="545" spans="1:5" x14ac:dyDescent="0.25">
      <c r="A545" s="14">
        <v>18992</v>
      </c>
      <c r="B545" s="14" t="s">
        <v>678</v>
      </c>
      <c r="C545" s="14" t="s">
        <v>13031</v>
      </c>
      <c r="D545" s="15">
        <v>0.89</v>
      </c>
      <c r="E545" s="16" t="s">
        <v>30</v>
      </c>
    </row>
    <row r="546" spans="1:5" x14ac:dyDescent="0.25">
      <c r="A546" s="14">
        <v>18993</v>
      </c>
      <c r="B546" s="14" t="s">
        <v>679</v>
      </c>
      <c r="C546" s="14" t="s">
        <v>13031</v>
      </c>
      <c r="D546" s="15">
        <v>1.1000000000000001</v>
      </c>
      <c r="E546" s="16" t="s">
        <v>30</v>
      </c>
    </row>
    <row r="547" spans="1:5" x14ac:dyDescent="0.25">
      <c r="A547" s="14">
        <v>18994</v>
      </c>
      <c r="B547" s="14" t="s">
        <v>680</v>
      </c>
      <c r="C547" s="14" t="s">
        <v>13031</v>
      </c>
      <c r="D547" s="15">
        <v>1.2</v>
      </c>
      <c r="E547" s="16" t="s">
        <v>30</v>
      </c>
    </row>
    <row r="548" spans="1:5" x14ac:dyDescent="0.25">
      <c r="A548" s="14">
        <v>18995</v>
      </c>
      <c r="B548" s="14" t="s">
        <v>681</v>
      </c>
      <c r="C548" s="14" t="s">
        <v>13031</v>
      </c>
      <c r="D548" s="15">
        <v>1.1399999999999999</v>
      </c>
      <c r="E548" s="16" t="s">
        <v>30</v>
      </c>
    </row>
    <row r="549" spans="1:5" x14ac:dyDescent="0.25">
      <c r="A549" s="14">
        <v>4687</v>
      </c>
      <c r="B549" s="14" t="s">
        <v>682</v>
      </c>
      <c r="C549" s="14" t="s">
        <v>13031</v>
      </c>
      <c r="D549" s="15">
        <v>7.5</v>
      </c>
      <c r="E549" s="16" t="s">
        <v>20</v>
      </c>
    </row>
    <row r="550" spans="1:5" x14ac:dyDescent="0.25">
      <c r="A550" s="14">
        <v>18996</v>
      </c>
      <c r="B550" s="14" t="s">
        <v>683</v>
      </c>
      <c r="C550" s="14" t="s">
        <v>13031</v>
      </c>
      <c r="D550" s="15">
        <v>0.95</v>
      </c>
      <c r="E550" s="16" t="s">
        <v>30</v>
      </c>
    </row>
    <row r="551" spans="1:5" x14ac:dyDescent="0.25">
      <c r="A551" s="14">
        <v>18997</v>
      </c>
      <c r="B551" s="14" t="s">
        <v>684</v>
      </c>
      <c r="C551" s="14" t="s">
        <v>13031</v>
      </c>
      <c r="D551" s="15">
        <v>1.05</v>
      </c>
      <c r="E551" s="16" t="s">
        <v>30</v>
      </c>
    </row>
    <row r="552" spans="1:5" x14ac:dyDescent="0.25">
      <c r="A552" s="14">
        <v>19000</v>
      </c>
      <c r="B552" s="14" t="s">
        <v>685</v>
      </c>
      <c r="C552" s="14" t="s">
        <v>13029</v>
      </c>
      <c r="D552" s="15">
        <v>26.45</v>
      </c>
      <c r="E552" s="16" t="s">
        <v>30</v>
      </c>
    </row>
    <row r="553" spans="1:5" x14ac:dyDescent="0.25">
      <c r="A553" s="14">
        <v>19514</v>
      </c>
      <c r="B553" s="14" t="s">
        <v>686</v>
      </c>
      <c r="C553" s="14" t="s">
        <v>13029</v>
      </c>
      <c r="D553" s="15">
        <v>1.96</v>
      </c>
      <c r="E553" s="16" t="s">
        <v>30</v>
      </c>
    </row>
    <row r="554" spans="1:5" x14ac:dyDescent="0.25">
      <c r="A554" s="14">
        <v>19515</v>
      </c>
      <c r="B554" s="14" t="s">
        <v>687</v>
      </c>
      <c r="C554" s="14" t="s">
        <v>13029</v>
      </c>
      <c r="D554" s="15">
        <v>13.15</v>
      </c>
      <c r="E554" s="16" t="s">
        <v>30</v>
      </c>
    </row>
    <row r="555" spans="1:5" x14ac:dyDescent="0.25">
      <c r="A555" s="14">
        <v>19647</v>
      </c>
      <c r="B555" s="14" t="s">
        <v>688</v>
      </c>
      <c r="C555" s="14" t="s">
        <v>13030</v>
      </c>
      <c r="D555" s="15">
        <v>30.91</v>
      </c>
      <c r="E555" s="14" t="s">
        <v>30</v>
      </c>
    </row>
    <row r="556" spans="1:5" x14ac:dyDescent="0.25">
      <c r="A556" s="14">
        <v>19651</v>
      </c>
      <c r="B556" s="14" t="s">
        <v>689</v>
      </c>
      <c r="C556" s="14" t="s">
        <v>13030</v>
      </c>
      <c r="D556" s="15">
        <v>35.950000000000003</v>
      </c>
      <c r="E556" s="16" t="s">
        <v>30</v>
      </c>
    </row>
    <row r="557" spans="1:5" x14ac:dyDescent="0.25">
      <c r="A557" s="14">
        <v>10431</v>
      </c>
      <c r="B557" s="14" t="s">
        <v>690</v>
      </c>
      <c r="C557" s="14" t="s">
        <v>13030</v>
      </c>
      <c r="D557" s="15">
        <v>303.72000000000003</v>
      </c>
      <c r="E557" s="16" t="s">
        <v>20</v>
      </c>
    </row>
    <row r="558" spans="1:5" x14ac:dyDescent="0.25">
      <c r="A558" s="14">
        <v>19697</v>
      </c>
      <c r="B558" s="14" t="s">
        <v>691</v>
      </c>
      <c r="C558" s="14" t="s">
        <v>13031</v>
      </c>
      <c r="D558" s="15">
        <v>0.78</v>
      </c>
      <c r="E558" s="16" t="s">
        <v>30</v>
      </c>
    </row>
    <row r="559" spans="1:5" x14ac:dyDescent="0.25">
      <c r="A559" s="14">
        <v>19698</v>
      </c>
      <c r="B559" s="14" t="s">
        <v>692</v>
      </c>
      <c r="C559" s="14" t="s">
        <v>13031</v>
      </c>
      <c r="D559" s="15">
        <v>0.96</v>
      </c>
      <c r="E559" s="16" t="s">
        <v>30</v>
      </c>
    </row>
    <row r="560" spans="1:5" x14ac:dyDescent="0.25">
      <c r="A560" s="14">
        <v>19699</v>
      </c>
      <c r="B560" s="14" t="s">
        <v>693</v>
      </c>
      <c r="C560" s="14" t="s">
        <v>13031</v>
      </c>
      <c r="D560" s="15">
        <v>1.02</v>
      </c>
      <c r="E560" s="16" t="s">
        <v>30</v>
      </c>
    </row>
    <row r="561" spans="1:5" x14ac:dyDescent="0.25">
      <c r="A561" s="14">
        <v>19700</v>
      </c>
      <c r="B561" s="14" t="s">
        <v>694</v>
      </c>
      <c r="C561" s="14" t="s">
        <v>13031</v>
      </c>
      <c r="D561" s="15">
        <v>0.67</v>
      </c>
      <c r="E561" s="16" t="s">
        <v>30</v>
      </c>
    </row>
    <row r="562" spans="1:5" x14ac:dyDescent="0.25">
      <c r="A562" s="14">
        <v>19702</v>
      </c>
      <c r="B562" s="14" t="s">
        <v>695</v>
      </c>
      <c r="C562" s="14" t="s">
        <v>13031</v>
      </c>
      <c r="D562" s="15">
        <v>0.97</v>
      </c>
      <c r="E562" s="16" t="s">
        <v>30</v>
      </c>
    </row>
    <row r="563" spans="1:5" x14ac:dyDescent="0.25">
      <c r="A563" s="14">
        <v>19703</v>
      </c>
      <c r="B563" s="14" t="s">
        <v>696</v>
      </c>
      <c r="C563" s="14" t="s">
        <v>13031</v>
      </c>
      <c r="D563" s="15">
        <v>1.19</v>
      </c>
      <c r="E563" s="16" t="s">
        <v>30</v>
      </c>
    </row>
    <row r="564" spans="1:5" x14ac:dyDescent="0.25">
      <c r="A564" s="14">
        <v>19704</v>
      </c>
      <c r="B564" s="14" t="s">
        <v>697</v>
      </c>
      <c r="C564" s="14" t="s">
        <v>13031</v>
      </c>
      <c r="D564" s="15">
        <v>1.19</v>
      </c>
      <c r="E564" s="16" t="s">
        <v>30</v>
      </c>
    </row>
    <row r="565" spans="1:5" x14ac:dyDescent="0.25">
      <c r="A565" s="14">
        <v>19707</v>
      </c>
      <c r="B565" s="14" t="s">
        <v>698</v>
      </c>
      <c r="C565" s="14" t="s">
        <v>13031</v>
      </c>
      <c r="D565" s="15">
        <v>1.03</v>
      </c>
      <c r="E565" s="16" t="s">
        <v>30</v>
      </c>
    </row>
    <row r="566" spans="1:5" x14ac:dyDescent="0.25">
      <c r="A566" s="14">
        <v>19708</v>
      </c>
      <c r="B566" s="14" t="s">
        <v>699</v>
      </c>
      <c r="C566" s="14" t="s">
        <v>13031</v>
      </c>
      <c r="D566" s="15">
        <v>0.83</v>
      </c>
      <c r="E566" s="16" t="s">
        <v>30</v>
      </c>
    </row>
    <row r="567" spans="1:5" x14ac:dyDescent="0.25">
      <c r="A567" s="14">
        <v>19709</v>
      </c>
      <c r="B567" s="14" t="s">
        <v>700</v>
      </c>
      <c r="C567" s="14" t="s">
        <v>13031</v>
      </c>
      <c r="D567" s="15">
        <v>0.89</v>
      </c>
      <c r="E567" s="16" t="s">
        <v>30</v>
      </c>
    </row>
    <row r="568" spans="1:5" x14ac:dyDescent="0.25">
      <c r="A568" s="14">
        <v>19710</v>
      </c>
      <c r="B568" s="14" t="s">
        <v>701</v>
      </c>
      <c r="C568" s="14" t="s">
        <v>13031</v>
      </c>
      <c r="D568" s="15">
        <v>0.72</v>
      </c>
      <c r="E568" s="16" t="s">
        <v>30</v>
      </c>
    </row>
    <row r="569" spans="1:5" x14ac:dyDescent="0.25">
      <c r="A569" s="14">
        <v>10457</v>
      </c>
      <c r="B569" s="14" t="s">
        <v>702</v>
      </c>
      <c r="C569" s="14" t="s">
        <v>13030</v>
      </c>
      <c r="D569" s="15">
        <v>115.33</v>
      </c>
      <c r="E569" s="16" t="s">
        <v>20</v>
      </c>
    </row>
    <row r="570" spans="1:5" x14ac:dyDescent="0.25">
      <c r="A570" s="14">
        <v>19711</v>
      </c>
      <c r="B570" s="14" t="s">
        <v>703</v>
      </c>
      <c r="C570" s="14" t="s">
        <v>13031</v>
      </c>
      <c r="D570" s="15">
        <v>0.68</v>
      </c>
      <c r="E570" s="16" t="s">
        <v>30</v>
      </c>
    </row>
    <row r="571" spans="1:5" x14ac:dyDescent="0.25">
      <c r="A571" s="14">
        <v>4688</v>
      </c>
      <c r="B571" s="14" t="s">
        <v>704</v>
      </c>
      <c r="C571" s="14" t="s">
        <v>13031</v>
      </c>
      <c r="D571" s="15">
        <v>2.61</v>
      </c>
      <c r="E571" s="16" t="s">
        <v>20</v>
      </c>
    </row>
    <row r="572" spans="1:5" x14ac:dyDescent="0.25">
      <c r="A572" s="14">
        <v>4693</v>
      </c>
      <c r="B572" s="14" t="s">
        <v>705</v>
      </c>
      <c r="C572" s="14" t="s">
        <v>13031</v>
      </c>
      <c r="D572" s="15">
        <v>2.61</v>
      </c>
      <c r="E572" s="16" t="s">
        <v>20</v>
      </c>
    </row>
    <row r="573" spans="1:5" x14ac:dyDescent="0.25">
      <c r="A573" s="14">
        <v>4694</v>
      </c>
      <c r="B573" s="14" t="s">
        <v>706</v>
      </c>
      <c r="C573" s="14" t="s">
        <v>13031</v>
      </c>
      <c r="D573" s="15">
        <v>2.61</v>
      </c>
      <c r="E573" s="16" t="s">
        <v>20</v>
      </c>
    </row>
    <row r="574" spans="1:5" x14ac:dyDescent="0.25">
      <c r="A574" s="14">
        <v>19957</v>
      </c>
      <c r="B574" s="14" t="s">
        <v>707</v>
      </c>
      <c r="C574" s="14" t="s">
        <v>13031</v>
      </c>
      <c r="D574" s="15">
        <v>15.35</v>
      </c>
      <c r="E574" s="16" t="s">
        <v>30</v>
      </c>
    </row>
    <row r="575" spans="1:5" x14ac:dyDescent="0.25">
      <c r="A575" s="14">
        <v>19621</v>
      </c>
      <c r="B575" s="14" t="s">
        <v>708</v>
      </c>
      <c r="C575" s="14" t="s">
        <v>13030</v>
      </c>
      <c r="D575" s="15">
        <v>19</v>
      </c>
      <c r="E575" s="16" t="s">
        <v>20</v>
      </c>
    </row>
    <row r="576" spans="1:5" x14ac:dyDescent="0.25">
      <c r="A576" s="14">
        <v>20148</v>
      </c>
      <c r="B576" s="14" t="s">
        <v>709</v>
      </c>
      <c r="C576" s="14" t="s">
        <v>13029</v>
      </c>
      <c r="D576" s="15">
        <v>9.3699999999999992</v>
      </c>
      <c r="E576" s="16" t="s">
        <v>30</v>
      </c>
    </row>
    <row r="577" spans="1:5" x14ac:dyDescent="0.25">
      <c r="A577" s="14">
        <v>20331</v>
      </c>
      <c r="B577" s="14" t="s">
        <v>710</v>
      </c>
      <c r="C577" s="14" t="s">
        <v>13029</v>
      </c>
      <c r="D577" s="15">
        <v>8.83</v>
      </c>
      <c r="E577" s="16" t="s">
        <v>30</v>
      </c>
    </row>
    <row r="578" spans="1:5" x14ac:dyDescent="0.25">
      <c r="A578" s="14">
        <v>20415</v>
      </c>
      <c r="B578" s="14" t="s">
        <v>711</v>
      </c>
      <c r="C578" s="14" t="s">
        <v>13030</v>
      </c>
      <c r="D578" s="15">
        <v>98.21</v>
      </c>
      <c r="E578" s="16" t="s">
        <v>30</v>
      </c>
    </row>
    <row r="579" spans="1:5" x14ac:dyDescent="0.25">
      <c r="A579" s="14">
        <v>4698</v>
      </c>
      <c r="B579" s="14" t="s">
        <v>712</v>
      </c>
      <c r="C579" s="14" t="s">
        <v>13031</v>
      </c>
      <c r="D579" s="15">
        <v>7.5</v>
      </c>
      <c r="E579" s="16" t="s">
        <v>20</v>
      </c>
    </row>
    <row r="580" spans="1:5" x14ac:dyDescent="0.25">
      <c r="A580" s="14">
        <v>20639</v>
      </c>
      <c r="B580" s="14" t="s">
        <v>713</v>
      </c>
      <c r="C580" s="14" t="s">
        <v>13029</v>
      </c>
      <c r="D580" s="15">
        <v>2.5499999999999998</v>
      </c>
      <c r="E580" s="16" t="s">
        <v>30</v>
      </c>
    </row>
    <row r="581" spans="1:5" x14ac:dyDescent="0.25">
      <c r="A581" s="14">
        <v>20641</v>
      </c>
      <c r="B581" s="14" t="s">
        <v>714</v>
      </c>
      <c r="C581" s="14" t="s">
        <v>13029</v>
      </c>
      <c r="D581" s="15">
        <v>6.61</v>
      </c>
      <c r="E581" s="16" t="s">
        <v>30</v>
      </c>
    </row>
    <row r="582" spans="1:5" x14ac:dyDescent="0.25">
      <c r="A582" s="14">
        <v>20642</v>
      </c>
      <c r="B582" s="14" t="s">
        <v>715</v>
      </c>
      <c r="C582" s="14" t="s">
        <v>13029</v>
      </c>
      <c r="D582" s="15">
        <v>5.2</v>
      </c>
      <c r="E582" s="16" t="s">
        <v>30</v>
      </c>
    </row>
    <row r="583" spans="1:5" x14ac:dyDescent="0.25">
      <c r="A583" s="14">
        <v>20883</v>
      </c>
      <c r="B583" s="14" t="s">
        <v>716</v>
      </c>
      <c r="C583" s="14" t="s">
        <v>13029</v>
      </c>
      <c r="D583" s="15">
        <v>9.66</v>
      </c>
      <c r="E583" s="16" t="s">
        <v>30</v>
      </c>
    </row>
    <row r="584" spans="1:5" x14ac:dyDescent="0.25">
      <c r="A584" s="14">
        <v>4724</v>
      </c>
      <c r="B584" s="14" t="s">
        <v>717</v>
      </c>
      <c r="C584" s="14" t="s">
        <v>13031</v>
      </c>
      <c r="D584" s="15">
        <v>1.3</v>
      </c>
      <c r="E584" s="16" t="s">
        <v>20</v>
      </c>
    </row>
    <row r="585" spans="1:5" x14ac:dyDescent="0.25">
      <c r="A585" s="14">
        <v>21110</v>
      </c>
      <c r="B585" s="14" t="s">
        <v>718</v>
      </c>
      <c r="C585" s="14" t="s">
        <v>13029</v>
      </c>
      <c r="D585" s="15">
        <v>20.82</v>
      </c>
      <c r="E585" s="14" t="s">
        <v>30</v>
      </c>
    </row>
    <row r="586" spans="1:5" x14ac:dyDescent="0.25">
      <c r="A586" s="14">
        <v>21111</v>
      </c>
      <c r="B586" s="14" t="s">
        <v>719</v>
      </c>
      <c r="C586" s="14" t="s">
        <v>13029</v>
      </c>
      <c r="D586" s="15">
        <v>20.82</v>
      </c>
      <c r="E586" s="14" t="s">
        <v>30</v>
      </c>
    </row>
    <row r="587" spans="1:5" x14ac:dyDescent="0.25">
      <c r="A587" s="14">
        <v>21113</v>
      </c>
      <c r="B587" s="14" t="s">
        <v>720</v>
      </c>
      <c r="C587" s="14" t="s">
        <v>13029</v>
      </c>
      <c r="D587" s="15">
        <v>20.82</v>
      </c>
      <c r="E587" s="14" t="s">
        <v>30</v>
      </c>
    </row>
    <row r="588" spans="1:5" x14ac:dyDescent="0.25">
      <c r="A588" s="14">
        <v>21850</v>
      </c>
      <c r="B588" s="14" t="s">
        <v>721</v>
      </c>
      <c r="C588" s="14" t="s">
        <v>13029</v>
      </c>
      <c r="D588" s="15">
        <v>1.05</v>
      </c>
      <c r="E588" s="16" t="s">
        <v>30</v>
      </c>
    </row>
    <row r="589" spans="1:5" x14ac:dyDescent="0.25">
      <c r="A589" s="14">
        <v>22834</v>
      </c>
      <c r="B589" s="14" t="s">
        <v>722</v>
      </c>
      <c r="C589" s="14" t="s">
        <v>13029</v>
      </c>
      <c r="D589" s="15">
        <v>3.35</v>
      </c>
      <c r="E589" s="16" t="s">
        <v>30</v>
      </c>
    </row>
    <row r="590" spans="1:5" x14ac:dyDescent="0.25">
      <c r="A590" s="14">
        <v>22869</v>
      </c>
      <c r="B590" s="14" t="s">
        <v>723</v>
      </c>
      <c r="C590" s="14" t="s">
        <v>13030</v>
      </c>
      <c r="D590" s="15">
        <v>138.91999999999999</v>
      </c>
      <c r="E590" s="16" t="s">
        <v>30</v>
      </c>
    </row>
    <row r="591" spans="1:5" x14ac:dyDescent="0.25">
      <c r="A591" s="14">
        <v>23008</v>
      </c>
      <c r="B591" s="14" t="s">
        <v>724</v>
      </c>
      <c r="C591" s="14" t="s">
        <v>13029</v>
      </c>
      <c r="D591" s="15">
        <v>3.55</v>
      </c>
      <c r="E591" s="16" t="s">
        <v>30</v>
      </c>
    </row>
    <row r="592" spans="1:5" x14ac:dyDescent="0.25">
      <c r="A592" s="14">
        <v>23099</v>
      </c>
      <c r="B592" s="14" t="s">
        <v>725</v>
      </c>
      <c r="C592" s="14" t="s">
        <v>13029</v>
      </c>
      <c r="D592" s="15">
        <v>4.95</v>
      </c>
      <c r="E592" s="16" t="s">
        <v>30</v>
      </c>
    </row>
    <row r="593" spans="1:5" x14ac:dyDescent="0.25">
      <c r="A593" s="14">
        <v>23233</v>
      </c>
      <c r="B593" s="14" t="s">
        <v>726</v>
      </c>
      <c r="C593" s="14" t="s">
        <v>13030</v>
      </c>
      <c r="D593" s="15">
        <v>285.25</v>
      </c>
      <c r="E593" s="16" t="s">
        <v>30</v>
      </c>
    </row>
    <row r="594" spans="1:5" x14ac:dyDescent="0.25">
      <c r="A594" s="14">
        <v>23371</v>
      </c>
      <c r="B594" s="14" t="s">
        <v>727</v>
      </c>
      <c r="C594" s="14" t="s">
        <v>13029</v>
      </c>
      <c r="D594" s="15">
        <v>4.32</v>
      </c>
      <c r="E594" s="16" t="s">
        <v>30</v>
      </c>
    </row>
    <row r="595" spans="1:5" x14ac:dyDescent="0.25">
      <c r="A595" s="14">
        <v>23479</v>
      </c>
      <c r="B595" s="14" t="s">
        <v>728</v>
      </c>
      <c r="C595" s="14" t="s">
        <v>13029</v>
      </c>
      <c r="D595" s="15">
        <v>5.25</v>
      </c>
      <c r="E595" s="16" t="s">
        <v>30</v>
      </c>
    </row>
    <row r="596" spans="1:5" x14ac:dyDescent="0.25">
      <c r="A596" s="14">
        <v>23541</v>
      </c>
      <c r="B596" s="14" t="s">
        <v>729</v>
      </c>
      <c r="C596" s="14" t="s">
        <v>13031</v>
      </c>
      <c r="D596" s="15">
        <v>5.8</v>
      </c>
      <c r="E596" s="16" t="s">
        <v>30</v>
      </c>
    </row>
    <row r="597" spans="1:5" x14ac:dyDescent="0.25">
      <c r="A597" s="14">
        <v>23542</v>
      </c>
      <c r="B597" s="14" t="s">
        <v>730</v>
      </c>
      <c r="C597" s="14" t="s">
        <v>13031</v>
      </c>
      <c r="D597" s="15">
        <v>5.93</v>
      </c>
      <c r="E597" s="16" t="s">
        <v>30</v>
      </c>
    </row>
    <row r="598" spans="1:5" x14ac:dyDescent="0.25">
      <c r="A598" s="14">
        <v>23896</v>
      </c>
      <c r="B598" s="14" t="s">
        <v>731</v>
      </c>
      <c r="C598" s="14" t="s">
        <v>13030</v>
      </c>
      <c r="D598" s="15">
        <v>29.98</v>
      </c>
      <c r="E598" s="16" t="s">
        <v>30</v>
      </c>
    </row>
    <row r="599" spans="1:5" x14ac:dyDescent="0.25">
      <c r="A599" s="14">
        <v>23897</v>
      </c>
      <c r="B599" s="14" t="s">
        <v>732</v>
      </c>
      <c r="C599" s="14" t="s">
        <v>13030</v>
      </c>
      <c r="D599" s="15">
        <v>29.97</v>
      </c>
      <c r="E599" s="16" t="s">
        <v>30</v>
      </c>
    </row>
    <row r="600" spans="1:5" x14ac:dyDescent="0.25">
      <c r="A600" s="14">
        <v>23898</v>
      </c>
      <c r="B600" s="14" t="s">
        <v>733</v>
      </c>
      <c r="C600" s="14" t="s">
        <v>13030</v>
      </c>
      <c r="D600" s="15">
        <v>34.799999999999997</v>
      </c>
      <c r="E600" s="16" t="s">
        <v>30</v>
      </c>
    </row>
    <row r="601" spans="1:5" x14ac:dyDescent="0.25">
      <c r="A601" s="14">
        <v>23899</v>
      </c>
      <c r="B601" s="14" t="s">
        <v>734</v>
      </c>
      <c r="C601" s="14" t="s">
        <v>13030</v>
      </c>
      <c r="D601" s="15">
        <v>40.78</v>
      </c>
      <c r="E601" s="16" t="s">
        <v>30</v>
      </c>
    </row>
    <row r="602" spans="1:5" x14ac:dyDescent="0.25">
      <c r="A602" s="14">
        <v>23956</v>
      </c>
      <c r="B602" s="14" t="s">
        <v>735</v>
      </c>
      <c r="C602" s="14" t="s">
        <v>13030</v>
      </c>
      <c r="D602" s="15">
        <v>40.700000000000003</v>
      </c>
      <c r="E602" s="16" t="s">
        <v>30</v>
      </c>
    </row>
    <row r="603" spans="1:5" x14ac:dyDescent="0.25">
      <c r="A603" s="14">
        <v>23976</v>
      </c>
      <c r="B603" s="14" t="s">
        <v>736</v>
      </c>
      <c r="C603" s="14" t="s">
        <v>13031</v>
      </c>
      <c r="D603" s="15">
        <v>6.07</v>
      </c>
      <c r="E603" s="16" t="s">
        <v>30</v>
      </c>
    </row>
    <row r="604" spans="1:5" x14ac:dyDescent="0.25">
      <c r="A604" s="14">
        <v>24457</v>
      </c>
      <c r="B604" s="14" t="s">
        <v>737</v>
      </c>
      <c r="C604" s="14" t="s">
        <v>13029</v>
      </c>
      <c r="D604" s="15">
        <v>20.52</v>
      </c>
      <c r="E604" s="16" t="s">
        <v>30</v>
      </c>
    </row>
    <row r="605" spans="1:5" x14ac:dyDescent="0.25">
      <c r="A605" s="14">
        <v>24493</v>
      </c>
      <c r="B605" s="14" t="s">
        <v>738</v>
      </c>
      <c r="C605" s="14" t="s">
        <v>13029</v>
      </c>
      <c r="D605" s="15">
        <v>6.32</v>
      </c>
      <c r="E605" s="16" t="s">
        <v>30</v>
      </c>
    </row>
    <row r="606" spans="1:5" x14ac:dyDescent="0.25">
      <c r="A606" s="14">
        <v>24617</v>
      </c>
      <c r="B606" s="14" t="s">
        <v>739</v>
      </c>
      <c r="C606" s="14" t="s">
        <v>13033</v>
      </c>
      <c r="D606" s="15">
        <v>27.22</v>
      </c>
      <c r="E606" s="16" t="s">
        <v>30</v>
      </c>
    </row>
    <row r="607" spans="1:5" x14ac:dyDescent="0.25">
      <c r="A607" s="14">
        <v>25096</v>
      </c>
      <c r="B607" s="14" t="s">
        <v>740</v>
      </c>
      <c r="C607" s="14" t="s">
        <v>13030</v>
      </c>
      <c r="D607" s="15">
        <v>73.63</v>
      </c>
      <c r="E607" s="16" t="s">
        <v>30</v>
      </c>
    </row>
    <row r="608" spans="1:5" x14ac:dyDescent="0.25">
      <c r="A608" s="14">
        <v>25271</v>
      </c>
      <c r="B608" s="14" t="s">
        <v>741</v>
      </c>
      <c r="C608" s="14" t="s">
        <v>13031</v>
      </c>
      <c r="D608" s="15">
        <v>8.6</v>
      </c>
      <c r="E608" s="14" t="s">
        <v>30</v>
      </c>
    </row>
    <row r="609" spans="1:5" x14ac:dyDescent="0.25">
      <c r="A609" s="14">
        <v>25272</v>
      </c>
      <c r="B609" s="14" t="s">
        <v>742</v>
      </c>
      <c r="C609" s="14" t="s">
        <v>13031</v>
      </c>
      <c r="D609" s="15">
        <v>8.6</v>
      </c>
      <c r="E609" s="14" t="s">
        <v>30</v>
      </c>
    </row>
    <row r="610" spans="1:5" x14ac:dyDescent="0.25">
      <c r="A610" s="14">
        <v>25273</v>
      </c>
      <c r="B610" s="14" t="s">
        <v>743</v>
      </c>
      <c r="C610" s="14" t="s">
        <v>13031</v>
      </c>
      <c r="D610" s="15">
        <v>17.18</v>
      </c>
      <c r="E610" s="14" t="s">
        <v>30</v>
      </c>
    </row>
    <row r="611" spans="1:5" x14ac:dyDescent="0.25">
      <c r="A611" s="14">
        <v>25274</v>
      </c>
      <c r="B611" s="14" t="s">
        <v>744</v>
      </c>
      <c r="C611" s="14" t="s">
        <v>13031</v>
      </c>
      <c r="D611" s="15">
        <v>12.56</v>
      </c>
      <c r="E611" s="14" t="s">
        <v>30</v>
      </c>
    </row>
    <row r="612" spans="1:5" x14ac:dyDescent="0.25">
      <c r="A612" s="14">
        <v>25278</v>
      </c>
      <c r="B612" s="14" t="s">
        <v>745</v>
      </c>
      <c r="C612" s="14" t="s">
        <v>13029</v>
      </c>
      <c r="D612" s="15">
        <v>9.0399999999999991</v>
      </c>
      <c r="E612" s="14" t="s">
        <v>30</v>
      </c>
    </row>
    <row r="613" spans="1:5" x14ac:dyDescent="0.25">
      <c r="A613" s="14">
        <v>25305</v>
      </c>
      <c r="B613" s="14" t="s">
        <v>746</v>
      </c>
      <c r="C613" s="14" t="s">
        <v>13030</v>
      </c>
      <c r="D613" s="15">
        <v>34.799999999999997</v>
      </c>
      <c r="E613" s="16" t="s">
        <v>30</v>
      </c>
    </row>
    <row r="614" spans="1:5" x14ac:dyDescent="0.25">
      <c r="A614" s="14">
        <v>25377</v>
      </c>
      <c r="B614" s="14" t="s">
        <v>747</v>
      </c>
      <c r="C614" s="14" t="s">
        <v>13029</v>
      </c>
      <c r="D614" s="15">
        <v>1.72</v>
      </c>
      <c r="E614" s="16" t="s">
        <v>30</v>
      </c>
    </row>
    <row r="615" spans="1:5" x14ac:dyDescent="0.25">
      <c r="A615" s="14">
        <v>25433</v>
      </c>
      <c r="B615" s="14" t="s">
        <v>748</v>
      </c>
      <c r="C615" s="14" t="s">
        <v>13029</v>
      </c>
      <c r="D615" s="15">
        <v>3.4</v>
      </c>
      <c r="E615" s="16" t="s">
        <v>30</v>
      </c>
    </row>
    <row r="616" spans="1:5" x14ac:dyDescent="0.25">
      <c r="A616" s="14">
        <v>25437</v>
      </c>
      <c r="B616" s="14" t="s">
        <v>749</v>
      </c>
      <c r="C616" s="14" t="s">
        <v>13029</v>
      </c>
      <c r="D616" s="15">
        <v>4.7</v>
      </c>
      <c r="E616" s="16" t="s">
        <v>30</v>
      </c>
    </row>
    <row r="617" spans="1:5" x14ac:dyDescent="0.25">
      <c r="A617" s="14">
        <v>25449</v>
      </c>
      <c r="B617" s="14" t="s">
        <v>750</v>
      </c>
      <c r="C617" s="14" t="s">
        <v>13029</v>
      </c>
      <c r="D617" s="15">
        <v>20.34</v>
      </c>
      <c r="E617" s="16" t="s">
        <v>30</v>
      </c>
    </row>
    <row r="618" spans="1:5" x14ac:dyDescent="0.25">
      <c r="A618" s="14">
        <v>25451</v>
      </c>
      <c r="B618" s="14" t="s">
        <v>751</v>
      </c>
      <c r="C618" s="14" t="s">
        <v>13029</v>
      </c>
      <c r="D618" s="15">
        <v>10.66</v>
      </c>
      <c r="E618" s="16" t="s">
        <v>30</v>
      </c>
    </row>
    <row r="619" spans="1:5" x14ac:dyDescent="0.25">
      <c r="A619" s="14">
        <v>25461</v>
      </c>
      <c r="B619" s="14" t="s">
        <v>752</v>
      </c>
      <c r="C619" s="14" t="s">
        <v>13029</v>
      </c>
      <c r="D619" s="15">
        <v>2.15</v>
      </c>
      <c r="E619" s="16" t="s">
        <v>30</v>
      </c>
    </row>
    <row r="620" spans="1:5" x14ac:dyDescent="0.25">
      <c r="A620" s="14">
        <v>25463</v>
      </c>
      <c r="B620" s="14" t="s">
        <v>753</v>
      </c>
      <c r="C620" s="14" t="s">
        <v>13029</v>
      </c>
      <c r="D620" s="15">
        <v>2.4500000000000002</v>
      </c>
      <c r="E620" s="16" t="s">
        <v>30</v>
      </c>
    </row>
    <row r="621" spans="1:5" x14ac:dyDescent="0.25">
      <c r="A621" s="14">
        <v>25676</v>
      </c>
      <c r="B621" s="14" t="s">
        <v>754</v>
      </c>
      <c r="C621" s="14" t="s">
        <v>13030</v>
      </c>
      <c r="D621" s="15">
        <v>21.54</v>
      </c>
      <c r="E621" s="16" t="s">
        <v>30</v>
      </c>
    </row>
    <row r="622" spans="1:5" x14ac:dyDescent="0.25">
      <c r="A622" s="14">
        <v>25720</v>
      </c>
      <c r="B622" s="14" t="s">
        <v>755</v>
      </c>
      <c r="C622" s="14" t="s">
        <v>13029</v>
      </c>
      <c r="D622" s="15">
        <v>20.7</v>
      </c>
      <c r="E622" s="16" t="s">
        <v>30</v>
      </c>
    </row>
    <row r="623" spans="1:5" x14ac:dyDescent="0.25">
      <c r="A623" s="14">
        <v>25971</v>
      </c>
      <c r="B623" s="14" t="s">
        <v>756</v>
      </c>
      <c r="C623" s="14" t="s">
        <v>13031</v>
      </c>
      <c r="D623" s="15">
        <v>5.2</v>
      </c>
      <c r="E623" s="16" t="s">
        <v>30</v>
      </c>
    </row>
    <row r="624" spans="1:5" x14ac:dyDescent="0.25">
      <c r="A624" s="14">
        <v>25983</v>
      </c>
      <c r="B624" s="14" t="s">
        <v>757</v>
      </c>
      <c r="C624" s="14" t="s">
        <v>13029</v>
      </c>
      <c r="D624" s="15">
        <v>3.99</v>
      </c>
      <c r="E624" s="16" t="s">
        <v>30</v>
      </c>
    </row>
    <row r="625" spans="1:5" x14ac:dyDescent="0.25">
      <c r="A625" s="14">
        <v>26295</v>
      </c>
      <c r="B625" s="14" t="s">
        <v>758</v>
      </c>
      <c r="C625" s="14" t="s">
        <v>13029</v>
      </c>
      <c r="D625" s="15">
        <v>3.61</v>
      </c>
      <c r="E625" s="16" t="s">
        <v>30</v>
      </c>
    </row>
    <row r="626" spans="1:5" x14ac:dyDescent="0.25">
      <c r="A626" s="14">
        <v>26782</v>
      </c>
      <c r="B626" s="14" t="s">
        <v>759</v>
      </c>
      <c r="C626" s="14" t="s">
        <v>13030</v>
      </c>
      <c r="D626" s="15">
        <v>5.87</v>
      </c>
      <c r="E626" s="16" t="s">
        <v>30</v>
      </c>
    </row>
    <row r="627" spans="1:5" x14ac:dyDescent="0.25">
      <c r="A627" s="14">
        <v>27317</v>
      </c>
      <c r="B627" s="14" t="s">
        <v>760</v>
      </c>
      <c r="C627" s="14" t="s">
        <v>13029</v>
      </c>
      <c r="D627" s="15">
        <v>8.48</v>
      </c>
      <c r="E627" s="16" t="s">
        <v>30</v>
      </c>
    </row>
    <row r="628" spans="1:5" x14ac:dyDescent="0.25">
      <c r="A628" s="14">
        <v>27437</v>
      </c>
      <c r="B628" s="14" t="s">
        <v>761</v>
      </c>
      <c r="C628" s="14" t="s">
        <v>13031</v>
      </c>
      <c r="D628" s="15">
        <v>8.07</v>
      </c>
      <c r="E628" s="16" t="s">
        <v>30</v>
      </c>
    </row>
    <row r="629" spans="1:5" x14ac:dyDescent="0.25">
      <c r="A629" s="14">
        <v>27602</v>
      </c>
      <c r="B629" s="14" t="s">
        <v>762</v>
      </c>
      <c r="C629" s="14" t="s">
        <v>13031</v>
      </c>
      <c r="D629" s="15">
        <v>5.65</v>
      </c>
      <c r="E629" s="16" t="s">
        <v>30</v>
      </c>
    </row>
    <row r="630" spans="1:5" x14ac:dyDescent="0.25">
      <c r="A630" s="14">
        <v>27769</v>
      </c>
      <c r="B630" s="14" t="s">
        <v>763</v>
      </c>
      <c r="C630" s="14" t="s">
        <v>13029</v>
      </c>
      <c r="D630" s="15">
        <v>1.7</v>
      </c>
      <c r="E630" s="16" t="s">
        <v>30</v>
      </c>
    </row>
    <row r="631" spans="1:5" x14ac:dyDescent="0.25">
      <c r="A631" s="14">
        <v>4750</v>
      </c>
      <c r="B631" s="14" t="s">
        <v>764</v>
      </c>
      <c r="C631" s="14" t="s">
        <v>13031</v>
      </c>
      <c r="D631" s="15">
        <v>1.91</v>
      </c>
      <c r="E631" s="16" t="s">
        <v>20</v>
      </c>
    </row>
    <row r="632" spans="1:5" x14ac:dyDescent="0.25">
      <c r="A632" s="14">
        <v>4759</v>
      </c>
      <c r="B632" s="14" t="s">
        <v>765</v>
      </c>
      <c r="C632" s="14" t="s">
        <v>13031</v>
      </c>
      <c r="D632" s="15">
        <v>1.6</v>
      </c>
      <c r="E632" s="16" t="s">
        <v>20</v>
      </c>
    </row>
    <row r="633" spans="1:5" x14ac:dyDescent="0.25">
      <c r="A633" s="14">
        <v>27931</v>
      </c>
      <c r="B633" s="14" t="s">
        <v>766</v>
      </c>
      <c r="C633" s="14" t="s">
        <v>13030</v>
      </c>
      <c r="D633" s="15">
        <v>80.709999999999994</v>
      </c>
      <c r="E633" s="16" t="s">
        <v>30</v>
      </c>
    </row>
    <row r="634" spans="1:5" x14ac:dyDescent="0.25">
      <c r="A634" s="14">
        <v>4763</v>
      </c>
      <c r="B634" s="14" t="s">
        <v>767</v>
      </c>
      <c r="C634" s="14" t="s">
        <v>13031</v>
      </c>
      <c r="D634" s="15">
        <v>0.76</v>
      </c>
      <c r="E634" s="16" t="s">
        <v>20</v>
      </c>
    </row>
    <row r="635" spans="1:5" x14ac:dyDescent="0.25">
      <c r="A635" s="14">
        <v>4766</v>
      </c>
      <c r="B635" s="14" t="s">
        <v>768</v>
      </c>
      <c r="C635" s="14" t="s">
        <v>13031</v>
      </c>
      <c r="D635" s="15">
        <v>13</v>
      </c>
      <c r="E635" s="16" t="s">
        <v>20</v>
      </c>
    </row>
    <row r="636" spans="1:5" x14ac:dyDescent="0.25">
      <c r="A636" s="14">
        <v>28029</v>
      </c>
      <c r="B636" s="14" t="s">
        <v>769</v>
      </c>
      <c r="C636" s="14" t="s">
        <v>13033</v>
      </c>
      <c r="D636" s="15">
        <v>18.38</v>
      </c>
      <c r="E636" s="16" t="s">
        <v>30</v>
      </c>
    </row>
    <row r="637" spans="1:5" x14ac:dyDescent="0.25">
      <c r="A637" s="14">
        <v>28286</v>
      </c>
      <c r="B637" s="14" t="s">
        <v>770</v>
      </c>
      <c r="C637" s="14" t="s">
        <v>13030</v>
      </c>
      <c r="D637" s="15">
        <v>68.36</v>
      </c>
      <c r="E637" s="16" t="s">
        <v>30</v>
      </c>
    </row>
    <row r="638" spans="1:5" x14ac:dyDescent="0.25">
      <c r="A638" s="14">
        <v>28287</v>
      </c>
      <c r="B638" s="14" t="s">
        <v>771</v>
      </c>
      <c r="C638" s="14" t="s">
        <v>13030</v>
      </c>
      <c r="D638" s="15">
        <v>68.36</v>
      </c>
      <c r="E638" s="16" t="s">
        <v>30</v>
      </c>
    </row>
    <row r="639" spans="1:5" x14ac:dyDescent="0.25">
      <c r="A639" s="14">
        <v>28434</v>
      </c>
      <c r="B639" s="14" t="s">
        <v>772</v>
      </c>
      <c r="C639" s="14" t="s">
        <v>13030</v>
      </c>
      <c r="D639" s="15">
        <v>10.72</v>
      </c>
      <c r="E639" s="16" t="s">
        <v>30</v>
      </c>
    </row>
    <row r="640" spans="1:5" x14ac:dyDescent="0.25">
      <c r="A640" s="14">
        <v>28435</v>
      </c>
      <c r="B640" s="14" t="s">
        <v>773</v>
      </c>
      <c r="C640" s="14" t="s">
        <v>13030</v>
      </c>
      <c r="D640" s="15">
        <v>10.72</v>
      </c>
      <c r="E640" s="16" t="s">
        <v>30</v>
      </c>
    </row>
    <row r="641" spans="1:5" x14ac:dyDescent="0.25">
      <c r="A641" s="14">
        <v>28642</v>
      </c>
      <c r="B641" s="14" t="s">
        <v>774</v>
      </c>
      <c r="C641" s="14" t="s">
        <v>13030</v>
      </c>
      <c r="D641" s="15">
        <v>129.6</v>
      </c>
      <c r="E641" s="14" t="s">
        <v>30</v>
      </c>
    </row>
    <row r="642" spans="1:5" x14ac:dyDescent="0.25">
      <c r="A642" s="14">
        <v>28981</v>
      </c>
      <c r="B642" s="14" t="s">
        <v>775</v>
      </c>
      <c r="C642" s="14" t="s">
        <v>13031</v>
      </c>
      <c r="D642" s="15">
        <v>10.44</v>
      </c>
      <c r="E642" s="16" t="s">
        <v>30</v>
      </c>
    </row>
    <row r="643" spans="1:5" x14ac:dyDescent="0.25">
      <c r="A643" s="14">
        <v>29080</v>
      </c>
      <c r="B643" s="14" t="s">
        <v>776</v>
      </c>
      <c r="C643" s="14" t="s">
        <v>13031</v>
      </c>
      <c r="D643" s="15">
        <v>8.3000000000000007</v>
      </c>
      <c r="E643" s="16" t="s">
        <v>30</v>
      </c>
    </row>
    <row r="644" spans="1:5" x14ac:dyDescent="0.25">
      <c r="A644" s="14">
        <v>29082</v>
      </c>
      <c r="B644" s="14" t="s">
        <v>777</v>
      </c>
      <c r="C644" s="14" t="s">
        <v>13030</v>
      </c>
      <c r="D644" s="15">
        <v>73.67</v>
      </c>
      <c r="E644" s="16" t="s">
        <v>30</v>
      </c>
    </row>
    <row r="645" spans="1:5" x14ac:dyDescent="0.25">
      <c r="A645" s="14">
        <v>29493</v>
      </c>
      <c r="B645" s="14" t="s">
        <v>778</v>
      </c>
      <c r="C645" s="14" t="s">
        <v>13030</v>
      </c>
      <c r="D645" s="15">
        <v>44.85</v>
      </c>
      <c r="E645" s="16" t="s">
        <v>30</v>
      </c>
    </row>
    <row r="646" spans="1:5" x14ac:dyDescent="0.25">
      <c r="A646" s="14">
        <v>29494</v>
      </c>
      <c r="B646" s="14" t="s">
        <v>779</v>
      </c>
      <c r="C646" s="14" t="s">
        <v>13030</v>
      </c>
      <c r="D646" s="15">
        <v>68.959999999999994</v>
      </c>
      <c r="E646" s="16" t="s">
        <v>30</v>
      </c>
    </row>
    <row r="647" spans="1:5" x14ac:dyDescent="0.25">
      <c r="A647" s="14">
        <v>4776</v>
      </c>
      <c r="B647" s="14" t="s">
        <v>780</v>
      </c>
      <c r="C647" s="14" t="s">
        <v>13031</v>
      </c>
      <c r="D647" s="15">
        <v>16</v>
      </c>
      <c r="E647" s="16" t="s">
        <v>20</v>
      </c>
    </row>
    <row r="648" spans="1:5" x14ac:dyDescent="0.25">
      <c r="A648" s="14">
        <v>30219</v>
      </c>
      <c r="B648" s="14" t="s">
        <v>781</v>
      </c>
      <c r="C648" s="14" t="s">
        <v>13030</v>
      </c>
      <c r="D648" s="15">
        <v>1.64</v>
      </c>
      <c r="E648" s="16" t="s">
        <v>30</v>
      </c>
    </row>
    <row r="649" spans="1:5" x14ac:dyDescent="0.25">
      <c r="A649" s="14">
        <v>30416</v>
      </c>
      <c r="B649" s="14" t="s">
        <v>782</v>
      </c>
      <c r="C649" s="14" t="s">
        <v>13031</v>
      </c>
      <c r="D649" s="15">
        <v>6.5</v>
      </c>
      <c r="E649" s="16" t="s">
        <v>30</v>
      </c>
    </row>
    <row r="650" spans="1:5" x14ac:dyDescent="0.25">
      <c r="A650" s="14">
        <v>17495</v>
      </c>
      <c r="B650" s="14" t="s">
        <v>783</v>
      </c>
      <c r="C650" s="14" t="s">
        <v>13030</v>
      </c>
      <c r="D650" s="15">
        <v>72.709999999999994</v>
      </c>
      <c r="E650" s="16" t="s">
        <v>20</v>
      </c>
    </row>
    <row r="651" spans="1:5" x14ac:dyDescent="0.25">
      <c r="A651" s="14">
        <v>30649</v>
      </c>
      <c r="B651" s="14" t="s">
        <v>784</v>
      </c>
      <c r="C651" s="14" t="s">
        <v>13029</v>
      </c>
      <c r="D651" s="15">
        <v>12.53</v>
      </c>
      <c r="E651" s="16" t="s">
        <v>30</v>
      </c>
    </row>
    <row r="652" spans="1:5" x14ac:dyDescent="0.25">
      <c r="A652" s="14">
        <v>31415</v>
      </c>
      <c r="B652" s="14" t="s">
        <v>785</v>
      </c>
      <c r="C652" s="14" t="s">
        <v>13031</v>
      </c>
      <c r="D652" s="15">
        <v>17.57</v>
      </c>
      <c r="E652" s="16" t="s">
        <v>30</v>
      </c>
    </row>
    <row r="653" spans="1:5" x14ac:dyDescent="0.25">
      <c r="A653" s="14">
        <v>17534</v>
      </c>
      <c r="B653" s="14" t="s">
        <v>786</v>
      </c>
      <c r="C653" s="14" t="s">
        <v>13030</v>
      </c>
      <c r="D653" s="15">
        <v>59.06</v>
      </c>
      <c r="E653" s="16" t="s">
        <v>20</v>
      </c>
    </row>
    <row r="654" spans="1:5" x14ac:dyDescent="0.25">
      <c r="A654" s="14">
        <v>31490</v>
      </c>
      <c r="B654" s="14" t="s">
        <v>787</v>
      </c>
      <c r="C654" s="14" t="s">
        <v>13030</v>
      </c>
      <c r="D654" s="15">
        <v>19.21</v>
      </c>
      <c r="E654" s="16" t="s">
        <v>30</v>
      </c>
    </row>
    <row r="655" spans="1:5" x14ac:dyDescent="0.25">
      <c r="A655" s="14">
        <v>31503</v>
      </c>
      <c r="B655" s="14" t="s">
        <v>788</v>
      </c>
      <c r="C655" s="14" t="s">
        <v>13029</v>
      </c>
      <c r="D655" s="15">
        <v>2.72</v>
      </c>
      <c r="E655" s="16" t="s">
        <v>30</v>
      </c>
    </row>
    <row r="656" spans="1:5" x14ac:dyDescent="0.25">
      <c r="A656" s="14">
        <v>31504</v>
      </c>
      <c r="B656" s="14" t="s">
        <v>789</v>
      </c>
      <c r="C656" s="14" t="s">
        <v>13029</v>
      </c>
      <c r="D656" s="15">
        <v>4.87</v>
      </c>
      <c r="E656" s="16" t="s">
        <v>30</v>
      </c>
    </row>
    <row r="657" spans="1:5" x14ac:dyDescent="0.25">
      <c r="A657" s="14">
        <v>4779</v>
      </c>
      <c r="B657" s="14" t="s">
        <v>790</v>
      </c>
      <c r="C657" s="14" t="s">
        <v>13031</v>
      </c>
      <c r="D657" s="15">
        <v>24.56</v>
      </c>
      <c r="E657" s="16" t="s">
        <v>20</v>
      </c>
    </row>
    <row r="658" spans="1:5" x14ac:dyDescent="0.25">
      <c r="A658" s="14">
        <v>4780</v>
      </c>
      <c r="B658" s="14" t="s">
        <v>791</v>
      </c>
      <c r="C658" s="14" t="s">
        <v>13031</v>
      </c>
      <c r="D658" s="15">
        <v>21.3</v>
      </c>
      <c r="E658" s="16" t="s">
        <v>20</v>
      </c>
    </row>
    <row r="659" spans="1:5" x14ac:dyDescent="0.25">
      <c r="A659" s="14">
        <v>31505</v>
      </c>
      <c r="B659" s="14" t="s">
        <v>792</v>
      </c>
      <c r="C659" s="14" t="s">
        <v>13029</v>
      </c>
      <c r="D659" s="15">
        <v>5.64</v>
      </c>
      <c r="E659" s="16" t="s">
        <v>30</v>
      </c>
    </row>
    <row r="660" spans="1:5" x14ac:dyDescent="0.25">
      <c r="A660" s="14">
        <v>32120</v>
      </c>
      <c r="B660" s="14" t="s">
        <v>793</v>
      </c>
      <c r="C660" s="14" t="s">
        <v>13031</v>
      </c>
      <c r="D660" s="15">
        <v>5.57</v>
      </c>
      <c r="E660" s="16" t="s">
        <v>30</v>
      </c>
    </row>
    <row r="661" spans="1:5" x14ac:dyDescent="0.25">
      <c r="A661" s="14">
        <v>32122</v>
      </c>
      <c r="B661" s="14" t="s">
        <v>794</v>
      </c>
      <c r="C661" s="14" t="s">
        <v>13031</v>
      </c>
      <c r="D661" s="15">
        <v>5.57</v>
      </c>
      <c r="E661" s="16" t="s">
        <v>30</v>
      </c>
    </row>
    <row r="662" spans="1:5" x14ac:dyDescent="0.25">
      <c r="A662" s="14">
        <v>32125</v>
      </c>
      <c r="B662" s="14" t="s">
        <v>795</v>
      </c>
      <c r="C662" s="14" t="s">
        <v>13031</v>
      </c>
      <c r="D662" s="15">
        <v>4.72</v>
      </c>
      <c r="E662" s="16" t="s">
        <v>30</v>
      </c>
    </row>
    <row r="663" spans="1:5" x14ac:dyDescent="0.25">
      <c r="A663" s="14">
        <v>32127</v>
      </c>
      <c r="B663" s="14" t="s">
        <v>796</v>
      </c>
      <c r="C663" s="14" t="s">
        <v>13031</v>
      </c>
      <c r="D663" s="15">
        <v>4.72</v>
      </c>
      <c r="E663" s="16" t="s">
        <v>30</v>
      </c>
    </row>
    <row r="664" spans="1:5" x14ac:dyDescent="0.25">
      <c r="A664" s="14">
        <v>32128</v>
      </c>
      <c r="B664" s="14" t="s">
        <v>797</v>
      </c>
      <c r="C664" s="14" t="s">
        <v>13031</v>
      </c>
      <c r="D664" s="15">
        <v>1.54</v>
      </c>
      <c r="E664" s="16" t="s">
        <v>30</v>
      </c>
    </row>
    <row r="665" spans="1:5" x14ac:dyDescent="0.25">
      <c r="A665" s="14">
        <v>32129</v>
      </c>
      <c r="B665" s="14" t="s">
        <v>798</v>
      </c>
      <c r="C665" s="14" t="s">
        <v>13031</v>
      </c>
      <c r="D665" s="15">
        <v>1.54</v>
      </c>
      <c r="E665" s="16" t="s">
        <v>30</v>
      </c>
    </row>
    <row r="666" spans="1:5" x14ac:dyDescent="0.25">
      <c r="A666" s="14">
        <v>32130</v>
      </c>
      <c r="B666" s="14" t="s">
        <v>799</v>
      </c>
      <c r="C666" s="14" t="s">
        <v>13031</v>
      </c>
      <c r="D666" s="15">
        <v>1.3</v>
      </c>
      <c r="E666" s="16" t="s">
        <v>30</v>
      </c>
    </row>
    <row r="667" spans="1:5" x14ac:dyDescent="0.25">
      <c r="A667" s="14">
        <v>32131</v>
      </c>
      <c r="B667" s="14" t="s">
        <v>800</v>
      </c>
      <c r="C667" s="14" t="s">
        <v>13031</v>
      </c>
      <c r="D667" s="15">
        <v>1.3</v>
      </c>
      <c r="E667" s="16" t="s">
        <v>30</v>
      </c>
    </row>
    <row r="668" spans="1:5" x14ac:dyDescent="0.25">
      <c r="A668" s="14">
        <v>4811</v>
      </c>
      <c r="B668" s="14" t="s">
        <v>801</v>
      </c>
      <c r="C668" s="14" t="s">
        <v>13031</v>
      </c>
      <c r="D668" s="15">
        <v>5.2</v>
      </c>
      <c r="E668" s="16" t="s">
        <v>20</v>
      </c>
    </row>
    <row r="669" spans="1:5" x14ac:dyDescent="0.25">
      <c r="A669" s="14">
        <v>4936</v>
      </c>
      <c r="B669" s="14" t="s">
        <v>802</v>
      </c>
      <c r="C669" s="14" t="s">
        <v>13031</v>
      </c>
      <c r="D669" s="15">
        <v>12.54</v>
      </c>
      <c r="E669" s="16" t="s">
        <v>20</v>
      </c>
    </row>
    <row r="670" spans="1:5" x14ac:dyDescent="0.25">
      <c r="A670" s="14">
        <v>4986</v>
      </c>
      <c r="B670" s="14" t="s">
        <v>803</v>
      </c>
      <c r="C670" s="14" t="s">
        <v>13031</v>
      </c>
      <c r="D670" s="15">
        <v>4.2300000000000004</v>
      </c>
      <c r="E670" s="16" t="s">
        <v>20</v>
      </c>
    </row>
    <row r="671" spans="1:5" x14ac:dyDescent="0.25">
      <c r="A671" s="14">
        <v>25919</v>
      </c>
      <c r="B671" s="14" t="s">
        <v>804</v>
      </c>
      <c r="C671" s="14" t="s">
        <v>13030</v>
      </c>
      <c r="D671" s="15">
        <v>78.2</v>
      </c>
      <c r="E671" s="16" t="s">
        <v>20</v>
      </c>
    </row>
    <row r="672" spans="1:5" x14ac:dyDescent="0.25">
      <c r="A672" s="14">
        <v>32410</v>
      </c>
      <c r="B672" s="14" t="s">
        <v>805</v>
      </c>
      <c r="C672" s="14" t="s">
        <v>13033</v>
      </c>
      <c r="D672" s="15">
        <v>11.51</v>
      </c>
      <c r="E672" s="16" t="s">
        <v>30</v>
      </c>
    </row>
    <row r="673" spans="1:5" x14ac:dyDescent="0.25">
      <c r="A673" s="14">
        <v>32782</v>
      </c>
      <c r="B673" s="14" t="s">
        <v>806</v>
      </c>
      <c r="C673" s="14" t="s">
        <v>13031</v>
      </c>
      <c r="D673" s="15">
        <v>13.3</v>
      </c>
      <c r="E673" s="16" t="s">
        <v>30</v>
      </c>
    </row>
    <row r="674" spans="1:5" x14ac:dyDescent="0.25">
      <c r="A674" s="14">
        <v>32783</v>
      </c>
      <c r="B674" s="14" t="s">
        <v>807</v>
      </c>
      <c r="C674" s="14" t="s">
        <v>13031</v>
      </c>
      <c r="D674" s="15">
        <v>28.3</v>
      </c>
      <c r="E674" s="16" t="s">
        <v>30</v>
      </c>
    </row>
    <row r="675" spans="1:5" x14ac:dyDescent="0.25">
      <c r="A675" s="14">
        <v>33273</v>
      </c>
      <c r="B675" s="14" t="s">
        <v>808</v>
      </c>
      <c r="C675" s="14" t="s">
        <v>13031</v>
      </c>
      <c r="D675" s="15">
        <v>15.36</v>
      </c>
      <c r="E675" s="16" t="s">
        <v>30</v>
      </c>
    </row>
    <row r="676" spans="1:5" x14ac:dyDescent="0.25">
      <c r="A676" s="14">
        <v>33345</v>
      </c>
      <c r="B676" s="14" t="s">
        <v>809</v>
      </c>
      <c r="C676" s="14" t="s">
        <v>13029</v>
      </c>
      <c r="D676" s="15">
        <v>16.2</v>
      </c>
      <c r="E676" s="16" t="s">
        <v>30</v>
      </c>
    </row>
    <row r="677" spans="1:5" x14ac:dyDescent="0.25">
      <c r="A677" s="14">
        <v>33346</v>
      </c>
      <c r="B677" s="14" t="s">
        <v>810</v>
      </c>
      <c r="C677" s="14" t="s">
        <v>13030</v>
      </c>
      <c r="D677" s="15">
        <v>10.72</v>
      </c>
      <c r="E677" s="16" t="s">
        <v>30</v>
      </c>
    </row>
    <row r="678" spans="1:5" x14ac:dyDescent="0.25">
      <c r="A678" s="14">
        <v>33416</v>
      </c>
      <c r="B678" s="14" t="s">
        <v>811</v>
      </c>
      <c r="C678" s="14" t="s">
        <v>13030</v>
      </c>
      <c r="D678" s="15">
        <v>23.6</v>
      </c>
      <c r="E678" s="16" t="s">
        <v>30</v>
      </c>
    </row>
    <row r="679" spans="1:5" x14ac:dyDescent="0.25">
      <c r="A679" s="14">
        <v>33599</v>
      </c>
      <c r="B679" s="14" t="s">
        <v>812</v>
      </c>
      <c r="C679" s="14" t="s">
        <v>13031</v>
      </c>
      <c r="D679" s="15">
        <v>4.07</v>
      </c>
      <c r="E679" s="16" t="s">
        <v>30</v>
      </c>
    </row>
    <row r="680" spans="1:5" x14ac:dyDescent="0.25">
      <c r="A680" s="14">
        <v>33973</v>
      </c>
      <c r="B680" s="14" t="s">
        <v>813</v>
      </c>
      <c r="C680" s="14" t="s">
        <v>13030</v>
      </c>
      <c r="D680" s="15">
        <v>416.86</v>
      </c>
      <c r="E680" s="16" t="s">
        <v>30</v>
      </c>
    </row>
    <row r="681" spans="1:5" x14ac:dyDescent="0.25">
      <c r="A681" s="14">
        <v>34123</v>
      </c>
      <c r="B681" s="14" t="s">
        <v>814</v>
      </c>
      <c r="C681" s="14" t="s">
        <v>13033</v>
      </c>
      <c r="D681" s="15">
        <v>17.57</v>
      </c>
      <c r="E681" s="16" t="s">
        <v>30</v>
      </c>
    </row>
    <row r="682" spans="1:5" x14ac:dyDescent="0.25">
      <c r="A682" s="14">
        <v>34677</v>
      </c>
      <c r="B682" s="14" t="s">
        <v>815</v>
      </c>
      <c r="C682" s="14" t="s">
        <v>13031</v>
      </c>
      <c r="D682" s="15">
        <v>5.5</v>
      </c>
      <c r="E682" s="16" t="s">
        <v>30</v>
      </c>
    </row>
    <row r="683" spans="1:5" x14ac:dyDescent="0.25">
      <c r="A683" s="14">
        <v>34980</v>
      </c>
      <c r="B683" s="14" t="s">
        <v>816</v>
      </c>
      <c r="C683" s="14" t="s">
        <v>13030</v>
      </c>
      <c r="D683" s="15">
        <v>76.37</v>
      </c>
      <c r="E683" s="16" t="s">
        <v>30</v>
      </c>
    </row>
    <row r="684" spans="1:5" x14ac:dyDescent="0.25">
      <c r="A684" s="14">
        <v>35573</v>
      </c>
      <c r="B684" s="14" t="s">
        <v>817</v>
      </c>
      <c r="C684" s="14" t="s">
        <v>13031</v>
      </c>
      <c r="D684" s="15">
        <v>1.3</v>
      </c>
      <c r="E684" s="16" t="s">
        <v>30</v>
      </c>
    </row>
    <row r="685" spans="1:5" x14ac:dyDescent="0.25">
      <c r="A685" s="14">
        <v>35574</v>
      </c>
      <c r="B685" s="14" t="s">
        <v>818</v>
      </c>
      <c r="C685" s="14" t="s">
        <v>13031</v>
      </c>
      <c r="D685" s="15">
        <v>4.72</v>
      </c>
      <c r="E685" s="16" t="s">
        <v>30</v>
      </c>
    </row>
    <row r="686" spans="1:5" x14ac:dyDescent="0.25">
      <c r="A686" s="14">
        <v>35681</v>
      </c>
      <c r="B686" s="14" t="s">
        <v>819</v>
      </c>
      <c r="C686" s="14" t="s">
        <v>13031</v>
      </c>
      <c r="D686" s="15">
        <v>2.2999999999999998</v>
      </c>
      <c r="E686" s="16" t="s">
        <v>30</v>
      </c>
    </row>
    <row r="687" spans="1:5" x14ac:dyDescent="0.25">
      <c r="A687" s="14">
        <v>35775</v>
      </c>
      <c r="B687" s="14" t="s">
        <v>820</v>
      </c>
      <c r="C687" s="14" t="s">
        <v>13029</v>
      </c>
      <c r="D687" s="15">
        <v>9.1</v>
      </c>
      <c r="E687" s="16" t="s">
        <v>30</v>
      </c>
    </row>
    <row r="688" spans="1:5" x14ac:dyDescent="0.25">
      <c r="A688" s="14">
        <v>35776</v>
      </c>
      <c r="B688" s="14" t="s">
        <v>821</v>
      </c>
      <c r="C688" s="14" t="s">
        <v>13029</v>
      </c>
      <c r="D688" s="15">
        <v>9.7100000000000009</v>
      </c>
      <c r="E688" s="16" t="s">
        <v>30</v>
      </c>
    </row>
    <row r="689" spans="1:5" x14ac:dyDescent="0.25">
      <c r="A689" s="14">
        <v>35784</v>
      </c>
      <c r="B689" s="14" t="s">
        <v>822</v>
      </c>
      <c r="C689" s="14" t="s">
        <v>13029</v>
      </c>
      <c r="D689" s="15">
        <v>8.3000000000000007</v>
      </c>
      <c r="E689" s="16" t="s">
        <v>30</v>
      </c>
    </row>
    <row r="690" spans="1:5" x14ac:dyDescent="0.25">
      <c r="A690" s="14">
        <v>35792</v>
      </c>
      <c r="B690" s="14" t="s">
        <v>823</v>
      </c>
      <c r="C690" s="14" t="s">
        <v>13029</v>
      </c>
      <c r="D690" s="15">
        <v>19.7</v>
      </c>
      <c r="E690" s="16" t="s">
        <v>30</v>
      </c>
    </row>
    <row r="691" spans="1:5" x14ac:dyDescent="0.25">
      <c r="A691" s="14">
        <v>4993</v>
      </c>
      <c r="B691" s="14" t="s">
        <v>824</v>
      </c>
      <c r="C691" s="14" t="s">
        <v>13031</v>
      </c>
      <c r="D691" s="15">
        <v>4.2300000000000004</v>
      </c>
      <c r="E691" s="16" t="s">
        <v>20</v>
      </c>
    </row>
    <row r="692" spans="1:5" x14ac:dyDescent="0.25">
      <c r="A692" s="14">
        <v>35793</v>
      </c>
      <c r="B692" s="14" t="s">
        <v>825</v>
      </c>
      <c r="C692" s="14" t="s">
        <v>13029</v>
      </c>
      <c r="D692" s="15">
        <v>16.5</v>
      </c>
      <c r="E692" s="16" t="s">
        <v>30</v>
      </c>
    </row>
    <row r="693" spans="1:5" x14ac:dyDescent="0.25">
      <c r="A693" s="14">
        <v>35805</v>
      </c>
      <c r="B693" s="14" t="s">
        <v>826</v>
      </c>
      <c r="C693" s="14" t="s">
        <v>13031</v>
      </c>
      <c r="D693" s="15">
        <v>22</v>
      </c>
      <c r="E693" s="16" t="s">
        <v>30</v>
      </c>
    </row>
    <row r="694" spans="1:5" x14ac:dyDescent="0.25">
      <c r="A694" s="14">
        <v>35830</v>
      </c>
      <c r="B694" s="14" t="s">
        <v>827</v>
      </c>
      <c r="C694" s="14" t="s">
        <v>13031</v>
      </c>
      <c r="D694" s="15">
        <v>29.4</v>
      </c>
      <c r="E694" s="16" t="s">
        <v>30</v>
      </c>
    </row>
    <row r="695" spans="1:5" x14ac:dyDescent="0.25">
      <c r="A695" s="14">
        <v>35863</v>
      </c>
      <c r="B695" s="14" t="s">
        <v>828</v>
      </c>
      <c r="C695" s="14" t="s">
        <v>13031</v>
      </c>
      <c r="D695" s="15">
        <v>21.89</v>
      </c>
      <c r="E695" s="16" t="s">
        <v>30</v>
      </c>
    </row>
    <row r="696" spans="1:5" x14ac:dyDescent="0.25">
      <c r="A696" s="14">
        <v>36080</v>
      </c>
      <c r="B696" s="14" t="s">
        <v>829</v>
      </c>
      <c r="C696" s="14" t="s">
        <v>13029</v>
      </c>
      <c r="D696" s="15">
        <v>11.16</v>
      </c>
      <c r="E696" s="16" t="s">
        <v>30</v>
      </c>
    </row>
    <row r="697" spans="1:5" x14ac:dyDescent="0.25">
      <c r="A697" s="14">
        <v>36411</v>
      </c>
      <c r="B697" s="14" t="s">
        <v>830</v>
      </c>
      <c r="C697" s="14" t="s">
        <v>13029</v>
      </c>
      <c r="D697" s="15">
        <v>11.81</v>
      </c>
      <c r="E697" s="16" t="s">
        <v>30</v>
      </c>
    </row>
    <row r="698" spans="1:5" x14ac:dyDescent="0.25">
      <c r="A698" s="14">
        <v>36497</v>
      </c>
      <c r="B698" s="14" t="s">
        <v>831</v>
      </c>
      <c r="C698" s="14" t="s">
        <v>13029</v>
      </c>
      <c r="D698" s="15">
        <v>11.08</v>
      </c>
      <c r="E698" s="16" t="s">
        <v>30</v>
      </c>
    </row>
    <row r="699" spans="1:5" x14ac:dyDescent="0.25">
      <c r="A699" s="14">
        <v>5498</v>
      </c>
      <c r="B699" s="14" t="s">
        <v>832</v>
      </c>
      <c r="C699" s="14" t="s">
        <v>13031</v>
      </c>
      <c r="D699" s="15">
        <v>4.66</v>
      </c>
      <c r="E699" s="16" t="s">
        <v>20</v>
      </c>
    </row>
    <row r="700" spans="1:5" x14ac:dyDescent="0.25">
      <c r="A700" s="14">
        <v>36817</v>
      </c>
      <c r="B700" s="14" t="s">
        <v>833</v>
      </c>
      <c r="C700" s="14" t="s">
        <v>13030</v>
      </c>
      <c r="D700" s="15">
        <v>239.04</v>
      </c>
      <c r="E700" s="16" t="s">
        <v>30</v>
      </c>
    </row>
    <row r="701" spans="1:5" x14ac:dyDescent="0.25">
      <c r="A701" s="14">
        <v>37116</v>
      </c>
      <c r="B701" s="14" t="s">
        <v>834</v>
      </c>
      <c r="C701" s="14" t="s">
        <v>13030</v>
      </c>
      <c r="D701" s="15">
        <v>52.47</v>
      </c>
      <c r="E701" s="16" t="s">
        <v>30</v>
      </c>
    </row>
    <row r="702" spans="1:5" x14ac:dyDescent="0.25">
      <c r="A702" s="14">
        <v>37419</v>
      </c>
      <c r="B702" s="14" t="s">
        <v>835</v>
      </c>
      <c r="C702" s="14" t="s">
        <v>13029</v>
      </c>
      <c r="D702" s="15">
        <v>10.39</v>
      </c>
      <c r="E702" s="16" t="s">
        <v>30</v>
      </c>
    </row>
    <row r="703" spans="1:5" x14ac:dyDescent="0.25">
      <c r="A703" s="14">
        <v>37477</v>
      </c>
      <c r="B703" s="14" t="s">
        <v>836</v>
      </c>
      <c r="C703" s="14" t="s">
        <v>13031</v>
      </c>
      <c r="D703" s="15">
        <v>3.95</v>
      </c>
      <c r="E703" s="16" t="s">
        <v>30</v>
      </c>
    </row>
    <row r="704" spans="1:5" x14ac:dyDescent="0.25">
      <c r="A704" s="14">
        <v>12141</v>
      </c>
      <c r="B704" s="14" t="s">
        <v>837</v>
      </c>
      <c r="C704" s="14" t="s">
        <v>13031</v>
      </c>
      <c r="D704" s="15">
        <v>26.5</v>
      </c>
      <c r="E704" s="16" t="s">
        <v>20</v>
      </c>
    </row>
    <row r="705" spans="1:5" x14ac:dyDescent="0.25">
      <c r="A705" s="14">
        <v>38201</v>
      </c>
      <c r="B705" s="14" t="s">
        <v>838</v>
      </c>
      <c r="C705" s="14" t="s">
        <v>13029</v>
      </c>
      <c r="D705" s="15">
        <v>4.3099999999999996</v>
      </c>
      <c r="E705" s="16" t="s">
        <v>30</v>
      </c>
    </row>
    <row r="706" spans="1:5" x14ac:dyDescent="0.25">
      <c r="A706" s="14">
        <v>38217</v>
      </c>
      <c r="B706" s="14" t="s">
        <v>839</v>
      </c>
      <c r="C706" s="14" t="s">
        <v>13029</v>
      </c>
      <c r="D706" s="15">
        <v>29.24</v>
      </c>
      <c r="E706" s="16" t="s">
        <v>30</v>
      </c>
    </row>
    <row r="707" spans="1:5" x14ac:dyDescent="0.25">
      <c r="A707" s="14">
        <v>38268</v>
      </c>
      <c r="B707" s="14" t="s">
        <v>840</v>
      </c>
      <c r="C707" s="14" t="s">
        <v>13031</v>
      </c>
      <c r="D707" s="15">
        <v>6.68</v>
      </c>
      <c r="E707" s="16" t="s">
        <v>30</v>
      </c>
    </row>
    <row r="708" spans="1:5" x14ac:dyDescent="0.25">
      <c r="A708" s="14">
        <v>38332</v>
      </c>
      <c r="B708" s="14" t="s">
        <v>841</v>
      </c>
      <c r="C708" s="14" t="s">
        <v>13031</v>
      </c>
      <c r="D708" s="15">
        <v>49.7</v>
      </c>
      <c r="E708" s="16" t="s">
        <v>30</v>
      </c>
    </row>
    <row r="709" spans="1:5" x14ac:dyDescent="0.25">
      <c r="A709" s="14">
        <v>38621</v>
      </c>
      <c r="B709" s="14" t="s">
        <v>842</v>
      </c>
      <c r="C709" s="14" t="s">
        <v>13030</v>
      </c>
      <c r="D709" s="15">
        <v>1.1000000000000001</v>
      </c>
      <c r="E709" s="16" t="s">
        <v>30</v>
      </c>
    </row>
    <row r="710" spans="1:5" x14ac:dyDescent="0.25">
      <c r="A710" s="14">
        <v>38753</v>
      </c>
      <c r="B710" s="14" t="s">
        <v>843</v>
      </c>
      <c r="C710" s="14" t="s">
        <v>13030</v>
      </c>
      <c r="D710" s="15">
        <v>65.180000000000007</v>
      </c>
      <c r="E710" s="16" t="s">
        <v>30</v>
      </c>
    </row>
    <row r="711" spans="1:5" x14ac:dyDescent="0.25">
      <c r="A711" s="14">
        <v>39524</v>
      </c>
      <c r="B711" s="14" t="s">
        <v>844</v>
      </c>
      <c r="C711" s="14" t="s">
        <v>13030</v>
      </c>
      <c r="D711" s="15">
        <v>36.53</v>
      </c>
      <c r="E711" s="16" t="s">
        <v>30</v>
      </c>
    </row>
    <row r="712" spans="1:5" x14ac:dyDescent="0.25">
      <c r="A712" s="14">
        <v>39571</v>
      </c>
      <c r="B712" s="14" t="s">
        <v>845</v>
      </c>
      <c r="C712" s="14" t="s">
        <v>13030</v>
      </c>
      <c r="D712" s="15">
        <v>20.86</v>
      </c>
      <c r="E712" s="16" t="s">
        <v>30</v>
      </c>
    </row>
    <row r="713" spans="1:5" x14ac:dyDescent="0.25">
      <c r="A713" s="14">
        <v>39921</v>
      </c>
      <c r="B713" s="14" t="s">
        <v>846</v>
      </c>
      <c r="C713" s="14" t="s">
        <v>13031</v>
      </c>
      <c r="D713" s="15">
        <v>2.48</v>
      </c>
      <c r="E713" s="16" t="s">
        <v>30</v>
      </c>
    </row>
    <row r="714" spans="1:5" x14ac:dyDescent="0.25">
      <c r="A714" s="14">
        <v>12947</v>
      </c>
      <c r="B714" s="14" t="s">
        <v>847</v>
      </c>
      <c r="C714" s="14" t="s">
        <v>13031</v>
      </c>
      <c r="D714" s="15">
        <v>2.89</v>
      </c>
      <c r="E714" s="16" t="s">
        <v>20</v>
      </c>
    </row>
    <row r="715" spans="1:5" x14ac:dyDescent="0.25">
      <c r="A715" s="14">
        <v>12948</v>
      </c>
      <c r="B715" s="14" t="s">
        <v>848</v>
      </c>
      <c r="C715" s="14" t="s">
        <v>13031</v>
      </c>
      <c r="D715" s="15">
        <v>5.81</v>
      </c>
      <c r="E715" s="14" t="s">
        <v>20</v>
      </c>
    </row>
    <row r="716" spans="1:5" x14ac:dyDescent="0.25">
      <c r="A716" s="14">
        <v>39923</v>
      </c>
      <c r="B716" s="14" t="s">
        <v>849</v>
      </c>
      <c r="C716" s="14" t="s">
        <v>13031</v>
      </c>
      <c r="D716" s="15">
        <v>2.75</v>
      </c>
      <c r="E716" s="16" t="s">
        <v>30</v>
      </c>
    </row>
    <row r="717" spans="1:5" x14ac:dyDescent="0.25">
      <c r="A717" s="14">
        <v>12949</v>
      </c>
      <c r="B717" s="14" t="s">
        <v>850</v>
      </c>
      <c r="C717" s="14" t="s">
        <v>13031</v>
      </c>
      <c r="D717" s="15">
        <v>4.79</v>
      </c>
      <c r="E717" s="16" t="s">
        <v>20</v>
      </c>
    </row>
    <row r="718" spans="1:5" x14ac:dyDescent="0.25">
      <c r="A718" s="14">
        <v>40415</v>
      </c>
      <c r="B718" s="14" t="s">
        <v>851</v>
      </c>
      <c r="C718" s="14" t="s">
        <v>13029</v>
      </c>
      <c r="D718" s="15">
        <v>4.6500000000000004</v>
      </c>
      <c r="E718" s="16" t="s">
        <v>30</v>
      </c>
    </row>
    <row r="719" spans="1:5" x14ac:dyDescent="0.25">
      <c r="A719" s="14">
        <v>40571</v>
      </c>
      <c r="B719" s="14" t="s">
        <v>852</v>
      </c>
      <c r="C719" s="14" t="s">
        <v>13029</v>
      </c>
      <c r="D719" s="15">
        <v>9.68</v>
      </c>
      <c r="E719" s="16" t="s">
        <v>30</v>
      </c>
    </row>
    <row r="720" spans="1:5" x14ac:dyDescent="0.25">
      <c r="A720" s="14">
        <v>15817</v>
      </c>
      <c r="B720" s="14" t="s">
        <v>853</v>
      </c>
      <c r="C720" s="14" t="s">
        <v>13031</v>
      </c>
      <c r="D720" s="15">
        <v>8.36</v>
      </c>
      <c r="E720" s="16" t="s">
        <v>20</v>
      </c>
    </row>
    <row r="721" spans="1:5" x14ac:dyDescent="0.25">
      <c r="A721" s="14">
        <v>41182</v>
      </c>
      <c r="B721" s="14" t="s">
        <v>854</v>
      </c>
      <c r="C721" s="14" t="s">
        <v>13030</v>
      </c>
      <c r="D721" s="15">
        <v>44</v>
      </c>
      <c r="E721" s="16" t="s">
        <v>30</v>
      </c>
    </row>
    <row r="722" spans="1:5" x14ac:dyDescent="0.25">
      <c r="A722" s="14">
        <v>15818</v>
      </c>
      <c r="B722" s="14" t="s">
        <v>855</v>
      </c>
      <c r="C722" s="14" t="s">
        <v>13031</v>
      </c>
      <c r="D722" s="15">
        <v>8.36</v>
      </c>
      <c r="E722" s="16" t="s">
        <v>20</v>
      </c>
    </row>
    <row r="723" spans="1:5" x14ac:dyDescent="0.25">
      <c r="A723" s="14">
        <v>41204</v>
      </c>
      <c r="B723" s="14" t="s">
        <v>856</v>
      </c>
      <c r="C723" s="14" t="s">
        <v>13031</v>
      </c>
      <c r="D723" s="15">
        <v>4.2</v>
      </c>
      <c r="E723" s="16" t="s">
        <v>30</v>
      </c>
    </row>
    <row r="724" spans="1:5" x14ac:dyDescent="0.25">
      <c r="A724" s="14">
        <v>41209</v>
      </c>
      <c r="B724" s="14" t="s">
        <v>857</v>
      </c>
      <c r="C724" s="14" t="s">
        <v>13031</v>
      </c>
      <c r="D724" s="15">
        <v>10.17</v>
      </c>
      <c r="E724" s="16" t="s">
        <v>30</v>
      </c>
    </row>
    <row r="725" spans="1:5" x14ac:dyDescent="0.25">
      <c r="A725" s="14">
        <v>41346</v>
      </c>
      <c r="B725" s="14" t="s">
        <v>858</v>
      </c>
      <c r="C725" s="14" t="s">
        <v>13030</v>
      </c>
      <c r="D725" s="15">
        <v>65.180000000000007</v>
      </c>
      <c r="E725" s="16" t="s">
        <v>30</v>
      </c>
    </row>
    <row r="726" spans="1:5" x14ac:dyDescent="0.25">
      <c r="A726" s="14">
        <v>41763</v>
      </c>
      <c r="B726" s="14" t="s">
        <v>859</v>
      </c>
      <c r="C726" s="14" t="s">
        <v>13030</v>
      </c>
      <c r="D726" s="15">
        <v>16.760000000000002</v>
      </c>
      <c r="E726" s="16" t="s">
        <v>30</v>
      </c>
    </row>
    <row r="727" spans="1:5" x14ac:dyDescent="0.25">
      <c r="A727" s="14">
        <v>42063</v>
      </c>
      <c r="B727" s="14" t="s">
        <v>860</v>
      </c>
      <c r="C727" s="14" t="s">
        <v>13029</v>
      </c>
      <c r="D727" s="15">
        <v>6.89</v>
      </c>
      <c r="E727" s="16" t="s">
        <v>30</v>
      </c>
    </row>
    <row r="728" spans="1:5" x14ac:dyDescent="0.25">
      <c r="A728" s="14">
        <v>42224</v>
      </c>
      <c r="B728" s="14" t="s">
        <v>861</v>
      </c>
      <c r="C728" s="14" t="s">
        <v>13031</v>
      </c>
      <c r="D728" s="15">
        <v>3.6</v>
      </c>
      <c r="E728" s="16" t="s">
        <v>30</v>
      </c>
    </row>
    <row r="729" spans="1:5" x14ac:dyDescent="0.25">
      <c r="A729" s="14">
        <v>29539</v>
      </c>
      <c r="B729" s="14" t="s">
        <v>862</v>
      </c>
      <c r="C729" s="14" t="s">
        <v>13030</v>
      </c>
      <c r="D729" s="15">
        <v>59.06</v>
      </c>
      <c r="E729" s="16" t="s">
        <v>20</v>
      </c>
    </row>
    <row r="730" spans="1:5" x14ac:dyDescent="0.25">
      <c r="A730" s="14">
        <v>43094</v>
      </c>
      <c r="B730" s="14" t="s">
        <v>863</v>
      </c>
      <c r="C730" s="14" t="s">
        <v>13030</v>
      </c>
      <c r="D730" s="15">
        <v>29.78</v>
      </c>
      <c r="E730" s="16" t="s">
        <v>20</v>
      </c>
    </row>
    <row r="731" spans="1:5" x14ac:dyDescent="0.25">
      <c r="A731" s="14">
        <v>21122</v>
      </c>
      <c r="B731" s="14" t="s">
        <v>864</v>
      </c>
      <c r="C731" s="14" t="s">
        <v>13031</v>
      </c>
      <c r="D731" s="15">
        <v>8.36</v>
      </c>
      <c r="E731" s="16" t="s">
        <v>20</v>
      </c>
    </row>
    <row r="732" spans="1:5" x14ac:dyDescent="0.25">
      <c r="A732" s="14">
        <v>42255</v>
      </c>
      <c r="B732" s="14" t="s">
        <v>865</v>
      </c>
      <c r="C732" s="14" t="s">
        <v>13030</v>
      </c>
      <c r="D732" s="15">
        <v>93.58</v>
      </c>
      <c r="E732" s="16" t="s">
        <v>30</v>
      </c>
    </row>
    <row r="733" spans="1:5" x14ac:dyDescent="0.25">
      <c r="A733" s="14">
        <v>42618</v>
      </c>
      <c r="B733" s="14" t="s">
        <v>866</v>
      </c>
      <c r="C733" s="14" t="s">
        <v>13031</v>
      </c>
      <c r="D733" s="15">
        <v>19.36</v>
      </c>
      <c r="E733" s="16" t="s">
        <v>30</v>
      </c>
    </row>
    <row r="734" spans="1:5" x14ac:dyDescent="0.25">
      <c r="A734" s="14">
        <v>42741</v>
      </c>
      <c r="B734" s="14" t="s">
        <v>867</v>
      </c>
      <c r="C734" s="14" t="s">
        <v>13029</v>
      </c>
      <c r="D734" s="15">
        <v>7.62</v>
      </c>
      <c r="E734" s="16" t="s">
        <v>30</v>
      </c>
    </row>
    <row r="735" spans="1:5" x14ac:dyDescent="0.25">
      <c r="A735" s="14">
        <v>42743</v>
      </c>
      <c r="B735" s="14" t="s">
        <v>868</v>
      </c>
      <c r="C735" s="14" t="s">
        <v>13029</v>
      </c>
      <c r="D735" s="15">
        <v>16.45</v>
      </c>
      <c r="E735" s="16" t="s">
        <v>30</v>
      </c>
    </row>
    <row r="736" spans="1:5" x14ac:dyDescent="0.25">
      <c r="A736" s="14">
        <v>43047</v>
      </c>
      <c r="B736" s="14" t="s">
        <v>869</v>
      </c>
      <c r="C736" s="14" t="s">
        <v>13030</v>
      </c>
      <c r="D736" s="15">
        <v>29.57</v>
      </c>
      <c r="E736" s="16" t="s">
        <v>30</v>
      </c>
    </row>
    <row r="737" spans="1:5" x14ac:dyDescent="0.25">
      <c r="A737" s="14">
        <v>43049</v>
      </c>
      <c r="B737" s="14" t="s">
        <v>870</v>
      </c>
      <c r="C737" s="14" t="s">
        <v>13030</v>
      </c>
      <c r="D737" s="15">
        <v>43.86</v>
      </c>
      <c r="E737" s="16" t="s">
        <v>30</v>
      </c>
    </row>
    <row r="738" spans="1:5" x14ac:dyDescent="0.25">
      <c r="A738" s="14">
        <v>21125</v>
      </c>
      <c r="B738" s="14" t="s">
        <v>871</v>
      </c>
      <c r="C738" s="14" t="s">
        <v>13031</v>
      </c>
      <c r="D738" s="15">
        <v>9.9700000000000006</v>
      </c>
      <c r="E738" s="16" t="s">
        <v>20</v>
      </c>
    </row>
    <row r="739" spans="1:5" x14ac:dyDescent="0.25">
      <c r="A739" s="14">
        <v>43050</v>
      </c>
      <c r="B739" s="14" t="s">
        <v>872</v>
      </c>
      <c r="C739" s="14" t="s">
        <v>13030</v>
      </c>
      <c r="D739" s="15">
        <v>230.7</v>
      </c>
      <c r="E739" s="16" t="s">
        <v>30</v>
      </c>
    </row>
    <row r="740" spans="1:5" x14ac:dyDescent="0.25">
      <c r="A740" s="14">
        <v>43186</v>
      </c>
      <c r="B740" s="14" t="s">
        <v>873</v>
      </c>
      <c r="C740" s="14" t="s">
        <v>13031</v>
      </c>
      <c r="D740" s="15">
        <v>4.5</v>
      </c>
      <c r="E740" s="16" t="s">
        <v>30</v>
      </c>
    </row>
    <row r="741" spans="1:5" x14ac:dyDescent="0.25">
      <c r="A741" s="14">
        <v>43257</v>
      </c>
      <c r="B741" s="14" t="s">
        <v>874</v>
      </c>
      <c r="C741" s="14" t="s">
        <v>13030</v>
      </c>
      <c r="D741" s="15">
        <v>30.03</v>
      </c>
      <c r="E741" s="16" t="s">
        <v>30</v>
      </c>
    </row>
    <row r="742" spans="1:5" x14ac:dyDescent="0.25">
      <c r="A742" s="14">
        <v>43587</v>
      </c>
      <c r="B742" s="14" t="s">
        <v>875</v>
      </c>
      <c r="C742" s="14" t="s">
        <v>13031</v>
      </c>
      <c r="D742" s="15">
        <v>6.02</v>
      </c>
      <c r="E742" s="16" t="s">
        <v>30</v>
      </c>
    </row>
    <row r="743" spans="1:5" x14ac:dyDescent="0.25">
      <c r="A743" s="14">
        <v>43588</v>
      </c>
      <c r="B743" s="14" t="s">
        <v>876</v>
      </c>
      <c r="C743" s="14" t="s">
        <v>13031</v>
      </c>
      <c r="D743" s="15">
        <v>3.55</v>
      </c>
      <c r="E743" s="16" t="s">
        <v>30</v>
      </c>
    </row>
    <row r="744" spans="1:5" x14ac:dyDescent="0.25">
      <c r="A744" s="14">
        <v>43785</v>
      </c>
      <c r="B744" s="14" t="s">
        <v>877</v>
      </c>
      <c r="C744" s="14" t="s">
        <v>13030</v>
      </c>
      <c r="D744" s="15">
        <v>19.04</v>
      </c>
      <c r="E744" s="16" t="s">
        <v>30</v>
      </c>
    </row>
    <row r="745" spans="1:5" x14ac:dyDescent="0.25">
      <c r="A745" s="14">
        <v>44064</v>
      </c>
      <c r="B745" s="14" t="s">
        <v>878</v>
      </c>
      <c r="C745" s="14" t="s">
        <v>13031</v>
      </c>
      <c r="D745" s="15">
        <v>51.36</v>
      </c>
      <c r="E745" s="16" t="s">
        <v>30</v>
      </c>
    </row>
    <row r="746" spans="1:5" x14ac:dyDescent="0.25">
      <c r="A746" s="14">
        <v>44067</v>
      </c>
      <c r="B746" s="14" t="s">
        <v>879</v>
      </c>
      <c r="C746" s="14" t="s">
        <v>13031</v>
      </c>
      <c r="D746" s="15">
        <v>25.4</v>
      </c>
      <c r="E746" s="16" t="s">
        <v>30</v>
      </c>
    </row>
    <row r="747" spans="1:5" x14ac:dyDescent="0.25">
      <c r="A747" s="14">
        <v>44068</v>
      </c>
      <c r="B747" s="14" t="s">
        <v>880</v>
      </c>
      <c r="C747" s="14" t="s">
        <v>13031</v>
      </c>
      <c r="D747" s="15">
        <v>11.8</v>
      </c>
      <c r="E747" s="16" t="s">
        <v>30</v>
      </c>
    </row>
    <row r="748" spans="1:5" x14ac:dyDescent="0.25">
      <c r="A748" s="14">
        <v>45316</v>
      </c>
      <c r="B748" s="14" t="s">
        <v>881</v>
      </c>
      <c r="C748" s="14" t="s">
        <v>13029</v>
      </c>
      <c r="D748" s="15">
        <v>24.11</v>
      </c>
      <c r="E748" s="14" t="s">
        <v>30</v>
      </c>
    </row>
    <row r="749" spans="1:5" x14ac:dyDescent="0.25">
      <c r="A749" s="14">
        <v>45317</v>
      </c>
      <c r="B749" s="14" t="s">
        <v>882</v>
      </c>
      <c r="C749" s="14" t="s">
        <v>13029</v>
      </c>
      <c r="D749" s="15">
        <v>16.23</v>
      </c>
      <c r="E749" s="14" t="s">
        <v>30</v>
      </c>
    </row>
    <row r="750" spans="1:5" x14ac:dyDescent="0.25">
      <c r="A750" s="14">
        <v>45400</v>
      </c>
      <c r="B750" s="14" t="s">
        <v>883</v>
      </c>
      <c r="C750" s="14" t="s">
        <v>13031</v>
      </c>
      <c r="D750" s="15">
        <v>2.96</v>
      </c>
      <c r="E750" s="16" t="s">
        <v>30</v>
      </c>
    </row>
    <row r="751" spans="1:5" x14ac:dyDescent="0.25">
      <c r="A751" s="14">
        <v>45890</v>
      </c>
      <c r="B751" s="14" t="s">
        <v>884</v>
      </c>
      <c r="C751" s="14" t="s">
        <v>13031</v>
      </c>
      <c r="D751" s="15">
        <v>5.26</v>
      </c>
      <c r="E751" s="16" t="s">
        <v>30</v>
      </c>
    </row>
    <row r="752" spans="1:5" x14ac:dyDescent="0.25">
      <c r="A752" s="14">
        <v>46605</v>
      </c>
      <c r="B752" s="14" t="s">
        <v>885</v>
      </c>
      <c r="C752" s="14" t="s">
        <v>13031</v>
      </c>
      <c r="D752" s="15">
        <v>25.9</v>
      </c>
      <c r="E752" s="16" t="s">
        <v>30</v>
      </c>
    </row>
    <row r="753" spans="1:5" x14ac:dyDescent="0.25">
      <c r="A753" s="14">
        <v>46610</v>
      </c>
      <c r="B753" s="14" t="s">
        <v>886</v>
      </c>
      <c r="C753" s="14" t="s">
        <v>13031</v>
      </c>
      <c r="D753" s="15">
        <v>12</v>
      </c>
      <c r="E753" s="16" t="s">
        <v>30</v>
      </c>
    </row>
    <row r="754" spans="1:5" x14ac:dyDescent="0.25">
      <c r="A754" s="14">
        <v>46994</v>
      </c>
      <c r="B754" s="14" t="s">
        <v>887</v>
      </c>
      <c r="C754" s="14" t="s">
        <v>13030</v>
      </c>
      <c r="D754" s="15">
        <v>62.1</v>
      </c>
      <c r="E754" s="16" t="s">
        <v>30</v>
      </c>
    </row>
    <row r="755" spans="1:5" x14ac:dyDescent="0.25">
      <c r="A755" s="14">
        <v>47118</v>
      </c>
      <c r="B755" s="14" t="s">
        <v>888</v>
      </c>
      <c r="C755" s="14" t="s">
        <v>13031</v>
      </c>
      <c r="D755" s="15">
        <v>32.159999999999997</v>
      </c>
      <c r="E755" s="16" t="s">
        <v>30</v>
      </c>
    </row>
    <row r="756" spans="1:5" x14ac:dyDescent="0.25">
      <c r="A756" s="14">
        <v>47119</v>
      </c>
      <c r="B756" s="14" t="s">
        <v>889</v>
      </c>
      <c r="C756" s="14" t="s">
        <v>13030</v>
      </c>
      <c r="D756" s="15">
        <v>10.72</v>
      </c>
      <c r="E756" s="16" t="s">
        <v>30</v>
      </c>
    </row>
    <row r="757" spans="1:5" x14ac:dyDescent="0.25">
      <c r="A757" s="14">
        <v>47282</v>
      </c>
      <c r="B757" s="14" t="s">
        <v>890</v>
      </c>
      <c r="C757" s="14" t="s">
        <v>13029</v>
      </c>
      <c r="D757" s="15">
        <v>5.8</v>
      </c>
      <c r="E757" s="16" t="s">
        <v>30</v>
      </c>
    </row>
    <row r="758" spans="1:5" x14ac:dyDescent="0.25">
      <c r="A758" s="14">
        <v>47795</v>
      </c>
      <c r="B758" s="14" t="s">
        <v>891</v>
      </c>
      <c r="C758" s="14" t="s">
        <v>13030</v>
      </c>
      <c r="D758" s="15">
        <v>165.61</v>
      </c>
      <c r="E758" s="16" t="s">
        <v>30</v>
      </c>
    </row>
    <row r="759" spans="1:5" x14ac:dyDescent="0.25">
      <c r="A759" s="14">
        <v>47884</v>
      </c>
      <c r="B759" s="14" t="s">
        <v>892</v>
      </c>
      <c r="C759" s="14" t="s">
        <v>13031</v>
      </c>
      <c r="D759" s="15">
        <v>4.9000000000000004</v>
      </c>
      <c r="E759" s="16" t="s">
        <v>30</v>
      </c>
    </row>
    <row r="760" spans="1:5" x14ac:dyDescent="0.25">
      <c r="A760" s="14">
        <v>47885</v>
      </c>
      <c r="B760" s="14" t="s">
        <v>893</v>
      </c>
      <c r="C760" s="14" t="s">
        <v>13031</v>
      </c>
      <c r="D760" s="15">
        <v>9.4600000000000009</v>
      </c>
      <c r="E760" s="16" t="s">
        <v>30</v>
      </c>
    </row>
    <row r="761" spans="1:5" x14ac:dyDescent="0.25">
      <c r="A761" s="14">
        <v>47890</v>
      </c>
      <c r="B761" s="14" t="s">
        <v>894</v>
      </c>
      <c r="C761" s="14" t="s">
        <v>13030</v>
      </c>
      <c r="D761" s="15">
        <v>19.649999999999999</v>
      </c>
      <c r="E761" s="16" t="s">
        <v>30</v>
      </c>
    </row>
    <row r="762" spans="1:5" x14ac:dyDescent="0.25">
      <c r="A762" s="14">
        <v>47965</v>
      </c>
      <c r="B762" s="14" t="s">
        <v>895</v>
      </c>
      <c r="C762" s="14" t="s">
        <v>13029</v>
      </c>
      <c r="D762" s="15">
        <v>8.76</v>
      </c>
      <c r="E762" s="16" t="s">
        <v>30</v>
      </c>
    </row>
    <row r="763" spans="1:5" x14ac:dyDescent="0.25">
      <c r="A763" s="14">
        <v>47978</v>
      </c>
      <c r="B763" s="14" t="s">
        <v>896</v>
      </c>
      <c r="C763" s="14" t="s">
        <v>13029</v>
      </c>
      <c r="D763" s="15">
        <v>20.260000000000002</v>
      </c>
      <c r="E763" s="14" t="s">
        <v>30</v>
      </c>
    </row>
    <row r="764" spans="1:5" x14ac:dyDescent="0.25">
      <c r="A764" s="14">
        <v>61146</v>
      </c>
      <c r="B764" s="14" t="s">
        <v>897</v>
      </c>
      <c r="C764" s="14" t="s">
        <v>13029</v>
      </c>
      <c r="D764" s="15">
        <v>15.62</v>
      </c>
      <c r="E764" s="16" t="s">
        <v>30</v>
      </c>
    </row>
    <row r="765" spans="1:5" x14ac:dyDescent="0.25">
      <c r="A765" s="14">
        <v>61207</v>
      </c>
      <c r="B765" s="14" t="s">
        <v>898</v>
      </c>
      <c r="C765" s="14" t="s">
        <v>13031</v>
      </c>
      <c r="D765" s="15">
        <v>18.5</v>
      </c>
      <c r="E765" s="16" t="s">
        <v>30</v>
      </c>
    </row>
    <row r="766" spans="1:5" x14ac:dyDescent="0.25">
      <c r="A766" s="14">
        <v>61238</v>
      </c>
      <c r="B766" s="14" t="s">
        <v>899</v>
      </c>
      <c r="C766" s="14" t="s">
        <v>13030</v>
      </c>
      <c r="D766" s="15">
        <v>73.86</v>
      </c>
      <c r="E766" s="16" t="s">
        <v>30</v>
      </c>
    </row>
    <row r="767" spans="1:5" x14ac:dyDescent="0.25">
      <c r="A767" s="14">
        <v>61573</v>
      </c>
      <c r="B767" s="14" t="s">
        <v>900</v>
      </c>
      <c r="C767" s="14" t="s">
        <v>13029</v>
      </c>
      <c r="D767" s="15">
        <v>4.68</v>
      </c>
      <c r="E767" s="16" t="s">
        <v>30</v>
      </c>
    </row>
    <row r="768" spans="1:5" x14ac:dyDescent="0.25">
      <c r="A768" s="14">
        <v>62712</v>
      </c>
      <c r="B768" s="14" t="s">
        <v>901</v>
      </c>
      <c r="C768" s="14" t="s">
        <v>13030</v>
      </c>
      <c r="D768" s="15">
        <v>33.39</v>
      </c>
      <c r="E768" s="16" t="s">
        <v>30</v>
      </c>
    </row>
    <row r="769" spans="1:5" x14ac:dyDescent="0.25">
      <c r="A769" s="14">
        <v>62869</v>
      </c>
      <c r="B769" s="14" t="s">
        <v>902</v>
      </c>
      <c r="C769" s="14" t="s">
        <v>13031</v>
      </c>
      <c r="D769" s="15">
        <v>10.210000000000001</v>
      </c>
      <c r="E769" s="16" t="s">
        <v>30</v>
      </c>
    </row>
    <row r="770" spans="1:5" x14ac:dyDescent="0.25">
      <c r="A770" s="14">
        <v>63070</v>
      </c>
      <c r="B770" s="14" t="s">
        <v>903</v>
      </c>
      <c r="C770" s="14" t="s">
        <v>13029</v>
      </c>
      <c r="D770" s="15">
        <v>29.5</v>
      </c>
      <c r="E770" s="16" t="s">
        <v>30</v>
      </c>
    </row>
    <row r="771" spans="1:5" x14ac:dyDescent="0.25">
      <c r="A771" s="14">
        <v>63117</v>
      </c>
      <c r="B771" s="14" t="s">
        <v>904</v>
      </c>
      <c r="C771" s="14" t="s">
        <v>13030</v>
      </c>
      <c r="D771" s="15">
        <v>32.340000000000003</v>
      </c>
      <c r="E771" s="16" t="s">
        <v>30</v>
      </c>
    </row>
    <row r="772" spans="1:5" x14ac:dyDescent="0.25">
      <c r="A772" s="14">
        <v>63440</v>
      </c>
      <c r="B772" s="14" t="s">
        <v>905</v>
      </c>
      <c r="C772" s="14" t="s">
        <v>13031</v>
      </c>
      <c r="D772" s="15">
        <v>19.41</v>
      </c>
      <c r="E772" s="16" t="s">
        <v>30</v>
      </c>
    </row>
    <row r="773" spans="1:5" x14ac:dyDescent="0.25">
      <c r="A773" s="14">
        <v>23494</v>
      </c>
      <c r="B773" s="14" t="s">
        <v>906</v>
      </c>
      <c r="C773" s="14" t="s">
        <v>13031</v>
      </c>
      <c r="D773" s="15">
        <v>4.66</v>
      </c>
      <c r="E773" s="16" t="s">
        <v>20</v>
      </c>
    </row>
    <row r="774" spans="1:5" x14ac:dyDescent="0.25">
      <c r="A774" s="14">
        <v>63441</v>
      </c>
      <c r="B774" s="14" t="s">
        <v>907</v>
      </c>
      <c r="C774" s="14" t="s">
        <v>13031</v>
      </c>
      <c r="D774" s="15">
        <v>8.64</v>
      </c>
      <c r="E774" s="16" t="s">
        <v>30</v>
      </c>
    </row>
    <row r="775" spans="1:5" x14ac:dyDescent="0.25">
      <c r="A775" s="14">
        <v>63449</v>
      </c>
      <c r="B775" s="14" t="s">
        <v>908</v>
      </c>
      <c r="C775" s="14" t="s">
        <v>13030</v>
      </c>
      <c r="D775" s="15">
        <v>45.48</v>
      </c>
      <c r="E775" s="16" t="s">
        <v>30</v>
      </c>
    </row>
    <row r="776" spans="1:5" x14ac:dyDescent="0.25">
      <c r="A776" s="14">
        <v>63754</v>
      </c>
      <c r="B776" s="14" t="s">
        <v>909</v>
      </c>
      <c r="C776" s="14" t="s">
        <v>13031</v>
      </c>
      <c r="D776" s="15">
        <v>35.340000000000003</v>
      </c>
      <c r="E776" s="16" t="s">
        <v>30</v>
      </c>
    </row>
    <row r="777" spans="1:5" x14ac:dyDescent="0.25">
      <c r="A777" s="14">
        <v>63761</v>
      </c>
      <c r="B777" s="14" t="s">
        <v>910</v>
      </c>
      <c r="C777" s="14" t="s">
        <v>13031</v>
      </c>
      <c r="D777" s="15">
        <v>11.45</v>
      </c>
      <c r="E777" s="16" t="s">
        <v>30</v>
      </c>
    </row>
    <row r="778" spans="1:5" x14ac:dyDescent="0.25">
      <c r="A778" s="14">
        <v>63765</v>
      </c>
      <c r="B778" s="14" t="s">
        <v>911</v>
      </c>
      <c r="C778" s="14" t="s">
        <v>13031</v>
      </c>
      <c r="D778" s="15">
        <v>11.4</v>
      </c>
      <c r="E778" s="16" t="s">
        <v>30</v>
      </c>
    </row>
    <row r="779" spans="1:5" x14ac:dyDescent="0.25">
      <c r="A779" s="14">
        <v>64270</v>
      </c>
      <c r="B779" s="14" t="s">
        <v>912</v>
      </c>
      <c r="C779" s="14" t="s">
        <v>13033</v>
      </c>
      <c r="D779" s="15">
        <v>7.08</v>
      </c>
      <c r="E779" s="16" t="s">
        <v>30</v>
      </c>
    </row>
    <row r="780" spans="1:5" x14ac:dyDescent="0.25">
      <c r="A780" s="14">
        <v>64271</v>
      </c>
      <c r="B780" s="14" t="s">
        <v>913</v>
      </c>
      <c r="C780" s="14" t="s">
        <v>13033</v>
      </c>
      <c r="D780" s="15">
        <v>9.14</v>
      </c>
      <c r="E780" s="16" t="s">
        <v>30</v>
      </c>
    </row>
    <row r="781" spans="1:5" x14ac:dyDescent="0.25">
      <c r="A781" s="14">
        <v>64272</v>
      </c>
      <c r="B781" s="14" t="s">
        <v>914</v>
      </c>
      <c r="C781" s="14" t="s">
        <v>13033</v>
      </c>
      <c r="D781" s="15">
        <v>8.17</v>
      </c>
      <c r="E781" s="16" t="s">
        <v>30</v>
      </c>
    </row>
    <row r="782" spans="1:5" x14ac:dyDescent="0.25">
      <c r="A782" s="14">
        <v>64558</v>
      </c>
      <c r="B782" s="14" t="s">
        <v>915</v>
      </c>
      <c r="C782" s="14" t="s">
        <v>13029</v>
      </c>
      <c r="D782" s="15">
        <v>13.87</v>
      </c>
      <c r="E782" s="16" t="s">
        <v>30</v>
      </c>
    </row>
    <row r="783" spans="1:5" x14ac:dyDescent="0.25">
      <c r="A783" s="14">
        <v>64773</v>
      </c>
      <c r="B783" s="14" t="s">
        <v>916</v>
      </c>
      <c r="C783" s="14" t="s">
        <v>13030</v>
      </c>
      <c r="D783" s="15">
        <v>16.32</v>
      </c>
      <c r="E783" s="16" t="s">
        <v>30</v>
      </c>
    </row>
    <row r="784" spans="1:5" x14ac:dyDescent="0.25">
      <c r="A784" s="14">
        <v>64788</v>
      </c>
      <c r="B784" s="14" t="s">
        <v>917</v>
      </c>
      <c r="C784" s="14" t="s">
        <v>13031</v>
      </c>
      <c r="D784" s="15">
        <v>9.24</v>
      </c>
      <c r="E784" s="16" t="s">
        <v>30</v>
      </c>
    </row>
    <row r="785" spans="1:5" x14ac:dyDescent="0.25">
      <c r="A785" s="14">
        <v>66082</v>
      </c>
      <c r="B785" s="14" t="s">
        <v>918</v>
      </c>
      <c r="C785" s="14" t="s">
        <v>13029</v>
      </c>
      <c r="D785" s="15">
        <v>14.83</v>
      </c>
      <c r="E785" s="16" t="s">
        <v>30</v>
      </c>
    </row>
    <row r="786" spans="1:5" x14ac:dyDescent="0.25">
      <c r="A786" s="14">
        <v>23495</v>
      </c>
      <c r="B786" s="14" t="s">
        <v>919</v>
      </c>
      <c r="C786" s="14" t="s">
        <v>13031</v>
      </c>
      <c r="D786" s="15">
        <v>12</v>
      </c>
      <c r="E786" s="16" t="s">
        <v>20</v>
      </c>
    </row>
    <row r="787" spans="1:5" x14ac:dyDescent="0.25">
      <c r="A787" s="14">
        <v>67835</v>
      </c>
      <c r="B787" s="14" t="s">
        <v>920</v>
      </c>
      <c r="C787" s="14" t="s">
        <v>13030</v>
      </c>
      <c r="D787" s="15">
        <v>40.26</v>
      </c>
      <c r="E787" s="16" t="s">
        <v>30</v>
      </c>
    </row>
    <row r="788" spans="1:5" x14ac:dyDescent="0.25">
      <c r="A788" s="14">
        <v>67924</v>
      </c>
      <c r="B788" s="14" t="s">
        <v>921</v>
      </c>
      <c r="C788" s="14" t="s">
        <v>13030</v>
      </c>
      <c r="D788" s="15">
        <v>20.78</v>
      </c>
      <c r="E788" s="16" t="s">
        <v>30</v>
      </c>
    </row>
    <row r="789" spans="1:5" x14ac:dyDescent="0.25">
      <c r="A789" s="14">
        <v>67925</v>
      </c>
      <c r="B789" s="14" t="s">
        <v>922</v>
      </c>
      <c r="C789" s="14" t="s">
        <v>13030</v>
      </c>
      <c r="D789" s="15">
        <v>20.78</v>
      </c>
      <c r="E789" s="16" t="s">
        <v>30</v>
      </c>
    </row>
    <row r="790" spans="1:5" x14ac:dyDescent="0.25">
      <c r="A790" s="14">
        <v>67926</v>
      </c>
      <c r="B790" s="14" t="s">
        <v>923</v>
      </c>
      <c r="C790" s="14" t="s">
        <v>13030</v>
      </c>
      <c r="D790" s="15">
        <v>20.78</v>
      </c>
      <c r="E790" s="16" t="s">
        <v>30</v>
      </c>
    </row>
    <row r="791" spans="1:5" x14ac:dyDescent="0.25">
      <c r="A791" s="14">
        <v>67939</v>
      </c>
      <c r="B791" s="14" t="s">
        <v>924</v>
      </c>
      <c r="C791" s="14" t="s">
        <v>13030</v>
      </c>
      <c r="D791" s="15">
        <v>40.26</v>
      </c>
      <c r="E791" s="16" t="s">
        <v>30</v>
      </c>
    </row>
    <row r="792" spans="1:5" x14ac:dyDescent="0.25">
      <c r="A792" s="14">
        <v>67943</v>
      </c>
      <c r="B792" s="14" t="s">
        <v>925</v>
      </c>
      <c r="C792" s="14" t="s">
        <v>13030</v>
      </c>
      <c r="D792" s="15">
        <v>40.26</v>
      </c>
      <c r="E792" s="16" t="s">
        <v>30</v>
      </c>
    </row>
    <row r="793" spans="1:5" x14ac:dyDescent="0.25">
      <c r="A793" s="14">
        <v>68039</v>
      </c>
      <c r="B793" s="14" t="s">
        <v>926</v>
      </c>
      <c r="C793" s="14" t="s">
        <v>13030</v>
      </c>
      <c r="D793" s="15">
        <v>208.82</v>
      </c>
      <c r="E793" s="16" t="s">
        <v>30</v>
      </c>
    </row>
    <row r="794" spans="1:5" x14ac:dyDescent="0.25">
      <c r="A794" s="14">
        <v>23496</v>
      </c>
      <c r="B794" s="14" t="s">
        <v>927</v>
      </c>
      <c r="C794" s="14" t="s">
        <v>13031</v>
      </c>
      <c r="D794" s="15">
        <v>21.3</v>
      </c>
      <c r="E794" s="16" t="s">
        <v>20</v>
      </c>
    </row>
    <row r="795" spans="1:5" x14ac:dyDescent="0.25">
      <c r="A795" s="14">
        <v>68041</v>
      </c>
      <c r="B795" s="14" t="s">
        <v>928</v>
      </c>
      <c r="C795" s="14" t="s">
        <v>13030</v>
      </c>
      <c r="D795" s="15">
        <v>32.369999999999997</v>
      </c>
      <c r="E795" s="16" t="s">
        <v>30</v>
      </c>
    </row>
    <row r="796" spans="1:5" x14ac:dyDescent="0.25">
      <c r="A796" s="14">
        <v>27298</v>
      </c>
      <c r="B796" s="14" t="s">
        <v>929</v>
      </c>
      <c r="C796" s="14" t="s">
        <v>13031</v>
      </c>
      <c r="D796" s="15">
        <v>3</v>
      </c>
      <c r="E796" s="16" t="s">
        <v>20</v>
      </c>
    </row>
    <row r="797" spans="1:5" x14ac:dyDescent="0.25">
      <c r="A797" s="14">
        <v>31045</v>
      </c>
      <c r="B797" s="14" t="s">
        <v>930</v>
      </c>
      <c r="C797" s="14" t="s">
        <v>13031</v>
      </c>
      <c r="D797" s="15">
        <v>9.85</v>
      </c>
      <c r="E797" s="16" t="s">
        <v>20</v>
      </c>
    </row>
    <row r="798" spans="1:5" x14ac:dyDescent="0.25">
      <c r="A798" s="14">
        <v>68116</v>
      </c>
      <c r="B798" s="14" t="s">
        <v>931</v>
      </c>
      <c r="C798" s="14" t="s">
        <v>13030</v>
      </c>
      <c r="D798" s="15">
        <v>9.17</v>
      </c>
      <c r="E798" s="16" t="s">
        <v>30</v>
      </c>
    </row>
    <row r="799" spans="1:5" x14ac:dyDescent="0.25">
      <c r="A799" s="14">
        <v>68122</v>
      </c>
      <c r="B799" s="14" t="s">
        <v>932</v>
      </c>
      <c r="C799" s="14" t="s">
        <v>13030</v>
      </c>
      <c r="D799" s="15">
        <v>9.17</v>
      </c>
      <c r="E799" s="16" t="s">
        <v>30</v>
      </c>
    </row>
    <row r="800" spans="1:5" x14ac:dyDescent="0.25">
      <c r="A800" s="14">
        <v>69503</v>
      </c>
      <c r="B800" s="14" t="s">
        <v>933</v>
      </c>
      <c r="C800" s="14" t="s">
        <v>13030</v>
      </c>
      <c r="D800" s="15">
        <v>26.83</v>
      </c>
      <c r="E800" s="16" t="s">
        <v>30</v>
      </c>
    </row>
    <row r="801" spans="1:5" x14ac:dyDescent="0.25">
      <c r="A801" s="14">
        <v>69563</v>
      </c>
      <c r="B801" s="14" t="s">
        <v>934</v>
      </c>
      <c r="C801" s="14" t="s">
        <v>13031</v>
      </c>
      <c r="D801" s="15">
        <v>2.63</v>
      </c>
      <c r="E801" s="16" t="s">
        <v>30</v>
      </c>
    </row>
    <row r="802" spans="1:5" x14ac:dyDescent="0.25">
      <c r="A802" s="14">
        <v>69573</v>
      </c>
      <c r="B802" s="14" t="s">
        <v>935</v>
      </c>
      <c r="C802" s="14" t="s">
        <v>13030</v>
      </c>
      <c r="D802" s="15">
        <v>41.38</v>
      </c>
      <c r="E802" s="16" t="s">
        <v>30</v>
      </c>
    </row>
    <row r="803" spans="1:5" x14ac:dyDescent="0.25">
      <c r="A803" s="14">
        <v>69680</v>
      </c>
      <c r="B803" s="14" t="s">
        <v>936</v>
      </c>
      <c r="C803" s="14" t="s">
        <v>13031</v>
      </c>
      <c r="D803" s="15">
        <v>28.42</v>
      </c>
      <c r="E803" s="14" t="s">
        <v>30</v>
      </c>
    </row>
    <row r="804" spans="1:5" x14ac:dyDescent="0.25">
      <c r="A804" s="14">
        <v>69692</v>
      </c>
      <c r="B804" s="14" t="s">
        <v>937</v>
      </c>
      <c r="C804" s="14" t="s">
        <v>13031</v>
      </c>
      <c r="D804" s="15">
        <v>2.5299999999999998</v>
      </c>
      <c r="E804" s="16" t="s">
        <v>30</v>
      </c>
    </row>
    <row r="805" spans="1:5" x14ac:dyDescent="0.25">
      <c r="A805" s="14">
        <v>35168</v>
      </c>
      <c r="B805" s="14" t="s">
        <v>938</v>
      </c>
      <c r="C805" s="14" t="s">
        <v>13031</v>
      </c>
      <c r="D805" s="15">
        <v>6.4</v>
      </c>
      <c r="E805" s="16" t="s">
        <v>20</v>
      </c>
    </row>
    <row r="806" spans="1:5" x14ac:dyDescent="0.25">
      <c r="A806" s="14">
        <v>35316</v>
      </c>
      <c r="B806" s="14" t="s">
        <v>939</v>
      </c>
      <c r="C806" s="14" t="s">
        <v>13031</v>
      </c>
      <c r="D806" s="15">
        <v>7.08</v>
      </c>
      <c r="E806" s="16" t="s">
        <v>20</v>
      </c>
    </row>
    <row r="807" spans="1:5" x14ac:dyDescent="0.25">
      <c r="A807" s="14">
        <v>35500</v>
      </c>
      <c r="B807" s="14" t="s">
        <v>940</v>
      </c>
      <c r="C807" s="14" t="s">
        <v>13031</v>
      </c>
      <c r="D807" s="15">
        <v>1.7</v>
      </c>
      <c r="E807" s="16" t="s">
        <v>20</v>
      </c>
    </row>
    <row r="808" spans="1:5" x14ac:dyDescent="0.25">
      <c r="A808" s="14">
        <v>70326</v>
      </c>
      <c r="B808" s="14" t="s">
        <v>941</v>
      </c>
      <c r="C808" s="14" t="s">
        <v>13029</v>
      </c>
      <c r="D808" s="15">
        <v>12.63</v>
      </c>
      <c r="E808" s="16" t="s">
        <v>30</v>
      </c>
    </row>
    <row r="809" spans="1:5" x14ac:dyDescent="0.25">
      <c r="A809" s="14">
        <v>70461</v>
      </c>
      <c r="B809" s="14" t="s">
        <v>942</v>
      </c>
      <c r="C809" s="14" t="s">
        <v>13030</v>
      </c>
      <c r="D809" s="15">
        <v>79.849999999999994</v>
      </c>
      <c r="E809" s="16" t="s">
        <v>30</v>
      </c>
    </row>
    <row r="810" spans="1:5" x14ac:dyDescent="0.25">
      <c r="A810" s="14">
        <v>70484</v>
      </c>
      <c r="B810" s="14" t="s">
        <v>943</v>
      </c>
      <c r="C810" s="14" t="s">
        <v>13030</v>
      </c>
      <c r="D810" s="15">
        <v>499.2</v>
      </c>
      <c r="E810" s="16" t="s">
        <v>30</v>
      </c>
    </row>
    <row r="811" spans="1:5" x14ac:dyDescent="0.25">
      <c r="A811" s="14">
        <v>70701</v>
      </c>
      <c r="B811" s="14" t="s">
        <v>944</v>
      </c>
      <c r="C811" s="14" t="s">
        <v>13030</v>
      </c>
      <c r="D811" s="15">
        <v>100</v>
      </c>
      <c r="E811" s="16" t="s">
        <v>30</v>
      </c>
    </row>
    <row r="812" spans="1:5" x14ac:dyDescent="0.25">
      <c r="A812" s="14">
        <v>70767</v>
      </c>
      <c r="B812" s="14" t="s">
        <v>945</v>
      </c>
      <c r="C812" s="14" t="s">
        <v>13030</v>
      </c>
      <c r="D812" s="15">
        <v>68.040000000000006</v>
      </c>
      <c r="E812" s="16" t="s">
        <v>30</v>
      </c>
    </row>
    <row r="813" spans="1:5" x14ac:dyDescent="0.25">
      <c r="A813" s="14">
        <v>71252</v>
      </c>
      <c r="B813" s="14" t="s">
        <v>946</v>
      </c>
      <c r="C813" s="14" t="s">
        <v>13031</v>
      </c>
      <c r="D813" s="15">
        <v>1.86</v>
      </c>
      <c r="E813" s="16" t="s">
        <v>30</v>
      </c>
    </row>
    <row r="814" spans="1:5" x14ac:dyDescent="0.25">
      <c r="A814" s="14">
        <v>71254</v>
      </c>
      <c r="B814" s="14" t="s">
        <v>947</v>
      </c>
      <c r="C814" s="14" t="s">
        <v>13031</v>
      </c>
      <c r="D814" s="15">
        <v>1.86</v>
      </c>
      <c r="E814" s="16" t="s">
        <v>30</v>
      </c>
    </row>
    <row r="815" spans="1:5" x14ac:dyDescent="0.25">
      <c r="A815" s="14">
        <v>71460</v>
      </c>
      <c r="B815" s="14" t="s">
        <v>948</v>
      </c>
      <c r="C815" s="14" t="s">
        <v>13030</v>
      </c>
      <c r="D815" s="15">
        <v>36.53</v>
      </c>
      <c r="E815" s="16" t="s">
        <v>30</v>
      </c>
    </row>
    <row r="816" spans="1:5" x14ac:dyDescent="0.25">
      <c r="A816" s="14">
        <v>71549</v>
      </c>
      <c r="B816" s="14" t="s">
        <v>949</v>
      </c>
      <c r="C816" s="14" t="s">
        <v>13029</v>
      </c>
      <c r="D816" s="15">
        <v>29.6</v>
      </c>
      <c r="E816" s="16" t="s">
        <v>30</v>
      </c>
    </row>
    <row r="817" spans="1:5" x14ac:dyDescent="0.25">
      <c r="A817" s="14">
        <v>71860</v>
      </c>
      <c r="B817" s="14" t="s">
        <v>950</v>
      </c>
      <c r="C817" s="14" t="s">
        <v>13031</v>
      </c>
      <c r="D817" s="15">
        <v>7.49</v>
      </c>
      <c r="E817" s="16" t="s">
        <v>30</v>
      </c>
    </row>
    <row r="818" spans="1:5" x14ac:dyDescent="0.25">
      <c r="A818" s="14">
        <v>71869</v>
      </c>
      <c r="B818" s="14" t="s">
        <v>951</v>
      </c>
      <c r="C818" s="14" t="s">
        <v>13031</v>
      </c>
      <c r="D818" s="15">
        <v>19.02</v>
      </c>
      <c r="E818" s="16" t="s">
        <v>30</v>
      </c>
    </row>
    <row r="819" spans="1:5" x14ac:dyDescent="0.25">
      <c r="A819" s="14">
        <v>71902</v>
      </c>
      <c r="B819" s="14" t="s">
        <v>952</v>
      </c>
      <c r="C819" s="14" t="s">
        <v>13031</v>
      </c>
      <c r="D819" s="15">
        <v>19.02</v>
      </c>
      <c r="E819" s="16" t="s">
        <v>30</v>
      </c>
    </row>
    <row r="820" spans="1:5" x14ac:dyDescent="0.25">
      <c r="A820" s="14">
        <v>74174</v>
      </c>
      <c r="B820" s="14" t="s">
        <v>953</v>
      </c>
      <c r="C820" s="14" t="s">
        <v>13031</v>
      </c>
      <c r="D820" s="15">
        <v>2.5299999999999998</v>
      </c>
      <c r="E820" s="16" t="s">
        <v>30</v>
      </c>
    </row>
    <row r="821" spans="1:5" x14ac:dyDescent="0.25">
      <c r="A821" s="14">
        <v>74750</v>
      </c>
      <c r="B821" s="14" t="s">
        <v>954</v>
      </c>
      <c r="C821" s="14" t="s">
        <v>13029</v>
      </c>
      <c r="D821" s="15">
        <v>6.3</v>
      </c>
      <c r="E821" s="16" t="s">
        <v>30</v>
      </c>
    </row>
    <row r="822" spans="1:5" x14ac:dyDescent="0.25">
      <c r="A822" s="14">
        <v>75843</v>
      </c>
      <c r="B822" s="14" t="s">
        <v>955</v>
      </c>
      <c r="C822" s="14" t="s">
        <v>13029</v>
      </c>
      <c r="D822" s="15">
        <v>19.170000000000002</v>
      </c>
      <c r="E822" s="16" t="s">
        <v>30</v>
      </c>
    </row>
    <row r="823" spans="1:5" x14ac:dyDescent="0.25">
      <c r="A823" s="14">
        <v>75911</v>
      </c>
      <c r="B823" s="14" t="s">
        <v>956</v>
      </c>
      <c r="C823" s="14" t="s">
        <v>13031</v>
      </c>
      <c r="D823" s="15">
        <v>45.3</v>
      </c>
      <c r="E823" s="16" t="s">
        <v>30</v>
      </c>
    </row>
    <row r="824" spans="1:5" x14ac:dyDescent="0.25">
      <c r="A824" s="14">
        <v>76149</v>
      </c>
      <c r="B824" s="14" t="s">
        <v>957</v>
      </c>
      <c r="C824" s="14" t="s">
        <v>13030</v>
      </c>
      <c r="D824" s="15">
        <v>32.22</v>
      </c>
      <c r="E824" s="16" t="s">
        <v>30</v>
      </c>
    </row>
    <row r="825" spans="1:5" x14ac:dyDescent="0.25">
      <c r="A825" s="14">
        <v>76155</v>
      </c>
      <c r="B825" s="14" t="s">
        <v>958</v>
      </c>
      <c r="C825" s="14" t="s">
        <v>13030</v>
      </c>
      <c r="D825" s="15">
        <v>32.22</v>
      </c>
      <c r="E825" s="16" t="s">
        <v>30</v>
      </c>
    </row>
    <row r="826" spans="1:5" x14ac:dyDescent="0.25">
      <c r="A826" s="14">
        <v>76156</v>
      </c>
      <c r="B826" s="14" t="s">
        <v>959</v>
      </c>
      <c r="C826" s="14" t="s">
        <v>13030</v>
      </c>
      <c r="D826" s="15">
        <v>63.75</v>
      </c>
      <c r="E826" s="16" t="s">
        <v>30</v>
      </c>
    </row>
    <row r="827" spans="1:5" x14ac:dyDescent="0.25">
      <c r="A827" s="14">
        <v>76902</v>
      </c>
      <c r="B827" s="14" t="s">
        <v>960</v>
      </c>
      <c r="C827" s="14" t="s">
        <v>13029</v>
      </c>
      <c r="D827" s="15">
        <v>7.61</v>
      </c>
      <c r="E827" s="16" t="s">
        <v>30</v>
      </c>
    </row>
    <row r="828" spans="1:5" x14ac:dyDescent="0.25">
      <c r="A828" s="14">
        <v>76905</v>
      </c>
      <c r="B828" s="14" t="s">
        <v>961</v>
      </c>
      <c r="C828" s="14" t="s">
        <v>13029</v>
      </c>
      <c r="D828" s="15">
        <v>7.61</v>
      </c>
      <c r="E828" s="16" t="s">
        <v>30</v>
      </c>
    </row>
    <row r="829" spans="1:5" x14ac:dyDescent="0.25">
      <c r="A829" s="14">
        <v>76906</v>
      </c>
      <c r="B829" s="14" t="s">
        <v>962</v>
      </c>
      <c r="C829" s="14" t="s">
        <v>13029</v>
      </c>
      <c r="D829" s="15">
        <v>2.76</v>
      </c>
      <c r="E829" s="16" t="s">
        <v>30</v>
      </c>
    </row>
    <row r="830" spans="1:5" x14ac:dyDescent="0.25">
      <c r="A830" s="14">
        <v>76908</v>
      </c>
      <c r="B830" s="14" t="s">
        <v>963</v>
      </c>
      <c r="C830" s="14" t="s">
        <v>13029</v>
      </c>
      <c r="D830" s="15">
        <v>10.23</v>
      </c>
      <c r="E830" s="16" t="s">
        <v>30</v>
      </c>
    </row>
    <row r="831" spans="1:5" x14ac:dyDescent="0.25">
      <c r="A831" s="14">
        <v>76909</v>
      </c>
      <c r="B831" s="14" t="s">
        <v>964</v>
      </c>
      <c r="C831" s="14" t="s">
        <v>13029</v>
      </c>
      <c r="D831" s="15">
        <v>16.47</v>
      </c>
      <c r="E831" s="16" t="s">
        <v>30</v>
      </c>
    </row>
    <row r="832" spans="1:5" x14ac:dyDescent="0.25">
      <c r="A832" s="14">
        <v>76910</v>
      </c>
      <c r="B832" s="14" t="s">
        <v>965</v>
      </c>
      <c r="C832" s="14" t="s">
        <v>13029</v>
      </c>
      <c r="D832" s="15">
        <v>4.07</v>
      </c>
      <c r="E832" s="16" t="s">
        <v>30</v>
      </c>
    </row>
    <row r="833" spans="1:5" x14ac:dyDescent="0.25">
      <c r="A833" s="14">
        <v>76911</v>
      </c>
      <c r="B833" s="14" t="s">
        <v>966</v>
      </c>
      <c r="C833" s="14" t="s">
        <v>13029</v>
      </c>
      <c r="D833" s="15">
        <v>5.38</v>
      </c>
      <c r="E833" s="16" t="s">
        <v>30</v>
      </c>
    </row>
    <row r="834" spans="1:5" x14ac:dyDescent="0.25">
      <c r="A834" s="14">
        <v>76912</v>
      </c>
      <c r="B834" s="14" t="s">
        <v>967</v>
      </c>
      <c r="C834" s="14" t="s">
        <v>13029</v>
      </c>
      <c r="D834" s="15">
        <v>8.8000000000000007</v>
      </c>
      <c r="E834" s="16" t="s">
        <v>30</v>
      </c>
    </row>
    <row r="835" spans="1:5" x14ac:dyDescent="0.25">
      <c r="A835" s="14">
        <v>78277</v>
      </c>
      <c r="B835" s="14" t="s">
        <v>968</v>
      </c>
      <c r="C835" s="14" t="s">
        <v>13030</v>
      </c>
      <c r="D835" s="15">
        <v>17.940000000000001</v>
      </c>
      <c r="E835" s="14" t="s">
        <v>30</v>
      </c>
    </row>
    <row r="836" spans="1:5" x14ac:dyDescent="0.25">
      <c r="A836" s="14">
        <v>78718</v>
      </c>
      <c r="B836" s="14" t="s">
        <v>969</v>
      </c>
      <c r="C836" s="14" t="s">
        <v>13030</v>
      </c>
      <c r="D836" s="15">
        <v>41.63</v>
      </c>
      <c r="E836" s="16" t="s">
        <v>30</v>
      </c>
    </row>
    <row r="837" spans="1:5" x14ac:dyDescent="0.25">
      <c r="A837" s="14">
        <v>78738</v>
      </c>
      <c r="B837" s="14" t="s">
        <v>970</v>
      </c>
      <c r="C837" s="14" t="s">
        <v>13029</v>
      </c>
      <c r="D837" s="15">
        <v>14.73</v>
      </c>
      <c r="E837" s="16" t="s">
        <v>30</v>
      </c>
    </row>
    <row r="838" spans="1:5" x14ac:dyDescent="0.25">
      <c r="A838" s="14">
        <v>78767</v>
      </c>
      <c r="B838" s="14" t="s">
        <v>971</v>
      </c>
      <c r="C838" s="14" t="s">
        <v>13033</v>
      </c>
      <c r="D838" s="15">
        <v>9.67</v>
      </c>
      <c r="E838" s="16" t="s">
        <v>30</v>
      </c>
    </row>
    <row r="839" spans="1:5" x14ac:dyDescent="0.25">
      <c r="A839" s="14">
        <v>79506</v>
      </c>
      <c r="B839" s="14" t="s">
        <v>972</v>
      </c>
      <c r="C839" s="14" t="s">
        <v>13030</v>
      </c>
      <c r="D839" s="15">
        <v>35.96</v>
      </c>
      <c r="E839" s="16" t="s">
        <v>30</v>
      </c>
    </row>
    <row r="840" spans="1:5" x14ac:dyDescent="0.25">
      <c r="A840" s="14">
        <v>80315</v>
      </c>
      <c r="B840" s="14" t="s">
        <v>973</v>
      </c>
      <c r="C840" s="14" t="s">
        <v>13029</v>
      </c>
      <c r="D840" s="15">
        <v>4.54</v>
      </c>
      <c r="E840" s="16" t="s">
        <v>30</v>
      </c>
    </row>
    <row r="841" spans="1:5" x14ac:dyDescent="0.25">
      <c r="A841" s="14">
        <v>35501</v>
      </c>
      <c r="B841" s="14" t="s">
        <v>974</v>
      </c>
      <c r="C841" s="14" t="s">
        <v>13031</v>
      </c>
      <c r="D841" s="15">
        <v>2.1</v>
      </c>
      <c r="E841" s="16" t="s">
        <v>20</v>
      </c>
    </row>
    <row r="842" spans="1:5" x14ac:dyDescent="0.25">
      <c r="A842" s="14">
        <v>37578</v>
      </c>
      <c r="B842" s="14" t="s">
        <v>975</v>
      </c>
      <c r="C842" s="14" t="s">
        <v>13031</v>
      </c>
      <c r="D842" s="15">
        <v>4.21</v>
      </c>
      <c r="E842" s="16" t="s">
        <v>20</v>
      </c>
    </row>
    <row r="843" spans="1:5" x14ac:dyDescent="0.25">
      <c r="A843" s="14">
        <v>37579</v>
      </c>
      <c r="B843" s="14" t="s">
        <v>976</v>
      </c>
      <c r="C843" s="14" t="s">
        <v>13031</v>
      </c>
      <c r="D843" s="15">
        <v>4.28</v>
      </c>
      <c r="E843" s="16" t="s">
        <v>20</v>
      </c>
    </row>
    <row r="844" spans="1:5" x14ac:dyDescent="0.25">
      <c r="A844" s="14">
        <v>80441</v>
      </c>
      <c r="B844" s="14" t="s">
        <v>977</v>
      </c>
      <c r="C844" s="14" t="s">
        <v>13029</v>
      </c>
      <c r="D844" s="15">
        <v>7.89</v>
      </c>
      <c r="E844" s="16" t="s">
        <v>30</v>
      </c>
    </row>
    <row r="845" spans="1:5" x14ac:dyDescent="0.25">
      <c r="A845" s="14">
        <v>38295</v>
      </c>
      <c r="B845" s="14" t="s">
        <v>978</v>
      </c>
      <c r="C845" s="14" t="s">
        <v>13031</v>
      </c>
      <c r="D845" s="15">
        <v>27.3</v>
      </c>
      <c r="E845" s="16" t="s">
        <v>20</v>
      </c>
    </row>
    <row r="846" spans="1:5" x14ac:dyDescent="0.25">
      <c r="A846" s="14">
        <v>80509</v>
      </c>
      <c r="B846" s="14" t="s">
        <v>979</v>
      </c>
      <c r="C846" s="14" t="s">
        <v>13031</v>
      </c>
      <c r="D846" s="15">
        <v>8.2100000000000009</v>
      </c>
      <c r="E846" s="16" t="s">
        <v>30</v>
      </c>
    </row>
    <row r="847" spans="1:5" x14ac:dyDescent="0.25">
      <c r="A847" s="14">
        <v>80510</v>
      </c>
      <c r="B847" s="14" t="s">
        <v>980</v>
      </c>
      <c r="C847" s="14" t="s">
        <v>13031</v>
      </c>
      <c r="D847" s="15">
        <v>8.2100000000000009</v>
      </c>
      <c r="E847" s="16" t="s">
        <v>30</v>
      </c>
    </row>
    <row r="848" spans="1:5" x14ac:dyDescent="0.25">
      <c r="A848" s="14">
        <v>80511</v>
      </c>
      <c r="B848" s="14" t="s">
        <v>981</v>
      </c>
      <c r="C848" s="14" t="s">
        <v>13031</v>
      </c>
      <c r="D848" s="15">
        <v>7.46</v>
      </c>
      <c r="E848" s="16" t="s">
        <v>30</v>
      </c>
    </row>
    <row r="849" spans="1:5" x14ac:dyDescent="0.25">
      <c r="A849" s="14">
        <v>80512</v>
      </c>
      <c r="B849" s="14" t="s">
        <v>982</v>
      </c>
      <c r="C849" s="14" t="s">
        <v>13031</v>
      </c>
      <c r="D849" s="15">
        <v>8.2100000000000009</v>
      </c>
      <c r="E849" s="16" t="s">
        <v>30</v>
      </c>
    </row>
    <row r="850" spans="1:5" x14ac:dyDescent="0.25">
      <c r="A850" s="14">
        <v>80996</v>
      </c>
      <c r="B850" s="14" t="s">
        <v>983</v>
      </c>
      <c r="C850" s="14" t="s">
        <v>13030</v>
      </c>
      <c r="D850" s="15">
        <v>43.14</v>
      </c>
      <c r="E850" s="14" t="s">
        <v>30</v>
      </c>
    </row>
    <row r="851" spans="1:5" x14ac:dyDescent="0.25">
      <c r="A851" s="14">
        <v>81001</v>
      </c>
      <c r="B851" s="14" t="s">
        <v>984</v>
      </c>
      <c r="C851" s="14" t="s">
        <v>13030</v>
      </c>
      <c r="D851" s="15">
        <v>25.86</v>
      </c>
      <c r="E851" s="14" t="s">
        <v>30</v>
      </c>
    </row>
    <row r="852" spans="1:5" x14ac:dyDescent="0.25">
      <c r="A852" s="14">
        <v>82499</v>
      </c>
      <c r="B852" s="14" t="s">
        <v>985</v>
      </c>
      <c r="C852" s="14" t="s">
        <v>13029</v>
      </c>
      <c r="D852" s="15">
        <v>16</v>
      </c>
      <c r="E852" s="16" t="s">
        <v>30</v>
      </c>
    </row>
    <row r="853" spans="1:5" x14ac:dyDescent="0.25">
      <c r="A853" s="14">
        <v>82500</v>
      </c>
      <c r="B853" s="14" t="s">
        <v>986</v>
      </c>
      <c r="C853" s="14" t="s">
        <v>13029</v>
      </c>
      <c r="D853" s="15">
        <v>16</v>
      </c>
      <c r="E853" s="16" t="s">
        <v>30</v>
      </c>
    </row>
    <row r="854" spans="1:5" x14ac:dyDescent="0.25">
      <c r="A854" s="14">
        <v>82501</v>
      </c>
      <c r="B854" s="14" t="s">
        <v>987</v>
      </c>
      <c r="C854" s="14" t="s">
        <v>13029</v>
      </c>
      <c r="D854" s="15">
        <v>16</v>
      </c>
      <c r="E854" s="16" t="s">
        <v>30</v>
      </c>
    </row>
    <row r="855" spans="1:5" x14ac:dyDescent="0.25">
      <c r="A855" s="14">
        <v>82572</v>
      </c>
      <c r="B855" s="14" t="s">
        <v>988</v>
      </c>
      <c r="C855" s="14" t="s">
        <v>13029</v>
      </c>
      <c r="D855" s="15">
        <v>25</v>
      </c>
      <c r="E855" s="16" t="s">
        <v>30</v>
      </c>
    </row>
    <row r="856" spans="1:5" x14ac:dyDescent="0.25">
      <c r="A856" s="14">
        <v>76762</v>
      </c>
      <c r="B856" s="14" t="s">
        <v>989</v>
      </c>
      <c r="C856" s="14" t="s">
        <v>13030</v>
      </c>
      <c r="D856" s="15">
        <v>48.78</v>
      </c>
      <c r="E856" s="16" t="s">
        <v>20</v>
      </c>
    </row>
    <row r="857" spans="1:5" x14ac:dyDescent="0.25">
      <c r="A857" s="14">
        <v>82574</v>
      </c>
      <c r="B857" s="14" t="s">
        <v>990</v>
      </c>
      <c r="C857" s="14" t="s">
        <v>13029</v>
      </c>
      <c r="D857" s="15">
        <v>25</v>
      </c>
      <c r="E857" s="16" t="s">
        <v>30</v>
      </c>
    </row>
    <row r="858" spans="1:5" x14ac:dyDescent="0.25">
      <c r="A858" s="14">
        <v>82823</v>
      </c>
      <c r="B858" s="14" t="s">
        <v>991</v>
      </c>
      <c r="C858" s="14" t="s">
        <v>13031</v>
      </c>
      <c r="D858" s="15">
        <v>11.44</v>
      </c>
      <c r="E858" s="16" t="s">
        <v>30</v>
      </c>
    </row>
    <row r="859" spans="1:5" x14ac:dyDescent="0.25">
      <c r="A859" s="14">
        <v>76803</v>
      </c>
      <c r="B859" s="14" t="s">
        <v>992</v>
      </c>
      <c r="C859" s="14" t="s">
        <v>13030</v>
      </c>
      <c r="D859" s="15">
        <v>48.78</v>
      </c>
      <c r="E859" s="16" t="s">
        <v>20</v>
      </c>
    </row>
    <row r="860" spans="1:5" x14ac:dyDescent="0.25">
      <c r="A860" s="14">
        <v>82826</v>
      </c>
      <c r="B860" s="14" t="s">
        <v>993</v>
      </c>
      <c r="C860" s="14" t="s">
        <v>13031</v>
      </c>
      <c r="D860" s="15">
        <v>11.44</v>
      </c>
      <c r="E860" s="16" t="s">
        <v>30</v>
      </c>
    </row>
    <row r="861" spans="1:5" x14ac:dyDescent="0.25">
      <c r="A861" s="14">
        <v>82827</v>
      </c>
      <c r="B861" s="14" t="s">
        <v>994</v>
      </c>
      <c r="C861" s="14" t="s">
        <v>13031</v>
      </c>
      <c r="D861" s="15">
        <v>11.44</v>
      </c>
      <c r="E861" s="16" t="s">
        <v>30</v>
      </c>
    </row>
    <row r="862" spans="1:5" x14ac:dyDescent="0.25">
      <c r="A862" s="14">
        <v>85184</v>
      </c>
      <c r="B862" s="14" t="s">
        <v>995</v>
      </c>
      <c r="C862" s="14" t="s">
        <v>13030</v>
      </c>
      <c r="D862" s="15">
        <v>52.71</v>
      </c>
      <c r="E862" s="16" t="s">
        <v>30</v>
      </c>
    </row>
    <row r="863" spans="1:5" x14ac:dyDescent="0.25">
      <c r="A863" s="14">
        <v>86451</v>
      </c>
      <c r="B863" s="14" t="s">
        <v>996</v>
      </c>
      <c r="C863" s="14" t="s">
        <v>13030</v>
      </c>
      <c r="D863" s="15">
        <v>21.26</v>
      </c>
      <c r="E863" s="16" t="s">
        <v>30</v>
      </c>
    </row>
    <row r="864" spans="1:5" x14ac:dyDescent="0.25">
      <c r="A864" s="14">
        <v>86452</v>
      </c>
      <c r="B864" s="14" t="s">
        <v>997</v>
      </c>
      <c r="C864" s="14" t="s">
        <v>13030</v>
      </c>
      <c r="D864" s="15">
        <v>40.24</v>
      </c>
      <c r="E864" s="16" t="s">
        <v>30</v>
      </c>
    </row>
    <row r="865" spans="1:5" x14ac:dyDescent="0.25">
      <c r="A865" s="14">
        <v>86453</v>
      </c>
      <c r="B865" s="14" t="s">
        <v>998</v>
      </c>
      <c r="C865" s="14" t="s">
        <v>13030</v>
      </c>
      <c r="D865" s="15">
        <v>50.35</v>
      </c>
      <c r="E865" s="16" t="s">
        <v>30</v>
      </c>
    </row>
    <row r="866" spans="1:5" x14ac:dyDescent="0.25">
      <c r="A866" s="14">
        <v>86707</v>
      </c>
      <c r="B866" s="14" t="s">
        <v>999</v>
      </c>
      <c r="C866" s="14" t="s">
        <v>13030</v>
      </c>
      <c r="D866" s="15">
        <v>17.27</v>
      </c>
      <c r="E866" s="16" t="s">
        <v>30</v>
      </c>
    </row>
    <row r="867" spans="1:5" x14ac:dyDescent="0.25">
      <c r="A867" s="14">
        <v>86963</v>
      </c>
      <c r="B867" s="14" t="s">
        <v>1000</v>
      </c>
      <c r="C867" s="14" t="s">
        <v>13029</v>
      </c>
      <c r="D867" s="15">
        <v>9.44</v>
      </c>
      <c r="E867" s="16" t="s">
        <v>30</v>
      </c>
    </row>
    <row r="868" spans="1:5" x14ac:dyDescent="0.25">
      <c r="A868" s="14">
        <v>86964</v>
      </c>
      <c r="B868" s="14" t="s">
        <v>1001</v>
      </c>
      <c r="C868" s="14" t="s">
        <v>13029</v>
      </c>
      <c r="D868" s="15">
        <v>13.9</v>
      </c>
      <c r="E868" s="16" t="s">
        <v>30</v>
      </c>
    </row>
    <row r="869" spans="1:5" x14ac:dyDescent="0.25">
      <c r="A869" s="14">
        <v>87349</v>
      </c>
      <c r="B869" s="14" t="s">
        <v>1002</v>
      </c>
      <c r="C869" s="14" t="s">
        <v>13029</v>
      </c>
      <c r="D869" s="15">
        <v>7.25</v>
      </c>
      <c r="E869" s="16" t="s">
        <v>30</v>
      </c>
    </row>
    <row r="870" spans="1:5" x14ac:dyDescent="0.25">
      <c r="A870" s="14">
        <v>87350</v>
      </c>
      <c r="B870" s="14" t="s">
        <v>1003</v>
      </c>
      <c r="C870" s="14" t="s">
        <v>13029</v>
      </c>
      <c r="D870" s="15">
        <v>13.74</v>
      </c>
      <c r="E870" s="16" t="s">
        <v>30</v>
      </c>
    </row>
    <row r="871" spans="1:5" x14ac:dyDescent="0.25">
      <c r="A871" s="14">
        <v>87359</v>
      </c>
      <c r="B871" s="14" t="s">
        <v>1004</v>
      </c>
      <c r="C871" s="14" t="s">
        <v>13029</v>
      </c>
      <c r="D871" s="15">
        <v>11.49</v>
      </c>
      <c r="E871" s="16" t="s">
        <v>30</v>
      </c>
    </row>
    <row r="872" spans="1:5" x14ac:dyDescent="0.25">
      <c r="A872" s="14">
        <v>87553</v>
      </c>
      <c r="B872" s="14" t="s">
        <v>1005</v>
      </c>
      <c r="C872" s="14" t="s">
        <v>13030</v>
      </c>
      <c r="D872" s="15">
        <v>179.55</v>
      </c>
      <c r="E872" s="16" t="s">
        <v>30</v>
      </c>
    </row>
    <row r="873" spans="1:5" x14ac:dyDescent="0.25">
      <c r="A873" s="14">
        <v>87693</v>
      </c>
      <c r="B873" s="14" t="s">
        <v>1006</v>
      </c>
      <c r="C873" s="14" t="s">
        <v>13030</v>
      </c>
      <c r="D873" s="15">
        <v>44.91</v>
      </c>
      <c r="E873" s="16" t="s">
        <v>30</v>
      </c>
    </row>
    <row r="874" spans="1:5" x14ac:dyDescent="0.25">
      <c r="A874" s="14">
        <v>87771</v>
      </c>
      <c r="B874" s="14" t="s">
        <v>1007</v>
      </c>
      <c r="C874" s="14" t="s">
        <v>13030</v>
      </c>
      <c r="D874" s="15">
        <v>110.37</v>
      </c>
      <c r="E874" s="16" t="s">
        <v>30</v>
      </c>
    </row>
    <row r="875" spans="1:5" x14ac:dyDescent="0.25">
      <c r="A875" s="14">
        <v>87970</v>
      </c>
      <c r="B875" s="14" t="s">
        <v>1008</v>
      </c>
      <c r="C875" s="14" t="s">
        <v>13030</v>
      </c>
      <c r="D875" s="15">
        <v>46.02</v>
      </c>
      <c r="E875" s="16" t="s">
        <v>30</v>
      </c>
    </row>
    <row r="876" spans="1:5" x14ac:dyDescent="0.25">
      <c r="A876" s="14">
        <v>88284</v>
      </c>
      <c r="B876" s="14" t="s">
        <v>1009</v>
      </c>
      <c r="C876" s="14" t="s">
        <v>13031</v>
      </c>
      <c r="D876" s="15">
        <v>35.340000000000003</v>
      </c>
      <c r="E876" s="16" t="s">
        <v>30</v>
      </c>
    </row>
    <row r="877" spans="1:5" x14ac:dyDescent="0.25">
      <c r="A877" s="14">
        <v>88382</v>
      </c>
      <c r="B877" s="14" t="s">
        <v>1010</v>
      </c>
      <c r="C877" s="14" t="s">
        <v>13029</v>
      </c>
      <c r="D877" s="15">
        <v>14.5</v>
      </c>
      <c r="E877" s="14" t="s">
        <v>30</v>
      </c>
    </row>
    <row r="878" spans="1:5" x14ac:dyDescent="0.25">
      <c r="A878" s="14">
        <v>89082</v>
      </c>
      <c r="B878" s="14" t="s">
        <v>1011</v>
      </c>
      <c r="C878" s="14" t="s">
        <v>13030</v>
      </c>
      <c r="D878" s="15">
        <v>46.01</v>
      </c>
      <c r="E878" s="16" t="s">
        <v>30</v>
      </c>
    </row>
    <row r="879" spans="1:5" x14ac:dyDescent="0.25">
      <c r="A879" s="14">
        <v>91267</v>
      </c>
      <c r="B879" s="14" t="s">
        <v>1012</v>
      </c>
      <c r="C879" s="14" t="s">
        <v>13029</v>
      </c>
      <c r="D879" s="15">
        <v>24.11</v>
      </c>
      <c r="E879" s="14" t="s">
        <v>30</v>
      </c>
    </row>
    <row r="880" spans="1:5" x14ac:dyDescent="0.25">
      <c r="A880" s="14">
        <v>78608</v>
      </c>
      <c r="B880" s="14" t="s">
        <v>1013</v>
      </c>
      <c r="C880" s="14" t="s">
        <v>13030</v>
      </c>
      <c r="D880" s="15">
        <v>12.07</v>
      </c>
      <c r="E880" s="16" t="s">
        <v>20</v>
      </c>
    </row>
    <row r="881" spans="1:5" x14ac:dyDescent="0.25">
      <c r="A881" s="14">
        <v>91598</v>
      </c>
      <c r="B881" s="14" t="s">
        <v>1014</v>
      </c>
      <c r="C881" s="14" t="s">
        <v>13030</v>
      </c>
      <c r="D881" s="15">
        <v>5</v>
      </c>
      <c r="E881" s="16" t="s">
        <v>30</v>
      </c>
    </row>
    <row r="882" spans="1:5" x14ac:dyDescent="0.25">
      <c r="A882" s="14">
        <v>62649</v>
      </c>
      <c r="B882" s="14" t="s">
        <v>32</v>
      </c>
      <c r="C882" s="14" t="s">
        <v>13030</v>
      </c>
      <c r="D882" s="15">
        <v>29.81</v>
      </c>
      <c r="E882" s="16" t="s">
        <v>20</v>
      </c>
    </row>
    <row r="883" spans="1:5" x14ac:dyDescent="0.25">
      <c r="A883" s="14">
        <v>91914</v>
      </c>
      <c r="B883" s="14" t="s">
        <v>1015</v>
      </c>
      <c r="C883" s="14" t="s">
        <v>13030</v>
      </c>
      <c r="D883" s="15">
        <v>26.83</v>
      </c>
      <c r="E883" s="16" t="s">
        <v>30</v>
      </c>
    </row>
    <row r="884" spans="1:5" x14ac:dyDescent="0.25">
      <c r="A884" s="14">
        <v>62650</v>
      </c>
      <c r="B884" s="14" t="s">
        <v>1016</v>
      </c>
      <c r="C884" s="14" t="s">
        <v>13030</v>
      </c>
      <c r="D884" s="15">
        <v>29.54</v>
      </c>
      <c r="E884" s="16" t="s">
        <v>20</v>
      </c>
    </row>
    <row r="885" spans="1:5" x14ac:dyDescent="0.25">
      <c r="A885" s="14">
        <v>92367</v>
      </c>
      <c r="B885" s="14" t="s">
        <v>1017</v>
      </c>
      <c r="C885" s="14" t="s">
        <v>13030</v>
      </c>
      <c r="D885" s="15">
        <v>34.49</v>
      </c>
      <c r="E885" s="16" t="s">
        <v>30</v>
      </c>
    </row>
    <row r="886" spans="1:5" x14ac:dyDescent="0.25">
      <c r="A886" s="14">
        <v>95397</v>
      </c>
      <c r="B886" s="14" t="s">
        <v>1018</v>
      </c>
      <c r="C886" s="14" t="s">
        <v>13030</v>
      </c>
      <c r="D886" s="15">
        <v>47.4</v>
      </c>
      <c r="E886" s="16" t="s">
        <v>30</v>
      </c>
    </row>
    <row r="887" spans="1:5" x14ac:dyDescent="0.25">
      <c r="A887" s="14">
        <v>95526</v>
      </c>
      <c r="B887" s="14" t="s">
        <v>1019</v>
      </c>
      <c r="C887" s="14" t="s">
        <v>13029</v>
      </c>
      <c r="D887" s="15">
        <v>34.58</v>
      </c>
      <c r="E887" s="14" t="s">
        <v>30</v>
      </c>
    </row>
    <row r="888" spans="1:5" x14ac:dyDescent="0.25">
      <c r="A888" s="14">
        <v>96492</v>
      </c>
      <c r="B888" s="14" t="s">
        <v>1020</v>
      </c>
      <c r="C888" s="14" t="s">
        <v>13029</v>
      </c>
      <c r="D888" s="15">
        <v>15.38</v>
      </c>
      <c r="E888" s="16" t="s">
        <v>30</v>
      </c>
    </row>
    <row r="889" spans="1:5" x14ac:dyDescent="0.25">
      <c r="A889" s="14">
        <v>97104</v>
      </c>
      <c r="B889" s="14" t="s">
        <v>1021</v>
      </c>
      <c r="C889" s="14" t="s">
        <v>13029</v>
      </c>
      <c r="D889" s="15">
        <v>7.3</v>
      </c>
      <c r="E889" s="16" t="s">
        <v>30</v>
      </c>
    </row>
    <row r="890" spans="1:5" x14ac:dyDescent="0.25">
      <c r="A890" s="14">
        <v>97340</v>
      </c>
      <c r="B890" s="14" t="s">
        <v>1022</v>
      </c>
      <c r="C890" s="14" t="s">
        <v>13029</v>
      </c>
      <c r="D890" s="15">
        <v>11.38</v>
      </c>
      <c r="E890" s="16" t="s">
        <v>30</v>
      </c>
    </row>
    <row r="891" spans="1:5" x14ac:dyDescent="0.25">
      <c r="A891" s="14">
        <v>97811</v>
      </c>
      <c r="B891" s="14" t="s">
        <v>1023</v>
      </c>
      <c r="C891" s="14" t="s">
        <v>13031</v>
      </c>
      <c r="D891" s="15">
        <v>8.9</v>
      </c>
      <c r="E891" s="16" t="s">
        <v>30</v>
      </c>
    </row>
    <row r="892" spans="1:5" x14ac:dyDescent="0.25">
      <c r="A892" s="14">
        <v>98122</v>
      </c>
      <c r="B892" s="14" t="s">
        <v>1024</v>
      </c>
      <c r="C892" s="14" t="s">
        <v>13029</v>
      </c>
      <c r="D892" s="15">
        <v>4.8</v>
      </c>
      <c r="E892" s="16" t="s">
        <v>30</v>
      </c>
    </row>
    <row r="893" spans="1:5" x14ac:dyDescent="0.25">
      <c r="A893" s="14">
        <v>98630</v>
      </c>
      <c r="B893" s="14" t="s">
        <v>1025</v>
      </c>
      <c r="C893" s="14" t="s">
        <v>13031</v>
      </c>
      <c r="D893" s="15">
        <v>29.1</v>
      </c>
      <c r="E893" s="16" t="s">
        <v>30</v>
      </c>
    </row>
    <row r="894" spans="1:5" x14ac:dyDescent="0.25">
      <c r="A894" s="14">
        <v>99938</v>
      </c>
      <c r="B894" s="14" t="s">
        <v>1026</v>
      </c>
      <c r="C894" s="14" t="s">
        <v>13030</v>
      </c>
      <c r="D894" s="15">
        <v>24.99</v>
      </c>
      <c r="E894" s="14" t="s">
        <v>30</v>
      </c>
    </row>
    <row r="895" spans="1:5" x14ac:dyDescent="0.25">
      <c r="A895" s="14">
        <v>100130</v>
      </c>
      <c r="B895" s="14" t="s">
        <v>1027</v>
      </c>
      <c r="C895" s="14" t="s">
        <v>13030</v>
      </c>
      <c r="D895" s="15">
        <v>62.48</v>
      </c>
      <c r="E895" s="16" t="s">
        <v>30</v>
      </c>
    </row>
    <row r="896" spans="1:5" x14ac:dyDescent="0.25">
      <c r="A896" s="14">
        <v>100798</v>
      </c>
      <c r="B896" s="14" t="s">
        <v>1028</v>
      </c>
      <c r="C896" s="14" t="s">
        <v>13030</v>
      </c>
      <c r="D896" s="15">
        <v>33.19</v>
      </c>
      <c r="E896" s="16" t="s">
        <v>30</v>
      </c>
    </row>
    <row r="897" spans="1:5" x14ac:dyDescent="0.25">
      <c r="A897" s="14">
        <v>100802</v>
      </c>
      <c r="B897" s="14" t="s">
        <v>1029</v>
      </c>
      <c r="C897" s="14" t="s">
        <v>13030</v>
      </c>
      <c r="D897" s="15">
        <v>33.19</v>
      </c>
      <c r="E897" s="16" t="s">
        <v>30</v>
      </c>
    </row>
    <row r="898" spans="1:5" x14ac:dyDescent="0.25">
      <c r="A898" s="14">
        <v>100881</v>
      </c>
      <c r="B898" s="14" t="s">
        <v>1030</v>
      </c>
      <c r="C898" s="14" t="s">
        <v>13029</v>
      </c>
      <c r="D898" s="15">
        <v>5.0999999999999996</v>
      </c>
      <c r="E898" s="16" t="s">
        <v>30</v>
      </c>
    </row>
    <row r="899" spans="1:5" x14ac:dyDescent="0.25">
      <c r="A899" s="14">
        <v>62651</v>
      </c>
      <c r="B899" s="14" t="s">
        <v>1031</v>
      </c>
      <c r="C899" s="14" t="s">
        <v>13030</v>
      </c>
      <c r="D899" s="15">
        <v>29.81</v>
      </c>
      <c r="E899" s="16" t="s">
        <v>20</v>
      </c>
    </row>
    <row r="900" spans="1:5" x14ac:dyDescent="0.25">
      <c r="A900" s="14">
        <v>101111</v>
      </c>
      <c r="B900" s="14" t="s">
        <v>1032</v>
      </c>
      <c r="C900" s="14" t="s">
        <v>13030</v>
      </c>
      <c r="D900" s="15">
        <v>18.170000000000002</v>
      </c>
      <c r="E900" s="16" t="s">
        <v>30</v>
      </c>
    </row>
    <row r="901" spans="1:5" x14ac:dyDescent="0.25">
      <c r="A901" s="14">
        <v>101918</v>
      </c>
      <c r="B901" s="14" t="s">
        <v>1033</v>
      </c>
      <c r="C901" s="14" t="s">
        <v>13029</v>
      </c>
      <c r="D901" s="15">
        <v>12.17</v>
      </c>
      <c r="E901" s="16" t="s">
        <v>30</v>
      </c>
    </row>
    <row r="902" spans="1:5" x14ac:dyDescent="0.25">
      <c r="A902" s="14">
        <v>102881</v>
      </c>
      <c r="B902" s="14" t="s">
        <v>1034</v>
      </c>
      <c r="C902" s="14" t="s">
        <v>13029</v>
      </c>
      <c r="D902" s="15">
        <v>27.52</v>
      </c>
      <c r="E902" s="14" t="s">
        <v>30</v>
      </c>
    </row>
    <row r="903" spans="1:5" x14ac:dyDescent="0.25">
      <c r="A903" s="14">
        <v>102882</v>
      </c>
      <c r="B903" s="14" t="s">
        <v>1035</v>
      </c>
      <c r="C903" s="14" t="s">
        <v>13029</v>
      </c>
      <c r="D903" s="15">
        <v>19.04</v>
      </c>
      <c r="E903" s="14" t="s">
        <v>30</v>
      </c>
    </row>
    <row r="904" spans="1:5" x14ac:dyDescent="0.25">
      <c r="A904" s="14">
        <v>103179</v>
      </c>
      <c r="B904" s="14" t="s">
        <v>1036</v>
      </c>
      <c r="C904" s="14" t="s">
        <v>13029</v>
      </c>
      <c r="D904" s="15">
        <v>6.89</v>
      </c>
      <c r="E904" s="16" t="s">
        <v>30</v>
      </c>
    </row>
    <row r="905" spans="1:5" x14ac:dyDescent="0.25">
      <c r="A905" s="14">
        <v>103427</v>
      </c>
      <c r="B905" s="14" t="s">
        <v>1037</v>
      </c>
      <c r="C905" s="14" t="s">
        <v>13030</v>
      </c>
      <c r="D905" s="15">
        <v>28.92</v>
      </c>
      <c r="E905" s="16" t="s">
        <v>30</v>
      </c>
    </row>
    <row r="906" spans="1:5" x14ac:dyDescent="0.25">
      <c r="A906" s="14">
        <v>103787</v>
      </c>
      <c r="B906" s="14" t="s">
        <v>1038</v>
      </c>
      <c r="C906" s="14" t="s">
        <v>13030</v>
      </c>
      <c r="D906" s="15">
        <v>69.790000000000006</v>
      </c>
      <c r="E906" s="16" t="s">
        <v>30</v>
      </c>
    </row>
    <row r="907" spans="1:5" x14ac:dyDescent="0.25">
      <c r="A907" s="14">
        <v>103950</v>
      </c>
      <c r="B907" s="14" t="s">
        <v>1039</v>
      </c>
      <c r="C907" s="14" t="s">
        <v>13031</v>
      </c>
      <c r="D907" s="15">
        <v>2.2999999999999998</v>
      </c>
      <c r="E907" s="16" t="s">
        <v>30</v>
      </c>
    </row>
    <row r="908" spans="1:5" x14ac:dyDescent="0.25">
      <c r="A908" s="14">
        <v>103972</v>
      </c>
      <c r="B908" s="14" t="s">
        <v>1040</v>
      </c>
      <c r="C908" s="14" t="s">
        <v>13030</v>
      </c>
      <c r="D908" s="15">
        <v>48.56</v>
      </c>
      <c r="E908" s="16" t="s">
        <v>30</v>
      </c>
    </row>
    <row r="909" spans="1:5" x14ac:dyDescent="0.25">
      <c r="A909" s="14">
        <v>38955</v>
      </c>
      <c r="B909" s="14" t="s">
        <v>1041</v>
      </c>
      <c r="C909" s="14" t="s">
        <v>13031</v>
      </c>
      <c r="D909" s="15">
        <v>10.91</v>
      </c>
      <c r="E909" s="16" t="s">
        <v>20</v>
      </c>
    </row>
    <row r="910" spans="1:5" x14ac:dyDescent="0.25">
      <c r="A910" s="14">
        <v>103979</v>
      </c>
      <c r="B910" s="14" t="s">
        <v>1042</v>
      </c>
      <c r="C910" s="14" t="s">
        <v>13030</v>
      </c>
      <c r="D910" s="15">
        <v>40.92</v>
      </c>
      <c r="E910" s="16" t="s">
        <v>30</v>
      </c>
    </row>
    <row r="911" spans="1:5" x14ac:dyDescent="0.25">
      <c r="A911" s="14">
        <v>103988</v>
      </c>
      <c r="B911" s="14" t="s">
        <v>1043</v>
      </c>
      <c r="C911" s="14" t="s">
        <v>13031</v>
      </c>
      <c r="D911" s="15">
        <v>7.85</v>
      </c>
      <c r="E911" s="16" t="s">
        <v>30</v>
      </c>
    </row>
    <row r="912" spans="1:5" x14ac:dyDescent="0.25">
      <c r="A912" s="14">
        <v>104997</v>
      </c>
      <c r="B912" s="14" t="s">
        <v>1044</v>
      </c>
      <c r="C912" s="14" t="s">
        <v>13030</v>
      </c>
      <c r="D912" s="15">
        <v>25.86</v>
      </c>
      <c r="E912" s="14" t="s">
        <v>30</v>
      </c>
    </row>
    <row r="913" spans="1:5" x14ac:dyDescent="0.25">
      <c r="A913" s="14">
        <v>104999</v>
      </c>
      <c r="B913" s="14" t="s">
        <v>1045</v>
      </c>
      <c r="C913" s="14" t="s">
        <v>13030</v>
      </c>
      <c r="D913" s="15">
        <v>43.14</v>
      </c>
      <c r="E913" s="14" t="s">
        <v>30</v>
      </c>
    </row>
    <row r="914" spans="1:5" x14ac:dyDescent="0.25">
      <c r="A914" s="14">
        <v>105019</v>
      </c>
      <c r="B914" s="14" t="s">
        <v>1046</v>
      </c>
      <c r="C914" s="14" t="s">
        <v>13031</v>
      </c>
      <c r="D914" s="15">
        <v>5.47</v>
      </c>
      <c r="E914" s="16" t="s">
        <v>30</v>
      </c>
    </row>
    <row r="915" spans="1:5" x14ac:dyDescent="0.25">
      <c r="A915" s="14">
        <v>105055</v>
      </c>
      <c r="B915" s="14" t="s">
        <v>1047</v>
      </c>
      <c r="C915" s="14" t="s">
        <v>13030</v>
      </c>
      <c r="D915" s="15">
        <v>32.22</v>
      </c>
      <c r="E915" s="16" t="s">
        <v>30</v>
      </c>
    </row>
    <row r="916" spans="1:5" x14ac:dyDescent="0.25">
      <c r="A916" s="14">
        <v>106200</v>
      </c>
      <c r="B916" s="14" t="s">
        <v>1048</v>
      </c>
      <c r="C916" s="14" t="s">
        <v>13030</v>
      </c>
      <c r="D916" s="15">
        <v>45.1</v>
      </c>
      <c r="E916" s="16" t="s">
        <v>30</v>
      </c>
    </row>
    <row r="917" spans="1:5" x14ac:dyDescent="0.25">
      <c r="A917" s="14">
        <v>106304</v>
      </c>
      <c r="B917" s="14" t="s">
        <v>1049</v>
      </c>
      <c r="C917" s="14" t="s">
        <v>13029</v>
      </c>
      <c r="D917" s="15">
        <v>21.23</v>
      </c>
      <c r="E917" s="14" t="s">
        <v>30</v>
      </c>
    </row>
    <row r="918" spans="1:5" x14ac:dyDescent="0.25">
      <c r="A918" s="14">
        <v>106808</v>
      </c>
      <c r="B918" s="14" t="s">
        <v>1050</v>
      </c>
      <c r="C918" s="14" t="s">
        <v>13030</v>
      </c>
      <c r="D918" s="15">
        <v>23.86</v>
      </c>
      <c r="E918" s="16" t="s">
        <v>30</v>
      </c>
    </row>
    <row r="919" spans="1:5" x14ac:dyDescent="0.25">
      <c r="A919" s="14">
        <v>107670</v>
      </c>
      <c r="B919" s="14" t="s">
        <v>1051</v>
      </c>
      <c r="C919" s="14" t="s">
        <v>13030</v>
      </c>
      <c r="D919" s="15">
        <v>10.83</v>
      </c>
      <c r="E919" s="16" t="s">
        <v>30</v>
      </c>
    </row>
    <row r="920" spans="1:5" x14ac:dyDescent="0.25">
      <c r="A920" s="14">
        <v>108213</v>
      </c>
      <c r="B920" s="14" t="s">
        <v>1052</v>
      </c>
      <c r="C920" s="14" t="s">
        <v>13029</v>
      </c>
      <c r="D920" s="15">
        <v>5.38</v>
      </c>
      <c r="E920" s="16" t="s">
        <v>30</v>
      </c>
    </row>
    <row r="921" spans="1:5" x14ac:dyDescent="0.25">
      <c r="A921" s="14">
        <v>87336</v>
      </c>
      <c r="B921" s="14" t="s">
        <v>1053</v>
      </c>
      <c r="C921" s="14" t="s">
        <v>13030</v>
      </c>
      <c r="D921" s="15">
        <v>12.07</v>
      </c>
      <c r="E921" s="16" t="s">
        <v>20</v>
      </c>
    </row>
    <row r="922" spans="1:5" x14ac:dyDescent="0.25">
      <c r="A922" s="14">
        <v>40595</v>
      </c>
      <c r="B922" s="14" t="s">
        <v>1054</v>
      </c>
      <c r="C922" s="14" t="s">
        <v>13031</v>
      </c>
      <c r="D922" s="15">
        <v>8.42</v>
      </c>
      <c r="E922" s="16" t="s">
        <v>20</v>
      </c>
    </row>
    <row r="923" spans="1:5" x14ac:dyDescent="0.25">
      <c r="A923" s="14">
        <v>40596</v>
      </c>
      <c r="B923" s="14" t="s">
        <v>1055</v>
      </c>
      <c r="C923" s="14" t="s">
        <v>13031</v>
      </c>
      <c r="D923" s="15">
        <v>9.44</v>
      </c>
      <c r="E923" s="16" t="s">
        <v>20</v>
      </c>
    </row>
    <row r="924" spans="1:5" x14ac:dyDescent="0.25">
      <c r="A924" s="14">
        <v>108592</v>
      </c>
      <c r="B924" s="14" t="s">
        <v>1056</v>
      </c>
      <c r="C924" s="14" t="s">
        <v>13030</v>
      </c>
      <c r="D924" s="15">
        <v>19.21</v>
      </c>
      <c r="E924" s="16" t="s">
        <v>30</v>
      </c>
    </row>
    <row r="925" spans="1:5" x14ac:dyDescent="0.25">
      <c r="A925" s="14">
        <v>109193</v>
      </c>
      <c r="B925" s="14" t="s">
        <v>1057</v>
      </c>
      <c r="C925" s="14" t="s">
        <v>13029</v>
      </c>
      <c r="D925" s="15">
        <v>9.15</v>
      </c>
      <c r="E925" s="16" t="s">
        <v>30</v>
      </c>
    </row>
    <row r="926" spans="1:5" x14ac:dyDescent="0.25">
      <c r="A926" s="14">
        <v>109194</v>
      </c>
      <c r="B926" s="14" t="s">
        <v>1058</v>
      </c>
      <c r="C926" s="14" t="s">
        <v>13029</v>
      </c>
      <c r="D926" s="15">
        <v>11.6</v>
      </c>
      <c r="E926" s="16" t="s">
        <v>30</v>
      </c>
    </row>
    <row r="927" spans="1:5" x14ac:dyDescent="0.25">
      <c r="A927" s="14">
        <v>109793</v>
      </c>
      <c r="B927" s="14" t="s">
        <v>1059</v>
      </c>
      <c r="C927" s="14" t="s">
        <v>13030</v>
      </c>
      <c r="D927" s="15">
        <v>19.21</v>
      </c>
      <c r="E927" s="16" t="s">
        <v>30</v>
      </c>
    </row>
    <row r="928" spans="1:5" x14ac:dyDescent="0.25">
      <c r="A928" s="14">
        <v>110218</v>
      </c>
      <c r="B928" s="14" t="s">
        <v>1060</v>
      </c>
      <c r="C928" s="14" t="s">
        <v>13030</v>
      </c>
      <c r="D928" s="15">
        <v>12.87</v>
      </c>
      <c r="E928" s="16" t="s">
        <v>30</v>
      </c>
    </row>
    <row r="929" spans="1:5" x14ac:dyDescent="0.25">
      <c r="A929" s="14">
        <v>110414</v>
      </c>
      <c r="B929" s="14" t="s">
        <v>1061</v>
      </c>
      <c r="C929" s="14" t="s">
        <v>13031</v>
      </c>
      <c r="D929" s="15">
        <v>2.75</v>
      </c>
      <c r="E929" s="16" t="s">
        <v>30</v>
      </c>
    </row>
    <row r="930" spans="1:5" x14ac:dyDescent="0.25">
      <c r="A930" s="14">
        <v>112015</v>
      </c>
      <c r="B930" s="14" t="s">
        <v>1062</v>
      </c>
      <c r="C930" s="14" t="s">
        <v>13030</v>
      </c>
      <c r="D930" s="15">
        <v>40.93</v>
      </c>
      <c r="E930" s="16" t="s">
        <v>30</v>
      </c>
    </row>
    <row r="931" spans="1:5" x14ac:dyDescent="0.25">
      <c r="A931" s="14">
        <v>112340</v>
      </c>
      <c r="B931" s="14" t="s">
        <v>1063</v>
      </c>
      <c r="C931" s="14" t="s">
        <v>13029</v>
      </c>
      <c r="D931" s="15">
        <v>3.93</v>
      </c>
      <c r="E931" s="16" t="s">
        <v>30</v>
      </c>
    </row>
    <row r="932" spans="1:5" x14ac:dyDescent="0.25">
      <c r="A932" s="14">
        <v>40597</v>
      </c>
      <c r="B932" s="14" t="s">
        <v>1064</v>
      </c>
      <c r="C932" s="14" t="s">
        <v>13031</v>
      </c>
      <c r="D932" s="15">
        <v>6.55</v>
      </c>
      <c r="E932" s="16" t="s">
        <v>20</v>
      </c>
    </row>
    <row r="933" spans="1:5" x14ac:dyDescent="0.25">
      <c r="A933" s="14">
        <v>112996</v>
      </c>
      <c r="B933" s="14" t="s">
        <v>1065</v>
      </c>
      <c r="C933" s="14" t="s">
        <v>13029</v>
      </c>
      <c r="D933" s="15">
        <v>7.11</v>
      </c>
      <c r="E933" s="16" t="s">
        <v>30</v>
      </c>
    </row>
    <row r="934" spans="1:5" x14ac:dyDescent="0.25">
      <c r="A934" s="14">
        <v>41068</v>
      </c>
      <c r="B934" s="14" t="s">
        <v>1066</v>
      </c>
      <c r="C934" s="14" t="s">
        <v>13031</v>
      </c>
      <c r="D934" s="15">
        <v>18.54</v>
      </c>
      <c r="E934" s="16" t="s">
        <v>20</v>
      </c>
    </row>
    <row r="935" spans="1:5" x14ac:dyDescent="0.25">
      <c r="A935" s="14">
        <v>113623</v>
      </c>
      <c r="B935" s="14" t="s">
        <v>1067</v>
      </c>
      <c r="C935" s="14" t="s">
        <v>13031</v>
      </c>
      <c r="D935" s="15">
        <v>3.9</v>
      </c>
      <c r="E935" s="16" t="s">
        <v>30</v>
      </c>
    </row>
    <row r="936" spans="1:5" x14ac:dyDescent="0.25">
      <c r="A936" s="14">
        <v>113954</v>
      </c>
      <c r="B936" s="14" t="s">
        <v>1068</v>
      </c>
      <c r="C936" s="14" t="s">
        <v>13031</v>
      </c>
      <c r="D936" s="15">
        <v>10.92</v>
      </c>
      <c r="E936" s="16" t="s">
        <v>30</v>
      </c>
    </row>
    <row r="937" spans="1:5" x14ac:dyDescent="0.25">
      <c r="A937" s="14">
        <v>114206</v>
      </c>
      <c r="B937" s="14" t="s">
        <v>1069</v>
      </c>
      <c r="C937" s="14" t="s">
        <v>13030</v>
      </c>
      <c r="D937" s="15">
        <v>3.36</v>
      </c>
      <c r="E937" s="16" t="s">
        <v>30</v>
      </c>
    </row>
    <row r="938" spans="1:5" x14ac:dyDescent="0.25">
      <c r="A938" s="14">
        <v>115097</v>
      </c>
      <c r="B938" s="14" t="s">
        <v>1070</v>
      </c>
      <c r="C938" s="14" t="s">
        <v>13029</v>
      </c>
      <c r="D938" s="15">
        <v>9</v>
      </c>
      <c r="E938" s="16" t="s">
        <v>30</v>
      </c>
    </row>
    <row r="939" spans="1:5" x14ac:dyDescent="0.25">
      <c r="A939" s="14">
        <v>115455</v>
      </c>
      <c r="B939" s="14" t="s">
        <v>1071</v>
      </c>
      <c r="C939" s="14" t="s">
        <v>13030</v>
      </c>
      <c r="D939" s="15">
        <v>114.32</v>
      </c>
      <c r="E939" s="16" t="s">
        <v>30</v>
      </c>
    </row>
    <row r="940" spans="1:5" x14ac:dyDescent="0.25">
      <c r="A940" s="14">
        <v>115457</v>
      </c>
      <c r="B940" s="14" t="s">
        <v>1072</v>
      </c>
      <c r="C940" s="14" t="s">
        <v>13030</v>
      </c>
      <c r="D940" s="15">
        <v>65.989999999999995</v>
      </c>
      <c r="E940" s="16" t="s">
        <v>30</v>
      </c>
    </row>
    <row r="941" spans="1:5" x14ac:dyDescent="0.25">
      <c r="A941" s="14">
        <v>115921</v>
      </c>
      <c r="B941" s="14" t="s">
        <v>1073</v>
      </c>
      <c r="C941" s="14" t="s">
        <v>13030</v>
      </c>
      <c r="D941" s="15">
        <v>26.83</v>
      </c>
      <c r="E941" s="16" t="s">
        <v>30</v>
      </c>
    </row>
    <row r="942" spans="1:5" x14ac:dyDescent="0.25">
      <c r="A942" s="14">
        <v>116007</v>
      </c>
      <c r="B942" s="14" t="s">
        <v>1074</v>
      </c>
      <c r="C942" s="14" t="s">
        <v>13033</v>
      </c>
      <c r="D942" s="15">
        <v>8.33</v>
      </c>
      <c r="E942" s="16" t="s">
        <v>30</v>
      </c>
    </row>
    <row r="943" spans="1:5" x14ac:dyDescent="0.25">
      <c r="A943" s="14">
        <v>116779</v>
      </c>
      <c r="B943" s="14" t="s">
        <v>1075</v>
      </c>
      <c r="C943" s="14" t="s">
        <v>13029</v>
      </c>
      <c r="D943" s="15">
        <v>19.579999999999998</v>
      </c>
      <c r="E943" s="16" t="s">
        <v>30</v>
      </c>
    </row>
    <row r="944" spans="1:5" x14ac:dyDescent="0.25">
      <c r="A944" s="14">
        <v>116780</v>
      </c>
      <c r="B944" s="14" t="s">
        <v>1076</v>
      </c>
      <c r="C944" s="14" t="s">
        <v>13029</v>
      </c>
      <c r="D944" s="15">
        <v>19.579999999999998</v>
      </c>
      <c r="E944" s="16" t="s">
        <v>30</v>
      </c>
    </row>
    <row r="945" spans="1:5" x14ac:dyDescent="0.25">
      <c r="A945" s="14">
        <v>116853</v>
      </c>
      <c r="B945" s="14" t="s">
        <v>1077</v>
      </c>
      <c r="C945" s="14" t="s">
        <v>13031</v>
      </c>
      <c r="D945" s="15">
        <v>5.0599999999999996</v>
      </c>
      <c r="E945" s="16" t="s">
        <v>30</v>
      </c>
    </row>
    <row r="946" spans="1:5" x14ac:dyDescent="0.25">
      <c r="A946" s="14">
        <v>117120</v>
      </c>
      <c r="B946" s="14" t="s">
        <v>1078</v>
      </c>
      <c r="C946" s="14" t="s">
        <v>13029</v>
      </c>
      <c r="D946" s="15">
        <v>1.1599999999999999</v>
      </c>
      <c r="E946" s="16" t="s">
        <v>30</v>
      </c>
    </row>
    <row r="947" spans="1:5" x14ac:dyDescent="0.25">
      <c r="A947" s="14">
        <v>117915</v>
      </c>
      <c r="B947" s="14" t="s">
        <v>1079</v>
      </c>
      <c r="C947" s="14" t="s">
        <v>13029</v>
      </c>
      <c r="D947" s="15">
        <v>39.69</v>
      </c>
      <c r="E947" s="14" t="s">
        <v>30</v>
      </c>
    </row>
    <row r="948" spans="1:5" x14ac:dyDescent="0.25">
      <c r="A948" s="14">
        <v>118093</v>
      </c>
      <c r="B948" s="14" t="s">
        <v>1080</v>
      </c>
      <c r="C948" s="14" t="s">
        <v>13030</v>
      </c>
      <c r="D948" s="15">
        <v>36.53</v>
      </c>
      <c r="E948" s="16" t="s">
        <v>30</v>
      </c>
    </row>
    <row r="949" spans="1:5" x14ac:dyDescent="0.25">
      <c r="A949" s="14">
        <v>118172</v>
      </c>
      <c r="B949" s="14" t="s">
        <v>1081</v>
      </c>
      <c r="C949" s="14" t="s">
        <v>13030</v>
      </c>
      <c r="D949" s="15">
        <v>215.36</v>
      </c>
      <c r="E949" s="16" t="s">
        <v>30</v>
      </c>
    </row>
    <row r="950" spans="1:5" x14ac:dyDescent="0.25">
      <c r="A950" s="14">
        <v>118489</v>
      </c>
      <c r="B950" s="14" t="s">
        <v>1082</v>
      </c>
      <c r="C950" s="14" t="s">
        <v>13030</v>
      </c>
      <c r="D950" s="15">
        <v>20.82</v>
      </c>
      <c r="E950" s="16" t="s">
        <v>30</v>
      </c>
    </row>
    <row r="951" spans="1:5" x14ac:dyDescent="0.25">
      <c r="A951" s="14">
        <v>118521</v>
      </c>
      <c r="B951" s="14" t="s">
        <v>1083</v>
      </c>
      <c r="C951" s="14" t="s">
        <v>13031</v>
      </c>
      <c r="D951" s="15">
        <v>4.54</v>
      </c>
      <c r="E951" s="16" t="s">
        <v>30</v>
      </c>
    </row>
    <row r="952" spans="1:5" x14ac:dyDescent="0.25">
      <c r="A952" s="14">
        <v>118522</v>
      </c>
      <c r="B952" s="14" t="s">
        <v>1084</v>
      </c>
      <c r="C952" s="14" t="s">
        <v>13031</v>
      </c>
      <c r="D952" s="15">
        <v>3.87</v>
      </c>
      <c r="E952" s="16" t="s">
        <v>30</v>
      </c>
    </row>
    <row r="953" spans="1:5" x14ac:dyDescent="0.25">
      <c r="A953" s="14">
        <v>118523</v>
      </c>
      <c r="B953" s="14" t="s">
        <v>1085</v>
      </c>
      <c r="C953" s="14" t="s">
        <v>13031</v>
      </c>
      <c r="D953" s="15">
        <v>4.58</v>
      </c>
      <c r="E953" s="16" t="s">
        <v>30</v>
      </c>
    </row>
    <row r="954" spans="1:5" x14ac:dyDescent="0.25">
      <c r="A954" s="14">
        <v>45684</v>
      </c>
      <c r="B954" s="14" t="s">
        <v>1086</v>
      </c>
      <c r="C954" s="14" t="s">
        <v>13031</v>
      </c>
      <c r="D954" s="15">
        <v>9.57</v>
      </c>
      <c r="E954" s="16" t="s">
        <v>20</v>
      </c>
    </row>
    <row r="955" spans="1:5" x14ac:dyDescent="0.25">
      <c r="A955" s="14">
        <v>118528</v>
      </c>
      <c r="B955" s="14" t="s">
        <v>1087</v>
      </c>
      <c r="C955" s="14" t="s">
        <v>13031</v>
      </c>
      <c r="D955" s="15">
        <v>5.3</v>
      </c>
      <c r="E955" s="16" t="s">
        <v>30</v>
      </c>
    </row>
    <row r="956" spans="1:5" x14ac:dyDescent="0.25">
      <c r="A956" s="14">
        <v>118690</v>
      </c>
      <c r="B956" s="14" t="s">
        <v>1088</v>
      </c>
      <c r="C956" s="14" t="s">
        <v>13030</v>
      </c>
      <c r="D956" s="15">
        <v>23.7</v>
      </c>
      <c r="E956" s="14" t="s">
        <v>30</v>
      </c>
    </row>
    <row r="957" spans="1:5" x14ac:dyDescent="0.25">
      <c r="A957" s="14">
        <v>118870</v>
      </c>
      <c r="B957" s="14" t="s">
        <v>1089</v>
      </c>
      <c r="C957" s="14" t="s">
        <v>13030</v>
      </c>
      <c r="D957" s="15">
        <v>62.13</v>
      </c>
      <c r="E957" s="16" t="s">
        <v>30</v>
      </c>
    </row>
    <row r="958" spans="1:5" x14ac:dyDescent="0.25">
      <c r="A958" s="14">
        <v>45685</v>
      </c>
      <c r="B958" s="14" t="s">
        <v>1090</v>
      </c>
      <c r="C958" s="14" t="s">
        <v>13031</v>
      </c>
      <c r="D958" s="15">
        <v>8.34</v>
      </c>
      <c r="E958" s="16" t="s">
        <v>20</v>
      </c>
    </row>
    <row r="959" spans="1:5" x14ac:dyDescent="0.25">
      <c r="A959" s="14">
        <v>118873</v>
      </c>
      <c r="B959" s="14" t="s">
        <v>1091</v>
      </c>
      <c r="C959" s="14" t="s">
        <v>13030</v>
      </c>
      <c r="D959" s="15">
        <v>85.92</v>
      </c>
      <c r="E959" s="16" t="s">
        <v>30</v>
      </c>
    </row>
    <row r="960" spans="1:5" x14ac:dyDescent="0.25">
      <c r="A960" s="14">
        <v>119100</v>
      </c>
      <c r="B960" s="14" t="s">
        <v>1092</v>
      </c>
      <c r="C960" s="14" t="s">
        <v>13031</v>
      </c>
      <c r="D960" s="15">
        <v>18.03</v>
      </c>
      <c r="E960" s="16" t="s">
        <v>30</v>
      </c>
    </row>
    <row r="961" spans="1:5" x14ac:dyDescent="0.25">
      <c r="A961" s="14">
        <v>119106</v>
      </c>
      <c r="B961" s="14" t="s">
        <v>1093</v>
      </c>
      <c r="C961" s="14" t="s">
        <v>13031</v>
      </c>
      <c r="D961" s="15">
        <v>15.64</v>
      </c>
      <c r="E961" s="16" t="s">
        <v>30</v>
      </c>
    </row>
    <row r="962" spans="1:5" x14ac:dyDescent="0.25">
      <c r="A962" s="14">
        <v>119199</v>
      </c>
      <c r="B962" s="14" t="s">
        <v>1094</v>
      </c>
      <c r="C962" s="14" t="s">
        <v>13030</v>
      </c>
      <c r="D962" s="15">
        <v>65.34</v>
      </c>
      <c r="E962" s="16" t="s">
        <v>30</v>
      </c>
    </row>
    <row r="963" spans="1:5" x14ac:dyDescent="0.25">
      <c r="A963" s="14">
        <v>122390</v>
      </c>
      <c r="B963" s="14" t="s">
        <v>1095</v>
      </c>
      <c r="C963" s="14" t="s">
        <v>13029</v>
      </c>
      <c r="D963" s="15">
        <v>16.45</v>
      </c>
      <c r="E963" s="16" t="s">
        <v>30</v>
      </c>
    </row>
    <row r="964" spans="1:5" x14ac:dyDescent="0.25">
      <c r="A964" s="14">
        <v>122791</v>
      </c>
      <c r="B964" s="14" t="s">
        <v>1096</v>
      </c>
      <c r="C964" s="14" t="s">
        <v>13031</v>
      </c>
      <c r="D964" s="15">
        <v>9.7899999999999991</v>
      </c>
      <c r="E964" s="16" t="s">
        <v>30</v>
      </c>
    </row>
    <row r="965" spans="1:5" x14ac:dyDescent="0.25">
      <c r="A965" s="14">
        <v>123653</v>
      </c>
      <c r="B965" s="14" t="s">
        <v>1097</v>
      </c>
      <c r="C965" s="14" t="s">
        <v>13029</v>
      </c>
      <c r="D965" s="15">
        <v>21.85</v>
      </c>
      <c r="E965" s="16" t="s">
        <v>30</v>
      </c>
    </row>
    <row r="966" spans="1:5" x14ac:dyDescent="0.25">
      <c r="A966" s="14">
        <v>124134</v>
      </c>
      <c r="B966" s="14" t="s">
        <v>1098</v>
      </c>
      <c r="C966" s="14" t="s">
        <v>13029</v>
      </c>
      <c r="D966" s="15">
        <v>11.62</v>
      </c>
      <c r="E966" s="16" t="s">
        <v>30</v>
      </c>
    </row>
    <row r="967" spans="1:5" x14ac:dyDescent="0.25">
      <c r="A967" s="14">
        <v>124211</v>
      </c>
      <c r="B967" s="14" t="s">
        <v>1099</v>
      </c>
      <c r="C967" s="14" t="s">
        <v>13029</v>
      </c>
      <c r="D967" s="15">
        <v>2.36</v>
      </c>
      <c r="E967" s="16" t="s">
        <v>30</v>
      </c>
    </row>
    <row r="968" spans="1:5" x14ac:dyDescent="0.25">
      <c r="A968" s="14">
        <v>124737</v>
      </c>
      <c r="B968" s="14" t="s">
        <v>1100</v>
      </c>
      <c r="C968" s="14" t="s">
        <v>13030</v>
      </c>
      <c r="D968" s="15">
        <v>2.63</v>
      </c>
      <c r="E968" s="16" t="s">
        <v>30</v>
      </c>
    </row>
    <row r="969" spans="1:5" x14ac:dyDescent="0.25">
      <c r="A969" s="14">
        <v>124941</v>
      </c>
      <c r="B969" s="14" t="s">
        <v>47</v>
      </c>
      <c r="C969" s="14" t="s">
        <v>13030</v>
      </c>
      <c r="D969" s="15">
        <v>52.44</v>
      </c>
      <c r="E969" s="16" t="s">
        <v>30</v>
      </c>
    </row>
    <row r="970" spans="1:5" x14ac:dyDescent="0.25">
      <c r="A970" s="14">
        <v>125205</v>
      </c>
      <c r="B970" s="14" t="s">
        <v>1101</v>
      </c>
      <c r="C970" s="14" t="s">
        <v>13029</v>
      </c>
      <c r="D970" s="15">
        <v>3.45</v>
      </c>
      <c r="E970" s="16" t="s">
        <v>30</v>
      </c>
    </row>
    <row r="971" spans="1:5" x14ac:dyDescent="0.25">
      <c r="A971" s="14">
        <v>125702</v>
      </c>
      <c r="B971" s="14" t="s">
        <v>1102</v>
      </c>
      <c r="C971" s="14" t="s">
        <v>13031</v>
      </c>
      <c r="D971" s="15">
        <v>5.35</v>
      </c>
      <c r="E971" s="16" t="s">
        <v>30</v>
      </c>
    </row>
    <row r="972" spans="1:5" x14ac:dyDescent="0.25">
      <c r="A972" s="14">
        <v>127794</v>
      </c>
      <c r="B972" s="14" t="s">
        <v>1103</v>
      </c>
      <c r="C972" s="14" t="s">
        <v>13030</v>
      </c>
      <c r="D972" s="15">
        <v>9.66</v>
      </c>
      <c r="E972" s="16" t="s">
        <v>30</v>
      </c>
    </row>
    <row r="973" spans="1:5" x14ac:dyDescent="0.25">
      <c r="A973" s="14">
        <v>127798</v>
      </c>
      <c r="B973" s="14" t="s">
        <v>1104</v>
      </c>
      <c r="C973" s="14" t="s">
        <v>13030</v>
      </c>
      <c r="D973" s="15">
        <v>10.36</v>
      </c>
      <c r="E973" s="16" t="s">
        <v>30</v>
      </c>
    </row>
    <row r="974" spans="1:5" x14ac:dyDescent="0.25">
      <c r="A974" s="14">
        <v>127799</v>
      </c>
      <c r="B974" s="14" t="s">
        <v>1105</v>
      </c>
      <c r="C974" s="14" t="s">
        <v>13030</v>
      </c>
      <c r="D974" s="15">
        <v>7.3</v>
      </c>
      <c r="E974" s="16" t="s">
        <v>30</v>
      </c>
    </row>
    <row r="975" spans="1:5" x14ac:dyDescent="0.25">
      <c r="A975" s="14">
        <v>127931</v>
      </c>
      <c r="B975" s="14" t="s">
        <v>1106</v>
      </c>
      <c r="C975" s="14" t="s">
        <v>13031</v>
      </c>
      <c r="D975" s="15">
        <v>14.86</v>
      </c>
      <c r="E975" s="16" t="s">
        <v>30</v>
      </c>
    </row>
    <row r="976" spans="1:5" x14ac:dyDescent="0.25">
      <c r="A976" s="14">
        <v>129478</v>
      </c>
      <c r="B976" s="14" t="s">
        <v>1107</v>
      </c>
      <c r="C976" s="14" t="s">
        <v>13033</v>
      </c>
      <c r="D976" s="15">
        <v>11.51</v>
      </c>
      <c r="E976" s="16" t="s">
        <v>30</v>
      </c>
    </row>
    <row r="977" spans="1:5" x14ac:dyDescent="0.25">
      <c r="A977" s="14">
        <v>134217</v>
      </c>
      <c r="B977" s="14" t="s">
        <v>1108</v>
      </c>
      <c r="C977" s="14" t="s">
        <v>13030</v>
      </c>
      <c r="D977" s="15">
        <v>50.35</v>
      </c>
      <c r="E977" s="16" t="s">
        <v>30</v>
      </c>
    </row>
    <row r="978" spans="1:5" x14ac:dyDescent="0.25">
      <c r="A978" s="14">
        <v>134522</v>
      </c>
      <c r="B978" s="14" t="s">
        <v>1109</v>
      </c>
      <c r="C978" s="14" t="s">
        <v>13031</v>
      </c>
      <c r="D978" s="15">
        <v>19.5</v>
      </c>
      <c r="E978" s="14" t="s">
        <v>30</v>
      </c>
    </row>
    <row r="979" spans="1:5" x14ac:dyDescent="0.25">
      <c r="A979" s="14">
        <v>134526</v>
      </c>
      <c r="B979" s="14" t="s">
        <v>51</v>
      </c>
      <c r="C979" s="14" t="s">
        <v>13031</v>
      </c>
      <c r="D979" s="15">
        <v>12.56</v>
      </c>
      <c r="E979" s="14" t="s">
        <v>30</v>
      </c>
    </row>
    <row r="980" spans="1:5" x14ac:dyDescent="0.25">
      <c r="A980" s="14">
        <v>134527</v>
      </c>
      <c r="B980" s="14" t="s">
        <v>1110</v>
      </c>
      <c r="C980" s="14" t="s">
        <v>13031</v>
      </c>
      <c r="D980" s="15">
        <v>15.2</v>
      </c>
      <c r="E980" s="14" t="s">
        <v>30</v>
      </c>
    </row>
    <row r="981" spans="1:5" x14ac:dyDescent="0.25">
      <c r="A981" s="14">
        <v>135189</v>
      </c>
      <c r="B981" s="14" t="s">
        <v>1111</v>
      </c>
      <c r="C981" s="14" t="s">
        <v>13031</v>
      </c>
      <c r="D981" s="15">
        <v>18.68</v>
      </c>
      <c r="E981" s="16" t="s">
        <v>30</v>
      </c>
    </row>
    <row r="982" spans="1:5" x14ac:dyDescent="0.25">
      <c r="A982" s="14">
        <v>135196</v>
      </c>
      <c r="B982" s="14" t="s">
        <v>1112</v>
      </c>
      <c r="C982" s="14" t="s">
        <v>13031</v>
      </c>
      <c r="D982" s="15">
        <v>18.68</v>
      </c>
      <c r="E982" s="16" t="s">
        <v>30</v>
      </c>
    </row>
    <row r="983" spans="1:5" x14ac:dyDescent="0.25">
      <c r="A983" s="14">
        <v>135200</v>
      </c>
      <c r="B983" s="14" t="s">
        <v>1113</v>
      </c>
      <c r="C983" s="14" t="s">
        <v>13031</v>
      </c>
      <c r="D983" s="15">
        <v>19.21</v>
      </c>
      <c r="E983" s="16" t="s">
        <v>30</v>
      </c>
    </row>
    <row r="984" spans="1:5" x14ac:dyDescent="0.25">
      <c r="A984" s="14">
        <v>135569</v>
      </c>
      <c r="B984" s="14" t="s">
        <v>1114</v>
      </c>
      <c r="C984" s="14" t="s">
        <v>13031</v>
      </c>
      <c r="D984" s="15">
        <v>6</v>
      </c>
      <c r="E984" s="16" t="s">
        <v>30</v>
      </c>
    </row>
    <row r="985" spans="1:5" x14ac:dyDescent="0.25">
      <c r="A985" s="14">
        <v>135604</v>
      </c>
      <c r="B985" s="14" t="s">
        <v>1115</v>
      </c>
      <c r="C985" s="14" t="s">
        <v>13030</v>
      </c>
      <c r="D985" s="15">
        <v>36.29</v>
      </c>
      <c r="E985" s="16" t="s">
        <v>30</v>
      </c>
    </row>
    <row r="986" spans="1:5" x14ac:dyDescent="0.25">
      <c r="A986" s="14">
        <v>135767</v>
      </c>
      <c r="B986" s="14" t="s">
        <v>1116</v>
      </c>
      <c r="C986" s="14" t="s">
        <v>13029</v>
      </c>
      <c r="D986" s="15">
        <v>2.36</v>
      </c>
      <c r="E986" s="16" t="s">
        <v>30</v>
      </c>
    </row>
    <row r="987" spans="1:5" x14ac:dyDescent="0.25">
      <c r="A987" s="14">
        <v>137799</v>
      </c>
      <c r="B987" s="14" t="s">
        <v>1117</v>
      </c>
      <c r="C987" s="14" t="s">
        <v>13030</v>
      </c>
      <c r="D987" s="15">
        <v>6.93</v>
      </c>
      <c r="E987" s="16" t="s">
        <v>30</v>
      </c>
    </row>
    <row r="988" spans="1:5" x14ac:dyDescent="0.25">
      <c r="A988" s="14">
        <v>137802</v>
      </c>
      <c r="B988" s="14" t="s">
        <v>1118</v>
      </c>
      <c r="C988" s="14" t="s">
        <v>13030</v>
      </c>
      <c r="D988" s="15">
        <v>83.2</v>
      </c>
      <c r="E988" s="16" t="s">
        <v>30</v>
      </c>
    </row>
    <row r="989" spans="1:5" x14ac:dyDescent="0.25">
      <c r="A989" s="14">
        <v>137803</v>
      </c>
      <c r="B989" s="14" t="s">
        <v>1119</v>
      </c>
      <c r="C989" s="14" t="s">
        <v>13030</v>
      </c>
      <c r="D989" s="15">
        <v>7.63</v>
      </c>
      <c r="E989" s="16" t="s">
        <v>30</v>
      </c>
    </row>
    <row r="990" spans="1:5" x14ac:dyDescent="0.25">
      <c r="A990" s="14">
        <v>137894</v>
      </c>
      <c r="B990" s="14" t="s">
        <v>1120</v>
      </c>
      <c r="C990" s="14" t="s">
        <v>13031</v>
      </c>
      <c r="D990" s="15">
        <v>5.51</v>
      </c>
      <c r="E990" s="16" t="s">
        <v>30</v>
      </c>
    </row>
    <row r="991" spans="1:5" x14ac:dyDescent="0.25">
      <c r="A991" s="14">
        <v>137962</v>
      </c>
      <c r="B991" s="14" t="s">
        <v>1121</v>
      </c>
      <c r="C991" s="14" t="s">
        <v>13029</v>
      </c>
      <c r="D991" s="15">
        <v>1.1000000000000001</v>
      </c>
      <c r="E991" s="16" t="s">
        <v>30</v>
      </c>
    </row>
    <row r="992" spans="1:5" x14ac:dyDescent="0.25">
      <c r="A992" s="14">
        <v>137963</v>
      </c>
      <c r="B992" s="14" t="s">
        <v>1122</v>
      </c>
      <c r="C992" s="14" t="s">
        <v>13029</v>
      </c>
      <c r="D992" s="15">
        <v>1.2</v>
      </c>
      <c r="E992" s="16" t="s">
        <v>30</v>
      </c>
    </row>
    <row r="993" spans="1:5" x14ac:dyDescent="0.25">
      <c r="A993" s="14">
        <v>137964</v>
      </c>
      <c r="B993" s="14" t="s">
        <v>1123</v>
      </c>
      <c r="C993" s="14" t="s">
        <v>13029</v>
      </c>
      <c r="D993" s="15">
        <v>2.94</v>
      </c>
      <c r="E993" s="16" t="s">
        <v>30</v>
      </c>
    </row>
    <row r="994" spans="1:5" x14ac:dyDescent="0.25">
      <c r="A994" s="14">
        <v>137967</v>
      </c>
      <c r="B994" s="14" t="s">
        <v>1124</v>
      </c>
      <c r="C994" s="14" t="s">
        <v>13029</v>
      </c>
      <c r="D994" s="15">
        <v>1.1000000000000001</v>
      </c>
      <c r="E994" s="16" t="s">
        <v>30</v>
      </c>
    </row>
    <row r="995" spans="1:5" x14ac:dyDescent="0.25">
      <c r="A995" s="14">
        <v>137968</v>
      </c>
      <c r="B995" s="14" t="s">
        <v>1125</v>
      </c>
      <c r="C995" s="14" t="s">
        <v>13029</v>
      </c>
      <c r="D995" s="15">
        <v>1.73</v>
      </c>
      <c r="E995" s="16" t="s">
        <v>30</v>
      </c>
    </row>
    <row r="996" spans="1:5" x14ac:dyDescent="0.25">
      <c r="A996" s="14">
        <v>137969</v>
      </c>
      <c r="B996" s="14" t="s">
        <v>1126</v>
      </c>
      <c r="C996" s="14" t="s">
        <v>13029</v>
      </c>
      <c r="D996" s="15">
        <v>2.1</v>
      </c>
      <c r="E996" s="16" t="s">
        <v>30</v>
      </c>
    </row>
    <row r="997" spans="1:5" x14ac:dyDescent="0.25">
      <c r="A997" s="14">
        <v>138105</v>
      </c>
      <c r="B997" s="14" t="s">
        <v>1127</v>
      </c>
      <c r="C997" s="14" t="s">
        <v>13030</v>
      </c>
      <c r="D997" s="15">
        <v>17.66</v>
      </c>
      <c r="E997" s="16" t="s">
        <v>30</v>
      </c>
    </row>
    <row r="998" spans="1:5" x14ac:dyDescent="0.25">
      <c r="A998" s="14">
        <v>138125</v>
      </c>
      <c r="B998" s="14" t="s">
        <v>1128</v>
      </c>
      <c r="C998" s="14" t="s">
        <v>13031</v>
      </c>
      <c r="D998" s="15">
        <v>9.19</v>
      </c>
      <c r="E998" s="16" t="s">
        <v>30</v>
      </c>
    </row>
    <row r="999" spans="1:5" x14ac:dyDescent="0.25">
      <c r="A999" s="14">
        <v>138150</v>
      </c>
      <c r="B999" s="14" t="s">
        <v>1129</v>
      </c>
      <c r="C999" s="14" t="s">
        <v>13031</v>
      </c>
      <c r="D999" s="15">
        <v>15.5</v>
      </c>
      <c r="E999" s="16" t="s">
        <v>30</v>
      </c>
    </row>
    <row r="1000" spans="1:5" x14ac:dyDescent="0.25">
      <c r="A1000" s="14">
        <v>138478</v>
      </c>
      <c r="B1000" s="14" t="s">
        <v>1130</v>
      </c>
      <c r="C1000" s="14" t="s">
        <v>13029</v>
      </c>
      <c r="D1000" s="15">
        <v>7.3</v>
      </c>
      <c r="E1000" s="16" t="s">
        <v>30</v>
      </c>
    </row>
    <row r="1001" spans="1:5" x14ac:dyDescent="0.25">
      <c r="A1001" s="14">
        <v>138479</v>
      </c>
      <c r="B1001" s="14" t="s">
        <v>1131</v>
      </c>
      <c r="C1001" s="14" t="s">
        <v>13029</v>
      </c>
      <c r="D1001" s="15">
        <v>9.9</v>
      </c>
      <c r="E1001" s="16" t="s">
        <v>30</v>
      </c>
    </row>
    <row r="1002" spans="1:5" x14ac:dyDescent="0.25">
      <c r="A1002" s="14">
        <v>138480</v>
      </c>
      <c r="B1002" s="14" t="s">
        <v>1132</v>
      </c>
      <c r="C1002" s="14" t="s">
        <v>13029</v>
      </c>
      <c r="D1002" s="15">
        <v>14.75</v>
      </c>
      <c r="E1002" s="16" t="s">
        <v>30</v>
      </c>
    </row>
    <row r="1003" spans="1:5" x14ac:dyDescent="0.25">
      <c r="A1003" s="14">
        <v>138568</v>
      </c>
      <c r="B1003" s="14" t="s">
        <v>1133</v>
      </c>
      <c r="C1003" s="14" t="s">
        <v>13031</v>
      </c>
      <c r="D1003" s="15">
        <v>7.98</v>
      </c>
      <c r="E1003" s="16" t="s">
        <v>30</v>
      </c>
    </row>
    <row r="1004" spans="1:5" x14ac:dyDescent="0.25">
      <c r="A1004" s="14">
        <v>142781</v>
      </c>
      <c r="B1004" s="14" t="s">
        <v>1134</v>
      </c>
      <c r="C1004" s="14" t="s">
        <v>13031</v>
      </c>
      <c r="D1004" s="15">
        <v>27.11</v>
      </c>
      <c r="E1004" s="14" t="s">
        <v>30</v>
      </c>
    </row>
    <row r="1005" spans="1:5" x14ac:dyDescent="0.25">
      <c r="A1005" s="14">
        <v>145031</v>
      </c>
      <c r="B1005" s="14" t="s">
        <v>1135</v>
      </c>
      <c r="C1005" s="14" t="s">
        <v>13029</v>
      </c>
      <c r="D1005" s="15">
        <v>20.63</v>
      </c>
      <c r="E1005" s="14" t="s">
        <v>30</v>
      </c>
    </row>
    <row r="1006" spans="1:5" x14ac:dyDescent="0.25">
      <c r="A1006" s="14">
        <v>145122</v>
      </c>
      <c r="B1006" s="14" t="s">
        <v>1136</v>
      </c>
      <c r="C1006" s="14" t="s">
        <v>13030</v>
      </c>
      <c r="D1006" s="15">
        <v>0.75</v>
      </c>
      <c r="E1006" s="16" t="s">
        <v>30</v>
      </c>
    </row>
    <row r="1007" spans="1:5" x14ac:dyDescent="0.25">
      <c r="A1007" s="14">
        <v>147239</v>
      </c>
      <c r="B1007" s="14" t="s">
        <v>1137</v>
      </c>
      <c r="C1007" s="14" t="s">
        <v>13030</v>
      </c>
      <c r="D1007" s="15">
        <v>49.42</v>
      </c>
      <c r="E1007" s="16" t="s">
        <v>30</v>
      </c>
    </row>
    <row r="1008" spans="1:5" x14ac:dyDescent="0.25">
      <c r="A1008" s="14">
        <v>147571</v>
      </c>
      <c r="B1008" s="14" t="s">
        <v>1138</v>
      </c>
      <c r="C1008" s="14" t="s">
        <v>13031</v>
      </c>
      <c r="D1008" s="15">
        <v>7.98</v>
      </c>
      <c r="E1008" s="16" t="s">
        <v>30</v>
      </c>
    </row>
    <row r="1009" spans="1:5" x14ac:dyDescent="0.25">
      <c r="A1009" s="14">
        <v>148341</v>
      </c>
      <c r="B1009" s="14" t="s">
        <v>1139</v>
      </c>
      <c r="C1009" s="14" t="s">
        <v>13030</v>
      </c>
      <c r="D1009" s="15">
        <v>19.89</v>
      </c>
      <c r="E1009" s="16" t="s">
        <v>30</v>
      </c>
    </row>
    <row r="1010" spans="1:5" x14ac:dyDescent="0.25">
      <c r="A1010" s="14">
        <v>148344</v>
      </c>
      <c r="B1010" s="14" t="s">
        <v>1140</v>
      </c>
      <c r="C1010" s="14" t="s">
        <v>13029</v>
      </c>
      <c r="D1010" s="15">
        <v>9.4499999999999993</v>
      </c>
      <c r="E1010" s="16" t="s">
        <v>30</v>
      </c>
    </row>
    <row r="1011" spans="1:5" x14ac:dyDescent="0.25">
      <c r="A1011" s="14">
        <v>148404</v>
      </c>
      <c r="B1011" s="14" t="s">
        <v>1141</v>
      </c>
      <c r="C1011" s="14" t="s">
        <v>13029</v>
      </c>
      <c r="D1011" s="15">
        <v>22.18</v>
      </c>
      <c r="E1011" s="16" t="s">
        <v>30</v>
      </c>
    </row>
    <row r="1012" spans="1:5" x14ac:dyDescent="0.25">
      <c r="A1012" s="14">
        <v>148407</v>
      </c>
      <c r="B1012" s="14" t="s">
        <v>1142</v>
      </c>
      <c r="C1012" s="14" t="s">
        <v>13029</v>
      </c>
      <c r="D1012" s="15">
        <v>10.08</v>
      </c>
      <c r="E1012" s="16" t="s">
        <v>30</v>
      </c>
    </row>
    <row r="1013" spans="1:5" x14ac:dyDescent="0.25">
      <c r="A1013" s="14">
        <v>148698</v>
      </c>
      <c r="B1013" s="14" t="s">
        <v>1143</v>
      </c>
      <c r="C1013" s="14" t="s">
        <v>13031</v>
      </c>
      <c r="D1013" s="15">
        <v>10.199999999999999</v>
      </c>
      <c r="E1013" s="16" t="s">
        <v>30</v>
      </c>
    </row>
    <row r="1014" spans="1:5" x14ac:dyDescent="0.25">
      <c r="A1014" s="14">
        <v>148967</v>
      </c>
      <c r="B1014" s="14" t="s">
        <v>1144</v>
      </c>
      <c r="C1014" s="14" t="s">
        <v>13029</v>
      </c>
      <c r="D1014" s="15">
        <v>5.76</v>
      </c>
      <c r="E1014" s="16" t="s">
        <v>30</v>
      </c>
    </row>
    <row r="1015" spans="1:5" x14ac:dyDescent="0.25">
      <c r="A1015" s="14">
        <v>149799</v>
      </c>
      <c r="B1015" s="14" t="s">
        <v>1145</v>
      </c>
      <c r="C1015" s="14" t="s">
        <v>13031</v>
      </c>
      <c r="D1015" s="15">
        <v>14.11</v>
      </c>
      <c r="E1015" s="16" t="s">
        <v>30</v>
      </c>
    </row>
    <row r="1016" spans="1:5" x14ac:dyDescent="0.25">
      <c r="A1016" s="14">
        <v>151027</v>
      </c>
      <c r="B1016" s="14" t="s">
        <v>1146</v>
      </c>
      <c r="C1016" s="14" t="s">
        <v>13029</v>
      </c>
      <c r="D1016" s="15">
        <v>7.26</v>
      </c>
      <c r="E1016" s="16" t="s">
        <v>30</v>
      </c>
    </row>
    <row r="1017" spans="1:5" x14ac:dyDescent="0.25">
      <c r="A1017" s="14">
        <v>151684</v>
      </c>
      <c r="B1017" s="14" t="s">
        <v>1147</v>
      </c>
      <c r="C1017" s="14" t="s">
        <v>13029</v>
      </c>
      <c r="D1017" s="15">
        <v>23.48</v>
      </c>
      <c r="E1017" s="16" t="s">
        <v>30</v>
      </c>
    </row>
    <row r="1018" spans="1:5" x14ac:dyDescent="0.25">
      <c r="A1018" s="14">
        <v>152362</v>
      </c>
      <c r="B1018" s="14" t="s">
        <v>1148</v>
      </c>
      <c r="C1018" s="14" t="s">
        <v>13030</v>
      </c>
      <c r="D1018" s="15">
        <v>39.82</v>
      </c>
      <c r="E1018" s="16" t="s">
        <v>30</v>
      </c>
    </row>
    <row r="1019" spans="1:5" x14ac:dyDescent="0.25">
      <c r="A1019" s="14">
        <v>152540</v>
      </c>
      <c r="B1019" s="14" t="s">
        <v>1149</v>
      </c>
      <c r="C1019" s="14" t="s">
        <v>13033</v>
      </c>
      <c r="D1019" s="15">
        <v>13.72</v>
      </c>
      <c r="E1019" s="16" t="s">
        <v>30</v>
      </c>
    </row>
    <row r="1020" spans="1:5" x14ac:dyDescent="0.25">
      <c r="A1020" s="14">
        <v>45959</v>
      </c>
      <c r="B1020" s="14" t="s">
        <v>1150</v>
      </c>
      <c r="C1020" s="14" t="s">
        <v>13031</v>
      </c>
      <c r="D1020" s="15">
        <v>9.44</v>
      </c>
      <c r="E1020" s="16" t="s">
        <v>20</v>
      </c>
    </row>
    <row r="1021" spans="1:5" x14ac:dyDescent="0.25">
      <c r="A1021" s="14">
        <v>152899</v>
      </c>
      <c r="B1021" s="14" t="s">
        <v>1151</v>
      </c>
      <c r="C1021" s="14" t="s">
        <v>13031</v>
      </c>
      <c r="D1021" s="15">
        <v>20.8</v>
      </c>
      <c r="E1021" s="16" t="s">
        <v>30</v>
      </c>
    </row>
    <row r="1022" spans="1:5" x14ac:dyDescent="0.25">
      <c r="A1022" s="14">
        <v>154046</v>
      </c>
      <c r="B1022" s="14" t="s">
        <v>1152</v>
      </c>
      <c r="C1022" s="14" t="s">
        <v>13030</v>
      </c>
      <c r="D1022" s="15">
        <v>2.5</v>
      </c>
      <c r="E1022" s="16" t="s">
        <v>30</v>
      </c>
    </row>
    <row r="1023" spans="1:5" x14ac:dyDescent="0.25">
      <c r="A1023" s="14">
        <v>154355</v>
      </c>
      <c r="B1023" s="14" t="s">
        <v>1153</v>
      </c>
      <c r="C1023" s="14" t="s">
        <v>13031</v>
      </c>
      <c r="D1023" s="15">
        <v>4.28</v>
      </c>
      <c r="E1023" s="16" t="s">
        <v>30</v>
      </c>
    </row>
    <row r="1024" spans="1:5" x14ac:dyDescent="0.25">
      <c r="A1024" s="14">
        <v>155676</v>
      </c>
      <c r="B1024" s="14" t="s">
        <v>1154</v>
      </c>
      <c r="C1024" s="14" t="s">
        <v>13030</v>
      </c>
      <c r="D1024" s="15">
        <v>50.35</v>
      </c>
      <c r="E1024" s="16" t="s">
        <v>30</v>
      </c>
    </row>
    <row r="1025" spans="1:5" x14ac:dyDescent="0.25">
      <c r="A1025" s="14">
        <v>155997</v>
      </c>
      <c r="B1025" s="14" t="s">
        <v>1155</v>
      </c>
      <c r="C1025" s="14" t="s">
        <v>13030</v>
      </c>
      <c r="D1025" s="15">
        <v>9.7100000000000009</v>
      </c>
      <c r="E1025" s="16" t="s">
        <v>30</v>
      </c>
    </row>
    <row r="1026" spans="1:5" x14ac:dyDescent="0.25">
      <c r="A1026" s="14">
        <v>156130</v>
      </c>
      <c r="B1026" s="14" t="s">
        <v>1156</v>
      </c>
      <c r="C1026" s="14" t="s">
        <v>13029</v>
      </c>
      <c r="D1026" s="15">
        <v>3.29</v>
      </c>
      <c r="E1026" s="16" t="s">
        <v>30</v>
      </c>
    </row>
    <row r="1027" spans="1:5" x14ac:dyDescent="0.25">
      <c r="A1027" s="14">
        <v>158395</v>
      </c>
      <c r="B1027" s="14" t="s">
        <v>1157</v>
      </c>
      <c r="C1027" s="14" t="s">
        <v>13030</v>
      </c>
      <c r="D1027" s="15">
        <v>57.23</v>
      </c>
      <c r="E1027" s="16" t="s">
        <v>30</v>
      </c>
    </row>
    <row r="1028" spans="1:5" x14ac:dyDescent="0.25">
      <c r="A1028" s="14">
        <v>158646</v>
      </c>
      <c r="B1028" s="14" t="s">
        <v>1158</v>
      </c>
      <c r="C1028" s="14" t="s">
        <v>13030</v>
      </c>
      <c r="D1028" s="15">
        <v>128.19999999999999</v>
      </c>
      <c r="E1028" s="16" t="s">
        <v>30</v>
      </c>
    </row>
    <row r="1029" spans="1:5" x14ac:dyDescent="0.25">
      <c r="A1029" s="14">
        <v>159752</v>
      </c>
      <c r="B1029" s="14" t="s">
        <v>1159</v>
      </c>
      <c r="C1029" s="14" t="s">
        <v>13030</v>
      </c>
      <c r="D1029" s="15">
        <v>46.86</v>
      </c>
      <c r="E1029" s="16" t="s">
        <v>30</v>
      </c>
    </row>
    <row r="1030" spans="1:5" x14ac:dyDescent="0.25">
      <c r="A1030" s="14">
        <v>159837</v>
      </c>
      <c r="B1030" s="14" t="s">
        <v>1160</v>
      </c>
      <c r="C1030" s="14" t="s">
        <v>13029</v>
      </c>
      <c r="D1030" s="15">
        <v>9.0399999999999991</v>
      </c>
      <c r="E1030" s="16" t="s">
        <v>30</v>
      </c>
    </row>
    <row r="1031" spans="1:5" x14ac:dyDescent="0.25">
      <c r="A1031" s="14">
        <v>159873</v>
      </c>
      <c r="B1031" s="14" t="s">
        <v>1161</v>
      </c>
      <c r="C1031" s="14" t="s">
        <v>13030</v>
      </c>
      <c r="D1031" s="15">
        <v>71.959999999999994</v>
      </c>
      <c r="E1031" s="16" t="s">
        <v>30</v>
      </c>
    </row>
    <row r="1032" spans="1:5" x14ac:dyDescent="0.25">
      <c r="A1032" s="14">
        <v>45965</v>
      </c>
      <c r="B1032" s="14" t="s">
        <v>1162</v>
      </c>
      <c r="C1032" s="14" t="s">
        <v>13031</v>
      </c>
      <c r="D1032" s="15">
        <v>12.97</v>
      </c>
      <c r="E1032" s="16" t="s">
        <v>20</v>
      </c>
    </row>
    <row r="1033" spans="1:5" x14ac:dyDescent="0.25">
      <c r="A1033" s="14">
        <v>46733</v>
      </c>
      <c r="B1033" s="14" t="s">
        <v>1163</v>
      </c>
      <c r="C1033" s="14" t="s">
        <v>13031</v>
      </c>
      <c r="D1033" s="15">
        <v>11.17</v>
      </c>
      <c r="E1033" s="16" t="s">
        <v>20</v>
      </c>
    </row>
    <row r="1034" spans="1:5" x14ac:dyDescent="0.25">
      <c r="A1034" s="14">
        <v>160191</v>
      </c>
      <c r="B1034" s="14" t="s">
        <v>1164</v>
      </c>
      <c r="C1034" s="14" t="s">
        <v>13029</v>
      </c>
      <c r="D1034" s="15">
        <v>29.24</v>
      </c>
      <c r="E1034" s="16" t="s">
        <v>30</v>
      </c>
    </row>
    <row r="1035" spans="1:5" x14ac:dyDescent="0.25">
      <c r="A1035" s="14">
        <v>101485</v>
      </c>
      <c r="B1035" s="14" t="s">
        <v>1165</v>
      </c>
      <c r="C1035" s="14" t="s">
        <v>13030</v>
      </c>
      <c r="D1035" s="15">
        <v>19</v>
      </c>
      <c r="E1035" s="16" t="s">
        <v>20</v>
      </c>
    </row>
    <row r="1036" spans="1:5" x14ac:dyDescent="0.25">
      <c r="A1036" s="14">
        <v>160263</v>
      </c>
      <c r="B1036" s="14" t="s">
        <v>1166</v>
      </c>
      <c r="C1036" s="14" t="s">
        <v>13031</v>
      </c>
      <c r="D1036" s="15">
        <v>7.83</v>
      </c>
      <c r="E1036" s="16" t="s">
        <v>30</v>
      </c>
    </row>
    <row r="1037" spans="1:5" x14ac:dyDescent="0.25">
      <c r="A1037" s="14">
        <v>160304</v>
      </c>
      <c r="B1037" s="14" t="s">
        <v>1167</v>
      </c>
      <c r="C1037" s="14" t="s">
        <v>13031</v>
      </c>
      <c r="D1037" s="15">
        <v>2.95</v>
      </c>
      <c r="E1037" s="16" t="s">
        <v>30</v>
      </c>
    </row>
    <row r="1038" spans="1:5" x14ac:dyDescent="0.25">
      <c r="A1038" s="14">
        <v>160435</v>
      </c>
      <c r="B1038" s="14" t="s">
        <v>1168</v>
      </c>
      <c r="C1038" s="14" t="s">
        <v>13030</v>
      </c>
      <c r="D1038" s="15">
        <v>63.21</v>
      </c>
      <c r="E1038" s="16" t="s">
        <v>30</v>
      </c>
    </row>
    <row r="1039" spans="1:5" x14ac:dyDescent="0.25">
      <c r="A1039" s="14">
        <v>160551</v>
      </c>
      <c r="B1039" s="14" t="s">
        <v>1169</v>
      </c>
      <c r="C1039" s="14" t="s">
        <v>13030</v>
      </c>
      <c r="D1039" s="15">
        <v>76.37</v>
      </c>
      <c r="E1039" s="16" t="s">
        <v>30</v>
      </c>
    </row>
    <row r="1040" spans="1:5" x14ac:dyDescent="0.25">
      <c r="A1040" s="14">
        <v>160880</v>
      </c>
      <c r="B1040" s="14" t="s">
        <v>1170</v>
      </c>
      <c r="C1040" s="14" t="s">
        <v>13033</v>
      </c>
      <c r="D1040" s="15">
        <v>8.33</v>
      </c>
      <c r="E1040" s="16" t="s">
        <v>30</v>
      </c>
    </row>
    <row r="1041" spans="1:5" x14ac:dyDescent="0.25">
      <c r="A1041" s="14">
        <v>161252</v>
      </c>
      <c r="B1041" s="14" t="s">
        <v>1171</v>
      </c>
      <c r="C1041" s="14" t="s">
        <v>13031</v>
      </c>
      <c r="D1041" s="15">
        <v>40.5</v>
      </c>
      <c r="E1041" s="16" t="s">
        <v>30</v>
      </c>
    </row>
    <row r="1042" spans="1:5" x14ac:dyDescent="0.25">
      <c r="A1042" s="14">
        <v>162775</v>
      </c>
      <c r="B1042" s="14" t="s">
        <v>1172</v>
      </c>
      <c r="C1042" s="14" t="s">
        <v>13029</v>
      </c>
      <c r="D1042" s="15">
        <v>23.48</v>
      </c>
      <c r="E1042" s="16" t="s">
        <v>30</v>
      </c>
    </row>
    <row r="1043" spans="1:5" x14ac:dyDescent="0.25">
      <c r="A1043" s="14">
        <v>163258</v>
      </c>
      <c r="B1043" s="14" t="s">
        <v>1173</v>
      </c>
      <c r="C1043" s="14" t="s">
        <v>13030</v>
      </c>
      <c r="D1043" s="15">
        <v>31.2</v>
      </c>
      <c r="E1043" s="16" t="s">
        <v>30</v>
      </c>
    </row>
    <row r="1044" spans="1:5" x14ac:dyDescent="0.25">
      <c r="A1044" s="14">
        <v>163478</v>
      </c>
      <c r="B1044" s="14" t="s">
        <v>1174</v>
      </c>
      <c r="C1044" s="14" t="s">
        <v>13029</v>
      </c>
      <c r="D1044" s="15">
        <v>11.01</v>
      </c>
      <c r="E1044" s="16" t="s">
        <v>30</v>
      </c>
    </row>
    <row r="1045" spans="1:5" x14ac:dyDescent="0.25">
      <c r="A1045" s="14">
        <v>163493</v>
      </c>
      <c r="B1045" s="14" t="s">
        <v>1175</v>
      </c>
      <c r="C1045" s="14" t="s">
        <v>13031</v>
      </c>
      <c r="D1045" s="15">
        <v>7.93</v>
      </c>
      <c r="E1045" s="14" t="s">
        <v>30</v>
      </c>
    </row>
    <row r="1046" spans="1:5" x14ac:dyDescent="0.25">
      <c r="A1046" s="14">
        <v>163496</v>
      </c>
      <c r="B1046" s="14" t="s">
        <v>1176</v>
      </c>
      <c r="C1046" s="14" t="s">
        <v>13031</v>
      </c>
      <c r="D1046" s="15">
        <v>5.95</v>
      </c>
      <c r="E1046" s="14" t="s">
        <v>30</v>
      </c>
    </row>
    <row r="1047" spans="1:5" x14ac:dyDescent="0.25">
      <c r="A1047" s="14">
        <v>164230</v>
      </c>
      <c r="B1047" s="14" t="s">
        <v>1177</v>
      </c>
      <c r="C1047" s="14" t="s">
        <v>13029</v>
      </c>
      <c r="D1047" s="15">
        <v>11.45</v>
      </c>
      <c r="E1047" s="16" t="s">
        <v>30</v>
      </c>
    </row>
    <row r="1048" spans="1:5" x14ac:dyDescent="0.25">
      <c r="A1048" s="14">
        <v>164450</v>
      </c>
      <c r="B1048" s="14" t="s">
        <v>1178</v>
      </c>
      <c r="C1048" s="14" t="s">
        <v>13031</v>
      </c>
      <c r="D1048" s="15">
        <v>39</v>
      </c>
      <c r="E1048" s="14" t="s">
        <v>30</v>
      </c>
    </row>
    <row r="1049" spans="1:5" x14ac:dyDescent="0.25">
      <c r="A1049" s="14">
        <v>164489</v>
      </c>
      <c r="B1049" s="14" t="s">
        <v>1179</v>
      </c>
      <c r="C1049" s="14" t="s">
        <v>13030</v>
      </c>
      <c r="D1049" s="15">
        <v>28.92</v>
      </c>
      <c r="E1049" s="16" t="s">
        <v>30</v>
      </c>
    </row>
    <row r="1050" spans="1:5" x14ac:dyDescent="0.25">
      <c r="A1050" s="14">
        <v>165152</v>
      </c>
      <c r="B1050" s="14" t="s">
        <v>1180</v>
      </c>
      <c r="C1050" s="14" t="s">
        <v>13030</v>
      </c>
      <c r="D1050" s="15">
        <v>98.14</v>
      </c>
      <c r="E1050" s="16" t="s">
        <v>30</v>
      </c>
    </row>
    <row r="1051" spans="1:5" x14ac:dyDescent="0.25">
      <c r="A1051" s="14">
        <v>47857</v>
      </c>
      <c r="B1051" s="14" t="s">
        <v>1181</v>
      </c>
      <c r="C1051" s="14" t="s">
        <v>13031</v>
      </c>
      <c r="D1051" s="15">
        <v>12.09</v>
      </c>
      <c r="E1051" s="16" t="s">
        <v>20</v>
      </c>
    </row>
    <row r="1052" spans="1:5" x14ac:dyDescent="0.25">
      <c r="A1052" s="14">
        <v>166885</v>
      </c>
      <c r="B1052" s="14" t="s">
        <v>1182</v>
      </c>
      <c r="C1052" s="14" t="s">
        <v>13031</v>
      </c>
      <c r="D1052" s="15">
        <v>23.67</v>
      </c>
      <c r="E1052" s="16" t="s">
        <v>30</v>
      </c>
    </row>
    <row r="1053" spans="1:5" x14ac:dyDescent="0.25">
      <c r="A1053" s="14">
        <v>166894</v>
      </c>
      <c r="B1053" s="14" t="s">
        <v>1183</v>
      </c>
      <c r="C1053" s="14" t="s">
        <v>13031</v>
      </c>
      <c r="D1053" s="15">
        <v>23.67</v>
      </c>
      <c r="E1053" s="16" t="s">
        <v>30</v>
      </c>
    </row>
    <row r="1054" spans="1:5" x14ac:dyDescent="0.25">
      <c r="A1054" s="14">
        <v>166901</v>
      </c>
      <c r="B1054" s="14" t="s">
        <v>1184</v>
      </c>
      <c r="C1054" s="14" t="s">
        <v>13031</v>
      </c>
      <c r="D1054" s="15">
        <v>23.67</v>
      </c>
      <c r="E1054" s="16" t="s">
        <v>30</v>
      </c>
    </row>
    <row r="1055" spans="1:5" x14ac:dyDescent="0.25">
      <c r="A1055" s="14">
        <v>168281</v>
      </c>
      <c r="B1055" s="14" t="s">
        <v>1185</v>
      </c>
      <c r="C1055" s="14" t="s">
        <v>13031</v>
      </c>
      <c r="D1055" s="15">
        <v>23.67</v>
      </c>
      <c r="E1055" s="16" t="s">
        <v>30</v>
      </c>
    </row>
    <row r="1056" spans="1:5" x14ac:dyDescent="0.25">
      <c r="A1056" s="14">
        <v>169483</v>
      </c>
      <c r="B1056" s="14" t="s">
        <v>1186</v>
      </c>
      <c r="C1056" s="14" t="s">
        <v>13030</v>
      </c>
      <c r="D1056" s="15">
        <v>48.77</v>
      </c>
      <c r="E1056" s="16" t="s">
        <v>30</v>
      </c>
    </row>
    <row r="1057" spans="1:5" x14ac:dyDescent="0.25">
      <c r="A1057" s="14">
        <v>169950</v>
      </c>
      <c r="B1057" s="14" t="s">
        <v>1187</v>
      </c>
      <c r="C1057" s="14" t="s">
        <v>13031</v>
      </c>
      <c r="D1057" s="15">
        <v>7.34</v>
      </c>
      <c r="E1057" s="16" t="s">
        <v>30</v>
      </c>
    </row>
    <row r="1058" spans="1:5" x14ac:dyDescent="0.25">
      <c r="A1058" s="14">
        <v>170568</v>
      </c>
      <c r="B1058" s="14" t="s">
        <v>1188</v>
      </c>
      <c r="C1058" s="14" t="s">
        <v>13031</v>
      </c>
      <c r="D1058" s="15">
        <v>9.66</v>
      </c>
      <c r="E1058" s="16" t="s">
        <v>30</v>
      </c>
    </row>
    <row r="1059" spans="1:5" x14ac:dyDescent="0.25">
      <c r="A1059" s="14">
        <v>170606</v>
      </c>
      <c r="B1059" s="14" t="s">
        <v>1189</v>
      </c>
      <c r="C1059" s="14" t="s">
        <v>13031</v>
      </c>
      <c r="D1059" s="15">
        <v>2.2999999999999998</v>
      </c>
      <c r="E1059" s="16" t="s">
        <v>30</v>
      </c>
    </row>
    <row r="1060" spans="1:5" x14ac:dyDescent="0.25">
      <c r="A1060" s="14">
        <v>170615</v>
      </c>
      <c r="B1060" s="14" t="s">
        <v>1190</v>
      </c>
      <c r="C1060" s="14" t="s">
        <v>13031</v>
      </c>
      <c r="D1060" s="15">
        <v>2.2999999999999998</v>
      </c>
      <c r="E1060" s="16" t="s">
        <v>30</v>
      </c>
    </row>
    <row r="1061" spans="1:5" x14ac:dyDescent="0.25">
      <c r="A1061" s="14">
        <v>170638</v>
      </c>
      <c r="B1061" s="14" t="s">
        <v>1191</v>
      </c>
      <c r="C1061" s="14" t="s">
        <v>13031</v>
      </c>
      <c r="D1061" s="15">
        <v>9.25</v>
      </c>
      <c r="E1061" s="14" t="s">
        <v>30</v>
      </c>
    </row>
    <row r="1062" spans="1:5" x14ac:dyDescent="0.25">
      <c r="A1062" s="14">
        <v>170643</v>
      </c>
      <c r="B1062" s="14" t="s">
        <v>1192</v>
      </c>
      <c r="C1062" s="14" t="s">
        <v>13031</v>
      </c>
      <c r="D1062" s="15">
        <v>9.25</v>
      </c>
      <c r="E1062" s="14" t="s">
        <v>30</v>
      </c>
    </row>
    <row r="1063" spans="1:5" x14ac:dyDescent="0.25">
      <c r="A1063" s="14">
        <v>170645</v>
      </c>
      <c r="B1063" s="14" t="s">
        <v>1193</v>
      </c>
      <c r="C1063" s="14" t="s">
        <v>13031</v>
      </c>
      <c r="D1063" s="15">
        <v>22.47</v>
      </c>
      <c r="E1063" s="14" t="s">
        <v>30</v>
      </c>
    </row>
    <row r="1064" spans="1:5" x14ac:dyDescent="0.25">
      <c r="A1064" s="14">
        <v>171756</v>
      </c>
      <c r="B1064" s="14" t="s">
        <v>1194</v>
      </c>
      <c r="C1064" s="14" t="s">
        <v>13031</v>
      </c>
      <c r="D1064" s="15">
        <v>24.5</v>
      </c>
      <c r="E1064" s="16" t="s">
        <v>30</v>
      </c>
    </row>
    <row r="1065" spans="1:5" x14ac:dyDescent="0.25">
      <c r="A1065" s="14">
        <v>171827</v>
      </c>
      <c r="B1065" s="14" t="s">
        <v>1195</v>
      </c>
      <c r="C1065" s="14" t="s">
        <v>13030</v>
      </c>
      <c r="D1065" s="15">
        <v>29.91</v>
      </c>
      <c r="E1065" s="16" t="s">
        <v>30</v>
      </c>
    </row>
    <row r="1066" spans="1:5" x14ac:dyDescent="0.25">
      <c r="A1066" s="14">
        <v>172346</v>
      </c>
      <c r="B1066" s="14" t="s">
        <v>1196</v>
      </c>
      <c r="C1066" s="14" t="s">
        <v>13030</v>
      </c>
      <c r="D1066" s="15">
        <v>27.03</v>
      </c>
      <c r="E1066" s="16" t="s">
        <v>30</v>
      </c>
    </row>
    <row r="1067" spans="1:5" x14ac:dyDescent="0.25">
      <c r="A1067" s="14">
        <v>172361</v>
      </c>
      <c r="B1067" s="14" t="s">
        <v>1197</v>
      </c>
      <c r="C1067" s="14" t="s">
        <v>13030</v>
      </c>
      <c r="D1067" s="15">
        <v>44.24</v>
      </c>
      <c r="E1067" s="16" t="s">
        <v>30</v>
      </c>
    </row>
    <row r="1068" spans="1:5" x14ac:dyDescent="0.25">
      <c r="A1068" s="14">
        <v>172826</v>
      </c>
      <c r="B1068" s="14" t="s">
        <v>1198</v>
      </c>
      <c r="C1068" s="14" t="s">
        <v>13030</v>
      </c>
      <c r="D1068" s="15">
        <v>45.28</v>
      </c>
      <c r="E1068" s="16" t="s">
        <v>30</v>
      </c>
    </row>
    <row r="1069" spans="1:5" x14ac:dyDescent="0.25">
      <c r="A1069" s="14">
        <v>174591</v>
      </c>
      <c r="B1069" s="14" t="s">
        <v>1199</v>
      </c>
      <c r="C1069" s="14" t="s">
        <v>13031</v>
      </c>
      <c r="D1069" s="15">
        <v>29.53</v>
      </c>
      <c r="E1069" s="16" t="s">
        <v>30</v>
      </c>
    </row>
    <row r="1070" spans="1:5" x14ac:dyDescent="0.25">
      <c r="A1070" s="14">
        <v>174593</v>
      </c>
      <c r="B1070" s="14" t="s">
        <v>1200</v>
      </c>
      <c r="C1070" s="14" t="s">
        <v>13031</v>
      </c>
      <c r="D1070" s="15">
        <v>51.38</v>
      </c>
      <c r="E1070" s="16" t="s">
        <v>30</v>
      </c>
    </row>
    <row r="1071" spans="1:5" x14ac:dyDescent="0.25">
      <c r="A1071" s="14">
        <v>174596</v>
      </c>
      <c r="B1071" s="14" t="s">
        <v>1201</v>
      </c>
      <c r="C1071" s="14" t="s">
        <v>13031</v>
      </c>
      <c r="D1071" s="15">
        <v>25.65</v>
      </c>
      <c r="E1071" s="16" t="s">
        <v>30</v>
      </c>
    </row>
    <row r="1072" spans="1:5" x14ac:dyDescent="0.25">
      <c r="A1072" s="14">
        <v>174597</v>
      </c>
      <c r="B1072" s="14" t="s">
        <v>1202</v>
      </c>
      <c r="C1072" s="14" t="s">
        <v>13031</v>
      </c>
      <c r="D1072" s="15">
        <v>44.66</v>
      </c>
      <c r="E1072" s="16" t="s">
        <v>30</v>
      </c>
    </row>
    <row r="1073" spans="1:5" x14ac:dyDescent="0.25">
      <c r="A1073" s="14">
        <v>178331</v>
      </c>
      <c r="B1073" s="14" t="s">
        <v>1203</v>
      </c>
      <c r="C1073" s="14" t="s">
        <v>13031</v>
      </c>
      <c r="D1073" s="15">
        <v>10.76</v>
      </c>
      <c r="E1073" s="16" t="s">
        <v>30</v>
      </c>
    </row>
    <row r="1074" spans="1:5" x14ac:dyDescent="0.25">
      <c r="A1074" s="14">
        <v>179105</v>
      </c>
      <c r="B1074" s="14" t="s">
        <v>1204</v>
      </c>
      <c r="C1074" s="14" t="s">
        <v>13031</v>
      </c>
      <c r="D1074" s="15">
        <v>7.42</v>
      </c>
      <c r="E1074" s="16" t="s">
        <v>30</v>
      </c>
    </row>
    <row r="1075" spans="1:5" x14ac:dyDescent="0.25">
      <c r="A1075" s="14">
        <v>179355</v>
      </c>
      <c r="B1075" s="14" t="s">
        <v>1205</v>
      </c>
      <c r="C1075" s="14" t="s">
        <v>13031</v>
      </c>
      <c r="D1075" s="15">
        <v>5.0999999999999996</v>
      </c>
      <c r="E1075" s="16" t="s">
        <v>30</v>
      </c>
    </row>
    <row r="1076" spans="1:5" x14ac:dyDescent="0.25">
      <c r="A1076" s="14">
        <v>179356</v>
      </c>
      <c r="B1076" s="14" t="s">
        <v>1206</v>
      </c>
      <c r="C1076" s="14" t="s">
        <v>13031</v>
      </c>
      <c r="D1076" s="15">
        <v>10.8</v>
      </c>
      <c r="E1076" s="16" t="s">
        <v>30</v>
      </c>
    </row>
    <row r="1077" spans="1:5" x14ac:dyDescent="0.25">
      <c r="A1077" s="14">
        <v>91045</v>
      </c>
      <c r="B1077" s="14" t="s">
        <v>1207</v>
      </c>
      <c r="C1077" s="14" t="s">
        <v>13030</v>
      </c>
      <c r="D1077" s="15">
        <v>339.95</v>
      </c>
      <c r="E1077" s="14" t="s">
        <v>20</v>
      </c>
    </row>
    <row r="1078" spans="1:5" x14ac:dyDescent="0.25">
      <c r="A1078" s="14">
        <v>66026</v>
      </c>
      <c r="B1078" s="14" t="s">
        <v>1208</v>
      </c>
      <c r="C1078" s="14" t="s">
        <v>13031</v>
      </c>
      <c r="D1078" s="15">
        <v>29.24</v>
      </c>
      <c r="E1078" s="16" t="s">
        <v>20</v>
      </c>
    </row>
    <row r="1079" spans="1:5" x14ac:dyDescent="0.25">
      <c r="A1079" s="14">
        <v>179796</v>
      </c>
      <c r="B1079" s="14" t="s">
        <v>1209</v>
      </c>
      <c r="C1079" s="14" t="s">
        <v>13029</v>
      </c>
      <c r="D1079" s="15">
        <v>8.2100000000000009</v>
      </c>
      <c r="E1079" s="16" t="s">
        <v>30</v>
      </c>
    </row>
    <row r="1080" spans="1:5" x14ac:dyDescent="0.25">
      <c r="A1080" s="14">
        <v>179979</v>
      </c>
      <c r="B1080" s="14" t="s">
        <v>1210</v>
      </c>
      <c r="C1080" s="14" t="s">
        <v>13031</v>
      </c>
      <c r="D1080" s="15">
        <v>2.16</v>
      </c>
      <c r="E1080" s="16" t="s">
        <v>30</v>
      </c>
    </row>
    <row r="1081" spans="1:5" x14ac:dyDescent="0.25">
      <c r="A1081" s="14">
        <v>179984</v>
      </c>
      <c r="B1081" s="14" t="s">
        <v>1211</v>
      </c>
      <c r="C1081" s="14" t="s">
        <v>13031</v>
      </c>
      <c r="D1081" s="15">
        <v>18.46</v>
      </c>
      <c r="E1081" s="16" t="s">
        <v>30</v>
      </c>
    </row>
    <row r="1082" spans="1:5" x14ac:dyDescent="0.25">
      <c r="A1082" s="14">
        <v>180959</v>
      </c>
      <c r="B1082" s="14" t="s">
        <v>1212</v>
      </c>
      <c r="C1082" s="14" t="s">
        <v>13030</v>
      </c>
      <c r="D1082" s="15">
        <v>22.73</v>
      </c>
      <c r="E1082" s="16" t="s">
        <v>30</v>
      </c>
    </row>
    <row r="1083" spans="1:5" x14ac:dyDescent="0.25">
      <c r="A1083" s="14">
        <v>181010</v>
      </c>
      <c r="B1083" s="14" t="s">
        <v>1213</v>
      </c>
      <c r="C1083" s="14" t="s">
        <v>13029</v>
      </c>
      <c r="D1083" s="15">
        <v>12.17</v>
      </c>
      <c r="E1083" s="16" t="s">
        <v>30</v>
      </c>
    </row>
    <row r="1084" spans="1:5" x14ac:dyDescent="0.25">
      <c r="A1084" s="14">
        <v>181335</v>
      </c>
      <c r="B1084" s="14" t="s">
        <v>1214</v>
      </c>
      <c r="C1084" s="14" t="s">
        <v>13030</v>
      </c>
      <c r="D1084" s="15">
        <v>1.6</v>
      </c>
      <c r="E1084" s="16" t="s">
        <v>30</v>
      </c>
    </row>
    <row r="1085" spans="1:5" x14ac:dyDescent="0.25">
      <c r="A1085" s="14">
        <v>181569</v>
      </c>
      <c r="B1085" s="14" t="s">
        <v>1215</v>
      </c>
      <c r="C1085" s="14" t="s">
        <v>13030</v>
      </c>
      <c r="D1085" s="15">
        <v>109.65</v>
      </c>
      <c r="E1085" s="16" t="s">
        <v>30</v>
      </c>
    </row>
    <row r="1086" spans="1:5" x14ac:dyDescent="0.25">
      <c r="A1086" s="14">
        <v>181901</v>
      </c>
      <c r="B1086" s="14" t="s">
        <v>1216</v>
      </c>
      <c r="C1086" s="14" t="s">
        <v>13029</v>
      </c>
      <c r="D1086" s="15">
        <v>4.6500000000000004</v>
      </c>
      <c r="E1086" s="16" t="s">
        <v>30</v>
      </c>
    </row>
    <row r="1087" spans="1:5" x14ac:dyDescent="0.25">
      <c r="A1087" s="14">
        <v>181982</v>
      </c>
      <c r="B1087" s="14" t="s">
        <v>1217</v>
      </c>
      <c r="C1087" s="14" t="s">
        <v>13030</v>
      </c>
      <c r="D1087" s="15">
        <v>17.3</v>
      </c>
      <c r="E1087" s="16" t="s">
        <v>30</v>
      </c>
    </row>
    <row r="1088" spans="1:5" x14ac:dyDescent="0.25">
      <c r="A1088" s="14">
        <v>182018</v>
      </c>
      <c r="B1088" s="14" t="s">
        <v>1218</v>
      </c>
      <c r="C1088" s="14" t="s">
        <v>13031</v>
      </c>
      <c r="D1088" s="15">
        <v>6.5</v>
      </c>
      <c r="E1088" s="16" t="s">
        <v>30</v>
      </c>
    </row>
    <row r="1089" spans="1:5" x14ac:dyDescent="0.25">
      <c r="A1089" s="14">
        <v>182136</v>
      </c>
      <c r="B1089" s="14" t="s">
        <v>1219</v>
      </c>
      <c r="C1089" s="14" t="s">
        <v>13031</v>
      </c>
      <c r="D1089" s="15">
        <v>2.19</v>
      </c>
      <c r="E1089" s="16" t="s">
        <v>30</v>
      </c>
    </row>
    <row r="1090" spans="1:5" x14ac:dyDescent="0.25">
      <c r="A1090" s="14">
        <v>182138</v>
      </c>
      <c r="B1090" s="14" t="s">
        <v>1220</v>
      </c>
      <c r="C1090" s="14" t="s">
        <v>13031</v>
      </c>
      <c r="D1090" s="15">
        <v>2.27</v>
      </c>
      <c r="E1090" s="16" t="s">
        <v>30</v>
      </c>
    </row>
    <row r="1091" spans="1:5" x14ac:dyDescent="0.25">
      <c r="A1091" s="14">
        <v>182139</v>
      </c>
      <c r="B1091" s="14" t="s">
        <v>1221</v>
      </c>
      <c r="C1091" s="14" t="s">
        <v>13031</v>
      </c>
      <c r="D1091" s="15">
        <v>2.19</v>
      </c>
      <c r="E1091" s="16" t="s">
        <v>30</v>
      </c>
    </row>
    <row r="1092" spans="1:5" x14ac:dyDescent="0.25">
      <c r="A1092" s="14">
        <v>182140</v>
      </c>
      <c r="B1092" s="14" t="s">
        <v>1222</v>
      </c>
      <c r="C1092" s="14" t="s">
        <v>13031</v>
      </c>
      <c r="D1092" s="15">
        <v>1.76</v>
      </c>
      <c r="E1092" s="16" t="s">
        <v>30</v>
      </c>
    </row>
    <row r="1093" spans="1:5" x14ac:dyDescent="0.25">
      <c r="A1093" s="14">
        <v>182141</v>
      </c>
      <c r="B1093" s="14" t="s">
        <v>1223</v>
      </c>
      <c r="C1093" s="14" t="s">
        <v>13031</v>
      </c>
      <c r="D1093" s="15">
        <v>1.9</v>
      </c>
      <c r="E1093" s="16" t="s">
        <v>30</v>
      </c>
    </row>
    <row r="1094" spans="1:5" x14ac:dyDescent="0.25">
      <c r="A1094" s="14">
        <v>182142</v>
      </c>
      <c r="B1094" s="14" t="s">
        <v>1224</v>
      </c>
      <c r="C1094" s="14" t="s">
        <v>13031</v>
      </c>
      <c r="D1094" s="15">
        <v>2.19</v>
      </c>
      <c r="E1094" s="16" t="s">
        <v>30</v>
      </c>
    </row>
    <row r="1095" spans="1:5" x14ac:dyDescent="0.25">
      <c r="A1095" s="14">
        <v>70124</v>
      </c>
      <c r="B1095" s="14" t="s">
        <v>1225</v>
      </c>
      <c r="C1095" s="14" t="s">
        <v>13031</v>
      </c>
      <c r="D1095" s="15">
        <v>9.3000000000000007</v>
      </c>
      <c r="E1095" s="16" t="s">
        <v>20</v>
      </c>
    </row>
    <row r="1096" spans="1:5" x14ac:dyDescent="0.25">
      <c r="A1096" s="14">
        <v>70125</v>
      </c>
      <c r="B1096" s="14" t="s">
        <v>1226</v>
      </c>
      <c r="C1096" s="14" t="s">
        <v>13031</v>
      </c>
      <c r="D1096" s="15">
        <v>11.3</v>
      </c>
      <c r="E1096" s="16" t="s">
        <v>20</v>
      </c>
    </row>
    <row r="1097" spans="1:5" x14ac:dyDescent="0.25">
      <c r="A1097" s="14">
        <v>182146</v>
      </c>
      <c r="B1097" s="14" t="s">
        <v>1227</v>
      </c>
      <c r="C1097" s="14" t="s">
        <v>13031</v>
      </c>
      <c r="D1097" s="15">
        <v>2.27</v>
      </c>
      <c r="E1097" s="16" t="s">
        <v>30</v>
      </c>
    </row>
    <row r="1098" spans="1:5" x14ac:dyDescent="0.25">
      <c r="A1098" s="14">
        <v>182147</v>
      </c>
      <c r="B1098" s="14" t="s">
        <v>1228</v>
      </c>
      <c r="C1098" s="14" t="s">
        <v>13031</v>
      </c>
      <c r="D1098" s="15">
        <v>2.19</v>
      </c>
      <c r="E1098" s="16" t="s">
        <v>30</v>
      </c>
    </row>
    <row r="1099" spans="1:5" x14ac:dyDescent="0.25">
      <c r="A1099" s="14">
        <v>182148</v>
      </c>
      <c r="B1099" s="14" t="s">
        <v>1229</v>
      </c>
      <c r="C1099" s="14" t="s">
        <v>13031</v>
      </c>
      <c r="D1099" s="15">
        <v>1.76</v>
      </c>
      <c r="E1099" s="16" t="s">
        <v>30</v>
      </c>
    </row>
    <row r="1100" spans="1:5" x14ac:dyDescent="0.25">
      <c r="A1100" s="14">
        <v>182149</v>
      </c>
      <c r="B1100" s="14" t="s">
        <v>1230</v>
      </c>
      <c r="C1100" s="14" t="s">
        <v>13031</v>
      </c>
      <c r="D1100" s="15">
        <v>1.9</v>
      </c>
      <c r="E1100" s="16" t="s">
        <v>30</v>
      </c>
    </row>
    <row r="1101" spans="1:5" x14ac:dyDescent="0.25">
      <c r="A1101" s="14">
        <v>182247</v>
      </c>
      <c r="B1101" s="14" t="s">
        <v>1231</v>
      </c>
      <c r="C1101" s="14" t="s">
        <v>13030</v>
      </c>
      <c r="D1101" s="15">
        <v>46.75</v>
      </c>
      <c r="E1101" s="16" t="s">
        <v>30</v>
      </c>
    </row>
    <row r="1102" spans="1:5" x14ac:dyDescent="0.25">
      <c r="A1102" s="14">
        <v>182274</v>
      </c>
      <c r="B1102" s="14" t="s">
        <v>1232</v>
      </c>
      <c r="C1102" s="14" t="s">
        <v>13031</v>
      </c>
      <c r="D1102" s="15">
        <v>37.68</v>
      </c>
      <c r="E1102" s="14" t="s">
        <v>30</v>
      </c>
    </row>
    <row r="1103" spans="1:5" x14ac:dyDescent="0.25">
      <c r="A1103" s="14">
        <v>182317</v>
      </c>
      <c r="B1103" s="14" t="s">
        <v>1233</v>
      </c>
      <c r="C1103" s="14" t="s">
        <v>13030</v>
      </c>
      <c r="D1103" s="15">
        <v>252.06</v>
      </c>
      <c r="E1103" s="16" t="s">
        <v>30</v>
      </c>
    </row>
    <row r="1104" spans="1:5" x14ac:dyDescent="0.25">
      <c r="A1104" s="14">
        <v>182323</v>
      </c>
      <c r="B1104" s="14" t="s">
        <v>1234</v>
      </c>
      <c r="C1104" s="14" t="s">
        <v>13030</v>
      </c>
      <c r="D1104" s="15">
        <v>136.80000000000001</v>
      </c>
      <c r="E1104" s="16" t="s">
        <v>30</v>
      </c>
    </row>
    <row r="1105" spans="1:5" x14ac:dyDescent="0.25">
      <c r="A1105" s="14">
        <v>183193</v>
      </c>
      <c r="B1105" s="14" t="s">
        <v>1235</v>
      </c>
      <c r="C1105" s="14" t="s">
        <v>13029</v>
      </c>
      <c r="D1105" s="15">
        <v>6</v>
      </c>
      <c r="E1105" s="16" t="s">
        <v>30</v>
      </c>
    </row>
    <row r="1106" spans="1:5" x14ac:dyDescent="0.25">
      <c r="A1106" s="14">
        <v>183231</v>
      </c>
      <c r="B1106" s="14" t="s">
        <v>1236</v>
      </c>
      <c r="C1106" s="14" t="s">
        <v>13034</v>
      </c>
      <c r="D1106" s="15">
        <v>5.38</v>
      </c>
      <c r="E1106" s="16" t="s">
        <v>30</v>
      </c>
    </row>
    <row r="1107" spans="1:5" x14ac:dyDescent="0.25">
      <c r="A1107" s="14">
        <v>183279</v>
      </c>
      <c r="B1107" s="14" t="s">
        <v>1237</v>
      </c>
      <c r="C1107" s="14" t="s">
        <v>13030</v>
      </c>
      <c r="D1107" s="15">
        <v>38.11</v>
      </c>
      <c r="E1107" s="16" t="s">
        <v>30</v>
      </c>
    </row>
    <row r="1108" spans="1:5" x14ac:dyDescent="0.25">
      <c r="A1108" s="14">
        <v>183438</v>
      </c>
      <c r="B1108" s="14" t="s">
        <v>1238</v>
      </c>
      <c r="C1108" s="14" t="s">
        <v>13031</v>
      </c>
      <c r="D1108" s="15">
        <v>2.5499999999999998</v>
      </c>
      <c r="E1108" s="16" t="s">
        <v>30</v>
      </c>
    </row>
    <row r="1109" spans="1:5" x14ac:dyDescent="0.25">
      <c r="A1109" s="14">
        <v>183651</v>
      </c>
      <c r="B1109" s="14" t="s">
        <v>1239</v>
      </c>
      <c r="C1109" s="14" t="s">
        <v>13029</v>
      </c>
      <c r="D1109" s="15">
        <v>11.99</v>
      </c>
      <c r="E1109" s="16" t="s">
        <v>30</v>
      </c>
    </row>
    <row r="1110" spans="1:5" x14ac:dyDescent="0.25">
      <c r="A1110" s="14">
        <v>184208</v>
      </c>
      <c r="B1110" s="14" t="s">
        <v>1240</v>
      </c>
      <c r="C1110" s="14" t="s">
        <v>13031</v>
      </c>
      <c r="D1110" s="15">
        <v>23.13</v>
      </c>
      <c r="E1110" s="14" t="s">
        <v>30</v>
      </c>
    </row>
    <row r="1111" spans="1:5" x14ac:dyDescent="0.25">
      <c r="A1111" s="14">
        <v>184349</v>
      </c>
      <c r="B1111" s="14" t="s">
        <v>1241</v>
      </c>
      <c r="C1111" s="14" t="s">
        <v>13030</v>
      </c>
      <c r="D1111" s="15">
        <v>25.86</v>
      </c>
      <c r="E1111" s="14" t="s">
        <v>30</v>
      </c>
    </row>
    <row r="1112" spans="1:5" x14ac:dyDescent="0.25">
      <c r="A1112" s="14">
        <v>184887</v>
      </c>
      <c r="B1112" s="14" t="s">
        <v>1242</v>
      </c>
      <c r="C1112" s="14" t="s">
        <v>13029</v>
      </c>
      <c r="D1112" s="15">
        <v>21.47</v>
      </c>
      <c r="E1112" s="16" t="s">
        <v>30</v>
      </c>
    </row>
    <row r="1113" spans="1:5" x14ac:dyDescent="0.25">
      <c r="A1113" s="14">
        <v>185969</v>
      </c>
      <c r="B1113" s="14" t="s">
        <v>1243</v>
      </c>
      <c r="C1113" s="14" t="s">
        <v>13029</v>
      </c>
      <c r="D1113" s="15">
        <v>47.92</v>
      </c>
      <c r="E1113" s="16" t="s">
        <v>30</v>
      </c>
    </row>
    <row r="1114" spans="1:5" x14ac:dyDescent="0.25">
      <c r="A1114" s="14">
        <v>185981</v>
      </c>
      <c r="B1114" s="14" t="s">
        <v>1244</v>
      </c>
      <c r="C1114" s="14" t="s">
        <v>13029</v>
      </c>
      <c r="D1114" s="15">
        <v>51.79</v>
      </c>
      <c r="E1114" s="16" t="s">
        <v>30</v>
      </c>
    </row>
    <row r="1115" spans="1:5" x14ac:dyDescent="0.25">
      <c r="A1115" s="14">
        <v>186215</v>
      </c>
      <c r="B1115" s="14" t="s">
        <v>1245</v>
      </c>
      <c r="C1115" s="14" t="s">
        <v>13029</v>
      </c>
      <c r="D1115" s="15">
        <v>16.2</v>
      </c>
      <c r="E1115" s="16" t="s">
        <v>30</v>
      </c>
    </row>
    <row r="1116" spans="1:5" x14ac:dyDescent="0.25">
      <c r="A1116" s="14">
        <v>187610</v>
      </c>
      <c r="B1116" s="14" t="s">
        <v>1246</v>
      </c>
      <c r="C1116" s="14" t="s">
        <v>13031</v>
      </c>
      <c r="D1116" s="15">
        <v>4.45</v>
      </c>
      <c r="E1116" s="16" t="s">
        <v>30</v>
      </c>
    </row>
    <row r="1117" spans="1:5" x14ac:dyDescent="0.25">
      <c r="A1117" s="14">
        <v>187787</v>
      </c>
      <c r="B1117" s="14" t="s">
        <v>1247</v>
      </c>
      <c r="C1117" s="14" t="s">
        <v>13030</v>
      </c>
      <c r="D1117" s="15">
        <v>27.73</v>
      </c>
      <c r="E1117" s="16" t="s">
        <v>30</v>
      </c>
    </row>
    <row r="1118" spans="1:5" x14ac:dyDescent="0.25">
      <c r="A1118" s="14">
        <v>188154</v>
      </c>
      <c r="B1118" s="14" t="s">
        <v>1248</v>
      </c>
      <c r="C1118" s="14" t="s">
        <v>13029</v>
      </c>
      <c r="D1118" s="15">
        <v>11.68</v>
      </c>
      <c r="E1118" s="16" t="s">
        <v>30</v>
      </c>
    </row>
    <row r="1119" spans="1:5" x14ac:dyDescent="0.25">
      <c r="A1119" s="14">
        <v>189210</v>
      </c>
      <c r="B1119" s="14" t="s">
        <v>1249</v>
      </c>
      <c r="C1119" s="14" t="s">
        <v>13029</v>
      </c>
      <c r="D1119" s="15">
        <v>7.67</v>
      </c>
      <c r="E1119" s="16" t="s">
        <v>30</v>
      </c>
    </row>
    <row r="1120" spans="1:5" x14ac:dyDescent="0.25">
      <c r="A1120" s="14">
        <v>189232</v>
      </c>
      <c r="B1120" s="14" t="s">
        <v>1250</v>
      </c>
      <c r="C1120" s="14" t="s">
        <v>13029</v>
      </c>
      <c r="D1120" s="15">
        <v>15.85</v>
      </c>
      <c r="E1120" s="16" t="s">
        <v>30</v>
      </c>
    </row>
    <row r="1121" spans="1:5" x14ac:dyDescent="0.25">
      <c r="A1121" s="14">
        <v>189233</v>
      </c>
      <c r="B1121" s="14" t="s">
        <v>1251</v>
      </c>
      <c r="C1121" s="14" t="s">
        <v>13029</v>
      </c>
      <c r="D1121" s="15">
        <v>30.55</v>
      </c>
      <c r="E1121" s="16" t="s">
        <v>30</v>
      </c>
    </row>
    <row r="1122" spans="1:5" x14ac:dyDescent="0.25">
      <c r="A1122" s="14">
        <v>189504</v>
      </c>
      <c r="B1122" s="14" t="s">
        <v>1252</v>
      </c>
      <c r="C1122" s="14" t="s">
        <v>13030</v>
      </c>
      <c r="D1122" s="15">
        <v>44</v>
      </c>
      <c r="E1122" s="16" t="s">
        <v>30</v>
      </c>
    </row>
    <row r="1123" spans="1:5" x14ac:dyDescent="0.25">
      <c r="A1123" s="14">
        <v>189518</v>
      </c>
      <c r="B1123" s="14" t="s">
        <v>1253</v>
      </c>
      <c r="C1123" s="14" t="s">
        <v>13029</v>
      </c>
      <c r="D1123" s="15">
        <v>22.6</v>
      </c>
      <c r="E1123" s="14" t="s">
        <v>30</v>
      </c>
    </row>
    <row r="1124" spans="1:5" x14ac:dyDescent="0.25">
      <c r="A1124" s="14">
        <v>189549</v>
      </c>
      <c r="B1124" s="14" t="s">
        <v>1254</v>
      </c>
      <c r="C1124" s="14" t="s">
        <v>13030</v>
      </c>
      <c r="D1124" s="15">
        <v>20.82</v>
      </c>
      <c r="E1124" s="16" t="s">
        <v>30</v>
      </c>
    </row>
    <row r="1125" spans="1:5" x14ac:dyDescent="0.25">
      <c r="A1125" s="14">
        <v>190011</v>
      </c>
      <c r="B1125" s="14" t="s">
        <v>1255</v>
      </c>
      <c r="C1125" s="14" t="s">
        <v>13031</v>
      </c>
      <c r="D1125" s="15">
        <v>1.75</v>
      </c>
      <c r="E1125" s="16" t="s">
        <v>30</v>
      </c>
    </row>
    <row r="1126" spans="1:5" x14ac:dyDescent="0.25">
      <c r="A1126" s="14">
        <v>190018</v>
      </c>
      <c r="B1126" s="14" t="s">
        <v>1256</v>
      </c>
      <c r="C1126" s="14" t="s">
        <v>13031</v>
      </c>
      <c r="D1126" s="15">
        <v>1.75</v>
      </c>
      <c r="E1126" s="16" t="s">
        <v>30</v>
      </c>
    </row>
    <row r="1127" spans="1:5" x14ac:dyDescent="0.25">
      <c r="A1127" s="14">
        <v>190020</v>
      </c>
      <c r="B1127" s="14" t="s">
        <v>1257</v>
      </c>
      <c r="C1127" s="14" t="s">
        <v>13031</v>
      </c>
      <c r="D1127" s="15">
        <v>1.75</v>
      </c>
      <c r="E1127" s="16" t="s">
        <v>30</v>
      </c>
    </row>
    <row r="1128" spans="1:5" x14ac:dyDescent="0.25">
      <c r="A1128" s="14">
        <v>190280</v>
      </c>
      <c r="B1128" s="14" t="s">
        <v>1258</v>
      </c>
      <c r="C1128" s="14" t="s">
        <v>13030</v>
      </c>
      <c r="D1128" s="15">
        <v>75.14</v>
      </c>
      <c r="E1128" s="16" t="s">
        <v>30</v>
      </c>
    </row>
    <row r="1129" spans="1:5" x14ac:dyDescent="0.25">
      <c r="A1129" s="14">
        <v>190286</v>
      </c>
      <c r="B1129" s="14" t="s">
        <v>1259</v>
      </c>
      <c r="C1129" s="14" t="s">
        <v>13030</v>
      </c>
      <c r="D1129" s="15">
        <v>45.29</v>
      </c>
      <c r="E1129" s="16" t="s">
        <v>30</v>
      </c>
    </row>
    <row r="1130" spans="1:5" x14ac:dyDescent="0.25">
      <c r="A1130" s="14">
        <v>190587</v>
      </c>
      <c r="B1130" s="14" t="s">
        <v>1260</v>
      </c>
      <c r="C1130" s="14" t="s">
        <v>13030</v>
      </c>
      <c r="D1130" s="15">
        <v>20.82</v>
      </c>
      <c r="E1130" s="16" t="s">
        <v>30</v>
      </c>
    </row>
    <row r="1131" spans="1:5" x14ac:dyDescent="0.25">
      <c r="A1131" s="14">
        <v>190795</v>
      </c>
      <c r="B1131" s="14" t="s">
        <v>1261</v>
      </c>
      <c r="C1131" s="14" t="s">
        <v>13030</v>
      </c>
      <c r="D1131" s="15">
        <v>31.2</v>
      </c>
      <c r="E1131" s="16" t="s">
        <v>30</v>
      </c>
    </row>
    <row r="1132" spans="1:5" x14ac:dyDescent="0.25">
      <c r="A1132" s="14">
        <v>190798</v>
      </c>
      <c r="B1132" s="14" t="s">
        <v>1262</v>
      </c>
      <c r="C1132" s="14" t="s">
        <v>13030</v>
      </c>
      <c r="D1132" s="15">
        <v>44.24</v>
      </c>
      <c r="E1132" s="16" t="s">
        <v>30</v>
      </c>
    </row>
    <row r="1133" spans="1:5" x14ac:dyDescent="0.25">
      <c r="A1133" s="14">
        <v>190800</v>
      </c>
      <c r="B1133" s="14" t="s">
        <v>1263</v>
      </c>
      <c r="C1133" s="14" t="s">
        <v>13030</v>
      </c>
      <c r="D1133" s="15">
        <v>44.24</v>
      </c>
      <c r="E1133" s="16" t="s">
        <v>30</v>
      </c>
    </row>
    <row r="1134" spans="1:5" x14ac:dyDescent="0.25">
      <c r="A1134" s="14">
        <v>191088</v>
      </c>
      <c r="B1134" s="14" t="s">
        <v>1264</v>
      </c>
      <c r="C1134" s="14" t="s">
        <v>13030</v>
      </c>
      <c r="D1134" s="15">
        <v>57.56</v>
      </c>
      <c r="E1134" s="14" t="s">
        <v>30</v>
      </c>
    </row>
    <row r="1135" spans="1:5" x14ac:dyDescent="0.25">
      <c r="A1135" s="14">
        <v>191302</v>
      </c>
      <c r="B1135" s="14" t="s">
        <v>1265</v>
      </c>
      <c r="C1135" s="14" t="s">
        <v>13029</v>
      </c>
      <c r="D1135" s="15">
        <v>10.119999999999999</v>
      </c>
      <c r="E1135" s="16" t="s">
        <v>30</v>
      </c>
    </row>
    <row r="1136" spans="1:5" x14ac:dyDescent="0.25">
      <c r="A1136" s="14">
        <v>191427</v>
      </c>
      <c r="B1136" s="14" t="s">
        <v>1266</v>
      </c>
      <c r="C1136" s="14" t="s">
        <v>13031</v>
      </c>
      <c r="D1136" s="15">
        <v>14.82</v>
      </c>
      <c r="E1136" s="16" t="s">
        <v>30</v>
      </c>
    </row>
    <row r="1137" spans="1:5" x14ac:dyDescent="0.25">
      <c r="A1137" s="14">
        <v>192314</v>
      </c>
      <c r="B1137" s="14" t="s">
        <v>1267</v>
      </c>
      <c r="C1137" s="14" t="s">
        <v>13030</v>
      </c>
      <c r="D1137" s="15">
        <v>4.51</v>
      </c>
      <c r="E1137" s="16" t="s">
        <v>30</v>
      </c>
    </row>
    <row r="1138" spans="1:5" x14ac:dyDescent="0.25">
      <c r="A1138" s="14">
        <v>192315</v>
      </c>
      <c r="B1138" s="14" t="s">
        <v>1268</v>
      </c>
      <c r="C1138" s="14" t="s">
        <v>13030</v>
      </c>
      <c r="D1138" s="15">
        <v>5.91</v>
      </c>
      <c r="E1138" s="16" t="s">
        <v>30</v>
      </c>
    </row>
    <row r="1139" spans="1:5" x14ac:dyDescent="0.25">
      <c r="A1139" s="14">
        <v>192817</v>
      </c>
      <c r="B1139" s="14" t="s">
        <v>1269</v>
      </c>
      <c r="C1139" s="14" t="s">
        <v>13029</v>
      </c>
      <c r="D1139" s="15">
        <v>14.73</v>
      </c>
      <c r="E1139" s="16" t="s">
        <v>30</v>
      </c>
    </row>
    <row r="1140" spans="1:5" x14ac:dyDescent="0.25">
      <c r="A1140" s="14">
        <v>194892</v>
      </c>
      <c r="B1140" s="14" t="s">
        <v>1270</v>
      </c>
      <c r="C1140" s="14" t="s">
        <v>13031</v>
      </c>
      <c r="D1140" s="15">
        <v>4.22</v>
      </c>
      <c r="E1140" s="16" t="s">
        <v>30</v>
      </c>
    </row>
    <row r="1141" spans="1:5" x14ac:dyDescent="0.25">
      <c r="A1141" s="14">
        <v>194897</v>
      </c>
      <c r="B1141" s="14" t="s">
        <v>1271</v>
      </c>
      <c r="C1141" s="14" t="s">
        <v>13031</v>
      </c>
      <c r="D1141" s="15">
        <v>6.7</v>
      </c>
      <c r="E1141" s="16" t="s">
        <v>30</v>
      </c>
    </row>
    <row r="1142" spans="1:5" x14ac:dyDescent="0.25">
      <c r="A1142" s="14">
        <v>194898</v>
      </c>
      <c r="B1142" s="14" t="s">
        <v>1272</v>
      </c>
      <c r="C1142" s="14" t="s">
        <v>13031</v>
      </c>
      <c r="D1142" s="15">
        <v>2.2400000000000002</v>
      </c>
      <c r="E1142" s="16" t="s">
        <v>30</v>
      </c>
    </row>
    <row r="1143" spans="1:5" x14ac:dyDescent="0.25">
      <c r="A1143" s="14">
        <v>194899</v>
      </c>
      <c r="B1143" s="14" t="s">
        <v>1273</v>
      </c>
      <c r="C1143" s="14" t="s">
        <v>13031</v>
      </c>
      <c r="D1143" s="15">
        <v>2.31</v>
      </c>
      <c r="E1143" s="16" t="s">
        <v>30</v>
      </c>
    </row>
    <row r="1144" spans="1:5" x14ac:dyDescent="0.25">
      <c r="A1144" s="14">
        <v>195090</v>
      </c>
      <c r="B1144" s="14" t="s">
        <v>1274</v>
      </c>
      <c r="C1144" s="14" t="s">
        <v>13034</v>
      </c>
      <c r="D1144" s="15">
        <v>5.0599999999999996</v>
      </c>
      <c r="E1144" s="16" t="s">
        <v>30</v>
      </c>
    </row>
    <row r="1145" spans="1:5" x14ac:dyDescent="0.25">
      <c r="A1145" s="14">
        <v>195124</v>
      </c>
      <c r="B1145" s="14" t="s">
        <v>1275</v>
      </c>
      <c r="C1145" s="14" t="s">
        <v>13034</v>
      </c>
      <c r="D1145" s="15">
        <v>8.5</v>
      </c>
      <c r="E1145" s="16" t="s">
        <v>30</v>
      </c>
    </row>
    <row r="1146" spans="1:5" x14ac:dyDescent="0.25">
      <c r="A1146" s="14">
        <v>195125</v>
      </c>
      <c r="B1146" s="14" t="s">
        <v>1276</v>
      </c>
      <c r="C1146" s="14" t="s">
        <v>13034</v>
      </c>
      <c r="D1146" s="15">
        <v>9.4</v>
      </c>
      <c r="E1146" s="16" t="s">
        <v>30</v>
      </c>
    </row>
    <row r="1147" spans="1:5" x14ac:dyDescent="0.25">
      <c r="A1147" s="14">
        <v>127638</v>
      </c>
      <c r="B1147" s="14" t="s">
        <v>1277</v>
      </c>
      <c r="C1147" s="14" t="s">
        <v>13030</v>
      </c>
      <c r="D1147" s="15">
        <v>17.61</v>
      </c>
      <c r="E1147" s="16" t="s">
        <v>20</v>
      </c>
    </row>
    <row r="1148" spans="1:5" x14ac:dyDescent="0.25">
      <c r="A1148" s="14">
        <v>195129</v>
      </c>
      <c r="B1148" s="14" t="s">
        <v>1278</v>
      </c>
      <c r="C1148" s="14" t="s">
        <v>13034</v>
      </c>
      <c r="D1148" s="15">
        <v>5.38</v>
      </c>
      <c r="E1148" s="16" t="s">
        <v>30</v>
      </c>
    </row>
    <row r="1149" spans="1:5" x14ac:dyDescent="0.25">
      <c r="A1149" s="14">
        <v>195183</v>
      </c>
      <c r="B1149" s="14" t="s">
        <v>1279</v>
      </c>
      <c r="C1149" s="14" t="s">
        <v>13031</v>
      </c>
      <c r="D1149" s="15">
        <v>9.1300000000000008</v>
      </c>
      <c r="E1149" s="16" t="s">
        <v>30</v>
      </c>
    </row>
    <row r="1150" spans="1:5" x14ac:dyDescent="0.25">
      <c r="A1150" s="14">
        <v>195544</v>
      </c>
      <c r="B1150" s="14" t="s">
        <v>1280</v>
      </c>
      <c r="C1150" s="14" t="s">
        <v>13031</v>
      </c>
      <c r="D1150" s="15">
        <v>7.24</v>
      </c>
      <c r="E1150" s="16" t="s">
        <v>30</v>
      </c>
    </row>
    <row r="1151" spans="1:5" x14ac:dyDescent="0.25">
      <c r="A1151" s="14">
        <v>195679</v>
      </c>
      <c r="B1151" s="14" t="s">
        <v>1281</v>
      </c>
      <c r="C1151" s="14" t="s">
        <v>13031</v>
      </c>
      <c r="D1151" s="15">
        <v>6.45</v>
      </c>
      <c r="E1151" s="16" t="s">
        <v>30</v>
      </c>
    </row>
    <row r="1152" spans="1:5" x14ac:dyDescent="0.25">
      <c r="A1152" s="14">
        <v>195823</v>
      </c>
      <c r="B1152" s="14" t="s">
        <v>1282</v>
      </c>
      <c r="C1152" s="14" t="s">
        <v>13030</v>
      </c>
      <c r="D1152" s="15">
        <v>42.64</v>
      </c>
      <c r="E1152" s="16" t="s">
        <v>30</v>
      </c>
    </row>
    <row r="1153" spans="1:5" x14ac:dyDescent="0.25">
      <c r="A1153" s="14">
        <v>127639</v>
      </c>
      <c r="B1153" s="14" t="s">
        <v>1283</v>
      </c>
      <c r="C1153" s="14" t="s">
        <v>13030</v>
      </c>
      <c r="D1153" s="15">
        <v>33.130000000000003</v>
      </c>
      <c r="E1153" s="16" t="s">
        <v>20</v>
      </c>
    </row>
    <row r="1154" spans="1:5" x14ac:dyDescent="0.25">
      <c r="A1154" s="14">
        <v>127640</v>
      </c>
      <c r="B1154" s="14" t="s">
        <v>1284</v>
      </c>
      <c r="C1154" s="14" t="s">
        <v>13030</v>
      </c>
      <c r="D1154" s="15">
        <v>72.33</v>
      </c>
      <c r="E1154" s="16" t="s">
        <v>20</v>
      </c>
    </row>
    <row r="1155" spans="1:5" x14ac:dyDescent="0.25">
      <c r="A1155" s="14">
        <v>74982</v>
      </c>
      <c r="B1155" s="14" t="s">
        <v>1285</v>
      </c>
      <c r="C1155" s="14" t="s">
        <v>13031</v>
      </c>
      <c r="D1155" s="15">
        <v>16.55</v>
      </c>
      <c r="E1155" s="16" t="s">
        <v>20</v>
      </c>
    </row>
    <row r="1156" spans="1:5" x14ac:dyDescent="0.25">
      <c r="A1156" s="14">
        <v>81364</v>
      </c>
      <c r="B1156" s="14" t="s">
        <v>1286</v>
      </c>
      <c r="C1156" s="14" t="s">
        <v>13031</v>
      </c>
      <c r="D1156" s="15">
        <v>12.96</v>
      </c>
      <c r="E1156" s="16" t="s">
        <v>20</v>
      </c>
    </row>
    <row r="1157" spans="1:5" x14ac:dyDescent="0.25">
      <c r="A1157" s="14">
        <v>196162</v>
      </c>
      <c r="B1157" s="14" t="s">
        <v>1287</v>
      </c>
      <c r="C1157" s="14" t="s">
        <v>13029</v>
      </c>
      <c r="D1157" s="15">
        <v>17</v>
      </c>
      <c r="E1157" s="16" t="s">
        <v>30</v>
      </c>
    </row>
    <row r="1158" spans="1:5" x14ac:dyDescent="0.25">
      <c r="A1158" s="14">
        <v>196164</v>
      </c>
      <c r="B1158" s="14" t="s">
        <v>1288</v>
      </c>
      <c r="C1158" s="14" t="s">
        <v>13029</v>
      </c>
      <c r="D1158" s="15">
        <v>23.48</v>
      </c>
      <c r="E1158" s="16" t="s">
        <v>30</v>
      </c>
    </row>
    <row r="1159" spans="1:5" x14ac:dyDescent="0.25">
      <c r="A1159" s="14">
        <v>197127</v>
      </c>
      <c r="B1159" s="14" t="s">
        <v>1289</v>
      </c>
      <c r="C1159" s="14" t="s">
        <v>13031</v>
      </c>
      <c r="D1159" s="15">
        <v>4.33</v>
      </c>
      <c r="E1159" s="16" t="s">
        <v>30</v>
      </c>
    </row>
    <row r="1160" spans="1:5" x14ac:dyDescent="0.25">
      <c r="A1160" s="14">
        <v>197161</v>
      </c>
      <c r="B1160" s="14" t="s">
        <v>1290</v>
      </c>
      <c r="C1160" s="14" t="s">
        <v>13029</v>
      </c>
      <c r="D1160" s="15">
        <v>4.6100000000000003</v>
      </c>
      <c r="E1160" s="16" t="s">
        <v>30</v>
      </c>
    </row>
    <row r="1161" spans="1:5" x14ac:dyDescent="0.25">
      <c r="A1161" s="14">
        <v>197470</v>
      </c>
      <c r="B1161" s="14" t="s">
        <v>1291</v>
      </c>
      <c r="C1161" s="14" t="s">
        <v>13030</v>
      </c>
      <c r="D1161" s="15">
        <v>78.459999999999994</v>
      </c>
      <c r="E1161" s="16" t="s">
        <v>30</v>
      </c>
    </row>
    <row r="1162" spans="1:5" x14ac:dyDescent="0.25">
      <c r="A1162" s="14">
        <v>197680</v>
      </c>
      <c r="B1162" s="14" t="s">
        <v>117</v>
      </c>
      <c r="C1162" s="14" t="s">
        <v>13030</v>
      </c>
      <c r="D1162" s="15">
        <v>27.03</v>
      </c>
      <c r="E1162" s="16" t="s">
        <v>30</v>
      </c>
    </row>
    <row r="1163" spans="1:5" x14ac:dyDescent="0.25">
      <c r="A1163" s="14">
        <v>198347</v>
      </c>
      <c r="B1163" s="14" t="s">
        <v>1292</v>
      </c>
      <c r="C1163" s="14" t="s">
        <v>13030</v>
      </c>
      <c r="D1163" s="15">
        <v>45.48</v>
      </c>
      <c r="E1163" s="16" t="s">
        <v>30</v>
      </c>
    </row>
    <row r="1164" spans="1:5" x14ac:dyDescent="0.25">
      <c r="A1164" s="14">
        <v>198452</v>
      </c>
      <c r="B1164" s="14" t="s">
        <v>1293</v>
      </c>
      <c r="C1164" s="14" t="s">
        <v>13030</v>
      </c>
      <c r="D1164" s="15">
        <v>23.86</v>
      </c>
      <c r="E1164" s="16" t="s">
        <v>30</v>
      </c>
    </row>
    <row r="1165" spans="1:5" x14ac:dyDescent="0.25">
      <c r="A1165" s="14">
        <v>198668</v>
      </c>
      <c r="B1165" s="14" t="s">
        <v>1294</v>
      </c>
      <c r="C1165" s="14" t="s">
        <v>13030</v>
      </c>
      <c r="D1165" s="15">
        <v>51.26</v>
      </c>
      <c r="E1165" s="16" t="s">
        <v>30</v>
      </c>
    </row>
    <row r="1166" spans="1:5" x14ac:dyDescent="0.25">
      <c r="A1166" s="14">
        <v>198669</v>
      </c>
      <c r="B1166" s="14" t="s">
        <v>1295</v>
      </c>
      <c r="C1166" s="14" t="s">
        <v>13030</v>
      </c>
      <c r="D1166" s="15">
        <v>51.45</v>
      </c>
      <c r="E1166" s="16" t="s">
        <v>30</v>
      </c>
    </row>
    <row r="1167" spans="1:5" x14ac:dyDescent="0.25">
      <c r="A1167" s="14">
        <v>198671</v>
      </c>
      <c r="B1167" s="14" t="s">
        <v>1296</v>
      </c>
      <c r="C1167" s="14" t="s">
        <v>13030</v>
      </c>
      <c r="D1167" s="15">
        <v>21.62</v>
      </c>
      <c r="E1167" s="16" t="s">
        <v>30</v>
      </c>
    </row>
    <row r="1168" spans="1:5" x14ac:dyDescent="0.25">
      <c r="A1168" s="14">
        <v>198754</v>
      </c>
      <c r="B1168" s="14" t="s">
        <v>1297</v>
      </c>
      <c r="C1168" s="14" t="s">
        <v>13030</v>
      </c>
      <c r="D1168" s="15">
        <v>21.57</v>
      </c>
      <c r="E1168" s="16" t="s">
        <v>30</v>
      </c>
    </row>
    <row r="1169" spans="1:5" x14ac:dyDescent="0.25">
      <c r="A1169" s="14">
        <v>198945</v>
      </c>
      <c r="B1169" s="14" t="s">
        <v>1298</v>
      </c>
      <c r="C1169" s="14" t="s">
        <v>13034</v>
      </c>
      <c r="D1169" s="15">
        <v>3.69</v>
      </c>
      <c r="E1169" s="16" t="s">
        <v>30</v>
      </c>
    </row>
    <row r="1170" spans="1:5" x14ac:dyDescent="0.25">
      <c r="A1170" s="14">
        <v>198949</v>
      </c>
      <c r="B1170" s="14" t="s">
        <v>1299</v>
      </c>
      <c r="C1170" s="14" t="s">
        <v>13034</v>
      </c>
      <c r="D1170" s="15">
        <v>3.69</v>
      </c>
      <c r="E1170" s="16" t="s">
        <v>30</v>
      </c>
    </row>
    <row r="1171" spans="1:5" x14ac:dyDescent="0.25">
      <c r="A1171" s="14">
        <v>199238</v>
      </c>
      <c r="B1171" s="14" t="s">
        <v>1300</v>
      </c>
      <c r="C1171" s="14" t="s">
        <v>13029</v>
      </c>
      <c r="D1171" s="15">
        <v>10.15</v>
      </c>
      <c r="E1171" s="14" t="s">
        <v>30</v>
      </c>
    </row>
    <row r="1172" spans="1:5" x14ac:dyDescent="0.25">
      <c r="A1172" s="14">
        <v>199345</v>
      </c>
      <c r="B1172" s="14" t="s">
        <v>1301</v>
      </c>
      <c r="C1172" s="14" t="s">
        <v>13029</v>
      </c>
      <c r="D1172" s="15">
        <v>12.5</v>
      </c>
      <c r="E1172" s="16" t="s">
        <v>30</v>
      </c>
    </row>
    <row r="1173" spans="1:5" x14ac:dyDescent="0.25">
      <c r="A1173" s="14">
        <v>199354</v>
      </c>
      <c r="B1173" s="14" t="s">
        <v>1302</v>
      </c>
      <c r="C1173" s="14" t="s">
        <v>13029</v>
      </c>
      <c r="D1173" s="15">
        <v>4.45</v>
      </c>
      <c r="E1173" s="16" t="s">
        <v>30</v>
      </c>
    </row>
    <row r="1174" spans="1:5" x14ac:dyDescent="0.25">
      <c r="A1174" s="14">
        <v>199626</v>
      </c>
      <c r="B1174" s="14" t="s">
        <v>1303</v>
      </c>
      <c r="C1174" s="14" t="s">
        <v>13029</v>
      </c>
      <c r="D1174" s="15">
        <v>7.29</v>
      </c>
      <c r="E1174" s="16" t="s">
        <v>30</v>
      </c>
    </row>
    <row r="1175" spans="1:5" x14ac:dyDescent="0.25">
      <c r="A1175" s="14">
        <v>142477</v>
      </c>
      <c r="B1175" s="14" t="s">
        <v>1304</v>
      </c>
      <c r="C1175" s="14" t="s">
        <v>13030</v>
      </c>
      <c r="D1175" s="15">
        <v>35.46</v>
      </c>
      <c r="E1175" s="16" t="s">
        <v>20</v>
      </c>
    </row>
    <row r="1176" spans="1:5" x14ac:dyDescent="0.25">
      <c r="A1176" s="14">
        <v>199630</v>
      </c>
      <c r="B1176" s="14" t="s">
        <v>1305</v>
      </c>
      <c r="C1176" s="14" t="s">
        <v>13029</v>
      </c>
      <c r="D1176" s="15">
        <v>2.93</v>
      </c>
      <c r="E1176" s="16" t="s">
        <v>30</v>
      </c>
    </row>
    <row r="1177" spans="1:5" x14ac:dyDescent="0.25">
      <c r="A1177" s="14">
        <v>199738</v>
      </c>
      <c r="B1177" s="14" t="s">
        <v>1306</v>
      </c>
      <c r="C1177" s="14" t="s">
        <v>13029</v>
      </c>
      <c r="D1177" s="15">
        <v>9.4600000000000009</v>
      </c>
      <c r="E1177" s="16" t="s">
        <v>30</v>
      </c>
    </row>
    <row r="1178" spans="1:5" x14ac:dyDescent="0.25">
      <c r="A1178" s="14">
        <v>200123</v>
      </c>
      <c r="B1178" s="14" t="s">
        <v>1307</v>
      </c>
      <c r="C1178" s="14" t="s">
        <v>13030</v>
      </c>
      <c r="D1178" s="15">
        <v>68.37</v>
      </c>
      <c r="E1178" s="16" t="s">
        <v>30</v>
      </c>
    </row>
    <row r="1179" spans="1:5" x14ac:dyDescent="0.25">
      <c r="A1179" s="14">
        <v>200154</v>
      </c>
      <c r="B1179" s="14" t="s">
        <v>1308</v>
      </c>
      <c r="C1179" s="14" t="s">
        <v>13030</v>
      </c>
      <c r="D1179" s="15">
        <v>73.98</v>
      </c>
      <c r="E1179" s="16" t="s">
        <v>30</v>
      </c>
    </row>
    <row r="1180" spans="1:5" x14ac:dyDescent="0.25">
      <c r="A1180" s="14">
        <v>200362</v>
      </c>
      <c r="B1180" s="14" t="s">
        <v>1309</v>
      </c>
      <c r="C1180" s="14" t="s">
        <v>13030</v>
      </c>
      <c r="D1180" s="15">
        <v>169.4</v>
      </c>
      <c r="E1180" s="16" t="s">
        <v>30</v>
      </c>
    </row>
    <row r="1181" spans="1:5" x14ac:dyDescent="0.25">
      <c r="A1181" s="14">
        <v>200420</v>
      </c>
      <c r="B1181" s="14" t="s">
        <v>1310</v>
      </c>
      <c r="C1181" s="14" t="s">
        <v>13034</v>
      </c>
      <c r="D1181" s="15">
        <v>1.76</v>
      </c>
      <c r="E1181" s="16" t="s">
        <v>30</v>
      </c>
    </row>
    <row r="1182" spans="1:5" x14ac:dyDescent="0.25">
      <c r="A1182" s="14">
        <v>202261</v>
      </c>
      <c r="B1182" s="14" t="s">
        <v>1311</v>
      </c>
      <c r="C1182" s="14" t="s">
        <v>13029</v>
      </c>
      <c r="D1182" s="15">
        <v>2.88</v>
      </c>
      <c r="E1182" s="16" t="s">
        <v>30</v>
      </c>
    </row>
    <row r="1183" spans="1:5" x14ac:dyDescent="0.25">
      <c r="A1183" s="14">
        <v>202579</v>
      </c>
      <c r="B1183" s="14" t="s">
        <v>1312</v>
      </c>
      <c r="C1183" s="14" t="s">
        <v>13031</v>
      </c>
      <c r="D1183" s="15">
        <v>6.14</v>
      </c>
      <c r="E1183" s="16" t="s">
        <v>30</v>
      </c>
    </row>
    <row r="1184" spans="1:5" x14ac:dyDescent="0.25">
      <c r="A1184" s="14">
        <v>202825</v>
      </c>
      <c r="B1184" s="14" t="s">
        <v>1313</v>
      </c>
      <c r="C1184" s="14" t="s">
        <v>13031</v>
      </c>
      <c r="D1184" s="15">
        <v>1.02</v>
      </c>
      <c r="E1184" s="16" t="s">
        <v>30</v>
      </c>
    </row>
    <row r="1185" spans="1:5" x14ac:dyDescent="0.25">
      <c r="A1185" s="14">
        <v>203596</v>
      </c>
      <c r="B1185" s="14" t="s">
        <v>1314</v>
      </c>
      <c r="C1185" s="14" t="s">
        <v>13029</v>
      </c>
      <c r="D1185" s="15">
        <v>11.8</v>
      </c>
      <c r="E1185" s="14" t="s">
        <v>30</v>
      </c>
    </row>
    <row r="1186" spans="1:5" x14ac:dyDescent="0.25">
      <c r="A1186" s="14">
        <v>203615</v>
      </c>
      <c r="B1186" s="14" t="s">
        <v>1315</v>
      </c>
      <c r="C1186" s="14" t="s">
        <v>13029</v>
      </c>
      <c r="D1186" s="15">
        <v>13.37</v>
      </c>
      <c r="E1186" s="16" t="s">
        <v>30</v>
      </c>
    </row>
    <row r="1187" spans="1:5" x14ac:dyDescent="0.25">
      <c r="A1187" s="14">
        <v>203687</v>
      </c>
      <c r="B1187" s="14" t="s">
        <v>1316</v>
      </c>
      <c r="C1187" s="14" t="s">
        <v>13031</v>
      </c>
      <c r="D1187" s="15">
        <v>2.29</v>
      </c>
      <c r="E1187" s="16" t="s">
        <v>30</v>
      </c>
    </row>
    <row r="1188" spans="1:5" x14ac:dyDescent="0.25">
      <c r="A1188" s="14">
        <v>203689</v>
      </c>
      <c r="B1188" s="14" t="s">
        <v>1317</v>
      </c>
      <c r="C1188" s="14" t="s">
        <v>13031</v>
      </c>
      <c r="D1188" s="15">
        <v>2.29</v>
      </c>
      <c r="E1188" s="16" t="s">
        <v>30</v>
      </c>
    </row>
    <row r="1189" spans="1:5" x14ac:dyDescent="0.25">
      <c r="A1189" s="14">
        <v>203788</v>
      </c>
      <c r="B1189" s="14" t="s">
        <v>1318</v>
      </c>
      <c r="C1189" s="14" t="s">
        <v>13029</v>
      </c>
      <c r="D1189" s="15">
        <v>2.08</v>
      </c>
      <c r="E1189" s="16" t="s">
        <v>30</v>
      </c>
    </row>
    <row r="1190" spans="1:5" x14ac:dyDescent="0.25">
      <c r="A1190" s="14">
        <v>205456</v>
      </c>
      <c r="B1190" s="14" t="s">
        <v>1319</v>
      </c>
      <c r="C1190" s="14" t="s">
        <v>13030</v>
      </c>
      <c r="D1190" s="15">
        <v>42.64</v>
      </c>
      <c r="E1190" s="16" t="s">
        <v>30</v>
      </c>
    </row>
    <row r="1191" spans="1:5" x14ac:dyDescent="0.25">
      <c r="A1191" s="14">
        <v>205493</v>
      </c>
      <c r="B1191" s="14" t="s">
        <v>1320</v>
      </c>
      <c r="C1191" s="14" t="s">
        <v>13030</v>
      </c>
      <c r="D1191" s="15">
        <v>26.34</v>
      </c>
      <c r="E1191" s="16" t="s">
        <v>30</v>
      </c>
    </row>
    <row r="1192" spans="1:5" x14ac:dyDescent="0.25">
      <c r="A1192" s="14">
        <v>92386</v>
      </c>
      <c r="B1192" s="14" t="s">
        <v>1321</v>
      </c>
      <c r="C1192" s="14" t="s">
        <v>13031</v>
      </c>
      <c r="D1192" s="15">
        <v>11.86</v>
      </c>
      <c r="E1192" s="16" t="s">
        <v>20</v>
      </c>
    </row>
    <row r="1193" spans="1:5" x14ac:dyDescent="0.25">
      <c r="A1193" s="14">
        <v>205529</v>
      </c>
      <c r="B1193" s="14" t="s">
        <v>1322</v>
      </c>
      <c r="C1193" s="14" t="s">
        <v>13030</v>
      </c>
      <c r="D1193" s="15">
        <v>148.63999999999999</v>
      </c>
      <c r="E1193" s="16" t="s">
        <v>30</v>
      </c>
    </row>
    <row r="1194" spans="1:5" x14ac:dyDescent="0.25">
      <c r="A1194" s="14">
        <v>205532</v>
      </c>
      <c r="B1194" s="14" t="s">
        <v>1323</v>
      </c>
      <c r="C1194" s="14" t="s">
        <v>13030</v>
      </c>
      <c r="D1194" s="15">
        <v>33.67</v>
      </c>
      <c r="E1194" s="16" t="s">
        <v>30</v>
      </c>
    </row>
    <row r="1195" spans="1:5" x14ac:dyDescent="0.25">
      <c r="A1195" s="14">
        <v>205738</v>
      </c>
      <c r="B1195" s="14" t="s">
        <v>1324</v>
      </c>
      <c r="C1195" s="14" t="s">
        <v>13029</v>
      </c>
      <c r="D1195" s="15">
        <v>15.35</v>
      </c>
      <c r="E1195" s="16" t="s">
        <v>30</v>
      </c>
    </row>
    <row r="1196" spans="1:5" x14ac:dyDescent="0.25">
      <c r="A1196" s="14">
        <v>205866</v>
      </c>
      <c r="B1196" s="14" t="s">
        <v>1325</v>
      </c>
      <c r="C1196" s="14" t="s">
        <v>13031</v>
      </c>
      <c r="D1196" s="15">
        <v>18.68</v>
      </c>
      <c r="E1196" s="16" t="s">
        <v>30</v>
      </c>
    </row>
    <row r="1197" spans="1:5" x14ac:dyDescent="0.25">
      <c r="A1197" s="14">
        <v>205998</v>
      </c>
      <c r="B1197" s="14" t="s">
        <v>1326</v>
      </c>
      <c r="C1197" s="14" t="s">
        <v>13030</v>
      </c>
      <c r="D1197" s="15">
        <v>12.53</v>
      </c>
      <c r="E1197" s="16" t="s">
        <v>30</v>
      </c>
    </row>
    <row r="1198" spans="1:5" x14ac:dyDescent="0.25">
      <c r="A1198" s="14">
        <v>206022</v>
      </c>
      <c r="B1198" s="14" t="s">
        <v>1327</v>
      </c>
      <c r="C1198" s="14" t="s">
        <v>13030</v>
      </c>
      <c r="D1198" s="15">
        <v>12.53</v>
      </c>
      <c r="E1198" s="16" t="s">
        <v>30</v>
      </c>
    </row>
    <row r="1199" spans="1:5" x14ac:dyDescent="0.25">
      <c r="A1199" s="14">
        <v>208123</v>
      </c>
      <c r="B1199" s="14" t="s">
        <v>1328</v>
      </c>
      <c r="C1199" s="14" t="s">
        <v>13031</v>
      </c>
      <c r="D1199" s="15">
        <v>7.21</v>
      </c>
      <c r="E1199" s="16" t="s">
        <v>30</v>
      </c>
    </row>
    <row r="1200" spans="1:5" x14ac:dyDescent="0.25">
      <c r="A1200" s="14">
        <v>208179</v>
      </c>
      <c r="B1200" s="14" t="s">
        <v>1329</v>
      </c>
      <c r="C1200" s="14" t="s">
        <v>13029</v>
      </c>
      <c r="D1200" s="15">
        <v>5.85</v>
      </c>
      <c r="E1200" s="16" t="s">
        <v>30</v>
      </c>
    </row>
    <row r="1201" spans="1:5" x14ac:dyDescent="0.25">
      <c r="A1201" s="14">
        <v>96888</v>
      </c>
      <c r="B1201" s="14" t="s">
        <v>1330</v>
      </c>
      <c r="C1201" s="14" t="s">
        <v>13031</v>
      </c>
      <c r="D1201" s="15">
        <v>8.3000000000000007</v>
      </c>
      <c r="E1201" s="16" t="s">
        <v>20</v>
      </c>
    </row>
    <row r="1202" spans="1:5" x14ac:dyDescent="0.25">
      <c r="A1202" s="14">
        <v>208180</v>
      </c>
      <c r="B1202" s="14" t="s">
        <v>1331</v>
      </c>
      <c r="C1202" s="14" t="s">
        <v>13030</v>
      </c>
      <c r="D1202" s="15">
        <v>50.83</v>
      </c>
      <c r="E1202" s="16" t="s">
        <v>30</v>
      </c>
    </row>
    <row r="1203" spans="1:5" x14ac:dyDescent="0.25">
      <c r="A1203" s="14">
        <v>208700</v>
      </c>
      <c r="B1203" s="14" t="s">
        <v>1332</v>
      </c>
      <c r="C1203" s="14" t="s">
        <v>13031</v>
      </c>
      <c r="D1203" s="15">
        <v>8.1199999999999992</v>
      </c>
      <c r="E1203" s="16" t="s">
        <v>30</v>
      </c>
    </row>
    <row r="1204" spans="1:5" x14ac:dyDescent="0.25">
      <c r="A1204" s="14">
        <v>208739</v>
      </c>
      <c r="B1204" s="14" t="s">
        <v>1333</v>
      </c>
      <c r="C1204" s="14" t="s">
        <v>13030</v>
      </c>
      <c r="D1204" s="15">
        <v>41.7</v>
      </c>
      <c r="E1204" s="16" t="s">
        <v>30</v>
      </c>
    </row>
    <row r="1205" spans="1:5" x14ac:dyDescent="0.25">
      <c r="A1205" s="14">
        <v>209445</v>
      </c>
      <c r="B1205" s="14" t="s">
        <v>1334</v>
      </c>
      <c r="C1205" s="14" t="s">
        <v>13031</v>
      </c>
      <c r="D1205" s="15">
        <v>1.8</v>
      </c>
      <c r="E1205" s="16" t="s">
        <v>30</v>
      </c>
    </row>
    <row r="1206" spans="1:5" x14ac:dyDescent="0.25">
      <c r="A1206" s="14">
        <v>209446</v>
      </c>
      <c r="B1206" s="14" t="s">
        <v>1335</v>
      </c>
      <c r="C1206" s="14" t="s">
        <v>13031</v>
      </c>
      <c r="D1206" s="15">
        <v>3.28</v>
      </c>
      <c r="E1206" s="16" t="s">
        <v>30</v>
      </c>
    </row>
    <row r="1207" spans="1:5" x14ac:dyDescent="0.25">
      <c r="A1207" s="14">
        <v>210345</v>
      </c>
      <c r="B1207" s="14" t="s">
        <v>1336</v>
      </c>
      <c r="C1207" s="14" t="s">
        <v>13034</v>
      </c>
      <c r="D1207" s="15">
        <v>10.25</v>
      </c>
      <c r="E1207" s="16" t="s">
        <v>30</v>
      </c>
    </row>
    <row r="1208" spans="1:5" x14ac:dyDescent="0.25">
      <c r="A1208" s="14">
        <v>210625</v>
      </c>
      <c r="B1208" s="14" t="s">
        <v>1337</v>
      </c>
      <c r="C1208" s="14" t="s">
        <v>13030</v>
      </c>
      <c r="D1208" s="15">
        <v>152.79</v>
      </c>
      <c r="E1208" s="16" t="s">
        <v>30</v>
      </c>
    </row>
    <row r="1209" spans="1:5" x14ac:dyDescent="0.25">
      <c r="A1209" s="14">
        <v>211051</v>
      </c>
      <c r="B1209" s="14" t="s">
        <v>1338</v>
      </c>
      <c r="C1209" s="14" t="s">
        <v>13031</v>
      </c>
      <c r="D1209" s="15">
        <v>5.94</v>
      </c>
      <c r="E1209" s="16" t="s">
        <v>30</v>
      </c>
    </row>
    <row r="1210" spans="1:5" x14ac:dyDescent="0.25">
      <c r="A1210" s="14">
        <v>212257</v>
      </c>
      <c r="B1210" s="14" t="s">
        <v>1339</v>
      </c>
      <c r="C1210" s="14" t="s">
        <v>13035</v>
      </c>
      <c r="D1210" s="15">
        <v>6.65</v>
      </c>
      <c r="E1210" s="16" t="s">
        <v>30</v>
      </c>
    </row>
    <row r="1211" spans="1:5" x14ac:dyDescent="0.25">
      <c r="A1211" s="14">
        <v>212652</v>
      </c>
      <c r="B1211" s="14" t="s">
        <v>1340</v>
      </c>
      <c r="C1211" s="14" t="s">
        <v>13031</v>
      </c>
      <c r="D1211" s="15">
        <v>11.52</v>
      </c>
      <c r="E1211" s="16" t="s">
        <v>30</v>
      </c>
    </row>
    <row r="1212" spans="1:5" x14ac:dyDescent="0.25">
      <c r="A1212" s="14">
        <v>212653</v>
      </c>
      <c r="B1212" s="14" t="s">
        <v>1341</v>
      </c>
      <c r="C1212" s="14" t="s">
        <v>13031</v>
      </c>
      <c r="D1212" s="15">
        <v>11.52</v>
      </c>
      <c r="E1212" s="16" t="s">
        <v>30</v>
      </c>
    </row>
    <row r="1213" spans="1:5" x14ac:dyDescent="0.25">
      <c r="A1213" s="14">
        <v>215982</v>
      </c>
      <c r="B1213" s="14" t="s">
        <v>1342</v>
      </c>
      <c r="C1213" s="14" t="s">
        <v>13030</v>
      </c>
      <c r="D1213" s="15">
        <v>45.29</v>
      </c>
      <c r="E1213" s="16" t="s">
        <v>30</v>
      </c>
    </row>
    <row r="1214" spans="1:5" x14ac:dyDescent="0.25">
      <c r="A1214" s="14">
        <v>215983</v>
      </c>
      <c r="B1214" s="14" t="s">
        <v>1343</v>
      </c>
      <c r="C1214" s="14" t="s">
        <v>13030</v>
      </c>
      <c r="D1214" s="15">
        <v>45.29</v>
      </c>
      <c r="E1214" s="16" t="s">
        <v>30</v>
      </c>
    </row>
    <row r="1215" spans="1:5" x14ac:dyDescent="0.25">
      <c r="A1215" s="14">
        <v>215984</v>
      </c>
      <c r="B1215" s="14" t="s">
        <v>1344</v>
      </c>
      <c r="C1215" s="14" t="s">
        <v>13030</v>
      </c>
      <c r="D1215" s="15">
        <v>45.29</v>
      </c>
      <c r="E1215" s="16" t="s">
        <v>30</v>
      </c>
    </row>
    <row r="1216" spans="1:5" x14ac:dyDescent="0.25">
      <c r="A1216" s="14">
        <v>217173</v>
      </c>
      <c r="B1216" s="14" t="s">
        <v>1345</v>
      </c>
      <c r="C1216" s="14" t="s">
        <v>13031</v>
      </c>
      <c r="D1216" s="15">
        <v>6.17</v>
      </c>
      <c r="E1216" s="16" t="s">
        <v>30</v>
      </c>
    </row>
    <row r="1217" spans="1:5" x14ac:dyDescent="0.25">
      <c r="A1217" s="14">
        <v>220016</v>
      </c>
      <c r="B1217" s="14" t="s">
        <v>1346</v>
      </c>
      <c r="C1217" s="14" t="s">
        <v>13030</v>
      </c>
      <c r="D1217" s="15">
        <v>62.48</v>
      </c>
      <c r="E1217" s="16" t="s">
        <v>30</v>
      </c>
    </row>
    <row r="1218" spans="1:5" x14ac:dyDescent="0.25">
      <c r="A1218" s="14">
        <v>220017</v>
      </c>
      <c r="B1218" s="14" t="s">
        <v>1347</v>
      </c>
      <c r="C1218" s="14" t="s">
        <v>13030</v>
      </c>
      <c r="D1218" s="15">
        <v>32.6</v>
      </c>
      <c r="E1218" s="16" t="s">
        <v>30</v>
      </c>
    </row>
    <row r="1219" spans="1:5" x14ac:dyDescent="0.25">
      <c r="A1219" s="14">
        <v>220018</v>
      </c>
      <c r="B1219" s="14" t="s">
        <v>1348</v>
      </c>
      <c r="C1219" s="14" t="s">
        <v>13030</v>
      </c>
      <c r="D1219" s="15">
        <v>32.6</v>
      </c>
      <c r="E1219" s="16" t="s">
        <v>30</v>
      </c>
    </row>
    <row r="1220" spans="1:5" x14ac:dyDescent="0.25">
      <c r="A1220" s="14">
        <v>220649</v>
      </c>
      <c r="B1220" s="14" t="s">
        <v>1349</v>
      </c>
      <c r="C1220" s="14" t="s">
        <v>13031</v>
      </c>
      <c r="D1220" s="15">
        <v>3.36</v>
      </c>
      <c r="E1220" s="16" t="s">
        <v>30</v>
      </c>
    </row>
    <row r="1221" spans="1:5" x14ac:dyDescent="0.25">
      <c r="A1221" s="14">
        <v>220653</v>
      </c>
      <c r="B1221" s="14" t="s">
        <v>1350</v>
      </c>
      <c r="C1221" s="14" t="s">
        <v>13031</v>
      </c>
      <c r="D1221" s="15">
        <v>4</v>
      </c>
      <c r="E1221" s="16" t="s">
        <v>30</v>
      </c>
    </row>
    <row r="1222" spans="1:5" x14ac:dyDescent="0.25">
      <c r="A1222" s="14">
        <v>221168</v>
      </c>
      <c r="B1222" s="14" t="s">
        <v>1351</v>
      </c>
      <c r="C1222" s="14" t="s">
        <v>13029</v>
      </c>
      <c r="D1222" s="15">
        <v>29.24</v>
      </c>
      <c r="E1222" s="16" t="s">
        <v>30</v>
      </c>
    </row>
    <row r="1223" spans="1:5" x14ac:dyDescent="0.25">
      <c r="A1223" s="14">
        <v>221197</v>
      </c>
      <c r="B1223" s="14" t="s">
        <v>1352</v>
      </c>
      <c r="C1223" s="14" t="s">
        <v>13031</v>
      </c>
      <c r="D1223" s="15">
        <v>3.28</v>
      </c>
      <c r="E1223" s="16" t="s">
        <v>30</v>
      </c>
    </row>
    <row r="1224" spans="1:5" x14ac:dyDescent="0.25">
      <c r="A1224" s="14">
        <v>221203</v>
      </c>
      <c r="B1224" s="14" t="s">
        <v>1353</v>
      </c>
      <c r="C1224" s="14" t="s">
        <v>13031</v>
      </c>
      <c r="D1224" s="15">
        <v>1.8</v>
      </c>
      <c r="E1224" s="16" t="s">
        <v>30</v>
      </c>
    </row>
    <row r="1225" spans="1:5" x14ac:dyDescent="0.25">
      <c r="A1225" s="14">
        <v>221390</v>
      </c>
      <c r="B1225" s="14" t="s">
        <v>1354</v>
      </c>
      <c r="C1225" s="14" t="s">
        <v>13030</v>
      </c>
      <c r="D1225" s="15">
        <v>12.87</v>
      </c>
      <c r="E1225" s="16" t="s">
        <v>30</v>
      </c>
    </row>
    <row r="1226" spans="1:5" x14ac:dyDescent="0.25">
      <c r="A1226" s="14">
        <v>221412</v>
      </c>
      <c r="B1226" s="14" t="s">
        <v>1355</v>
      </c>
      <c r="C1226" s="14" t="s">
        <v>13031</v>
      </c>
      <c r="D1226" s="15">
        <v>4.5599999999999996</v>
      </c>
      <c r="E1226" s="16" t="s">
        <v>30</v>
      </c>
    </row>
    <row r="1227" spans="1:5" x14ac:dyDescent="0.25">
      <c r="A1227" s="14">
        <v>221507</v>
      </c>
      <c r="B1227" s="14" t="s">
        <v>1356</v>
      </c>
      <c r="C1227" s="14" t="s">
        <v>13030</v>
      </c>
      <c r="D1227" s="15">
        <v>24.62</v>
      </c>
      <c r="E1227" s="16" t="s">
        <v>30</v>
      </c>
    </row>
    <row r="1228" spans="1:5" x14ac:dyDescent="0.25">
      <c r="A1228" s="14">
        <v>221510</v>
      </c>
      <c r="B1228" s="14" t="s">
        <v>1357</v>
      </c>
      <c r="C1228" s="14" t="s">
        <v>13030</v>
      </c>
      <c r="D1228" s="15">
        <v>26.75</v>
      </c>
      <c r="E1228" s="16" t="s">
        <v>30</v>
      </c>
    </row>
    <row r="1229" spans="1:5" x14ac:dyDescent="0.25">
      <c r="A1229" s="14">
        <v>221830</v>
      </c>
      <c r="B1229" s="14" t="s">
        <v>1358</v>
      </c>
      <c r="C1229" s="14" t="s">
        <v>13030</v>
      </c>
      <c r="D1229" s="15">
        <v>128.75</v>
      </c>
      <c r="E1229" s="16" t="s">
        <v>30</v>
      </c>
    </row>
    <row r="1230" spans="1:5" x14ac:dyDescent="0.25">
      <c r="A1230" s="14">
        <v>222102</v>
      </c>
      <c r="B1230" s="14" t="s">
        <v>1359</v>
      </c>
      <c r="C1230" s="14" t="s">
        <v>13029</v>
      </c>
      <c r="D1230" s="15">
        <v>27.4</v>
      </c>
      <c r="E1230" s="16" t="s">
        <v>30</v>
      </c>
    </row>
    <row r="1231" spans="1:5" x14ac:dyDescent="0.25">
      <c r="A1231" s="14">
        <v>222724</v>
      </c>
      <c r="B1231" s="14" t="s">
        <v>1360</v>
      </c>
      <c r="C1231" s="14" t="s">
        <v>13030</v>
      </c>
      <c r="D1231" s="15">
        <v>4.97</v>
      </c>
      <c r="E1231" s="16" t="s">
        <v>30</v>
      </c>
    </row>
    <row r="1232" spans="1:5" x14ac:dyDescent="0.25">
      <c r="A1232" s="14">
        <v>222725</v>
      </c>
      <c r="B1232" s="14" t="s">
        <v>1361</v>
      </c>
      <c r="C1232" s="14" t="s">
        <v>13030</v>
      </c>
      <c r="D1232" s="15">
        <v>3.88</v>
      </c>
      <c r="E1232" s="14" t="s">
        <v>30</v>
      </c>
    </row>
    <row r="1233" spans="1:5" x14ac:dyDescent="0.25">
      <c r="A1233" s="14">
        <v>224716</v>
      </c>
      <c r="B1233" s="14" t="s">
        <v>1362</v>
      </c>
      <c r="C1233" s="14" t="s">
        <v>13031</v>
      </c>
      <c r="D1233" s="15">
        <v>4.5599999999999996</v>
      </c>
      <c r="E1233" s="16" t="s">
        <v>30</v>
      </c>
    </row>
    <row r="1234" spans="1:5" x14ac:dyDescent="0.25">
      <c r="A1234" s="14">
        <v>225199</v>
      </c>
      <c r="B1234" s="14" t="s">
        <v>1363</v>
      </c>
      <c r="C1234" s="14" t="s">
        <v>13030</v>
      </c>
      <c r="D1234" s="15">
        <v>100</v>
      </c>
      <c r="E1234" s="16" t="s">
        <v>30</v>
      </c>
    </row>
    <row r="1235" spans="1:5" x14ac:dyDescent="0.25">
      <c r="A1235" s="14">
        <v>225462</v>
      </c>
      <c r="B1235" s="14" t="s">
        <v>1364</v>
      </c>
      <c r="C1235" s="14" t="s">
        <v>13029</v>
      </c>
      <c r="D1235" s="15">
        <v>1.35</v>
      </c>
      <c r="E1235" s="16" t="s">
        <v>30</v>
      </c>
    </row>
    <row r="1236" spans="1:5" x14ac:dyDescent="0.25">
      <c r="A1236" s="14">
        <v>225464</v>
      </c>
      <c r="B1236" s="14" t="s">
        <v>1365</v>
      </c>
      <c r="C1236" s="14" t="s">
        <v>13029</v>
      </c>
      <c r="D1236" s="15">
        <v>5.0999999999999996</v>
      </c>
      <c r="E1236" s="16" t="s">
        <v>30</v>
      </c>
    </row>
    <row r="1237" spans="1:5" x14ac:dyDescent="0.25">
      <c r="A1237" s="14">
        <v>225466</v>
      </c>
      <c r="B1237" s="14" t="s">
        <v>1366</v>
      </c>
      <c r="C1237" s="14" t="s">
        <v>13029</v>
      </c>
      <c r="D1237" s="15">
        <v>7.93</v>
      </c>
      <c r="E1237" s="16" t="s">
        <v>30</v>
      </c>
    </row>
    <row r="1238" spans="1:5" x14ac:dyDescent="0.25">
      <c r="A1238" s="14">
        <v>225809</v>
      </c>
      <c r="B1238" s="14" t="s">
        <v>1367</v>
      </c>
      <c r="C1238" s="14" t="s">
        <v>13029</v>
      </c>
      <c r="D1238" s="15">
        <v>7.37</v>
      </c>
      <c r="E1238" s="16" t="s">
        <v>30</v>
      </c>
    </row>
    <row r="1239" spans="1:5" x14ac:dyDescent="0.25">
      <c r="A1239" s="14">
        <v>226324</v>
      </c>
      <c r="B1239" s="14" t="s">
        <v>1368</v>
      </c>
      <c r="C1239" s="14" t="s">
        <v>13030</v>
      </c>
      <c r="D1239" s="15">
        <v>154.88</v>
      </c>
      <c r="E1239" s="16" t="s">
        <v>30</v>
      </c>
    </row>
    <row r="1240" spans="1:5" x14ac:dyDescent="0.25">
      <c r="A1240" s="14">
        <v>226770</v>
      </c>
      <c r="B1240" s="14" t="s">
        <v>1369</v>
      </c>
      <c r="C1240" s="14" t="s">
        <v>13031</v>
      </c>
      <c r="D1240" s="15">
        <v>4.91</v>
      </c>
      <c r="E1240" s="16" t="s">
        <v>30</v>
      </c>
    </row>
    <row r="1241" spans="1:5" x14ac:dyDescent="0.25">
      <c r="A1241" s="14">
        <v>227374</v>
      </c>
      <c r="B1241" s="14" t="s">
        <v>1370</v>
      </c>
      <c r="C1241" s="14" t="s">
        <v>13030</v>
      </c>
      <c r="D1241" s="15">
        <v>49.47</v>
      </c>
      <c r="E1241" s="16" t="s">
        <v>30</v>
      </c>
    </row>
    <row r="1242" spans="1:5" x14ac:dyDescent="0.25">
      <c r="A1242" s="14">
        <v>227808</v>
      </c>
      <c r="B1242" s="14" t="s">
        <v>1371</v>
      </c>
      <c r="C1242" s="14" t="s">
        <v>13031</v>
      </c>
      <c r="D1242" s="15">
        <v>30.8</v>
      </c>
      <c r="E1242" s="16" t="s">
        <v>30</v>
      </c>
    </row>
    <row r="1243" spans="1:5" x14ac:dyDescent="0.25">
      <c r="A1243" s="14">
        <v>227919</v>
      </c>
      <c r="B1243" s="14" t="s">
        <v>1372</v>
      </c>
      <c r="C1243" s="14" t="s">
        <v>13030</v>
      </c>
      <c r="D1243" s="15">
        <v>28.85</v>
      </c>
      <c r="E1243" s="16" t="s">
        <v>30</v>
      </c>
    </row>
    <row r="1244" spans="1:5" x14ac:dyDescent="0.25">
      <c r="A1244" s="14">
        <v>228076</v>
      </c>
      <c r="B1244" s="14" t="s">
        <v>1373</v>
      </c>
      <c r="C1244" s="14" t="s">
        <v>13031</v>
      </c>
      <c r="D1244" s="15">
        <v>15.61</v>
      </c>
      <c r="E1244" s="16" t="s">
        <v>30</v>
      </c>
    </row>
    <row r="1245" spans="1:5" x14ac:dyDescent="0.25">
      <c r="A1245" s="14">
        <v>228108</v>
      </c>
      <c r="B1245" s="14" t="s">
        <v>1374</v>
      </c>
      <c r="C1245" s="14" t="s">
        <v>13031</v>
      </c>
      <c r="D1245" s="15">
        <v>13.82</v>
      </c>
      <c r="E1245" s="16" t="s">
        <v>30</v>
      </c>
    </row>
    <row r="1246" spans="1:5" x14ac:dyDescent="0.25">
      <c r="A1246" s="14">
        <v>228126</v>
      </c>
      <c r="B1246" s="14" t="s">
        <v>1375</v>
      </c>
      <c r="C1246" s="14" t="s">
        <v>13031</v>
      </c>
      <c r="D1246" s="15">
        <v>6.22</v>
      </c>
      <c r="E1246" s="16" t="s">
        <v>30</v>
      </c>
    </row>
    <row r="1247" spans="1:5" x14ac:dyDescent="0.25">
      <c r="A1247" s="14">
        <v>228127</v>
      </c>
      <c r="B1247" s="14" t="s">
        <v>1376</v>
      </c>
      <c r="C1247" s="14" t="s">
        <v>13031</v>
      </c>
      <c r="D1247" s="15">
        <v>5.05</v>
      </c>
      <c r="E1247" s="16" t="s">
        <v>30</v>
      </c>
    </row>
    <row r="1248" spans="1:5" x14ac:dyDescent="0.25">
      <c r="A1248" s="14">
        <v>228638</v>
      </c>
      <c r="B1248" s="14" t="s">
        <v>1377</v>
      </c>
      <c r="C1248" s="14" t="s">
        <v>13034</v>
      </c>
      <c r="D1248" s="15">
        <v>6.9</v>
      </c>
      <c r="E1248" s="16" t="s">
        <v>30</v>
      </c>
    </row>
    <row r="1249" spans="1:5" x14ac:dyDescent="0.25">
      <c r="A1249" s="14">
        <v>228639</v>
      </c>
      <c r="B1249" s="14" t="s">
        <v>1378</v>
      </c>
      <c r="C1249" s="14" t="s">
        <v>13034</v>
      </c>
      <c r="D1249" s="15">
        <v>6.19</v>
      </c>
      <c r="E1249" s="16" t="s">
        <v>30</v>
      </c>
    </row>
    <row r="1250" spans="1:5" x14ac:dyDescent="0.25">
      <c r="A1250" s="14">
        <v>228640</v>
      </c>
      <c r="B1250" s="14" t="s">
        <v>1379</v>
      </c>
      <c r="C1250" s="14" t="s">
        <v>13034</v>
      </c>
      <c r="D1250" s="15">
        <v>6.54</v>
      </c>
      <c r="E1250" s="16" t="s">
        <v>30</v>
      </c>
    </row>
    <row r="1251" spans="1:5" x14ac:dyDescent="0.25">
      <c r="A1251" s="14">
        <v>230502</v>
      </c>
      <c r="B1251" s="14" t="s">
        <v>1380</v>
      </c>
      <c r="C1251" s="14" t="s">
        <v>13036</v>
      </c>
      <c r="D1251" s="15">
        <v>0.01</v>
      </c>
      <c r="E1251" s="16" t="s">
        <v>30</v>
      </c>
    </row>
    <row r="1252" spans="1:5" x14ac:dyDescent="0.25">
      <c r="A1252" s="14">
        <v>231151</v>
      </c>
      <c r="B1252" s="14" t="s">
        <v>1381</v>
      </c>
      <c r="C1252" s="14" t="s">
        <v>13030</v>
      </c>
      <c r="D1252" s="15">
        <v>59.14</v>
      </c>
      <c r="E1252" s="16" t="s">
        <v>30</v>
      </c>
    </row>
    <row r="1253" spans="1:5" x14ac:dyDescent="0.25">
      <c r="A1253" s="14">
        <v>231336</v>
      </c>
      <c r="B1253" s="14" t="s">
        <v>1382</v>
      </c>
      <c r="C1253" s="14" t="s">
        <v>13029</v>
      </c>
      <c r="D1253" s="15">
        <v>11.78</v>
      </c>
      <c r="E1253" s="16" t="s">
        <v>30</v>
      </c>
    </row>
    <row r="1254" spans="1:5" x14ac:dyDescent="0.25">
      <c r="A1254" s="14">
        <v>118484</v>
      </c>
      <c r="B1254" s="14" t="s">
        <v>1383</v>
      </c>
      <c r="C1254" s="14" t="s">
        <v>13030</v>
      </c>
      <c r="D1254" s="15">
        <v>47.12</v>
      </c>
      <c r="E1254" s="16" t="s">
        <v>20</v>
      </c>
    </row>
    <row r="1255" spans="1:5" x14ac:dyDescent="0.25">
      <c r="A1255" s="14">
        <v>127641</v>
      </c>
      <c r="B1255" s="14" t="s">
        <v>1384</v>
      </c>
      <c r="C1255" s="14" t="s">
        <v>13030</v>
      </c>
      <c r="D1255" s="15">
        <v>78</v>
      </c>
      <c r="E1255" s="16" t="s">
        <v>20</v>
      </c>
    </row>
    <row r="1256" spans="1:5" x14ac:dyDescent="0.25">
      <c r="A1256" s="14">
        <v>98702</v>
      </c>
      <c r="B1256" s="14" t="s">
        <v>1385</v>
      </c>
      <c r="C1256" s="14" t="s">
        <v>13031</v>
      </c>
      <c r="D1256" s="15">
        <v>0.65</v>
      </c>
      <c r="E1256" s="16" t="s">
        <v>20</v>
      </c>
    </row>
    <row r="1257" spans="1:5" x14ac:dyDescent="0.25">
      <c r="A1257" s="14">
        <v>98704</v>
      </c>
      <c r="B1257" s="14" t="s">
        <v>1386</v>
      </c>
      <c r="C1257" s="14" t="s">
        <v>13031</v>
      </c>
      <c r="D1257" s="15">
        <v>7.04</v>
      </c>
      <c r="E1257" s="16" t="s">
        <v>20</v>
      </c>
    </row>
    <row r="1258" spans="1:5" x14ac:dyDescent="0.25">
      <c r="A1258" s="14">
        <v>98714</v>
      </c>
      <c r="B1258" s="14" t="s">
        <v>1387</v>
      </c>
      <c r="C1258" s="14" t="s">
        <v>13031</v>
      </c>
      <c r="D1258" s="15">
        <v>1.55</v>
      </c>
      <c r="E1258" s="16" t="s">
        <v>20</v>
      </c>
    </row>
    <row r="1259" spans="1:5" x14ac:dyDescent="0.25">
      <c r="A1259" s="14">
        <v>231677</v>
      </c>
      <c r="B1259" s="14" t="s">
        <v>1388</v>
      </c>
      <c r="C1259" s="14" t="s">
        <v>13030</v>
      </c>
      <c r="D1259" s="15">
        <v>35.950000000000003</v>
      </c>
      <c r="E1259" s="16" t="s">
        <v>30</v>
      </c>
    </row>
    <row r="1260" spans="1:5" x14ac:dyDescent="0.25">
      <c r="A1260" s="14">
        <v>231686</v>
      </c>
      <c r="B1260" s="14" t="s">
        <v>1389</v>
      </c>
      <c r="C1260" s="14" t="s">
        <v>13030</v>
      </c>
      <c r="D1260" s="15">
        <v>67.650000000000006</v>
      </c>
      <c r="E1260" s="16" t="s">
        <v>30</v>
      </c>
    </row>
    <row r="1261" spans="1:5" x14ac:dyDescent="0.25">
      <c r="A1261" s="14">
        <v>231705</v>
      </c>
      <c r="B1261" s="14" t="s">
        <v>1390</v>
      </c>
      <c r="C1261" s="14" t="s">
        <v>13030</v>
      </c>
      <c r="D1261" s="15">
        <v>93.57</v>
      </c>
      <c r="E1261" s="16" t="s">
        <v>30</v>
      </c>
    </row>
    <row r="1262" spans="1:5" x14ac:dyDescent="0.25">
      <c r="A1262" s="14">
        <v>231991</v>
      </c>
      <c r="B1262" s="14" t="s">
        <v>1391</v>
      </c>
      <c r="C1262" s="14" t="s">
        <v>13029</v>
      </c>
      <c r="D1262" s="15">
        <v>7.89</v>
      </c>
      <c r="E1262" s="16" t="s">
        <v>30</v>
      </c>
    </row>
    <row r="1263" spans="1:5" x14ac:dyDescent="0.25">
      <c r="A1263" s="14">
        <v>232806</v>
      </c>
      <c r="B1263" s="14" t="s">
        <v>1392</v>
      </c>
      <c r="C1263" s="14" t="s">
        <v>13030</v>
      </c>
      <c r="D1263" s="15">
        <v>42.64</v>
      </c>
      <c r="E1263" s="16" t="s">
        <v>30</v>
      </c>
    </row>
    <row r="1264" spans="1:5" x14ac:dyDescent="0.25">
      <c r="A1264" s="14">
        <v>232824</v>
      </c>
      <c r="B1264" s="14" t="s">
        <v>1393</v>
      </c>
      <c r="C1264" s="14" t="s">
        <v>13029</v>
      </c>
      <c r="D1264" s="15">
        <v>18.7</v>
      </c>
      <c r="E1264" s="16" t="s">
        <v>30</v>
      </c>
    </row>
    <row r="1265" spans="1:5" x14ac:dyDescent="0.25">
      <c r="A1265" s="14">
        <v>233316</v>
      </c>
      <c r="B1265" s="14" t="s">
        <v>1394</v>
      </c>
      <c r="C1265" s="14" t="s">
        <v>13031</v>
      </c>
      <c r="D1265" s="15">
        <v>18.27</v>
      </c>
      <c r="E1265" s="16" t="s">
        <v>30</v>
      </c>
    </row>
    <row r="1266" spans="1:5" x14ac:dyDescent="0.25">
      <c r="A1266" s="14">
        <v>233543</v>
      </c>
      <c r="B1266" s="14" t="s">
        <v>1395</v>
      </c>
      <c r="C1266" s="14" t="s">
        <v>13029</v>
      </c>
      <c r="D1266" s="15">
        <v>24.96</v>
      </c>
      <c r="E1266" s="16" t="s">
        <v>30</v>
      </c>
    </row>
    <row r="1267" spans="1:5" x14ac:dyDescent="0.25">
      <c r="A1267" s="14">
        <v>171663</v>
      </c>
      <c r="B1267" s="14" t="s">
        <v>1396</v>
      </c>
      <c r="C1267" s="14" t="s">
        <v>13030</v>
      </c>
      <c r="D1267" s="15">
        <v>97.46</v>
      </c>
      <c r="E1267" s="16" t="s">
        <v>20</v>
      </c>
    </row>
    <row r="1268" spans="1:5" x14ac:dyDescent="0.25">
      <c r="A1268" s="14">
        <v>233681</v>
      </c>
      <c r="B1268" s="14" t="s">
        <v>1397</v>
      </c>
      <c r="C1268" s="14" t="s">
        <v>13030</v>
      </c>
      <c r="D1268" s="15">
        <v>11.24</v>
      </c>
      <c r="E1268" s="16" t="s">
        <v>30</v>
      </c>
    </row>
    <row r="1269" spans="1:5" x14ac:dyDescent="0.25">
      <c r="A1269" s="14">
        <v>234681</v>
      </c>
      <c r="B1269" s="14" t="s">
        <v>1398</v>
      </c>
      <c r="C1269" s="14" t="s">
        <v>13031</v>
      </c>
      <c r="D1269" s="15">
        <v>1.6</v>
      </c>
      <c r="E1269" s="16" t="s">
        <v>30</v>
      </c>
    </row>
    <row r="1270" spans="1:5" x14ac:dyDescent="0.25">
      <c r="A1270" s="14">
        <v>234684</v>
      </c>
      <c r="B1270" s="14" t="s">
        <v>1399</v>
      </c>
      <c r="C1270" s="14" t="s">
        <v>13031</v>
      </c>
      <c r="D1270" s="15">
        <v>1.45</v>
      </c>
      <c r="E1270" s="16" t="s">
        <v>30</v>
      </c>
    </row>
    <row r="1271" spans="1:5" x14ac:dyDescent="0.25">
      <c r="A1271" s="14">
        <v>234685</v>
      </c>
      <c r="B1271" s="14" t="s">
        <v>1400</v>
      </c>
      <c r="C1271" s="14" t="s">
        <v>13031</v>
      </c>
      <c r="D1271" s="15">
        <v>0.72</v>
      </c>
      <c r="E1271" s="16" t="s">
        <v>30</v>
      </c>
    </row>
    <row r="1272" spans="1:5" x14ac:dyDescent="0.25">
      <c r="A1272" s="14">
        <v>100912</v>
      </c>
      <c r="B1272" s="14" t="s">
        <v>1401</v>
      </c>
      <c r="C1272" s="14" t="s">
        <v>13031</v>
      </c>
      <c r="D1272" s="15">
        <v>4.8099999999999996</v>
      </c>
      <c r="E1272" s="16" t="s">
        <v>20</v>
      </c>
    </row>
    <row r="1273" spans="1:5" x14ac:dyDescent="0.25">
      <c r="A1273" s="14">
        <v>234692</v>
      </c>
      <c r="B1273" s="14" t="s">
        <v>1402</v>
      </c>
      <c r="C1273" s="14" t="s">
        <v>13031</v>
      </c>
      <c r="D1273" s="15">
        <v>1.6</v>
      </c>
      <c r="E1273" s="16" t="s">
        <v>30</v>
      </c>
    </row>
    <row r="1274" spans="1:5" x14ac:dyDescent="0.25">
      <c r="A1274" s="14">
        <v>234693</v>
      </c>
      <c r="B1274" s="14" t="s">
        <v>1403</v>
      </c>
      <c r="C1274" s="14" t="s">
        <v>13031</v>
      </c>
      <c r="D1274" s="15">
        <v>1.45</v>
      </c>
      <c r="E1274" s="16" t="s">
        <v>30</v>
      </c>
    </row>
    <row r="1275" spans="1:5" x14ac:dyDescent="0.25">
      <c r="A1275" s="14">
        <v>234695</v>
      </c>
      <c r="B1275" s="14" t="s">
        <v>1404</v>
      </c>
      <c r="C1275" s="14" t="s">
        <v>13031</v>
      </c>
      <c r="D1275" s="15">
        <v>0.72</v>
      </c>
      <c r="E1275" s="16" t="s">
        <v>30</v>
      </c>
    </row>
    <row r="1276" spans="1:5" x14ac:dyDescent="0.25">
      <c r="A1276" s="14">
        <v>234836</v>
      </c>
      <c r="B1276" s="14" t="s">
        <v>1405</v>
      </c>
      <c r="C1276" s="14" t="s">
        <v>13030</v>
      </c>
      <c r="D1276" s="15">
        <v>31.04</v>
      </c>
      <c r="E1276" s="16" t="s">
        <v>30</v>
      </c>
    </row>
    <row r="1277" spans="1:5" x14ac:dyDescent="0.25">
      <c r="A1277" s="14">
        <v>235047</v>
      </c>
      <c r="B1277" s="14" t="s">
        <v>1406</v>
      </c>
      <c r="C1277" s="14" t="s">
        <v>13030</v>
      </c>
      <c r="D1277" s="15">
        <v>230.31</v>
      </c>
      <c r="E1277" s="16" t="s">
        <v>30</v>
      </c>
    </row>
    <row r="1278" spans="1:5" x14ac:dyDescent="0.25">
      <c r="A1278" s="14">
        <v>235050</v>
      </c>
      <c r="B1278" s="14" t="s">
        <v>1407</v>
      </c>
      <c r="C1278" s="14" t="s">
        <v>13030</v>
      </c>
      <c r="D1278" s="15">
        <v>230.31</v>
      </c>
      <c r="E1278" s="16" t="s">
        <v>30</v>
      </c>
    </row>
    <row r="1279" spans="1:5" x14ac:dyDescent="0.25">
      <c r="A1279" s="14">
        <v>112569</v>
      </c>
      <c r="B1279" s="14" t="s">
        <v>1408</v>
      </c>
      <c r="C1279" s="14" t="s">
        <v>13031</v>
      </c>
      <c r="D1279" s="15">
        <v>1.96</v>
      </c>
      <c r="E1279" s="16" t="s">
        <v>20</v>
      </c>
    </row>
    <row r="1280" spans="1:5" x14ac:dyDescent="0.25">
      <c r="A1280" s="14">
        <v>235327</v>
      </c>
      <c r="B1280" s="14" t="s">
        <v>1409</v>
      </c>
      <c r="C1280" s="14" t="s">
        <v>13030</v>
      </c>
      <c r="D1280" s="15">
        <v>28.74</v>
      </c>
      <c r="E1280" s="16" t="s">
        <v>30</v>
      </c>
    </row>
    <row r="1281" spans="1:5" x14ac:dyDescent="0.25">
      <c r="A1281" s="14">
        <v>235339</v>
      </c>
      <c r="B1281" s="14" t="s">
        <v>1410</v>
      </c>
      <c r="C1281" s="14" t="s">
        <v>13030</v>
      </c>
      <c r="D1281" s="15">
        <v>29.06</v>
      </c>
      <c r="E1281" s="16" t="s">
        <v>30</v>
      </c>
    </row>
    <row r="1282" spans="1:5" x14ac:dyDescent="0.25">
      <c r="A1282" s="14">
        <v>235947</v>
      </c>
      <c r="B1282" s="14" t="s">
        <v>1411</v>
      </c>
      <c r="C1282" s="14" t="s">
        <v>13031</v>
      </c>
      <c r="D1282" s="15">
        <v>0.72</v>
      </c>
      <c r="E1282" s="16" t="s">
        <v>30</v>
      </c>
    </row>
    <row r="1283" spans="1:5" x14ac:dyDescent="0.25">
      <c r="A1283" s="14">
        <v>235949</v>
      </c>
      <c r="B1283" s="14" t="s">
        <v>1412</v>
      </c>
      <c r="C1283" s="14" t="s">
        <v>13031</v>
      </c>
      <c r="D1283" s="15">
        <v>0.64</v>
      </c>
      <c r="E1283" s="16" t="s">
        <v>30</v>
      </c>
    </row>
    <row r="1284" spans="1:5" x14ac:dyDescent="0.25">
      <c r="A1284" s="14">
        <v>115541</v>
      </c>
      <c r="B1284" s="14" t="s">
        <v>1413</v>
      </c>
      <c r="C1284" s="14" t="s">
        <v>13031</v>
      </c>
      <c r="D1284" s="15">
        <v>12.64</v>
      </c>
      <c r="E1284" s="16" t="s">
        <v>20</v>
      </c>
    </row>
    <row r="1285" spans="1:5" x14ac:dyDescent="0.25">
      <c r="A1285" s="14">
        <v>235953</v>
      </c>
      <c r="B1285" s="14" t="s">
        <v>1414</v>
      </c>
      <c r="C1285" s="14" t="s">
        <v>13031</v>
      </c>
      <c r="D1285" s="15">
        <v>1.1000000000000001</v>
      </c>
      <c r="E1285" s="16" t="s">
        <v>30</v>
      </c>
    </row>
    <row r="1286" spans="1:5" x14ac:dyDescent="0.25">
      <c r="A1286" s="14">
        <v>115544</v>
      </c>
      <c r="B1286" s="14" t="s">
        <v>1415</v>
      </c>
      <c r="C1286" s="14" t="s">
        <v>13031</v>
      </c>
      <c r="D1286" s="15">
        <v>12.64</v>
      </c>
      <c r="E1286" s="16" t="s">
        <v>20</v>
      </c>
    </row>
    <row r="1287" spans="1:5" x14ac:dyDescent="0.25">
      <c r="A1287" s="14">
        <v>235957</v>
      </c>
      <c r="B1287" s="14" t="s">
        <v>1416</v>
      </c>
      <c r="C1287" s="14" t="s">
        <v>13031</v>
      </c>
      <c r="D1287" s="15">
        <v>1.1399999999999999</v>
      </c>
      <c r="E1287" s="16" t="s">
        <v>30</v>
      </c>
    </row>
    <row r="1288" spans="1:5" x14ac:dyDescent="0.25">
      <c r="A1288" s="14">
        <v>235960</v>
      </c>
      <c r="B1288" s="14" t="s">
        <v>1417</v>
      </c>
      <c r="C1288" s="14" t="s">
        <v>13031</v>
      </c>
      <c r="D1288" s="15">
        <v>0.9</v>
      </c>
      <c r="E1288" s="16" t="s">
        <v>30</v>
      </c>
    </row>
    <row r="1289" spans="1:5" x14ac:dyDescent="0.25">
      <c r="A1289" s="14">
        <v>235963</v>
      </c>
      <c r="B1289" s="14" t="s">
        <v>1418</v>
      </c>
      <c r="C1289" s="14" t="s">
        <v>13031</v>
      </c>
      <c r="D1289" s="15">
        <v>0.81</v>
      </c>
      <c r="E1289" s="16" t="s">
        <v>30</v>
      </c>
    </row>
    <row r="1290" spans="1:5" x14ac:dyDescent="0.25">
      <c r="A1290" s="14">
        <v>235965</v>
      </c>
      <c r="B1290" s="14" t="s">
        <v>1419</v>
      </c>
      <c r="C1290" s="14" t="s">
        <v>13031</v>
      </c>
      <c r="D1290" s="15">
        <v>1.05</v>
      </c>
      <c r="E1290" s="16" t="s">
        <v>30</v>
      </c>
    </row>
    <row r="1291" spans="1:5" x14ac:dyDescent="0.25">
      <c r="A1291" s="14">
        <v>181138</v>
      </c>
      <c r="B1291" s="14" t="s">
        <v>1420</v>
      </c>
      <c r="C1291" s="14" t="s">
        <v>13030</v>
      </c>
      <c r="D1291" s="15">
        <v>25.6</v>
      </c>
      <c r="E1291" s="16" t="s">
        <v>20</v>
      </c>
    </row>
    <row r="1292" spans="1:5" x14ac:dyDescent="0.25">
      <c r="A1292" s="14">
        <v>235970</v>
      </c>
      <c r="B1292" s="14" t="s">
        <v>1421</v>
      </c>
      <c r="C1292" s="14" t="s">
        <v>13031</v>
      </c>
      <c r="D1292" s="15">
        <v>0.9</v>
      </c>
      <c r="E1292" s="16" t="s">
        <v>30</v>
      </c>
    </row>
    <row r="1293" spans="1:5" x14ac:dyDescent="0.25">
      <c r="A1293" s="14">
        <v>160564</v>
      </c>
      <c r="B1293" s="14" t="s">
        <v>1422</v>
      </c>
      <c r="C1293" s="14" t="s">
        <v>13030</v>
      </c>
      <c r="D1293" s="15">
        <v>62.62</v>
      </c>
      <c r="E1293" s="16" t="s">
        <v>20</v>
      </c>
    </row>
    <row r="1294" spans="1:5" x14ac:dyDescent="0.25">
      <c r="A1294" s="14">
        <v>235985</v>
      </c>
      <c r="B1294" s="14" t="s">
        <v>1423</v>
      </c>
      <c r="C1294" s="14" t="s">
        <v>13031</v>
      </c>
      <c r="D1294" s="15">
        <v>1.06</v>
      </c>
      <c r="E1294" s="16" t="s">
        <v>30</v>
      </c>
    </row>
    <row r="1295" spans="1:5" x14ac:dyDescent="0.25">
      <c r="A1295" s="14">
        <v>235986</v>
      </c>
      <c r="B1295" s="14" t="s">
        <v>1424</v>
      </c>
      <c r="C1295" s="14" t="s">
        <v>13031</v>
      </c>
      <c r="D1295" s="15">
        <v>1.06</v>
      </c>
      <c r="E1295" s="16" t="s">
        <v>30</v>
      </c>
    </row>
    <row r="1296" spans="1:5" x14ac:dyDescent="0.25">
      <c r="A1296" s="14">
        <v>235989</v>
      </c>
      <c r="B1296" s="14" t="s">
        <v>1425</v>
      </c>
      <c r="C1296" s="14" t="s">
        <v>13031</v>
      </c>
      <c r="D1296" s="15">
        <v>0.72</v>
      </c>
      <c r="E1296" s="16" t="s">
        <v>30</v>
      </c>
    </row>
    <row r="1297" spans="1:5" x14ac:dyDescent="0.25">
      <c r="A1297" s="14">
        <v>235990</v>
      </c>
      <c r="B1297" s="14" t="s">
        <v>1426</v>
      </c>
      <c r="C1297" s="14" t="s">
        <v>13031</v>
      </c>
      <c r="D1297" s="15">
        <v>1.19</v>
      </c>
      <c r="E1297" s="16" t="s">
        <v>30</v>
      </c>
    </row>
    <row r="1298" spans="1:5" x14ac:dyDescent="0.25">
      <c r="A1298" s="14">
        <v>235991</v>
      </c>
      <c r="B1298" s="14" t="s">
        <v>1427</v>
      </c>
      <c r="C1298" s="14" t="s">
        <v>13031</v>
      </c>
      <c r="D1298" s="15">
        <v>1.1000000000000001</v>
      </c>
      <c r="E1298" s="16" t="s">
        <v>30</v>
      </c>
    </row>
    <row r="1299" spans="1:5" x14ac:dyDescent="0.25">
      <c r="A1299" s="14">
        <v>235993</v>
      </c>
      <c r="B1299" s="14" t="s">
        <v>1428</v>
      </c>
      <c r="C1299" s="14" t="s">
        <v>13031</v>
      </c>
      <c r="D1299" s="15">
        <v>0.72</v>
      </c>
      <c r="E1299" s="16" t="s">
        <v>30</v>
      </c>
    </row>
    <row r="1300" spans="1:5" x14ac:dyDescent="0.25">
      <c r="A1300" s="14">
        <v>235997</v>
      </c>
      <c r="B1300" s="14" t="s">
        <v>1429</v>
      </c>
      <c r="C1300" s="14" t="s">
        <v>13031</v>
      </c>
      <c r="D1300" s="15">
        <v>0.83</v>
      </c>
      <c r="E1300" s="16" t="s">
        <v>30</v>
      </c>
    </row>
    <row r="1301" spans="1:5" x14ac:dyDescent="0.25">
      <c r="A1301" s="14">
        <v>163053</v>
      </c>
      <c r="B1301" s="14" t="s">
        <v>1430</v>
      </c>
      <c r="C1301" s="14" t="s">
        <v>13030</v>
      </c>
      <c r="D1301" s="15">
        <v>38.81</v>
      </c>
      <c r="E1301" s="16" t="s">
        <v>20</v>
      </c>
    </row>
    <row r="1302" spans="1:5" x14ac:dyDescent="0.25">
      <c r="A1302" s="14">
        <v>140859</v>
      </c>
      <c r="B1302" s="14" t="s">
        <v>1431</v>
      </c>
      <c r="C1302" s="14" t="s">
        <v>13031</v>
      </c>
      <c r="D1302" s="15">
        <v>10.9</v>
      </c>
      <c r="E1302" s="16" t="s">
        <v>20</v>
      </c>
    </row>
    <row r="1303" spans="1:5" x14ac:dyDescent="0.25">
      <c r="A1303" s="14">
        <v>235998</v>
      </c>
      <c r="B1303" s="14" t="s">
        <v>1432</v>
      </c>
      <c r="C1303" s="14" t="s">
        <v>13031</v>
      </c>
      <c r="D1303" s="15">
        <v>0.68</v>
      </c>
      <c r="E1303" s="16" t="s">
        <v>30</v>
      </c>
    </row>
    <row r="1304" spans="1:5" x14ac:dyDescent="0.25">
      <c r="A1304" s="14">
        <v>236000</v>
      </c>
      <c r="B1304" s="14" t="s">
        <v>1433</v>
      </c>
      <c r="C1304" s="14" t="s">
        <v>13031</v>
      </c>
      <c r="D1304" s="15">
        <v>0.72</v>
      </c>
      <c r="E1304" s="16" t="s">
        <v>30</v>
      </c>
    </row>
    <row r="1305" spans="1:5" x14ac:dyDescent="0.25">
      <c r="A1305" s="14">
        <v>236001</v>
      </c>
      <c r="B1305" s="14" t="s">
        <v>1434</v>
      </c>
      <c r="C1305" s="14" t="s">
        <v>13031</v>
      </c>
      <c r="D1305" s="15">
        <v>1.27</v>
      </c>
      <c r="E1305" s="16" t="s">
        <v>30</v>
      </c>
    </row>
    <row r="1306" spans="1:5" x14ac:dyDescent="0.25">
      <c r="A1306" s="14">
        <v>236002</v>
      </c>
      <c r="B1306" s="14" t="s">
        <v>1435</v>
      </c>
      <c r="C1306" s="14" t="s">
        <v>13031</v>
      </c>
      <c r="D1306" s="15">
        <v>0.97</v>
      </c>
      <c r="E1306" s="16" t="s">
        <v>30</v>
      </c>
    </row>
    <row r="1307" spans="1:5" x14ac:dyDescent="0.25">
      <c r="A1307" s="14">
        <v>236004</v>
      </c>
      <c r="B1307" s="14" t="s">
        <v>1436</v>
      </c>
      <c r="C1307" s="14" t="s">
        <v>13031</v>
      </c>
      <c r="D1307" s="15">
        <v>1.02</v>
      </c>
      <c r="E1307" s="16" t="s">
        <v>30</v>
      </c>
    </row>
    <row r="1308" spans="1:5" x14ac:dyDescent="0.25">
      <c r="A1308" s="14">
        <v>236005</v>
      </c>
      <c r="B1308" s="14" t="s">
        <v>1437</v>
      </c>
      <c r="C1308" s="14" t="s">
        <v>13031</v>
      </c>
      <c r="D1308" s="15">
        <v>0.89</v>
      </c>
      <c r="E1308" s="16" t="s">
        <v>30</v>
      </c>
    </row>
    <row r="1309" spans="1:5" x14ac:dyDescent="0.25">
      <c r="A1309" s="14">
        <v>236009</v>
      </c>
      <c r="B1309" s="14" t="s">
        <v>1438</v>
      </c>
      <c r="C1309" s="14" t="s">
        <v>13031</v>
      </c>
      <c r="D1309" s="15">
        <v>1.19</v>
      </c>
      <c r="E1309" s="16" t="s">
        <v>30</v>
      </c>
    </row>
    <row r="1310" spans="1:5" x14ac:dyDescent="0.25">
      <c r="A1310" s="14">
        <v>237623</v>
      </c>
      <c r="B1310" s="14" t="s">
        <v>1439</v>
      </c>
      <c r="C1310" s="14" t="s">
        <v>13030</v>
      </c>
      <c r="D1310" s="15">
        <v>4.6399999999999997</v>
      </c>
      <c r="E1310" s="16" t="s">
        <v>30</v>
      </c>
    </row>
    <row r="1311" spans="1:5" x14ac:dyDescent="0.25">
      <c r="A1311" s="14">
        <v>238323</v>
      </c>
      <c r="B1311" s="14" t="s">
        <v>1440</v>
      </c>
      <c r="C1311" s="14" t="s">
        <v>13030</v>
      </c>
      <c r="D1311" s="15">
        <v>38.270000000000003</v>
      </c>
      <c r="E1311" s="16" t="s">
        <v>30</v>
      </c>
    </row>
    <row r="1312" spans="1:5" x14ac:dyDescent="0.25">
      <c r="A1312" s="14">
        <v>240039</v>
      </c>
      <c r="B1312" s="14" t="s">
        <v>1441</v>
      </c>
      <c r="C1312" s="14" t="s">
        <v>13031</v>
      </c>
      <c r="D1312" s="15">
        <v>7.99</v>
      </c>
      <c r="E1312" s="16" t="s">
        <v>30</v>
      </c>
    </row>
    <row r="1313" spans="1:5" x14ac:dyDescent="0.25">
      <c r="A1313" s="14">
        <v>240204</v>
      </c>
      <c r="B1313" s="14" t="s">
        <v>1442</v>
      </c>
      <c r="C1313" s="14" t="s">
        <v>13029</v>
      </c>
      <c r="D1313" s="15">
        <v>5.75</v>
      </c>
      <c r="E1313" s="16" t="s">
        <v>30</v>
      </c>
    </row>
    <row r="1314" spans="1:5" x14ac:dyDescent="0.25">
      <c r="A1314" s="14">
        <v>241063</v>
      </c>
      <c r="B1314" s="14" t="s">
        <v>1443</v>
      </c>
      <c r="C1314" s="14" t="s">
        <v>13030</v>
      </c>
      <c r="D1314" s="15">
        <v>62.47</v>
      </c>
      <c r="E1314" s="16" t="s">
        <v>30</v>
      </c>
    </row>
    <row r="1315" spans="1:5" x14ac:dyDescent="0.25">
      <c r="A1315" s="14">
        <v>242980</v>
      </c>
      <c r="B1315" s="14" t="s">
        <v>1444</v>
      </c>
      <c r="C1315" s="14" t="s">
        <v>13030</v>
      </c>
      <c r="D1315" s="15">
        <v>28.85</v>
      </c>
      <c r="E1315" s="16" t="s">
        <v>30</v>
      </c>
    </row>
    <row r="1316" spans="1:5" x14ac:dyDescent="0.25">
      <c r="A1316" s="14">
        <v>243032</v>
      </c>
      <c r="B1316" s="14" t="s">
        <v>1445</v>
      </c>
      <c r="C1316" s="14" t="s">
        <v>13029</v>
      </c>
      <c r="D1316" s="15">
        <v>35.14</v>
      </c>
      <c r="E1316" s="14" t="s">
        <v>30</v>
      </c>
    </row>
    <row r="1317" spans="1:5" x14ac:dyDescent="0.25">
      <c r="A1317" s="14">
        <v>243054</v>
      </c>
      <c r="B1317" s="14" t="s">
        <v>1446</v>
      </c>
      <c r="C1317" s="14" t="s">
        <v>13029</v>
      </c>
      <c r="D1317" s="15">
        <v>34.549999999999997</v>
      </c>
      <c r="E1317" s="14" t="s">
        <v>30</v>
      </c>
    </row>
    <row r="1318" spans="1:5" x14ac:dyDescent="0.25">
      <c r="A1318" s="14">
        <v>243288</v>
      </c>
      <c r="B1318" s="14" t="s">
        <v>133</v>
      </c>
      <c r="C1318" s="14" t="s">
        <v>13031</v>
      </c>
      <c r="D1318" s="15">
        <v>27.97</v>
      </c>
      <c r="E1318" s="16" t="s">
        <v>30</v>
      </c>
    </row>
    <row r="1319" spans="1:5" x14ac:dyDescent="0.25">
      <c r="A1319" s="14">
        <v>142878</v>
      </c>
      <c r="B1319" s="14" t="s">
        <v>1447</v>
      </c>
      <c r="C1319" s="14" t="s">
        <v>13031</v>
      </c>
      <c r="D1319" s="15">
        <v>26</v>
      </c>
      <c r="E1319" s="16" t="s">
        <v>20</v>
      </c>
    </row>
    <row r="1320" spans="1:5" x14ac:dyDescent="0.25">
      <c r="A1320" s="14">
        <v>243296</v>
      </c>
      <c r="B1320" s="14" t="s">
        <v>1448</v>
      </c>
      <c r="C1320" s="14" t="s">
        <v>13031</v>
      </c>
      <c r="D1320" s="15">
        <v>27.97</v>
      </c>
      <c r="E1320" s="16" t="s">
        <v>30</v>
      </c>
    </row>
    <row r="1321" spans="1:5" x14ac:dyDescent="0.25">
      <c r="A1321" s="14">
        <v>243440</v>
      </c>
      <c r="B1321" s="14" t="s">
        <v>1449</v>
      </c>
      <c r="C1321" s="14" t="s">
        <v>13031</v>
      </c>
      <c r="D1321" s="15">
        <v>38.549999999999997</v>
      </c>
      <c r="E1321" s="16" t="s">
        <v>30</v>
      </c>
    </row>
    <row r="1322" spans="1:5" x14ac:dyDescent="0.25">
      <c r="A1322" s="14">
        <v>243539</v>
      </c>
      <c r="B1322" s="14" t="s">
        <v>1450</v>
      </c>
      <c r="C1322" s="14" t="s">
        <v>13031</v>
      </c>
      <c r="D1322" s="15">
        <v>11.65</v>
      </c>
      <c r="E1322" s="16" t="s">
        <v>30</v>
      </c>
    </row>
    <row r="1323" spans="1:5" x14ac:dyDescent="0.25">
      <c r="A1323" s="14">
        <v>244035</v>
      </c>
      <c r="B1323" s="14" t="s">
        <v>1451</v>
      </c>
      <c r="C1323" s="14" t="s">
        <v>13029</v>
      </c>
      <c r="D1323" s="15">
        <v>6.66</v>
      </c>
      <c r="E1323" s="16" t="s">
        <v>30</v>
      </c>
    </row>
    <row r="1324" spans="1:5" x14ac:dyDescent="0.25">
      <c r="A1324" s="14">
        <v>244344</v>
      </c>
      <c r="B1324" s="14" t="s">
        <v>1452</v>
      </c>
      <c r="C1324" s="14" t="s">
        <v>13030</v>
      </c>
      <c r="D1324" s="15">
        <v>12.87</v>
      </c>
      <c r="E1324" s="16" t="s">
        <v>30</v>
      </c>
    </row>
    <row r="1325" spans="1:5" x14ac:dyDescent="0.25">
      <c r="A1325" s="14">
        <v>244396</v>
      </c>
      <c r="B1325" s="14" t="s">
        <v>1453</v>
      </c>
      <c r="C1325" s="14" t="s">
        <v>13030</v>
      </c>
      <c r="D1325" s="15">
        <v>60.03</v>
      </c>
      <c r="E1325" s="16" t="s">
        <v>30</v>
      </c>
    </row>
    <row r="1326" spans="1:5" x14ac:dyDescent="0.25">
      <c r="A1326" s="14">
        <v>244412</v>
      </c>
      <c r="B1326" s="14" t="s">
        <v>1454</v>
      </c>
      <c r="C1326" s="14" t="s">
        <v>13031</v>
      </c>
      <c r="D1326" s="15">
        <v>30</v>
      </c>
      <c r="E1326" s="16" t="s">
        <v>30</v>
      </c>
    </row>
    <row r="1327" spans="1:5" x14ac:dyDescent="0.25">
      <c r="A1327" s="14">
        <v>244413</v>
      </c>
      <c r="B1327" s="14" t="s">
        <v>1455</v>
      </c>
      <c r="C1327" s="14" t="s">
        <v>13031</v>
      </c>
      <c r="D1327" s="15">
        <v>48</v>
      </c>
      <c r="E1327" s="16" t="s">
        <v>30</v>
      </c>
    </row>
    <row r="1328" spans="1:5" x14ac:dyDescent="0.25">
      <c r="A1328" s="14">
        <v>244540</v>
      </c>
      <c r="B1328" s="14" t="s">
        <v>1456</v>
      </c>
      <c r="C1328" s="14" t="s">
        <v>13031</v>
      </c>
      <c r="D1328" s="15">
        <v>14.01</v>
      </c>
      <c r="E1328" s="16" t="s">
        <v>30</v>
      </c>
    </row>
    <row r="1329" spans="1:5" x14ac:dyDescent="0.25">
      <c r="A1329" s="14">
        <v>244633</v>
      </c>
      <c r="B1329" s="14" t="s">
        <v>1457</v>
      </c>
      <c r="C1329" s="14" t="s">
        <v>13031</v>
      </c>
      <c r="D1329" s="15">
        <v>55.7</v>
      </c>
      <c r="E1329" s="16" t="s">
        <v>30</v>
      </c>
    </row>
    <row r="1330" spans="1:5" x14ac:dyDescent="0.25">
      <c r="A1330" s="14">
        <v>143829</v>
      </c>
      <c r="B1330" s="14" t="s">
        <v>1458</v>
      </c>
      <c r="C1330" s="14" t="s">
        <v>13031</v>
      </c>
      <c r="D1330" s="15">
        <v>13.81</v>
      </c>
      <c r="E1330" s="16" t="s">
        <v>20</v>
      </c>
    </row>
    <row r="1331" spans="1:5" x14ac:dyDescent="0.25">
      <c r="A1331" s="14">
        <v>244638</v>
      </c>
      <c r="B1331" s="14" t="s">
        <v>1459</v>
      </c>
      <c r="C1331" s="14" t="s">
        <v>13030</v>
      </c>
      <c r="D1331" s="15">
        <v>26.65</v>
      </c>
      <c r="E1331" s="16" t="s">
        <v>30</v>
      </c>
    </row>
    <row r="1332" spans="1:5" x14ac:dyDescent="0.25">
      <c r="A1332" s="14">
        <v>245970</v>
      </c>
      <c r="B1332" s="14" t="s">
        <v>1460</v>
      </c>
      <c r="C1332" s="14" t="s">
        <v>13030</v>
      </c>
      <c r="D1332" s="15">
        <v>57.59</v>
      </c>
      <c r="E1332" s="16" t="s">
        <v>30</v>
      </c>
    </row>
    <row r="1333" spans="1:5" x14ac:dyDescent="0.25">
      <c r="A1333" s="14">
        <v>245972</v>
      </c>
      <c r="B1333" s="14" t="s">
        <v>1461</v>
      </c>
      <c r="C1333" s="14" t="s">
        <v>13030</v>
      </c>
      <c r="D1333" s="15">
        <v>57.58</v>
      </c>
      <c r="E1333" s="16" t="s">
        <v>30</v>
      </c>
    </row>
    <row r="1334" spans="1:5" x14ac:dyDescent="0.25">
      <c r="A1334" s="14">
        <v>245973</v>
      </c>
      <c r="B1334" s="14" t="s">
        <v>1462</v>
      </c>
      <c r="C1334" s="14" t="s">
        <v>13030</v>
      </c>
      <c r="D1334" s="15">
        <v>27.72</v>
      </c>
      <c r="E1334" s="16" t="s">
        <v>30</v>
      </c>
    </row>
    <row r="1335" spans="1:5" x14ac:dyDescent="0.25">
      <c r="A1335" s="14">
        <v>246016</v>
      </c>
      <c r="B1335" s="14" t="s">
        <v>1463</v>
      </c>
      <c r="C1335" s="14" t="s">
        <v>13030</v>
      </c>
      <c r="D1335" s="15">
        <v>27.72</v>
      </c>
      <c r="E1335" s="16" t="s">
        <v>30</v>
      </c>
    </row>
    <row r="1336" spans="1:5" x14ac:dyDescent="0.25">
      <c r="A1336" s="14">
        <v>246132</v>
      </c>
      <c r="B1336" s="14" t="s">
        <v>1464</v>
      </c>
      <c r="C1336" s="14" t="s">
        <v>13030</v>
      </c>
      <c r="D1336" s="15">
        <v>18</v>
      </c>
      <c r="E1336" s="16" t="s">
        <v>30</v>
      </c>
    </row>
    <row r="1337" spans="1:5" x14ac:dyDescent="0.25">
      <c r="A1337" s="14">
        <v>143876</v>
      </c>
      <c r="B1337" s="14" t="s">
        <v>1465</v>
      </c>
      <c r="C1337" s="14" t="s">
        <v>13031</v>
      </c>
      <c r="D1337" s="15">
        <v>5.32</v>
      </c>
      <c r="E1337" s="16" t="s">
        <v>20</v>
      </c>
    </row>
    <row r="1338" spans="1:5" x14ac:dyDescent="0.25">
      <c r="A1338" s="14">
        <v>246133</v>
      </c>
      <c r="B1338" s="14" t="s">
        <v>1466</v>
      </c>
      <c r="C1338" s="14" t="s">
        <v>13030</v>
      </c>
      <c r="D1338" s="15">
        <v>16.38</v>
      </c>
      <c r="E1338" s="16" t="s">
        <v>30</v>
      </c>
    </row>
    <row r="1339" spans="1:5" x14ac:dyDescent="0.25">
      <c r="A1339" s="14">
        <v>249071</v>
      </c>
      <c r="B1339" s="14" t="s">
        <v>1467</v>
      </c>
      <c r="C1339" s="14" t="s">
        <v>13030</v>
      </c>
      <c r="D1339" s="15">
        <v>17.66</v>
      </c>
      <c r="E1339" s="16" t="s">
        <v>30</v>
      </c>
    </row>
    <row r="1340" spans="1:5" x14ac:dyDescent="0.25">
      <c r="A1340" s="14">
        <v>249397</v>
      </c>
      <c r="B1340" s="14" t="s">
        <v>1468</v>
      </c>
      <c r="C1340" s="14" t="s">
        <v>13030</v>
      </c>
      <c r="D1340" s="15">
        <v>12.87</v>
      </c>
      <c r="E1340" s="16" t="s">
        <v>30</v>
      </c>
    </row>
    <row r="1341" spans="1:5" x14ac:dyDescent="0.25">
      <c r="A1341" s="14">
        <v>249652</v>
      </c>
      <c r="B1341" s="14" t="s">
        <v>1469</v>
      </c>
      <c r="C1341" s="14" t="s">
        <v>13030</v>
      </c>
      <c r="D1341" s="15">
        <v>38.83</v>
      </c>
      <c r="E1341" s="16" t="s">
        <v>30</v>
      </c>
    </row>
    <row r="1342" spans="1:5" x14ac:dyDescent="0.25">
      <c r="A1342" s="14">
        <v>250101</v>
      </c>
      <c r="B1342" s="14" t="s">
        <v>1470</v>
      </c>
      <c r="C1342" s="14" t="s">
        <v>13029</v>
      </c>
      <c r="D1342" s="15">
        <v>10.69</v>
      </c>
      <c r="E1342" s="16" t="s">
        <v>30</v>
      </c>
    </row>
    <row r="1343" spans="1:5" x14ac:dyDescent="0.25">
      <c r="A1343" s="14">
        <v>250417</v>
      </c>
      <c r="B1343" s="14" t="s">
        <v>1471</v>
      </c>
      <c r="C1343" s="14" t="s">
        <v>13029</v>
      </c>
      <c r="D1343" s="15">
        <v>6.88</v>
      </c>
      <c r="E1343" s="16" t="s">
        <v>30</v>
      </c>
    </row>
    <row r="1344" spans="1:5" x14ac:dyDescent="0.25">
      <c r="A1344" s="14">
        <v>251169</v>
      </c>
      <c r="B1344" s="14" t="s">
        <v>1472</v>
      </c>
      <c r="C1344" s="14" t="s">
        <v>13030</v>
      </c>
      <c r="D1344" s="15">
        <v>117.4</v>
      </c>
      <c r="E1344" s="16" t="s">
        <v>30</v>
      </c>
    </row>
    <row r="1345" spans="1:5" x14ac:dyDescent="0.25">
      <c r="A1345" s="14">
        <v>251201</v>
      </c>
      <c r="B1345" s="14" t="s">
        <v>1473</v>
      </c>
      <c r="C1345" s="14" t="s">
        <v>13030</v>
      </c>
      <c r="D1345" s="15">
        <v>33.97</v>
      </c>
      <c r="E1345" s="16" t="s">
        <v>30</v>
      </c>
    </row>
    <row r="1346" spans="1:5" x14ac:dyDescent="0.25">
      <c r="A1346" s="14">
        <v>209785</v>
      </c>
      <c r="B1346" s="14" t="s">
        <v>1474</v>
      </c>
      <c r="C1346" s="14" t="s">
        <v>13030</v>
      </c>
      <c r="D1346" s="15">
        <v>17.420000000000002</v>
      </c>
      <c r="E1346" s="16" t="s">
        <v>20</v>
      </c>
    </row>
    <row r="1347" spans="1:5" x14ac:dyDescent="0.25">
      <c r="A1347" s="14">
        <v>251972</v>
      </c>
      <c r="B1347" s="14" t="s">
        <v>1475</v>
      </c>
      <c r="C1347" s="14" t="s">
        <v>13029</v>
      </c>
      <c r="D1347" s="15">
        <v>5.85</v>
      </c>
      <c r="E1347" s="16" t="s">
        <v>30</v>
      </c>
    </row>
    <row r="1348" spans="1:5" x14ac:dyDescent="0.25">
      <c r="A1348" s="14">
        <v>252019</v>
      </c>
      <c r="B1348" s="14" t="s">
        <v>1476</v>
      </c>
      <c r="C1348" s="14" t="s">
        <v>13031</v>
      </c>
      <c r="D1348" s="15">
        <v>27.97</v>
      </c>
      <c r="E1348" s="16" t="s">
        <v>30</v>
      </c>
    </row>
    <row r="1349" spans="1:5" x14ac:dyDescent="0.25">
      <c r="A1349" s="14">
        <v>252495</v>
      </c>
      <c r="B1349" s="14" t="s">
        <v>1477</v>
      </c>
      <c r="C1349" s="14" t="s">
        <v>13029</v>
      </c>
      <c r="D1349" s="15">
        <v>14.74</v>
      </c>
      <c r="E1349" s="16" t="s">
        <v>30</v>
      </c>
    </row>
    <row r="1350" spans="1:5" x14ac:dyDescent="0.25">
      <c r="A1350" s="14">
        <v>252779</v>
      </c>
      <c r="B1350" s="14" t="s">
        <v>1478</v>
      </c>
      <c r="C1350" s="14" t="s">
        <v>13030</v>
      </c>
      <c r="D1350" s="15">
        <v>33.19</v>
      </c>
      <c r="E1350" s="16" t="s">
        <v>30</v>
      </c>
    </row>
    <row r="1351" spans="1:5" x14ac:dyDescent="0.25">
      <c r="A1351" s="14">
        <v>253300</v>
      </c>
      <c r="B1351" s="14" t="s">
        <v>1479</v>
      </c>
      <c r="C1351" s="14" t="s">
        <v>13030</v>
      </c>
      <c r="D1351" s="15">
        <v>33.79</v>
      </c>
      <c r="E1351" s="16" t="s">
        <v>30</v>
      </c>
    </row>
    <row r="1352" spans="1:5" x14ac:dyDescent="0.25">
      <c r="A1352" s="14">
        <v>253937</v>
      </c>
      <c r="B1352" s="14" t="s">
        <v>1480</v>
      </c>
      <c r="C1352" s="14" t="s">
        <v>13029</v>
      </c>
      <c r="D1352" s="15">
        <v>8.32</v>
      </c>
      <c r="E1352" s="16" t="s">
        <v>30</v>
      </c>
    </row>
    <row r="1353" spans="1:5" x14ac:dyDescent="0.25">
      <c r="A1353" s="14">
        <v>254685</v>
      </c>
      <c r="B1353" s="14" t="s">
        <v>1481</v>
      </c>
      <c r="C1353" s="14" t="s">
        <v>13030</v>
      </c>
      <c r="D1353" s="15">
        <v>36.909999999999997</v>
      </c>
      <c r="E1353" s="16" t="s">
        <v>30</v>
      </c>
    </row>
    <row r="1354" spans="1:5" x14ac:dyDescent="0.25">
      <c r="A1354" s="14">
        <v>161061</v>
      </c>
      <c r="B1354" s="14" t="s">
        <v>1482</v>
      </c>
      <c r="C1354" s="14" t="s">
        <v>13031</v>
      </c>
      <c r="D1354" s="15">
        <v>15.06</v>
      </c>
      <c r="E1354" s="16" t="s">
        <v>20</v>
      </c>
    </row>
    <row r="1355" spans="1:5" x14ac:dyDescent="0.25">
      <c r="A1355" s="14">
        <v>257452</v>
      </c>
      <c r="B1355" s="14" t="s">
        <v>1483</v>
      </c>
      <c r="C1355" s="14" t="s">
        <v>13031</v>
      </c>
      <c r="D1355" s="15">
        <v>18.68</v>
      </c>
      <c r="E1355" s="16" t="s">
        <v>30</v>
      </c>
    </row>
    <row r="1356" spans="1:5" x14ac:dyDescent="0.25">
      <c r="A1356" s="14">
        <v>257453</v>
      </c>
      <c r="B1356" s="14" t="s">
        <v>1484</v>
      </c>
      <c r="C1356" s="14" t="s">
        <v>13031</v>
      </c>
      <c r="D1356" s="15">
        <v>18.68</v>
      </c>
      <c r="E1356" s="16" t="s">
        <v>30</v>
      </c>
    </row>
    <row r="1357" spans="1:5" x14ac:dyDescent="0.25">
      <c r="A1357" s="14">
        <v>258449</v>
      </c>
      <c r="B1357" s="14" t="s">
        <v>1485</v>
      </c>
      <c r="C1357" s="14" t="s">
        <v>13029</v>
      </c>
      <c r="D1357" s="15">
        <v>3.82</v>
      </c>
      <c r="E1357" s="16" t="s">
        <v>30</v>
      </c>
    </row>
    <row r="1358" spans="1:5" x14ac:dyDescent="0.25">
      <c r="A1358" s="14">
        <v>258454</v>
      </c>
      <c r="B1358" s="14" t="s">
        <v>1486</v>
      </c>
      <c r="C1358" s="14" t="s">
        <v>13030</v>
      </c>
      <c r="D1358" s="15">
        <v>17.96</v>
      </c>
      <c r="E1358" s="16" t="s">
        <v>30</v>
      </c>
    </row>
    <row r="1359" spans="1:5" x14ac:dyDescent="0.25">
      <c r="A1359" s="14">
        <v>258551</v>
      </c>
      <c r="B1359" s="14" t="s">
        <v>1487</v>
      </c>
      <c r="C1359" s="14" t="s">
        <v>13031</v>
      </c>
      <c r="D1359" s="15">
        <v>10.9</v>
      </c>
      <c r="E1359" s="16" t="s">
        <v>30</v>
      </c>
    </row>
    <row r="1360" spans="1:5" x14ac:dyDescent="0.25">
      <c r="A1360" s="14">
        <v>258553</v>
      </c>
      <c r="B1360" s="14" t="s">
        <v>1488</v>
      </c>
      <c r="C1360" s="14" t="s">
        <v>13031</v>
      </c>
      <c r="D1360" s="15">
        <v>18.25</v>
      </c>
      <c r="E1360" s="16" t="s">
        <v>30</v>
      </c>
    </row>
    <row r="1361" spans="1:5" x14ac:dyDescent="0.25">
      <c r="A1361" s="14">
        <v>161062</v>
      </c>
      <c r="B1361" s="14" t="s">
        <v>1489</v>
      </c>
      <c r="C1361" s="14" t="s">
        <v>13031</v>
      </c>
      <c r="D1361" s="15">
        <v>22.27</v>
      </c>
      <c r="E1361" s="16" t="s">
        <v>20</v>
      </c>
    </row>
    <row r="1362" spans="1:5" x14ac:dyDescent="0.25">
      <c r="A1362" s="14">
        <v>258556</v>
      </c>
      <c r="B1362" s="14" t="s">
        <v>1490</v>
      </c>
      <c r="C1362" s="14" t="s">
        <v>13031</v>
      </c>
      <c r="D1362" s="15">
        <v>8.44</v>
      </c>
      <c r="E1362" s="16" t="s">
        <v>30</v>
      </c>
    </row>
    <row r="1363" spans="1:5" x14ac:dyDescent="0.25">
      <c r="A1363" s="14">
        <v>262106</v>
      </c>
      <c r="B1363" s="14" t="s">
        <v>1491</v>
      </c>
      <c r="C1363" s="14" t="s">
        <v>13031</v>
      </c>
      <c r="D1363" s="15">
        <v>5.78</v>
      </c>
      <c r="E1363" s="16" t="s">
        <v>30</v>
      </c>
    </row>
    <row r="1364" spans="1:5" x14ac:dyDescent="0.25">
      <c r="A1364" s="14">
        <v>262107</v>
      </c>
      <c r="B1364" s="14" t="s">
        <v>1492</v>
      </c>
      <c r="C1364" s="14" t="s">
        <v>13031</v>
      </c>
      <c r="D1364" s="15">
        <v>5.5</v>
      </c>
      <c r="E1364" s="16" t="s">
        <v>30</v>
      </c>
    </row>
    <row r="1365" spans="1:5" x14ac:dyDescent="0.25">
      <c r="A1365" s="14">
        <v>262192</v>
      </c>
      <c r="B1365" s="14" t="s">
        <v>1493</v>
      </c>
      <c r="C1365" s="14" t="s">
        <v>13031</v>
      </c>
      <c r="D1365" s="15">
        <v>18.3</v>
      </c>
      <c r="E1365" s="16" t="s">
        <v>30</v>
      </c>
    </row>
    <row r="1366" spans="1:5" x14ac:dyDescent="0.25">
      <c r="A1366" s="14">
        <v>262193</v>
      </c>
      <c r="B1366" s="14" t="s">
        <v>1494</v>
      </c>
      <c r="C1366" s="14" t="s">
        <v>13031</v>
      </c>
      <c r="D1366" s="15">
        <v>12</v>
      </c>
      <c r="E1366" s="16" t="s">
        <v>30</v>
      </c>
    </row>
    <row r="1367" spans="1:5" x14ac:dyDescent="0.25">
      <c r="A1367" s="14">
        <v>262194</v>
      </c>
      <c r="B1367" s="14" t="s">
        <v>1495</v>
      </c>
      <c r="C1367" s="14" t="s">
        <v>13031</v>
      </c>
      <c r="D1367" s="15">
        <v>18.3</v>
      </c>
      <c r="E1367" s="16" t="s">
        <v>30</v>
      </c>
    </row>
    <row r="1368" spans="1:5" x14ac:dyDescent="0.25">
      <c r="A1368" s="14">
        <v>262195</v>
      </c>
      <c r="B1368" s="14" t="s">
        <v>1496</v>
      </c>
      <c r="C1368" s="14" t="s">
        <v>13031</v>
      </c>
      <c r="D1368" s="15">
        <v>12</v>
      </c>
      <c r="E1368" s="16" t="s">
        <v>30</v>
      </c>
    </row>
    <row r="1369" spans="1:5" x14ac:dyDescent="0.25">
      <c r="A1369" s="14">
        <v>262584</v>
      </c>
      <c r="B1369" s="14" t="s">
        <v>1497</v>
      </c>
      <c r="C1369" s="14" t="s">
        <v>13030</v>
      </c>
      <c r="D1369" s="15">
        <v>25.14</v>
      </c>
      <c r="E1369" s="16" t="s">
        <v>30</v>
      </c>
    </row>
    <row r="1370" spans="1:5" x14ac:dyDescent="0.25">
      <c r="A1370" s="14">
        <v>263758</v>
      </c>
      <c r="B1370" s="14" t="s">
        <v>1498</v>
      </c>
      <c r="C1370" s="14" t="s">
        <v>13031</v>
      </c>
      <c r="D1370" s="15">
        <v>1.6</v>
      </c>
      <c r="E1370" s="16" t="s">
        <v>30</v>
      </c>
    </row>
    <row r="1371" spans="1:5" x14ac:dyDescent="0.25">
      <c r="A1371" s="14">
        <v>265038</v>
      </c>
      <c r="B1371" s="14" t="s">
        <v>1499</v>
      </c>
      <c r="C1371" s="14" t="s">
        <v>13029</v>
      </c>
      <c r="D1371" s="15">
        <v>3.55</v>
      </c>
      <c r="E1371" s="16" t="s">
        <v>30</v>
      </c>
    </row>
    <row r="1372" spans="1:5" x14ac:dyDescent="0.25">
      <c r="A1372" s="14">
        <v>266616</v>
      </c>
      <c r="B1372" s="14" t="s">
        <v>1500</v>
      </c>
      <c r="C1372" s="14" t="s">
        <v>13029</v>
      </c>
      <c r="D1372" s="15">
        <v>5.35</v>
      </c>
      <c r="E1372" s="16" t="s">
        <v>30</v>
      </c>
    </row>
    <row r="1373" spans="1:5" x14ac:dyDescent="0.25">
      <c r="A1373" s="14">
        <v>266754</v>
      </c>
      <c r="B1373" s="14" t="s">
        <v>1501</v>
      </c>
      <c r="C1373" s="14" t="s">
        <v>13029</v>
      </c>
      <c r="D1373" s="15">
        <v>2.0299999999999998</v>
      </c>
      <c r="E1373" s="16" t="s">
        <v>30</v>
      </c>
    </row>
    <row r="1374" spans="1:5" x14ac:dyDescent="0.25">
      <c r="A1374" s="14">
        <v>266777</v>
      </c>
      <c r="B1374" s="14" t="s">
        <v>1502</v>
      </c>
      <c r="C1374" s="14" t="s">
        <v>13029</v>
      </c>
      <c r="D1374" s="15">
        <v>9.3000000000000007</v>
      </c>
      <c r="E1374" s="16" t="s">
        <v>30</v>
      </c>
    </row>
    <row r="1375" spans="1:5" x14ac:dyDescent="0.25">
      <c r="A1375" s="14">
        <v>267333</v>
      </c>
      <c r="B1375" s="14" t="s">
        <v>1503</v>
      </c>
      <c r="C1375" s="14" t="s">
        <v>13031</v>
      </c>
      <c r="D1375" s="15">
        <v>2.44</v>
      </c>
      <c r="E1375" s="16" t="s">
        <v>30</v>
      </c>
    </row>
    <row r="1376" spans="1:5" x14ac:dyDescent="0.25">
      <c r="A1376" s="14">
        <v>201724</v>
      </c>
      <c r="B1376" s="14" t="s">
        <v>1504</v>
      </c>
      <c r="C1376" s="14" t="s">
        <v>13030</v>
      </c>
      <c r="D1376" s="15">
        <v>52.34</v>
      </c>
      <c r="E1376" s="16" t="s">
        <v>20</v>
      </c>
    </row>
    <row r="1377" spans="1:5" x14ac:dyDescent="0.25">
      <c r="A1377" s="14">
        <v>269992</v>
      </c>
      <c r="B1377" s="14" t="s">
        <v>1505</v>
      </c>
      <c r="C1377" s="14" t="s">
        <v>13034</v>
      </c>
      <c r="D1377" s="15">
        <v>13.81</v>
      </c>
      <c r="E1377" s="16" t="s">
        <v>30</v>
      </c>
    </row>
    <row r="1378" spans="1:5" x14ac:dyDescent="0.25">
      <c r="A1378" s="14">
        <v>270402</v>
      </c>
      <c r="B1378" s="14" t="s">
        <v>1506</v>
      </c>
      <c r="C1378" s="14" t="s">
        <v>13030</v>
      </c>
      <c r="D1378" s="15">
        <v>28.06</v>
      </c>
      <c r="E1378" s="16" t="s">
        <v>30</v>
      </c>
    </row>
    <row r="1379" spans="1:5" x14ac:dyDescent="0.25">
      <c r="A1379" s="14">
        <v>270474</v>
      </c>
      <c r="B1379" s="14" t="s">
        <v>1507</v>
      </c>
      <c r="C1379" s="14" t="s">
        <v>13030</v>
      </c>
      <c r="D1379" s="15">
        <v>20.100000000000001</v>
      </c>
      <c r="E1379" s="16" t="s">
        <v>30</v>
      </c>
    </row>
    <row r="1380" spans="1:5" x14ac:dyDescent="0.25">
      <c r="A1380" s="14">
        <v>270475</v>
      </c>
      <c r="B1380" s="14" t="s">
        <v>1508</v>
      </c>
      <c r="C1380" s="14" t="s">
        <v>13030</v>
      </c>
      <c r="D1380" s="15">
        <v>20.100000000000001</v>
      </c>
      <c r="E1380" s="16" t="s">
        <v>30</v>
      </c>
    </row>
    <row r="1381" spans="1:5" x14ac:dyDescent="0.25">
      <c r="A1381" s="14">
        <v>271060</v>
      </c>
      <c r="B1381" s="14" t="s">
        <v>1509</v>
      </c>
      <c r="C1381" s="14" t="s">
        <v>13030</v>
      </c>
      <c r="D1381" s="15">
        <v>39.549999999999997</v>
      </c>
      <c r="E1381" s="16" t="s">
        <v>30</v>
      </c>
    </row>
    <row r="1382" spans="1:5" x14ac:dyDescent="0.25">
      <c r="A1382" s="14">
        <v>271639</v>
      </c>
      <c r="B1382" s="14" t="s">
        <v>1510</v>
      </c>
      <c r="C1382" s="14" t="s">
        <v>13031</v>
      </c>
      <c r="D1382" s="15">
        <v>10.58</v>
      </c>
      <c r="E1382" s="14" t="s">
        <v>30</v>
      </c>
    </row>
    <row r="1383" spans="1:5" x14ac:dyDescent="0.25">
      <c r="A1383" s="14">
        <v>271649</v>
      </c>
      <c r="B1383" s="14" t="s">
        <v>1511</v>
      </c>
      <c r="C1383" s="14" t="s">
        <v>13031</v>
      </c>
      <c r="D1383" s="15">
        <v>10.58</v>
      </c>
      <c r="E1383" s="14" t="s">
        <v>30</v>
      </c>
    </row>
    <row r="1384" spans="1:5" x14ac:dyDescent="0.25">
      <c r="A1384" s="14">
        <v>272976</v>
      </c>
      <c r="B1384" s="14" t="s">
        <v>1512</v>
      </c>
      <c r="C1384" s="14" t="s">
        <v>13031</v>
      </c>
      <c r="D1384" s="15">
        <v>8.23</v>
      </c>
      <c r="E1384" s="16" t="s">
        <v>30</v>
      </c>
    </row>
    <row r="1385" spans="1:5" x14ac:dyDescent="0.25">
      <c r="A1385" s="14">
        <v>272979</v>
      </c>
      <c r="B1385" s="14" t="s">
        <v>1513</v>
      </c>
      <c r="C1385" s="14" t="s">
        <v>13031</v>
      </c>
      <c r="D1385" s="15">
        <v>8</v>
      </c>
      <c r="E1385" s="16" t="s">
        <v>30</v>
      </c>
    </row>
    <row r="1386" spans="1:5" x14ac:dyDescent="0.25">
      <c r="A1386" s="14">
        <v>272980</v>
      </c>
      <c r="B1386" s="14" t="s">
        <v>1514</v>
      </c>
      <c r="C1386" s="14" t="s">
        <v>13031</v>
      </c>
      <c r="D1386" s="15">
        <v>8</v>
      </c>
      <c r="E1386" s="16" t="s">
        <v>30</v>
      </c>
    </row>
    <row r="1387" spans="1:5" x14ac:dyDescent="0.25">
      <c r="A1387" s="14">
        <v>273477</v>
      </c>
      <c r="B1387" s="14" t="s">
        <v>1515</v>
      </c>
      <c r="C1387" s="14" t="s">
        <v>13029</v>
      </c>
      <c r="D1387" s="15">
        <v>14.74</v>
      </c>
      <c r="E1387" s="16" t="s">
        <v>30</v>
      </c>
    </row>
    <row r="1388" spans="1:5" x14ac:dyDescent="0.25">
      <c r="A1388" s="14">
        <v>279965</v>
      </c>
      <c r="B1388" s="14" t="s">
        <v>1516</v>
      </c>
      <c r="C1388" s="14" t="s">
        <v>13030</v>
      </c>
      <c r="D1388" s="15">
        <v>45.48</v>
      </c>
      <c r="E1388" s="16" t="s">
        <v>30</v>
      </c>
    </row>
    <row r="1389" spans="1:5" x14ac:dyDescent="0.25">
      <c r="A1389" s="14">
        <v>280222</v>
      </c>
      <c r="B1389" s="14" t="s">
        <v>1517</v>
      </c>
      <c r="C1389" s="14" t="s">
        <v>13031</v>
      </c>
      <c r="D1389" s="15">
        <v>32.5</v>
      </c>
      <c r="E1389" s="16" t="s">
        <v>30</v>
      </c>
    </row>
    <row r="1390" spans="1:5" x14ac:dyDescent="0.25">
      <c r="A1390" s="14">
        <v>280229</v>
      </c>
      <c r="B1390" s="14" t="s">
        <v>1518</v>
      </c>
      <c r="C1390" s="14" t="s">
        <v>13031</v>
      </c>
      <c r="D1390" s="15">
        <v>32.5</v>
      </c>
      <c r="E1390" s="16" t="s">
        <v>30</v>
      </c>
    </row>
    <row r="1391" spans="1:5" x14ac:dyDescent="0.25">
      <c r="A1391" s="14">
        <v>280234</v>
      </c>
      <c r="B1391" s="14" t="s">
        <v>1519</v>
      </c>
      <c r="C1391" s="14" t="s">
        <v>13030</v>
      </c>
      <c r="D1391" s="15">
        <v>20.100000000000001</v>
      </c>
      <c r="E1391" s="16" t="s">
        <v>30</v>
      </c>
    </row>
    <row r="1392" spans="1:5" x14ac:dyDescent="0.25">
      <c r="A1392" s="14">
        <v>283839</v>
      </c>
      <c r="B1392" s="14" t="s">
        <v>1520</v>
      </c>
      <c r="C1392" s="14" t="s">
        <v>13030</v>
      </c>
      <c r="D1392" s="15">
        <v>122.17</v>
      </c>
      <c r="E1392" s="16" t="s">
        <v>30</v>
      </c>
    </row>
    <row r="1393" spans="1:5" x14ac:dyDescent="0.25">
      <c r="A1393" s="14">
        <v>284207</v>
      </c>
      <c r="B1393" s="14" t="s">
        <v>1521</v>
      </c>
      <c r="C1393" s="14" t="s">
        <v>13030</v>
      </c>
      <c r="D1393" s="15">
        <v>48.75</v>
      </c>
      <c r="E1393" s="16" t="s">
        <v>30</v>
      </c>
    </row>
    <row r="1394" spans="1:5" x14ac:dyDescent="0.25">
      <c r="A1394" s="14">
        <v>286197</v>
      </c>
      <c r="B1394" s="14" t="s">
        <v>1522</v>
      </c>
      <c r="C1394" s="14" t="s">
        <v>13031</v>
      </c>
      <c r="D1394" s="15">
        <v>3.4</v>
      </c>
      <c r="E1394" s="16" t="s">
        <v>30</v>
      </c>
    </row>
    <row r="1395" spans="1:5" x14ac:dyDescent="0.25">
      <c r="A1395" s="14">
        <v>290719</v>
      </c>
      <c r="B1395" s="14" t="s">
        <v>1523</v>
      </c>
      <c r="C1395" s="14" t="s">
        <v>13029</v>
      </c>
      <c r="D1395" s="15">
        <v>21.43</v>
      </c>
      <c r="E1395" s="16" t="s">
        <v>30</v>
      </c>
    </row>
    <row r="1396" spans="1:5" x14ac:dyDescent="0.25">
      <c r="A1396" s="14">
        <v>290975</v>
      </c>
      <c r="B1396" s="14" t="s">
        <v>1524</v>
      </c>
      <c r="C1396" s="14" t="s">
        <v>13029</v>
      </c>
      <c r="D1396" s="15">
        <v>5</v>
      </c>
      <c r="E1396" s="16" t="s">
        <v>30</v>
      </c>
    </row>
    <row r="1397" spans="1:5" x14ac:dyDescent="0.25">
      <c r="A1397" s="14">
        <v>291130</v>
      </c>
      <c r="B1397" s="14" t="s">
        <v>1525</v>
      </c>
      <c r="C1397" s="14" t="s">
        <v>13029</v>
      </c>
      <c r="D1397" s="15">
        <v>14.73</v>
      </c>
      <c r="E1397" s="16" t="s">
        <v>30</v>
      </c>
    </row>
    <row r="1398" spans="1:5" x14ac:dyDescent="0.25">
      <c r="A1398" s="14">
        <v>291274</v>
      </c>
      <c r="B1398" s="14" t="s">
        <v>1526</v>
      </c>
      <c r="C1398" s="14" t="s">
        <v>13030</v>
      </c>
      <c r="D1398" s="15">
        <v>18</v>
      </c>
      <c r="E1398" s="16" t="s">
        <v>30</v>
      </c>
    </row>
    <row r="1399" spans="1:5" x14ac:dyDescent="0.25">
      <c r="A1399" s="14">
        <v>201800</v>
      </c>
      <c r="B1399" s="14" t="s">
        <v>1527</v>
      </c>
      <c r="C1399" s="14" t="s">
        <v>13030</v>
      </c>
      <c r="D1399" s="15">
        <v>37.69</v>
      </c>
      <c r="E1399" s="16" t="s">
        <v>20</v>
      </c>
    </row>
    <row r="1400" spans="1:5" x14ac:dyDescent="0.25">
      <c r="A1400" s="14">
        <v>292559</v>
      </c>
      <c r="B1400" s="14" t="s">
        <v>1528</v>
      </c>
      <c r="C1400" s="14" t="s">
        <v>13029</v>
      </c>
      <c r="D1400" s="15">
        <v>27.4</v>
      </c>
      <c r="E1400" s="16" t="s">
        <v>30</v>
      </c>
    </row>
    <row r="1401" spans="1:5" x14ac:dyDescent="0.25">
      <c r="A1401" s="14">
        <v>167042</v>
      </c>
      <c r="B1401" s="14" t="s">
        <v>1529</v>
      </c>
      <c r="C1401" s="14" t="s">
        <v>13031</v>
      </c>
      <c r="D1401" s="15">
        <v>1.95</v>
      </c>
      <c r="E1401" s="16" t="s">
        <v>20</v>
      </c>
    </row>
    <row r="1402" spans="1:5" x14ac:dyDescent="0.25">
      <c r="A1402" s="14">
        <v>293232</v>
      </c>
      <c r="B1402" s="14" t="s">
        <v>1530</v>
      </c>
      <c r="C1402" s="14" t="s">
        <v>13031</v>
      </c>
      <c r="D1402" s="15">
        <v>3.11</v>
      </c>
      <c r="E1402" s="16" t="s">
        <v>30</v>
      </c>
    </row>
    <row r="1403" spans="1:5" x14ac:dyDescent="0.25">
      <c r="A1403" s="14">
        <v>293627</v>
      </c>
      <c r="B1403" s="14" t="s">
        <v>1531</v>
      </c>
      <c r="C1403" s="14" t="s">
        <v>13030</v>
      </c>
      <c r="D1403" s="15">
        <v>68.040000000000006</v>
      </c>
      <c r="E1403" s="16" t="s">
        <v>30</v>
      </c>
    </row>
    <row r="1404" spans="1:5" x14ac:dyDescent="0.25">
      <c r="A1404" s="14">
        <v>293630</v>
      </c>
      <c r="B1404" s="14" t="s">
        <v>1532</v>
      </c>
      <c r="C1404" s="14" t="s">
        <v>13030</v>
      </c>
      <c r="D1404" s="15">
        <v>25.14</v>
      </c>
      <c r="E1404" s="16" t="s">
        <v>30</v>
      </c>
    </row>
    <row r="1405" spans="1:5" x14ac:dyDescent="0.25">
      <c r="A1405" s="14">
        <v>293631</v>
      </c>
      <c r="B1405" s="14" t="s">
        <v>1533</v>
      </c>
      <c r="C1405" s="14" t="s">
        <v>13030</v>
      </c>
      <c r="D1405" s="15">
        <v>46.75</v>
      </c>
      <c r="E1405" s="16" t="s">
        <v>30</v>
      </c>
    </row>
    <row r="1406" spans="1:5" x14ac:dyDescent="0.25">
      <c r="A1406" s="14">
        <v>294299</v>
      </c>
      <c r="B1406" s="14" t="s">
        <v>1534</v>
      </c>
      <c r="C1406" s="14" t="s">
        <v>13031</v>
      </c>
      <c r="D1406" s="15">
        <v>5.29</v>
      </c>
      <c r="E1406" s="14" t="s">
        <v>30</v>
      </c>
    </row>
    <row r="1407" spans="1:5" x14ac:dyDescent="0.25">
      <c r="A1407" s="14">
        <v>294301</v>
      </c>
      <c r="B1407" s="14" t="s">
        <v>1535</v>
      </c>
      <c r="C1407" s="14" t="s">
        <v>13031</v>
      </c>
      <c r="D1407" s="15">
        <v>3.91</v>
      </c>
      <c r="E1407" s="14" t="s">
        <v>30</v>
      </c>
    </row>
    <row r="1408" spans="1:5" x14ac:dyDescent="0.25">
      <c r="A1408" s="14">
        <v>295105</v>
      </c>
      <c r="B1408" s="14" t="s">
        <v>1536</v>
      </c>
      <c r="C1408" s="14" t="s">
        <v>13029</v>
      </c>
      <c r="D1408" s="15">
        <v>17.05</v>
      </c>
      <c r="E1408" s="16" t="s">
        <v>30</v>
      </c>
    </row>
    <row r="1409" spans="1:5" x14ac:dyDescent="0.25">
      <c r="A1409" s="14">
        <v>295120</v>
      </c>
      <c r="B1409" s="14" t="s">
        <v>1537</v>
      </c>
      <c r="C1409" s="14" t="s">
        <v>13031</v>
      </c>
      <c r="D1409" s="15">
        <v>31.16</v>
      </c>
      <c r="E1409" s="16" t="s">
        <v>30</v>
      </c>
    </row>
    <row r="1410" spans="1:5" x14ac:dyDescent="0.25">
      <c r="A1410" s="14">
        <v>295121</v>
      </c>
      <c r="B1410" s="14" t="s">
        <v>1538</v>
      </c>
      <c r="C1410" s="14" t="s">
        <v>13031</v>
      </c>
      <c r="D1410" s="15">
        <v>13.47</v>
      </c>
      <c r="E1410" s="16" t="s">
        <v>30</v>
      </c>
    </row>
    <row r="1411" spans="1:5" x14ac:dyDescent="0.25">
      <c r="A1411" s="14">
        <v>295123</v>
      </c>
      <c r="B1411" s="14" t="s">
        <v>1539</v>
      </c>
      <c r="C1411" s="14" t="s">
        <v>13031</v>
      </c>
      <c r="D1411" s="15">
        <v>20.98</v>
      </c>
      <c r="E1411" s="16" t="s">
        <v>30</v>
      </c>
    </row>
    <row r="1412" spans="1:5" x14ac:dyDescent="0.25">
      <c r="A1412" s="14">
        <v>295259</v>
      </c>
      <c r="B1412" s="14" t="s">
        <v>1540</v>
      </c>
      <c r="C1412" s="14" t="s">
        <v>13029</v>
      </c>
      <c r="D1412" s="15">
        <v>14.73</v>
      </c>
      <c r="E1412" s="16" t="s">
        <v>30</v>
      </c>
    </row>
    <row r="1413" spans="1:5" x14ac:dyDescent="0.25">
      <c r="A1413" s="14">
        <v>295746</v>
      </c>
      <c r="B1413" s="14" t="s">
        <v>1541</v>
      </c>
      <c r="C1413" s="14" t="s">
        <v>13031</v>
      </c>
      <c r="D1413" s="15">
        <v>6.83</v>
      </c>
      <c r="E1413" s="16" t="s">
        <v>30</v>
      </c>
    </row>
    <row r="1414" spans="1:5" x14ac:dyDescent="0.25">
      <c r="A1414" s="14">
        <v>296347</v>
      </c>
      <c r="B1414" s="14" t="s">
        <v>1542</v>
      </c>
      <c r="C1414" s="14" t="s">
        <v>13031</v>
      </c>
      <c r="D1414" s="15">
        <v>7.88</v>
      </c>
      <c r="E1414" s="16" t="s">
        <v>30</v>
      </c>
    </row>
    <row r="1415" spans="1:5" x14ac:dyDescent="0.25">
      <c r="A1415" s="14">
        <v>297760</v>
      </c>
      <c r="B1415" s="14" t="s">
        <v>1543</v>
      </c>
      <c r="C1415" s="14" t="s">
        <v>13029</v>
      </c>
      <c r="D1415" s="15">
        <v>9.6</v>
      </c>
      <c r="E1415" s="16" t="s">
        <v>30</v>
      </c>
    </row>
    <row r="1416" spans="1:5" x14ac:dyDescent="0.25">
      <c r="A1416" s="14">
        <v>298982</v>
      </c>
      <c r="B1416" s="14" t="s">
        <v>1544</v>
      </c>
      <c r="C1416" s="14" t="s">
        <v>13031</v>
      </c>
      <c r="D1416" s="15">
        <v>12.71</v>
      </c>
      <c r="E1416" s="16" t="s">
        <v>30</v>
      </c>
    </row>
    <row r="1417" spans="1:5" x14ac:dyDescent="0.25">
      <c r="A1417" s="14">
        <v>300751</v>
      </c>
      <c r="B1417" s="14" t="s">
        <v>1545</v>
      </c>
      <c r="C1417" s="14" t="s">
        <v>13030</v>
      </c>
      <c r="D1417" s="15">
        <v>22.73</v>
      </c>
      <c r="E1417" s="16" t="s">
        <v>30</v>
      </c>
    </row>
    <row r="1418" spans="1:5" x14ac:dyDescent="0.25">
      <c r="A1418" s="14">
        <v>303539</v>
      </c>
      <c r="B1418" s="14" t="s">
        <v>1546</v>
      </c>
      <c r="C1418" s="14" t="s">
        <v>13030</v>
      </c>
      <c r="D1418" s="15">
        <v>27.03</v>
      </c>
      <c r="E1418" s="16" t="s">
        <v>30</v>
      </c>
    </row>
    <row r="1419" spans="1:5" x14ac:dyDescent="0.25">
      <c r="A1419" s="14">
        <v>307245</v>
      </c>
      <c r="B1419" s="14" t="s">
        <v>1547</v>
      </c>
      <c r="C1419" s="14" t="s">
        <v>13031</v>
      </c>
      <c r="D1419" s="15">
        <v>33.71</v>
      </c>
      <c r="E1419" s="14" t="s">
        <v>30</v>
      </c>
    </row>
    <row r="1420" spans="1:5" x14ac:dyDescent="0.25">
      <c r="A1420" s="14">
        <v>310284</v>
      </c>
      <c r="B1420" s="14" t="s">
        <v>1548</v>
      </c>
      <c r="C1420" s="14" t="s">
        <v>13030</v>
      </c>
      <c r="D1420" s="15">
        <v>80.040000000000006</v>
      </c>
      <c r="E1420" s="16" t="s">
        <v>30</v>
      </c>
    </row>
    <row r="1421" spans="1:5" x14ac:dyDescent="0.25">
      <c r="A1421" s="14">
        <v>314951</v>
      </c>
      <c r="B1421" s="14" t="s">
        <v>1549</v>
      </c>
      <c r="C1421" s="14" t="s">
        <v>13031</v>
      </c>
      <c r="D1421" s="15">
        <v>18.68</v>
      </c>
      <c r="E1421" s="16" t="s">
        <v>30</v>
      </c>
    </row>
    <row r="1422" spans="1:5" x14ac:dyDescent="0.25">
      <c r="A1422" s="14">
        <v>315575</v>
      </c>
      <c r="B1422" s="14" t="s">
        <v>1550</v>
      </c>
      <c r="C1422" s="14" t="s">
        <v>13031</v>
      </c>
      <c r="D1422" s="15">
        <v>17.03</v>
      </c>
      <c r="E1422" s="16" t="s">
        <v>30</v>
      </c>
    </row>
    <row r="1423" spans="1:5" x14ac:dyDescent="0.25">
      <c r="A1423" s="14">
        <v>315706</v>
      </c>
      <c r="B1423" s="14" t="s">
        <v>1551</v>
      </c>
      <c r="C1423" s="14" t="s">
        <v>13031</v>
      </c>
      <c r="D1423" s="15">
        <v>25.51</v>
      </c>
      <c r="E1423" s="16" t="s">
        <v>30</v>
      </c>
    </row>
    <row r="1424" spans="1:5" x14ac:dyDescent="0.25">
      <c r="A1424" s="14">
        <v>318640</v>
      </c>
      <c r="B1424" s="14" t="s">
        <v>1552</v>
      </c>
      <c r="C1424" s="14" t="s">
        <v>13030</v>
      </c>
      <c r="D1424" s="15">
        <v>420.33</v>
      </c>
      <c r="E1424" s="16" t="s">
        <v>30</v>
      </c>
    </row>
    <row r="1425" spans="1:5" x14ac:dyDescent="0.25">
      <c r="A1425" s="14">
        <v>318723</v>
      </c>
      <c r="B1425" s="14" t="s">
        <v>1553</v>
      </c>
      <c r="C1425" s="14" t="s">
        <v>13031</v>
      </c>
      <c r="D1425" s="15">
        <v>8.69</v>
      </c>
      <c r="E1425" s="16" t="s">
        <v>30</v>
      </c>
    </row>
    <row r="1426" spans="1:5" x14ac:dyDescent="0.25">
      <c r="A1426" s="14">
        <v>319071</v>
      </c>
      <c r="B1426" s="14" t="s">
        <v>1554</v>
      </c>
      <c r="C1426" s="14" t="s">
        <v>13029</v>
      </c>
      <c r="D1426" s="15">
        <v>12.17</v>
      </c>
      <c r="E1426" s="16" t="s">
        <v>30</v>
      </c>
    </row>
    <row r="1427" spans="1:5" x14ac:dyDescent="0.25">
      <c r="A1427" s="14">
        <v>320217</v>
      </c>
      <c r="B1427" s="14" t="s">
        <v>1555</v>
      </c>
      <c r="C1427" s="14" t="s">
        <v>13029</v>
      </c>
      <c r="D1427" s="15">
        <v>7.63</v>
      </c>
      <c r="E1427" s="16" t="s">
        <v>30</v>
      </c>
    </row>
    <row r="1428" spans="1:5" x14ac:dyDescent="0.25">
      <c r="A1428" s="14">
        <v>320219</v>
      </c>
      <c r="B1428" s="14" t="s">
        <v>1556</v>
      </c>
      <c r="C1428" s="14" t="s">
        <v>13029</v>
      </c>
      <c r="D1428" s="15">
        <v>16.440000000000001</v>
      </c>
      <c r="E1428" s="16" t="s">
        <v>30</v>
      </c>
    </row>
    <row r="1429" spans="1:5" x14ac:dyDescent="0.25">
      <c r="A1429" s="14">
        <v>321421</v>
      </c>
      <c r="B1429" s="14" t="s">
        <v>1557</v>
      </c>
      <c r="C1429" s="14" t="s">
        <v>13029</v>
      </c>
      <c r="D1429" s="15">
        <v>16.2</v>
      </c>
      <c r="E1429" s="16" t="s">
        <v>30</v>
      </c>
    </row>
    <row r="1430" spans="1:5" x14ac:dyDescent="0.25">
      <c r="A1430" s="14">
        <v>226232</v>
      </c>
      <c r="B1430" s="14" t="s">
        <v>1558</v>
      </c>
      <c r="C1430" s="14" t="s">
        <v>13030</v>
      </c>
      <c r="D1430" s="15">
        <v>29.75</v>
      </c>
      <c r="E1430" s="16" t="s">
        <v>20</v>
      </c>
    </row>
    <row r="1431" spans="1:5" x14ac:dyDescent="0.25">
      <c r="A1431" s="14">
        <v>242005</v>
      </c>
      <c r="B1431" s="14" t="s">
        <v>1559</v>
      </c>
      <c r="C1431" s="14" t="s">
        <v>13030</v>
      </c>
      <c r="D1431" s="15">
        <v>71.23</v>
      </c>
      <c r="E1431" s="16" t="s">
        <v>20</v>
      </c>
    </row>
    <row r="1432" spans="1:5" x14ac:dyDescent="0.25">
      <c r="A1432" s="14">
        <v>242006</v>
      </c>
      <c r="B1432" s="14" t="s">
        <v>16</v>
      </c>
      <c r="C1432" s="14" t="s">
        <v>13030</v>
      </c>
      <c r="D1432" s="15">
        <v>103.97</v>
      </c>
      <c r="E1432" s="16" t="s">
        <v>20</v>
      </c>
    </row>
    <row r="1433" spans="1:5" x14ac:dyDescent="0.25">
      <c r="A1433" s="14">
        <v>175850</v>
      </c>
      <c r="B1433" s="14" t="s">
        <v>1560</v>
      </c>
      <c r="C1433" s="14" t="s">
        <v>13031</v>
      </c>
      <c r="D1433" s="15">
        <v>2.6</v>
      </c>
      <c r="E1433" s="16" t="s">
        <v>20</v>
      </c>
    </row>
    <row r="1434" spans="1:5" x14ac:dyDescent="0.25">
      <c r="A1434" s="14">
        <v>321423</v>
      </c>
      <c r="B1434" s="14" t="s">
        <v>1561</v>
      </c>
      <c r="C1434" s="14" t="s">
        <v>13029</v>
      </c>
      <c r="D1434" s="15">
        <v>14.73</v>
      </c>
      <c r="E1434" s="16" t="s">
        <v>30</v>
      </c>
    </row>
    <row r="1435" spans="1:5" x14ac:dyDescent="0.25">
      <c r="A1435" s="14">
        <v>321727</v>
      </c>
      <c r="B1435" s="14" t="s">
        <v>1562</v>
      </c>
      <c r="C1435" s="14" t="s">
        <v>13029</v>
      </c>
      <c r="D1435" s="15">
        <v>27.4</v>
      </c>
      <c r="E1435" s="16" t="s">
        <v>30</v>
      </c>
    </row>
    <row r="1436" spans="1:5" x14ac:dyDescent="0.25">
      <c r="A1436" s="14">
        <v>321803</v>
      </c>
      <c r="B1436" s="14" t="s">
        <v>1563</v>
      </c>
      <c r="C1436" s="14" t="s">
        <v>13030</v>
      </c>
      <c r="D1436" s="15">
        <v>9.9499999999999993</v>
      </c>
      <c r="E1436" s="16" t="s">
        <v>30</v>
      </c>
    </row>
    <row r="1437" spans="1:5" x14ac:dyDescent="0.25">
      <c r="A1437" s="14">
        <v>322029</v>
      </c>
      <c r="B1437" s="14" t="s">
        <v>1564</v>
      </c>
      <c r="C1437" s="14" t="s">
        <v>13030</v>
      </c>
      <c r="D1437" s="15">
        <v>43.38</v>
      </c>
      <c r="E1437" s="16" t="s">
        <v>30</v>
      </c>
    </row>
    <row r="1438" spans="1:5" x14ac:dyDescent="0.25">
      <c r="A1438" s="14">
        <v>322349</v>
      </c>
      <c r="B1438" s="14" t="s">
        <v>1565</v>
      </c>
      <c r="C1438" s="14" t="s">
        <v>13030</v>
      </c>
      <c r="D1438" s="15">
        <v>39.54</v>
      </c>
      <c r="E1438" s="16" t="s">
        <v>30</v>
      </c>
    </row>
    <row r="1439" spans="1:5" x14ac:dyDescent="0.25">
      <c r="A1439" s="14">
        <v>322723</v>
      </c>
      <c r="B1439" s="14" t="s">
        <v>1566</v>
      </c>
      <c r="C1439" s="14" t="s">
        <v>13030</v>
      </c>
      <c r="D1439" s="15">
        <v>32.03</v>
      </c>
      <c r="E1439" s="16" t="s">
        <v>30</v>
      </c>
    </row>
    <row r="1440" spans="1:5" x14ac:dyDescent="0.25">
      <c r="A1440" s="14">
        <v>322739</v>
      </c>
      <c r="B1440" s="14" t="s">
        <v>1567</v>
      </c>
      <c r="C1440" s="14" t="s">
        <v>13030</v>
      </c>
      <c r="D1440" s="15">
        <v>32.08</v>
      </c>
      <c r="E1440" s="16" t="s">
        <v>30</v>
      </c>
    </row>
    <row r="1441" spans="1:5" x14ac:dyDescent="0.25">
      <c r="A1441" s="14">
        <v>322744</v>
      </c>
      <c r="B1441" s="14" t="s">
        <v>1568</v>
      </c>
      <c r="C1441" s="14" t="s">
        <v>13030</v>
      </c>
      <c r="D1441" s="15">
        <v>26.59</v>
      </c>
      <c r="E1441" s="16" t="s">
        <v>30</v>
      </c>
    </row>
    <row r="1442" spans="1:5" x14ac:dyDescent="0.25">
      <c r="A1442" s="14">
        <v>322747</v>
      </c>
      <c r="B1442" s="14" t="s">
        <v>1569</v>
      </c>
      <c r="C1442" s="14" t="s">
        <v>13030</v>
      </c>
      <c r="D1442" s="15">
        <v>26.59</v>
      </c>
      <c r="E1442" s="16" t="s">
        <v>30</v>
      </c>
    </row>
    <row r="1443" spans="1:5" x14ac:dyDescent="0.25">
      <c r="A1443" s="14">
        <v>322897</v>
      </c>
      <c r="B1443" s="14" t="s">
        <v>1570</v>
      </c>
      <c r="C1443" s="14" t="s">
        <v>13030</v>
      </c>
      <c r="D1443" s="15">
        <v>12.87</v>
      </c>
      <c r="E1443" s="16" t="s">
        <v>30</v>
      </c>
    </row>
    <row r="1444" spans="1:5" x14ac:dyDescent="0.25">
      <c r="A1444" s="14">
        <v>323257</v>
      </c>
      <c r="B1444" s="14" t="s">
        <v>1571</v>
      </c>
      <c r="C1444" s="14" t="s">
        <v>13030</v>
      </c>
      <c r="D1444" s="15">
        <v>33.36</v>
      </c>
      <c r="E1444" s="16" t="s">
        <v>30</v>
      </c>
    </row>
    <row r="1445" spans="1:5" x14ac:dyDescent="0.25">
      <c r="A1445" s="14">
        <v>323258</v>
      </c>
      <c r="B1445" s="14" t="s">
        <v>1572</v>
      </c>
      <c r="C1445" s="14" t="s">
        <v>13030</v>
      </c>
      <c r="D1445" s="15">
        <v>33.36</v>
      </c>
      <c r="E1445" s="16" t="s">
        <v>30</v>
      </c>
    </row>
    <row r="1446" spans="1:5" x14ac:dyDescent="0.25">
      <c r="A1446" s="14">
        <v>323557</v>
      </c>
      <c r="B1446" s="14" t="s">
        <v>1573</v>
      </c>
      <c r="C1446" s="14" t="s">
        <v>13029</v>
      </c>
      <c r="D1446" s="15">
        <v>22.16</v>
      </c>
      <c r="E1446" s="16" t="s">
        <v>30</v>
      </c>
    </row>
    <row r="1447" spans="1:5" x14ac:dyDescent="0.25">
      <c r="A1447" s="14">
        <v>323954</v>
      </c>
      <c r="B1447" s="14" t="s">
        <v>1574</v>
      </c>
      <c r="C1447" s="14" t="s">
        <v>13031</v>
      </c>
      <c r="D1447" s="15">
        <v>2.37</v>
      </c>
      <c r="E1447" s="16" t="s">
        <v>30</v>
      </c>
    </row>
    <row r="1448" spans="1:5" x14ac:dyDescent="0.25">
      <c r="A1448" s="14">
        <v>323971</v>
      </c>
      <c r="B1448" s="14" t="s">
        <v>1575</v>
      </c>
      <c r="C1448" s="14" t="s">
        <v>13031</v>
      </c>
      <c r="D1448" s="15">
        <v>2.37</v>
      </c>
      <c r="E1448" s="16" t="s">
        <v>30</v>
      </c>
    </row>
    <row r="1449" spans="1:5" x14ac:dyDescent="0.25">
      <c r="A1449" s="14">
        <v>324677</v>
      </c>
      <c r="B1449" s="14" t="s">
        <v>1576</v>
      </c>
      <c r="C1449" s="14" t="s">
        <v>13030</v>
      </c>
      <c r="D1449" s="15">
        <v>33.979999999999997</v>
      </c>
      <c r="E1449" s="16" t="s">
        <v>30</v>
      </c>
    </row>
    <row r="1450" spans="1:5" x14ac:dyDescent="0.25">
      <c r="A1450" s="14">
        <v>324678</v>
      </c>
      <c r="B1450" s="14" t="s">
        <v>1577</v>
      </c>
      <c r="C1450" s="14" t="s">
        <v>13030</v>
      </c>
      <c r="D1450" s="15">
        <v>39.54</v>
      </c>
      <c r="E1450" s="16" t="s">
        <v>30</v>
      </c>
    </row>
    <row r="1451" spans="1:5" x14ac:dyDescent="0.25">
      <c r="A1451" s="14">
        <v>324681</v>
      </c>
      <c r="B1451" s="14" t="s">
        <v>1578</v>
      </c>
      <c r="C1451" s="14" t="s">
        <v>13030</v>
      </c>
      <c r="D1451" s="15">
        <v>33.979999999999997</v>
      </c>
      <c r="E1451" s="16" t="s">
        <v>30</v>
      </c>
    </row>
    <row r="1452" spans="1:5" x14ac:dyDescent="0.25">
      <c r="A1452" s="14">
        <v>231714</v>
      </c>
      <c r="B1452" s="14" t="s">
        <v>1579</v>
      </c>
      <c r="C1452" s="14" t="s">
        <v>13030</v>
      </c>
      <c r="D1452" s="15">
        <v>26.02</v>
      </c>
      <c r="E1452" s="16" t="s">
        <v>20</v>
      </c>
    </row>
    <row r="1453" spans="1:5" x14ac:dyDescent="0.25">
      <c r="A1453" s="14">
        <v>324711</v>
      </c>
      <c r="B1453" s="14" t="s">
        <v>1580</v>
      </c>
      <c r="C1453" s="14" t="s">
        <v>13031</v>
      </c>
      <c r="D1453" s="15">
        <v>7.12</v>
      </c>
      <c r="E1453" s="16" t="s">
        <v>30</v>
      </c>
    </row>
    <row r="1454" spans="1:5" x14ac:dyDescent="0.25">
      <c r="A1454" s="14">
        <v>324727</v>
      </c>
      <c r="B1454" s="14" t="s">
        <v>1581</v>
      </c>
      <c r="C1454" s="14" t="s">
        <v>13031</v>
      </c>
      <c r="D1454" s="15">
        <v>7.12</v>
      </c>
      <c r="E1454" s="16" t="s">
        <v>30</v>
      </c>
    </row>
    <row r="1455" spans="1:5" x14ac:dyDescent="0.25">
      <c r="A1455" s="14">
        <v>324728</v>
      </c>
      <c r="B1455" s="14" t="s">
        <v>1582</v>
      </c>
      <c r="C1455" s="14" t="s">
        <v>13031</v>
      </c>
      <c r="D1455" s="15">
        <v>4.2</v>
      </c>
      <c r="E1455" s="16" t="s">
        <v>30</v>
      </c>
    </row>
    <row r="1456" spans="1:5" x14ac:dyDescent="0.25">
      <c r="A1456" s="14">
        <v>325194</v>
      </c>
      <c r="B1456" s="14" t="s">
        <v>1583</v>
      </c>
      <c r="C1456" s="14" t="s">
        <v>13031</v>
      </c>
      <c r="D1456" s="15">
        <v>11.5</v>
      </c>
      <c r="E1456" s="16" t="s">
        <v>30</v>
      </c>
    </row>
    <row r="1457" spans="1:5" x14ac:dyDescent="0.25">
      <c r="A1457" s="14">
        <v>325211</v>
      </c>
      <c r="B1457" s="14" t="s">
        <v>1584</v>
      </c>
      <c r="C1457" s="14" t="s">
        <v>13031</v>
      </c>
      <c r="D1457" s="15">
        <v>9.64</v>
      </c>
      <c r="E1457" s="16" t="s">
        <v>30</v>
      </c>
    </row>
    <row r="1458" spans="1:5" x14ac:dyDescent="0.25">
      <c r="A1458" s="14">
        <v>325277</v>
      </c>
      <c r="B1458" s="14" t="s">
        <v>1585</v>
      </c>
      <c r="C1458" s="14" t="s">
        <v>13031</v>
      </c>
      <c r="D1458" s="15">
        <v>11.5</v>
      </c>
      <c r="E1458" s="16" t="s">
        <v>30</v>
      </c>
    </row>
    <row r="1459" spans="1:5" x14ac:dyDescent="0.25">
      <c r="A1459" s="14">
        <v>325279</v>
      </c>
      <c r="B1459" s="14" t="s">
        <v>1586</v>
      </c>
      <c r="C1459" s="14" t="s">
        <v>13031</v>
      </c>
      <c r="D1459" s="15">
        <v>11.5</v>
      </c>
      <c r="E1459" s="16" t="s">
        <v>30</v>
      </c>
    </row>
    <row r="1460" spans="1:5" x14ac:dyDescent="0.25">
      <c r="A1460" s="14">
        <v>254469</v>
      </c>
      <c r="B1460" s="14" t="s">
        <v>1587</v>
      </c>
      <c r="C1460" s="14" t="s">
        <v>13030</v>
      </c>
      <c r="D1460" s="15">
        <v>26.65</v>
      </c>
      <c r="E1460" s="16" t="s">
        <v>20</v>
      </c>
    </row>
    <row r="1461" spans="1:5" x14ac:dyDescent="0.25">
      <c r="A1461" s="14">
        <v>325301</v>
      </c>
      <c r="B1461" s="14" t="s">
        <v>1588</v>
      </c>
      <c r="C1461" s="14" t="s">
        <v>13030</v>
      </c>
      <c r="D1461" s="15">
        <v>122.96</v>
      </c>
      <c r="E1461" s="14" t="s">
        <v>30</v>
      </c>
    </row>
    <row r="1462" spans="1:5" x14ac:dyDescent="0.25">
      <c r="A1462" s="14">
        <v>326436</v>
      </c>
      <c r="B1462" s="14" t="s">
        <v>1589</v>
      </c>
      <c r="C1462" s="14" t="s">
        <v>13029</v>
      </c>
      <c r="D1462" s="15">
        <v>4.7300000000000004</v>
      </c>
      <c r="E1462" s="16" t="s">
        <v>30</v>
      </c>
    </row>
    <row r="1463" spans="1:5" x14ac:dyDescent="0.25">
      <c r="A1463" s="14">
        <v>326438</v>
      </c>
      <c r="B1463" s="14" t="s">
        <v>1590</v>
      </c>
      <c r="C1463" s="14" t="s">
        <v>13029</v>
      </c>
      <c r="D1463" s="15">
        <v>8.67</v>
      </c>
      <c r="E1463" s="16" t="s">
        <v>30</v>
      </c>
    </row>
    <row r="1464" spans="1:5" x14ac:dyDescent="0.25">
      <c r="A1464" s="14">
        <v>326440</v>
      </c>
      <c r="B1464" s="14" t="s">
        <v>1591</v>
      </c>
      <c r="C1464" s="14" t="s">
        <v>13029</v>
      </c>
      <c r="D1464" s="15">
        <v>8.67</v>
      </c>
      <c r="E1464" s="16" t="s">
        <v>30</v>
      </c>
    </row>
    <row r="1465" spans="1:5" x14ac:dyDescent="0.25">
      <c r="A1465" s="14">
        <v>326513</v>
      </c>
      <c r="B1465" s="14" t="s">
        <v>1592</v>
      </c>
      <c r="C1465" s="14" t="s">
        <v>13029</v>
      </c>
      <c r="D1465" s="15">
        <v>2.85</v>
      </c>
      <c r="E1465" s="16" t="s">
        <v>30</v>
      </c>
    </row>
    <row r="1466" spans="1:5" x14ac:dyDescent="0.25">
      <c r="A1466" s="14">
        <v>326536</v>
      </c>
      <c r="B1466" s="14" t="s">
        <v>1593</v>
      </c>
      <c r="C1466" s="14" t="s">
        <v>13029</v>
      </c>
      <c r="D1466" s="15">
        <v>3.45</v>
      </c>
      <c r="E1466" s="16" t="s">
        <v>30</v>
      </c>
    </row>
    <row r="1467" spans="1:5" x14ac:dyDescent="0.25">
      <c r="A1467" s="14">
        <v>326539</v>
      </c>
      <c r="B1467" s="14" t="s">
        <v>1594</v>
      </c>
      <c r="C1467" s="14" t="s">
        <v>13029</v>
      </c>
      <c r="D1467" s="15">
        <v>4.95</v>
      </c>
      <c r="E1467" s="16" t="s">
        <v>30</v>
      </c>
    </row>
    <row r="1468" spans="1:5" x14ac:dyDescent="0.25">
      <c r="A1468" s="14">
        <v>326540</v>
      </c>
      <c r="B1468" s="14" t="s">
        <v>1595</v>
      </c>
      <c r="C1468" s="14" t="s">
        <v>13029</v>
      </c>
      <c r="D1468" s="15">
        <v>2.95</v>
      </c>
      <c r="E1468" s="16" t="s">
        <v>30</v>
      </c>
    </row>
    <row r="1469" spans="1:5" x14ac:dyDescent="0.25">
      <c r="A1469" s="14">
        <v>186264</v>
      </c>
      <c r="B1469" s="14" t="s">
        <v>1596</v>
      </c>
      <c r="C1469" s="14" t="s">
        <v>13030</v>
      </c>
      <c r="D1469" s="15">
        <v>19.03</v>
      </c>
      <c r="E1469" s="16" t="s">
        <v>20</v>
      </c>
    </row>
    <row r="1470" spans="1:5" x14ac:dyDescent="0.25">
      <c r="A1470" s="14">
        <v>252911</v>
      </c>
      <c r="B1470" s="14" t="s">
        <v>1597</v>
      </c>
      <c r="C1470" s="14" t="s">
        <v>13030</v>
      </c>
      <c r="D1470" s="15">
        <v>35.54</v>
      </c>
      <c r="E1470" s="16" t="s">
        <v>20</v>
      </c>
    </row>
    <row r="1471" spans="1:5" x14ac:dyDescent="0.25">
      <c r="A1471" s="14">
        <v>252912</v>
      </c>
      <c r="B1471" s="14" t="s">
        <v>1598</v>
      </c>
      <c r="C1471" s="14" t="s">
        <v>13030</v>
      </c>
      <c r="D1471" s="15">
        <v>35.54</v>
      </c>
      <c r="E1471" s="16" t="s">
        <v>20</v>
      </c>
    </row>
    <row r="1472" spans="1:5" x14ac:dyDescent="0.25">
      <c r="A1472" s="14">
        <v>326542</v>
      </c>
      <c r="B1472" s="14" t="s">
        <v>1599</v>
      </c>
      <c r="C1472" s="14" t="s">
        <v>13029</v>
      </c>
      <c r="D1472" s="15">
        <v>7.99</v>
      </c>
      <c r="E1472" s="16" t="s">
        <v>30</v>
      </c>
    </row>
    <row r="1473" spans="1:5" x14ac:dyDescent="0.25">
      <c r="A1473" s="14">
        <v>326543</v>
      </c>
      <c r="B1473" s="14" t="s">
        <v>1600</v>
      </c>
      <c r="C1473" s="14" t="s">
        <v>13029</v>
      </c>
      <c r="D1473" s="15">
        <v>4.1500000000000004</v>
      </c>
      <c r="E1473" s="16" t="s">
        <v>30</v>
      </c>
    </row>
    <row r="1474" spans="1:5" x14ac:dyDescent="0.25">
      <c r="A1474" s="14">
        <v>327418</v>
      </c>
      <c r="B1474" s="14" t="s">
        <v>1601</v>
      </c>
      <c r="C1474" s="14" t="s">
        <v>13029</v>
      </c>
      <c r="D1474" s="15">
        <v>8.76</v>
      </c>
      <c r="E1474" s="16" t="s">
        <v>30</v>
      </c>
    </row>
    <row r="1475" spans="1:5" x14ac:dyDescent="0.25">
      <c r="A1475" s="14">
        <v>327426</v>
      </c>
      <c r="B1475" s="14" t="s">
        <v>1602</v>
      </c>
      <c r="C1475" s="14" t="s">
        <v>13029</v>
      </c>
      <c r="D1475" s="15">
        <v>10.09</v>
      </c>
      <c r="E1475" s="16" t="s">
        <v>30</v>
      </c>
    </row>
    <row r="1476" spans="1:5" x14ac:dyDescent="0.25">
      <c r="A1476" s="14">
        <v>327428</v>
      </c>
      <c r="B1476" s="14" t="s">
        <v>1603</v>
      </c>
      <c r="C1476" s="14" t="s">
        <v>13029</v>
      </c>
      <c r="D1476" s="15">
        <v>10.62</v>
      </c>
      <c r="E1476" s="14" t="s">
        <v>30</v>
      </c>
    </row>
    <row r="1477" spans="1:5" x14ac:dyDescent="0.25">
      <c r="A1477" s="14">
        <v>329604</v>
      </c>
      <c r="B1477" s="14" t="s">
        <v>1604</v>
      </c>
      <c r="C1477" s="14" t="s">
        <v>13031</v>
      </c>
      <c r="D1477" s="15">
        <v>10.08</v>
      </c>
      <c r="E1477" s="16" t="s">
        <v>30</v>
      </c>
    </row>
    <row r="1478" spans="1:5" x14ac:dyDescent="0.25">
      <c r="A1478" s="14">
        <v>190498</v>
      </c>
      <c r="B1478" s="14" t="s">
        <v>1605</v>
      </c>
      <c r="C1478" s="14" t="s">
        <v>13031</v>
      </c>
      <c r="D1478" s="15">
        <v>12.97</v>
      </c>
      <c r="E1478" s="16" t="s">
        <v>20</v>
      </c>
    </row>
    <row r="1479" spans="1:5" x14ac:dyDescent="0.25">
      <c r="A1479" s="14">
        <v>329803</v>
      </c>
      <c r="B1479" s="14" t="s">
        <v>1606</v>
      </c>
      <c r="C1479" s="14" t="s">
        <v>13029</v>
      </c>
      <c r="D1479" s="15">
        <v>18.63</v>
      </c>
      <c r="E1479" s="16" t="s">
        <v>30</v>
      </c>
    </row>
    <row r="1480" spans="1:5" x14ac:dyDescent="0.25">
      <c r="A1480" s="14">
        <v>330286</v>
      </c>
      <c r="B1480" s="14" t="s">
        <v>1607</v>
      </c>
      <c r="C1480" s="14" t="s">
        <v>13030</v>
      </c>
      <c r="D1480" s="15">
        <v>9.19</v>
      </c>
      <c r="E1480" s="16" t="s">
        <v>30</v>
      </c>
    </row>
    <row r="1481" spans="1:5" x14ac:dyDescent="0.25">
      <c r="A1481" s="14">
        <v>252913</v>
      </c>
      <c r="B1481" s="14" t="s">
        <v>1608</v>
      </c>
      <c r="C1481" s="14" t="s">
        <v>13030</v>
      </c>
      <c r="D1481" s="15">
        <v>62.7</v>
      </c>
      <c r="E1481" s="16" t="s">
        <v>20</v>
      </c>
    </row>
    <row r="1482" spans="1:5" x14ac:dyDescent="0.25">
      <c r="A1482" s="14">
        <v>330536</v>
      </c>
      <c r="B1482" s="14" t="s">
        <v>1609</v>
      </c>
      <c r="C1482" s="14" t="s">
        <v>13031</v>
      </c>
      <c r="D1482" s="15">
        <v>12.56</v>
      </c>
      <c r="E1482" s="14" t="s">
        <v>30</v>
      </c>
    </row>
    <row r="1483" spans="1:5" x14ac:dyDescent="0.25">
      <c r="A1483" s="14">
        <v>330537</v>
      </c>
      <c r="B1483" s="14" t="s">
        <v>1610</v>
      </c>
      <c r="C1483" s="14" t="s">
        <v>13031</v>
      </c>
      <c r="D1483" s="15">
        <v>22.47</v>
      </c>
      <c r="E1483" s="14" t="s">
        <v>30</v>
      </c>
    </row>
    <row r="1484" spans="1:5" x14ac:dyDescent="0.25">
      <c r="A1484" s="14">
        <v>330823</v>
      </c>
      <c r="B1484" s="14" t="s">
        <v>1611</v>
      </c>
      <c r="C1484" s="14" t="s">
        <v>13029</v>
      </c>
      <c r="D1484" s="15">
        <v>13.32</v>
      </c>
      <c r="E1484" s="16" t="s">
        <v>30</v>
      </c>
    </row>
    <row r="1485" spans="1:5" x14ac:dyDescent="0.25">
      <c r="A1485" s="14">
        <v>331103</v>
      </c>
      <c r="B1485" s="14" t="s">
        <v>1612</v>
      </c>
      <c r="C1485" s="14" t="s">
        <v>13031</v>
      </c>
      <c r="D1485" s="15">
        <v>2.2799999999999998</v>
      </c>
      <c r="E1485" s="16" t="s">
        <v>30</v>
      </c>
    </row>
    <row r="1486" spans="1:5" x14ac:dyDescent="0.25">
      <c r="A1486" s="14">
        <v>331105</v>
      </c>
      <c r="B1486" s="14" t="s">
        <v>1613</v>
      </c>
      <c r="C1486" s="14" t="s">
        <v>13031</v>
      </c>
      <c r="D1486" s="15">
        <v>12.61</v>
      </c>
      <c r="E1486" s="16" t="s">
        <v>30</v>
      </c>
    </row>
    <row r="1487" spans="1:5" x14ac:dyDescent="0.25">
      <c r="A1487" s="14">
        <v>331143</v>
      </c>
      <c r="B1487" s="14" t="s">
        <v>1614</v>
      </c>
      <c r="C1487" s="14" t="s">
        <v>13033</v>
      </c>
      <c r="D1487" s="15">
        <v>16.47</v>
      </c>
      <c r="E1487" s="16" t="s">
        <v>30</v>
      </c>
    </row>
    <row r="1488" spans="1:5" x14ac:dyDescent="0.25">
      <c r="A1488" s="14">
        <v>193549</v>
      </c>
      <c r="B1488" s="14" t="s">
        <v>1615</v>
      </c>
      <c r="C1488" s="14" t="s">
        <v>13031</v>
      </c>
      <c r="D1488" s="15">
        <v>22.11</v>
      </c>
      <c r="E1488" s="16" t="s">
        <v>20</v>
      </c>
    </row>
    <row r="1489" spans="1:5" x14ac:dyDescent="0.25">
      <c r="A1489" s="14">
        <v>332501</v>
      </c>
      <c r="B1489" s="14" t="s">
        <v>1616</v>
      </c>
      <c r="C1489" s="14" t="s">
        <v>13029</v>
      </c>
      <c r="D1489" s="15">
        <v>11.8</v>
      </c>
      <c r="E1489" s="14" t="s">
        <v>30</v>
      </c>
    </row>
    <row r="1490" spans="1:5" x14ac:dyDescent="0.25">
      <c r="A1490" s="14">
        <v>203744</v>
      </c>
      <c r="B1490" s="14" t="s">
        <v>1617</v>
      </c>
      <c r="C1490" s="14" t="s">
        <v>13031</v>
      </c>
      <c r="D1490" s="15">
        <v>12.61</v>
      </c>
      <c r="E1490" s="16" t="s">
        <v>20</v>
      </c>
    </row>
    <row r="1491" spans="1:5" x14ac:dyDescent="0.25">
      <c r="A1491" s="14">
        <v>333205</v>
      </c>
      <c r="B1491" s="14" t="s">
        <v>1618</v>
      </c>
      <c r="C1491" s="14" t="s">
        <v>13029</v>
      </c>
      <c r="D1491" s="15">
        <v>21.87</v>
      </c>
      <c r="E1491" s="16" t="s">
        <v>30</v>
      </c>
    </row>
    <row r="1492" spans="1:5" x14ac:dyDescent="0.25">
      <c r="A1492" s="14">
        <v>224072</v>
      </c>
      <c r="B1492" s="14" t="s">
        <v>1619</v>
      </c>
      <c r="C1492" s="14" t="s">
        <v>13031</v>
      </c>
      <c r="D1492" s="15">
        <v>6.38</v>
      </c>
      <c r="E1492" s="16" t="s">
        <v>20</v>
      </c>
    </row>
    <row r="1493" spans="1:5" x14ac:dyDescent="0.25">
      <c r="A1493" s="14">
        <v>264473</v>
      </c>
      <c r="B1493" s="14" t="s">
        <v>1620</v>
      </c>
      <c r="C1493" s="14" t="s">
        <v>13030</v>
      </c>
      <c r="D1493" s="15">
        <v>33.049999999999997</v>
      </c>
      <c r="E1493" s="16" t="s">
        <v>20</v>
      </c>
    </row>
    <row r="1494" spans="1:5" x14ac:dyDescent="0.25">
      <c r="A1494" s="14">
        <v>333396</v>
      </c>
      <c r="B1494" s="14" t="s">
        <v>1621</v>
      </c>
      <c r="C1494" s="14" t="s">
        <v>13031</v>
      </c>
      <c r="D1494" s="15">
        <v>7.13</v>
      </c>
      <c r="E1494" s="16" t="s">
        <v>30</v>
      </c>
    </row>
    <row r="1495" spans="1:5" x14ac:dyDescent="0.25">
      <c r="A1495" s="14">
        <v>333400</v>
      </c>
      <c r="B1495" s="14" t="s">
        <v>1622</v>
      </c>
      <c r="C1495" s="14" t="s">
        <v>13031</v>
      </c>
      <c r="D1495" s="15">
        <v>16.100000000000001</v>
      </c>
      <c r="E1495" s="16" t="s">
        <v>30</v>
      </c>
    </row>
    <row r="1496" spans="1:5" x14ac:dyDescent="0.25">
      <c r="A1496" s="14">
        <v>224096</v>
      </c>
      <c r="B1496" s="14" t="s">
        <v>1623</v>
      </c>
      <c r="C1496" s="14" t="s">
        <v>13031</v>
      </c>
      <c r="D1496" s="15">
        <v>10.81</v>
      </c>
      <c r="E1496" s="16" t="s">
        <v>20</v>
      </c>
    </row>
    <row r="1497" spans="1:5" x14ac:dyDescent="0.25">
      <c r="A1497" s="14">
        <v>224319</v>
      </c>
      <c r="B1497" s="14" t="s">
        <v>1624</v>
      </c>
      <c r="C1497" s="14" t="s">
        <v>13030</v>
      </c>
      <c r="D1497" s="15">
        <v>12.48</v>
      </c>
      <c r="E1497" s="16" t="s">
        <v>20</v>
      </c>
    </row>
    <row r="1498" spans="1:5" x14ac:dyDescent="0.25">
      <c r="A1498" s="14">
        <v>334393</v>
      </c>
      <c r="B1498" s="14" t="s">
        <v>1625</v>
      </c>
      <c r="C1498" s="14" t="s">
        <v>13029</v>
      </c>
      <c r="D1498" s="15">
        <v>4.7</v>
      </c>
      <c r="E1498" s="16" t="s">
        <v>30</v>
      </c>
    </row>
    <row r="1499" spans="1:5" x14ac:dyDescent="0.25">
      <c r="A1499" s="14">
        <v>337305</v>
      </c>
      <c r="B1499" s="14" t="s">
        <v>1626</v>
      </c>
      <c r="C1499" s="14" t="s">
        <v>13031</v>
      </c>
      <c r="D1499" s="15">
        <v>41.55</v>
      </c>
      <c r="E1499" s="16" t="s">
        <v>30</v>
      </c>
    </row>
    <row r="1500" spans="1:5" x14ac:dyDescent="0.25">
      <c r="A1500" s="14">
        <v>337637</v>
      </c>
      <c r="B1500" s="14" t="s">
        <v>1627</v>
      </c>
      <c r="C1500" s="14" t="s">
        <v>13030</v>
      </c>
      <c r="D1500" s="15">
        <v>79.91</v>
      </c>
      <c r="E1500" s="16" t="s">
        <v>30</v>
      </c>
    </row>
    <row r="1501" spans="1:5" x14ac:dyDescent="0.25">
      <c r="A1501" s="14">
        <v>338697</v>
      </c>
      <c r="B1501" s="14" t="s">
        <v>1628</v>
      </c>
      <c r="C1501" s="14" t="s">
        <v>13029</v>
      </c>
      <c r="D1501" s="15">
        <v>23.48</v>
      </c>
      <c r="E1501" s="16" t="s">
        <v>30</v>
      </c>
    </row>
    <row r="1502" spans="1:5" x14ac:dyDescent="0.25">
      <c r="A1502" s="14">
        <v>339282</v>
      </c>
      <c r="B1502" s="14" t="s">
        <v>1629</v>
      </c>
      <c r="C1502" s="14" t="s">
        <v>13029</v>
      </c>
      <c r="D1502" s="15">
        <v>11.34</v>
      </c>
      <c r="E1502" s="16" t="s">
        <v>30</v>
      </c>
    </row>
    <row r="1503" spans="1:5" x14ac:dyDescent="0.25">
      <c r="A1503" s="14">
        <v>339885</v>
      </c>
      <c r="B1503" s="14" t="s">
        <v>1630</v>
      </c>
      <c r="C1503" s="14" t="s">
        <v>13029</v>
      </c>
      <c r="D1503" s="15">
        <v>4.5199999999999996</v>
      </c>
      <c r="E1503" s="16" t="s">
        <v>30</v>
      </c>
    </row>
    <row r="1504" spans="1:5" x14ac:dyDescent="0.25">
      <c r="A1504" s="14">
        <v>225486</v>
      </c>
      <c r="B1504" s="14" t="s">
        <v>1631</v>
      </c>
      <c r="C1504" s="14" t="s">
        <v>13031</v>
      </c>
      <c r="D1504" s="15">
        <v>7.93</v>
      </c>
      <c r="E1504" s="16" t="s">
        <v>20</v>
      </c>
    </row>
    <row r="1505" spans="1:5" x14ac:dyDescent="0.25">
      <c r="A1505" s="14">
        <v>225493</v>
      </c>
      <c r="B1505" s="14" t="s">
        <v>1632</v>
      </c>
      <c r="C1505" s="14" t="s">
        <v>13031</v>
      </c>
      <c r="D1505" s="15">
        <v>8.33</v>
      </c>
      <c r="E1505" s="16" t="s">
        <v>20</v>
      </c>
    </row>
    <row r="1506" spans="1:5" x14ac:dyDescent="0.25">
      <c r="A1506" s="14">
        <v>274467</v>
      </c>
      <c r="B1506" s="14" t="s">
        <v>1633</v>
      </c>
      <c r="C1506" s="14" t="s">
        <v>13030</v>
      </c>
      <c r="D1506" s="15">
        <v>30.08</v>
      </c>
      <c r="E1506" s="16" t="s">
        <v>20</v>
      </c>
    </row>
    <row r="1507" spans="1:5" x14ac:dyDescent="0.25">
      <c r="A1507" s="14">
        <v>340097</v>
      </c>
      <c r="B1507" s="14" t="s">
        <v>1634</v>
      </c>
      <c r="C1507" s="14" t="s">
        <v>13029</v>
      </c>
      <c r="D1507" s="15">
        <v>12.94</v>
      </c>
      <c r="E1507" s="16" t="s">
        <v>30</v>
      </c>
    </row>
    <row r="1508" spans="1:5" x14ac:dyDescent="0.25">
      <c r="A1508" s="14">
        <v>340099</v>
      </c>
      <c r="B1508" s="14" t="s">
        <v>1635</v>
      </c>
      <c r="C1508" s="14" t="s">
        <v>13029</v>
      </c>
      <c r="D1508" s="15">
        <v>36.799999999999997</v>
      </c>
      <c r="E1508" s="16" t="s">
        <v>30</v>
      </c>
    </row>
    <row r="1509" spans="1:5" x14ac:dyDescent="0.25">
      <c r="A1509" s="14">
        <v>340118</v>
      </c>
      <c r="B1509" s="14" t="s">
        <v>1636</v>
      </c>
      <c r="C1509" s="14" t="s">
        <v>13031</v>
      </c>
      <c r="D1509" s="15">
        <v>44</v>
      </c>
      <c r="E1509" s="16" t="s">
        <v>30</v>
      </c>
    </row>
    <row r="1510" spans="1:5" x14ac:dyDescent="0.25">
      <c r="A1510" s="14">
        <v>341322</v>
      </c>
      <c r="B1510" s="14" t="s">
        <v>1637</v>
      </c>
      <c r="C1510" s="14" t="s">
        <v>13029</v>
      </c>
      <c r="D1510" s="15">
        <v>14.5</v>
      </c>
      <c r="E1510" s="14" t="s">
        <v>30</v>
      </c>
    </row>
    <row r="1511" spans="1:5" x14ac:dyDescent="0.25">
      <c r="A1511" s="14">
        <v>341324</v>
      </c>
      <c r="B1511" s="14" t="s">
        <v>1638</v>
      </c>
      <c r="C1511" s="14" t="s">
        <v>13029</v>
      </c>
      <c r="D1511" s="15">
        <v>14.5</v>
      </c>
      <c r="E1511" s="14" t="s">
        <v>30</v>
      </c>
    </row>
    <row r="1512" spans="1:5" x14ac:dyDescent="0.25">
      <c r="A1512" s="14">
        <v>341326</v>
      </c>
      <c r="B1512" s="14" t="s">
        <v>1639</v>
      </c>
      <c r="C1512" s="14" t="s">
        <v>13029</v>
      </c>
      <c r="D1512" s="15">
        <v>14.5</v>
      </c>
      <c r="E1512" s="14" t="s">
        <v>30</v>
      </c>
    </row>
    <row r="1513" spans="1:5" x14ac:dyDescent="0.25">
      <c r="A1513" s="14">
        <v>276190</v>
      </c>
      <c r="B1513" s="14" t="s">
        <v>1640</v>
      </c>
      <c r="C1513" s="14" t="s">
        <v>13030</v>
      </c>
      <c r="D1513" s="15">
        <v>36.770000000000003</v>
      </c>
      <c r="E1513" s="16" t="s">
        <v>20</v>
      </c>
    </row>
    <row r="1514" spans="1:5" x14ac:dyDescent="0.25">
      <c r="A1514" s="14">
        <v>341951</v>
      </c>
      <c r="B1514" s="14" t="s">
        <v>1641</v>
      </c>
      <c r="C1514" s="14" t="s">
        <v>13031</v>
      </c>
      <c r="D1514" s="15">
        <v>9.24</v>
      </c>
      <c r="E1514" s="16" t="s">
        <v>30</v>
      </c>
    </row>
    <row r="1515" spans="1:5" x14ac:dyDescent="0.25">
      <c r="A1515" s="14">
        <v>342501</v>
      </c>
      <c r="B1515" s="14" t="s">
        <v>1642</v>
      </c>
      <c r="C1515" s="14" t="s">
        <v>13030</v>
      </c>
      <c r="D1515" s="15">
        <v>295.29000000000002</v>
      </c>
      <c r="E1515" s="16" t="s">
        <v>30</v>
      </c>
    </row>
    <row r="1516" spans="1:5" x14ac:dyDescent="0.25">
      <c r="A1516" s="14">
        <v>342592</v>
      </c>
      <c r="B1516" s="14" t="s">
        <v>1643</v>
      </c>
      <c r="C1516" s="14" t="s">
        <v>13030</v>
      </c>
      <c r="D1516" s="15">
        <v>319.20999999999998</v>
      </c>
      <c r="E1516" s="16" t="s">
        <v>30</v>
      </c>
    </row>
    <row r="1517" spans="1:5" x14ac:dyDescent="0.25">
      <c r="A1517" s="14">
        <v>293652</v>
      </c>
      <c r="B1517" s="14" t="s">
        <v>1644</v>
      </c>
      <c r="C1517" s="14" t="s">
        <v>13030</v>
      </c>
      <c r="D1517" s="15">
        <v>59.06</v>
      </c>
      <c r="E1517" s="16" t="s">
        <v>20</v>
      </c>
    </row>
    <row r="1518" spans="1:5" x14ac:dyDescent="0.25">
      <c r="A1518" s="14">
        <v>242012</v>
      </c>
      <c r="B1518" s="14" t="s">
        <v>1645</v>
      </c>
      <c r="C1518" s="14" t="s">
        <v>13031</v>
      </c>
      <c r="D1518" s="15">
        <v>4.6100000000000003</v>
      </c>
      <c r="E1518" s="16" t="s">
        <v>20</v>
      </c>
    </row>
    <row r="1519" spans="1:5" x14ac:dyDescent="0.25">
      <c r="A1519" s="14">
        <v>314890</v>
      </c>
      <c r="B1519" s="14" t="s">
        <v>1646</v>
      </c>
      <c r="C1519" s="14" t="s">
        <v>13030</v>
      </c>
      <c r="D1519" s="15">
        <v>30.08</v>
      </c>
      <c r="E1519" s="16" t="s">
        <v>20</v>
      </c>
    </row>
    <row r="1520" spans="1:5" x14ac:dyDescent="0.25">
      <c r="A1520" s="14">
        <v>254466</v>
      </c>
      <c r="B1520" s="14" t="s">
        <v>1647</v>
      </c>
      <c r="C1520" s="14" t="s">
        <v>13031</v>
      </c>
      <c r="D1520" s="15">
        <v>23.3</v>
      </c>
      <c r="E1520" s="16" t="s">
        <v>20</v>
      </c>
    </row>
    <row r="1521" spans="1:5" x14ac:dyDescent="0.25">
      <c r="A1521" s="14">
        <v>342608</v>
      </c>
      <c r="B1521" s="14" t="s">
        <v>1648</v>
      </c>
      <c r="C1521" s="14" t="s">
        <v>13030</v>
      </c>
      <c r="D1521" s="15">
        <v>172.88</v>
      </c>
      <c r="E1521" s="16" t="s">
        <v>30</v>
      </c>
    </row>
    <row r="1522" spans="1:5" x14ac:dyDescent="0.25">
      <c r="A1522" s="14">
        <v>342609</v>
      </c>
      <c r="B1522" s="14" t="s">
        <v>1649</v>
      </c>
      <c r="C1522" s="14" t="s">
        <v>13030</v>
      </c>
      <c r="D1522" s="15">
        <v>64.83</v>
      </c>
      <c r="E1522" s="16" t="s">
        <v>30</v>
      </c>
    </row>
    <row r="1523" spans="1:5" x14ac:dyDescent="0.25">
      <c r="A1523" s="14">
        <v>342610</v>
      </c>
      <c r="B1523" s="14" t="s">
        <v>1650</v>
      </c>
      <c r="C1523" s="14" t="s">
        <v>13030</v>
      </c>
      <c r="D1523" s="15">
        <v>64.84</v>
      </c>
      <c r="E1523" s="16" t="s">
        <v>30</v>
      </c>
    </row>
    <row r="1524" spans="1:5" x14ac:dyDescent="0.25">
      <c r="A1524" s="14">
        <v>342841</v>
      </c>
      <c r="B1524" s="14" t="s">
        <v>1651</v>
      </c>
      <c r="C1524" s="14" t="s">
        <v>13030</v>
      </c>
      <c r="D1524" s="15">
        <v>172.88</v>
      </c>
      <c r="E1524" s="16" t="s">
        <v>30</v>
      </c>
    </row>
    <row r="1525" spans="1:5" x14ac:dyDescent="0.25">
      <c r="A1525" s="14">
        <v>342872</v>
      </c>
      <c r="B1525" s="14" t="s">
        <v>1652</v>
      </c>
      <c r="C1525" s="14" t="s">
        <v>13030</v>
      </c>
      <c r="D1525" s="15">
        <v>64.84</v>
      </c>
      <c r="E1525" s="16" t="s">
        <v>30</v>
      </c>
    </row>
    <row r="1526" spans="1:5" x14ac:dyDescent="0.25">
      <c r="A1526" s="14">
        <v>343252</v>
      </c>
      <c r="B1526" s="14" t="s">
        <v>1653</v>
      </c>
      <c r="C1526" s="14" t="s">
        <v>13030</v>
      </c>
      <c r="D1526" s="15">
        <v>7.83</v>
      </c>
      <c r="E1526" s="16" t="s">
        <v>30</v>
      </c>
    </row>
    <row r="1527" spans="1:5" x14ac:dyDescent="0.25">
      <c r="A1527" s="14">
        <v>343323</v>
      </c>
      <c r="B1527" s="14" t="s">
        <v>1654</v>
      </c>
      <c r="C1527" s="14" t="s">
        <v>13031</v>
      </c>
      <c r="D1527" s="15">
        <v>5.25</v>
      </c>
      <c r="E1527" s="16" t="s">
        <v>30</v>
      </c>
    </row>
    <row r="1528" spans="1:5" x14ac:dyDescent="0.25">
      <c r="A1528" s="14">
        <v>343603</v>
      </c>
      <c r="B1528" s="14" t="s">
        <v>1655</v>
      </c>
      <c r="C1528" s="14" t="s">
        <v>13029</v>
      </c>
      <c r="D1528" s="15">
        <v>42</v>
      </c>
      <c r="E1528" s="16" t="s">
        <v>30</v>
      </c>
    </row>
    <row r="1529" spans="1:5" x14ac:dyDescent="0.25">
      <c r="A1529" s="14">
        <v>344160</v>
      </c>
      <c r="B1529" s="14" t="s">
        <v>1656</v>
      </c>
      <c r="C1529" s="14" t="s">
        <v>13030</v>
      </c>
      <c r="D1529" s="15">
        <v>28.59</v>
      </c>
      <c r="E1529" s="16" t="s">
        <v>30</v>
      </c>
    </row>
    <row r="1530" spans="1:5" x14ac:dyDescent="0.25">
      <c r="A1530" s="14">
        <v>345490</v>
      </c>
      <c r="B1530" s="14" t="s">
        <v>1657</v>
      </c>
      <c r="C1530" s="14" t="s">
        <v>13029</v>
      </c>
      <c r="D1530" s="15">
        <v>29.24</v>
      </c>
      <c r="E1530" s="16" t="s">
        <v>30</v>
      </c>
    </row>
    <row r="1531" spans="1:5" x14ac:dyDescent="0.25">
      <c r="A1531" s="14">
        <v>346011</v>
      </c>
      <c r="B1531" s="14" t="s">
        <v>1658</v>
      </c>
      <c r="C1531" s="14" t="s">
        <v>13030</v>
      </c>
      <c r="D1531" s="15">
        <v>55.23</v>
      </c>
      <c r="E1531" s="16" t="s">
        <v>30</v>
      </c>
    </row>
    <row r="1532" spans="1:5" x14ac:dyDescent="0.25">
      <c r="A1532" s="14">
        <v>347756</v>
      </c>
      <c r="B1532" s="14" t="s">
        <v>1659</v>
      </c>
      <c r="C1532" s="14" t="s">
        <v>13029</v>
      </c>
      <c r="D1532" s="15">
        <v>10</v>
      </c>
      <c r="E1532" s="16" t="s">
        <v>30</v>
      </c>
    </row>
    <row r="1533" spans="1:5" x14ac:dyDescent="0.25">
      <c r="A1533" s="14">
        <v>347757</v>
      </c>
      <c r="B1533" s="14" t="s">
        <v>1660</v>
      </c>
      <c r="C1533" s="14" t="s">
        <v>13029</v>
      </c>
      <c r="D1533" s="15">
        <v>10</v>
      </c>
      <c r="E1533" s="16" t="s">
        <v>30</v>
      </c>
    </row>
    <row r="1534" spans="1:5" x14ac:dyDescent="0.25">
      <c r="A1534" s="14">
        <v>347897</v>
      </c>
      <c r="B1534" s="14" t="s">
        <v>1661</v>
      </c>
      <c r="C1534" s="14" t="s">
        <v>13029</v>
      </c>
      <c r="D1534" s="15">
        <v>13.01</v>
      </c>
      <c r="E1534" s="16" t="s">
        <v>30</v>
      </c>
    </row>
    <row r="1535" spans="1:5" x14ac:dyDescent="0.25">
      <c r="A1535" s="14">
        <v>348829</v>
      </c>
      <c r="B1535" s="14" t="s">
        <v>1662</v>
      </c>
      <c r="C1535" s="14" t="s">
        <v>13031</v>
      </c>
      <c r="D1535" s="15">
        <v>2.62</v>
      </c>
      <c r="E1535" s="16" t="s">
        <v>30</v>
      </c>
    </row>
    <row r="1536" spans="1:5" x14ac:dyDescent="0.25">
      <c r="A1536" s="14">
        <v>348830</v>
      </c>
      <c r="B1536" s="14" t="s">
        <v>1663</v>
      </c>
      <c r="C1536" s="14" t="s">
        <v>13031</v>
      </c>
      <c r="D1536" s="15">
        <v>2.37</v>
      </c>
      <c r="E1536" s="16" t="s">
        <v>30</v>
      </c>
    </row>
    <row r="1537" spans="1:5" x14ac:dyDescent="0.25">
      <c r="A1537" s="14">
        <v>348960</v>
      </c>
      <c r="B1537" s="14" t="s">
        <v>1664</v>
      </c>
      <c r="C1537" s="14" t="s">
        <v>13031</v>
      </c>
      <c r="D1537" s="15">
        <v>7.21</v>
      </c>
      <c r="E1537" s="16" t="s">
        <v>30</v>
      </c>
    </row>
    <row r="1538" spans="1:5" x14ac:dyDescent="0.25">
      <c r="A1538" s="14">
        <v>348961</v>
      </c>
      <c r="B1538" s="14" t="s">
        <v>1665</v>
      </c>
      <c r="C1538" s="14" t="s">
        <v>13031</v>
      </c>
      <c r="D1538" s="15">
        <v>14.12</v>
      </c>
      <c r="E1538" s="16" t="s">
        <v>30</v>
      </c>
    </row>
    <row r="1539" spans="1:5" x14ac:dyDescent="0.25">
      <c r="A1539" s="14">
        <v>349232</v>
      </c>
      <c r="B1539" s="14" t="s">
        <v>1666</v>
      </c>
      <c r="C1539" s="14" t="s">
        <v>13029</v>
      </c>
      <c r="D1539" s="15">
        <v>13.49</v>
      </c>
      <c r="E1539" s="16" t="s">
        <v>30</v>
      </c>
    </row>
    <row r="1540" spans="1:5" x14ac:dyDescent="0.25">
      <c r="A1540" s="14">
        <v>349517</v>
      </c>
      <c r="B1540" s="14" t="s">
        <v>1667</v>
      </c>
      <c r="C1540" s="14" t="s">
        <v>13029</v>
      </c>
      <c r="D1540" s="15">
        <v>9.14</v>
      </c>
      <c r="E1540" s="16" t="s">
        <v>30</v>
      </c>
    </row>
    <row r="1541" spans="1:5" x14ac:dyDescent="0.25">
      <c r="A1541" s="14">
        <v>350183</v>
      </c>
      <c r="B1541" s="14" t="s">
        <v>1668</v>
      </c>
      <c r="C1541" s="14" t="s">
        <v>13030</v>
      </c>
      <c r="D1541" s="15">
        <v>21.25</v>
      </c>
      <c r="E1541" s="16" t="s">
        <v>30</v>
      </c>
    </row>
    <row r="1542" spans="1:5" x14ac:dyDescent="0.25">
      <c r="A1542" s="14">
        <v>350184</v>
      </c>
      <c r="B1542" s="14" t="s">
        <v>1669</v>
      </c>
      <c r="C1542" s="14" t="s">
        <v>13030</v>
      </c>
      <c r="D1542" s="15">
        <v>21.25</v>
      </c>
      <c r="E1542" s="16" t="s">
        <v>30</v>
      </c>
    </row>
    <row r="1543" spans="1:5" x14ac:dyDescent="0.25">
      <c r="A1543" s="14">
        <v>350186</v>
      </c>
      <c r="B1543" s="14" t="s">
        <v>1670</v>
      </c>
      <c r="C1543" s="14" t="s">
        <v>13030</v>
      </c>
      <c r="D1543" s="15">
        <v>21.25</v>
      </c>
      <c r="E1543" s="16" t="s">
        <v>30</v>
      </c>
    </row>
    <row r="1544" spans="1:5" x14ac:dyDescent="0.25">
      <c r="A1544" s="14">
        <v>350187</v>
      </c>
      <c r="B1544" s="14" t="s">
        <v>1671</v>
      </c>
      <c r="C1544" s="14" t="s">
        <v>13030</v>
      </c>
      <c r="D1544" s="15">
        <v>21.25</v>
      </c>
      <c r="E1544" s="16" t="s">
        <v>30</v>
      </c>
    </row>
    <row r="1545" spans="1:5" x14ac:dyDescent="0.25">
      <c r="A1545" s="14">
        <v>350193</v>
      </c>
      <c r="B1545" s="14" t="s">
        <v>1672</v>
      </c>
      <c r="C1545" s="14" t="s">
        <v>13030</v>
      </c>
      <c r="D1545" s="15">
        <v>21.25</v>
      </c>
      <c r="E1545" s="16" t="s">
        <v>30</v>
      </c>
    </row>
    <row r="1546" spans="1:5" x14ac:dyDescent="0.25">
      <c r="A1546" s="14">
        <v>351081</v>
      </c>
      <c r="B1546" s="14" t="s">
        <v>1673</v>
      </c>
      <c r="C1546" s="14" t="s">
        <v>13030</v>
      </c>
      <c r="D1546" s="15">
        <v>131.27000000000001</v>
      </c>
      <c r="E1546" s="16" t="s">
        <v>30</v>
      </c>
    </row>
    <row r="1547" spans="1:5" x14ac:dyDescent="0.25">
      <c r="A1547" s="14">
        <v>351173</v>
      </c>
      <c r="B1547" s="14" t="s">
        <v>1674</v>
      </c>
      <c r="C1547" s="14" t="s">
        <v>13030</v>
      </c>
      <c r="D1547" s="15">
        <v>5</v>
      </c>
      <c r="E1547" s="16" t="s">
        <v>30</v>
      </c>
    </row>
    <row r="1548" spans="1:5" x14ac:dyDescent="0.25">
      <c r="A1548" s="14">
        <v>351336</v>
      </c>
      <c r="B1548" s="14" t="s">
        <v>1675</v>
      </c>
      <c r="C1548" s="14" t="s">
        <v>13030</v>
      </c>
      <c r="D1548" s="15">
        <v>59.14</v>
      </c>
      <c r="E1548" s="16" t="s">
        <v>30</v>
      </c>
    </row>
    <row r="1549" spans="1:5" x14ac:dyDescent="0.25">
      <c r="A1549" s="14">
        <v>351442</v>
      </c>
      <c r="B1549" s="14" t="s">
        <v>1676</v>
      </c>
      <c r="C1549" s="14" t="s">
        <v>13031</v>
      </c>
      <c r="D1549" s="15">
        <v>8.73</v>
      </c>
      <c r="E1549" s="16" t="s">
        <v>30</v>
      </c>
    </row>
    <row r="1550" spans="1:5" x14ac:dyDescent="0.25">
      <c r="A1550" s="14">
        <v>351443</v>
      </c>
      <c r="B1550" s="14" t="s">
        <v>1677</v>
      </c>
      <c r="C1550" s="14" t="s">
        <v>13031</v>
      </c>
      <c r="D1550" s="15">
        <v>8.73</v>
      </c>
      <c r="E1550" s="16" t="s">
        <v>30</v>
      </c>
    </row>
    <row r="1551" spans="1:5" x14ac:dyDescent="0.25">
      <c r="A1551" s="14">
        <v>351444</v>
      </c>
      <c r="B1551" s="14" t="s">
        <v>1678</v>
      </c>
      <c r="C1551" s="14" t="s">
        <v>13031</v>
      </c>
      <c r="D1551" s="15">
        <v>6.35</v>
      </c>
      <c r="E1551" s="16" t="s">
        <v>30</v>
      </c>
    </row>
    <row r="1552" spans="1:5" x14ac:dyDescent="0.25">
      <c r="A1552" s="14">
        <v>351470</v>
      </c>
      <c r="B1552" s="14" t="s">
        <v>1679</v>
      </c>
      <c r="C1552" s="14" t="s">
        <v>13029</v>
      </c>
      <c r="D1552" s="15">
        <v>42</v>
      </c>
      <c r="E1552" s="16" t="s">
        <v>30</v>
      </c>
    </row>
    <row r="1553" spans="1:5" x14ac:dyDescent="0.25">
      <c r="A1553" s="14">
        <v>351764</v>
      </c>
      <c r="B1553" s="14" t="s">
        <v>1680</v>
      </c>
      <c r="C1553" s="14" t="s">
        <v>13029</v>
      </c>
      <c r="D1553" s="15">
        <v>7.38</v>
      </c>
      <c r="E1553" s="16" t="s">
        <v>30</v>
      </c>
    </row>
    <row r="1554" spans="1:5" x14ac:dyDescent="0.25">
      <c r="A1554" s="14">
        <v>351765</v>
      </c>
      <c r="B1554" s="14" t="s">
        <v>1681</v>
      </c>
      <c r="C1554" s="14" t="s">
        <v>13029</v>
      </c>
      <c r="D1554" s="15">
        <v>10.57</v>
      </c>
      <c r="E1554" s="16" t="s">
        <v>30</v>
      </c>
    </row>
    <row r="1555" spans="1:5" x14ac:dyDescent="0.25">
      <c r="A1555" s="14">
        <v>274233</v>
      </c>
      <c r="B1555" s="14" t="s">
        <v>1682</v>
      </c>
      <c r="C1555" s="14" t="s">
        <v>13031</v>
      </c>
      <c r="D1555" s="15">
        <v>12.51</v>
      </c>
      <c r="E1555" s="16" t="s">
        <v>20</v>
      </c>
    </row>
    <row r="1556" spans="1:5" x14ac:dyDescent="0.25">
      <c r="A1556" s="14">
        <v>343322</v>
      </c>
      <c r="B1556" s="14" t="s">
        <v>1683</v>
      </c>
      <c r="C1556" s="14" t="s">
        <v>13031</v>
      </c>
      <c r="D1556" s="15">
        <v>10.1</v>
      </c>
      <c r="E1556" s="16" t="s">
        <v>20</v>
      </c>
    </row>
    <row r="1557" spans="1:5" x14ac:dyDescent="0.25">
      <c r="A1557" s="14">
        <v>295706</v>
      </c>
      <c r="B1557" s="14" t="s">
        <v>1684</v>
      </c>
      <c r="C1557" s="14" t="s">
        <v>13031</v>
      </c>
      <c r="D1557" s="15">
        <v>15</v>
      </c>
      <c r="E1557" s="16" t="s">
        <v>20</v>
      </c>
    </row>
    <row r="1558" spans="1:5" x14ac:dyDescent="0.25">
      <c r="A1558" s="14">
        <v>351767</v>
      </c>
      <c r="B1558" s="14" t="s">
        <v>1685</v>
      </c>
      <c r="C1558" s="14" t="s">
        <v>13029</v>
      </c>
      <c r="D1558" s="15">
        <v>4</v>
      </c>
      <c r="E1558" s="16" t="s">
        <v>30</v>
      </c>
    </row>
    <row r="1559" spans="1:5" x14ac:dyDescent="0.25">
      <c r="A1559" s="14">
        <v>351768</v>
      </c>
      <c r="B1559" s="14" t="s">
        <v>1686</v>
      </c>
      <c r="C1559" s="14" t="s">
        <v>13029</v>
      </c>
      <c r="D1559" s="15">
        <v>10.57</v>
      </c>
      <c r="E1559" s="16" t="s">
        <v>30</v>
      </c>
    </row>
    <row r="1560" spans="1:5" x14ac:dyDescent="0.25">
      <c r="A1560" s="14">
        <v>351773</v>
      </c>
      <c r="B1560" s="14" t="s">
        <v>1687</v>
      </c>
      <c r="C1560" s="14" t="s">
        <v>13030</v>
      </c>
      <c r="D1560" s="15">
        <v>72.900000000000006</v>
      </c>
      <c r="E1560" s="16" t="s">
        <v>30</v>
      </c>
    </row>
    <row r="1561" spans="1:5" x14ac:dyDescent="0.25">
      <c r="A1561" s="14">
        <v>352636</v>
      </c>
      <c r="B1561" s="14" t="s">
        <v>1688</v>
      </c>
      <c r="C1561" s="14" t="s">
        <v>13031</v>
      </c>
      <c r="D1561" s="15">
        <v>8</v>
      </c>
      <c r="E1561" s="16" t="s">
        <v>30</v>
      </c>
    </row>
    <row r="1562" spans="1:5" x14ac:dyDescent="0.25">
      <c r="A1562" s="14">
        <v>353354</v>
      </c>
      <c r="B1562" s="14" t="s">
        <v>1689</v>
      </c>
      <c r="C1562" s="14" t="s">
        <v>13030</v>
      </c>
      <c r="D1562" s="15">
        <v>41.97</v>
      </c>
      <c r="E1562" s="16" t="s">
        <v>30</v>
      </c>
    </row>
    <row r="1563" spans="1:5" x14ac:dyDescent="0.25">
      <c r="A1563" s="14">
        <v>353435</v>
      </c>
      <c r="B1563" s="14" t="s">
        <v>1690</v>
      </c>
      <c r="C1563" s="14" t="s">
        <v>13029</v>
      </c>
      <c r="D1563" s="15">
        <v>7.26</v>
      </c>
      <c r="E1563" s="16" t="s">
        <v>30</v>
      </c>
    </row>
    <row r="1564" spans="1:5" x14ac:dyDescent="0.25">
      <c r="A1564" s="14">
        <v>353437</v>
      </c>
      <c r="B1564" s="14" t="s">
        <v>1691</v>
      </c>
      <c r="C1564" s="14" t="s">
        <v>13029</v>
      </c>
      <c r="D1564" s="15">
        <v>7.26</v>
      </c>
      <c r="E1564" s="16" t="s">
        <v>30</v>
      </c>
    </row>
    <row r="1565" spans="1:5" x14ac:dyDescent="0.25">
      <c r="A1565" s="14">
        <v>353439</v>
      </c>
      <c r="B1565" s="14" t="s">
        <v>1692</v>
      </c>
      <c r="C1565" s="14" t="s">
        <v>13029</v>
      </c>
      <c r="D1565" s="15">
        <v>12.59</v>
      </c>
      <c r="E1565" s="16" t="s">
        <v>30</v>
      </c>
    </row>
    <row r="1566" spans="1:5" x14ac:dyDescent="0.25">
      <c r="A1566" s="14">
        <v>353440</v>
      </c>
      <c r="B1566" s="14" t="s">
        <v>1693</v>
      </c>
      <c r="C1566" s="14" t="s">
        <v>13029</v>
      </c>
      <c r="D1566" s="15">
        <v>12.59</v>
      </c>
      <c r="E1566" s="16" t="s">
        <v>30</v>
      </c>
    </row>
    <row r="1567" spans="1:5" x14ac:dyDescent="0.25">
      <c r="A1567" s="14">
        <v>353651</v>
      </c>
      <c r="B1567" s="14" t="s">
        <v>1694</v>
      </c>
      <c r="C1567" s="14" t="s">
        <v>13029</v>
      </c>
      <c r="D1567" s="15">
        <v>18.07</v>
      </c>
      <c r="E1567" s="16" t="s">
        <v>30</v>
      </c>
    </row>
    <row r="1568" spans="1:5" x14ac:dyDescent="0.25">
      <c r="A1568" s="14">
        <v>353892</v>
      </c>
      <c r="B1568" s="14" t="s">
        <v>1695</v>
      </c>
      <c r="C1568" s="14" t="s">
        <v>13030</v>
      </c>
      <c r="D1568" s="15">
        <v>27.96</v>
      </c>
      <c r="E1568" s="16" t="s">
        <v>30</v>
      </c>
    </row>
    <row r="1569" spans="1:5" x14ac:dyDescent="0.25">
      <c r="A1569" s="14">
        <v>354196</v>
      </c>
      <c r="B1569" s="14" t="s">
        <v>1696</v>
      </c>
      <c r="C1569" s="14" t="s">
        <v>13029</v>
      </c>
      <c r="D1569" s="15">
        <v>9.64</v>
      </c>
      <c r="E1569" s="16" t="s">
        <v>30</v>
      </c>
    </row>
    <row r="1570" spans="1:5" x14ac:dyDescent="0.25">
      <c r="A1570" s="14">
        <v>299454</v>
      </c>
      <c r="B1570" s="14" t="s">
        <v>1697</v>
      </c>
      <c r="C1570" s="14" t="s">
        <v>13031</v>
      </c>
      <c r="D1570" s="15">
        <v>8.8800000000000008</v>
      </c>
      <c r="E1570" s="16" t="s">
        <v>20</v>
      </c>
    </row>
    <row r="1571" spans="1:5" x14ac:dyDescent="0.25">
      <c r="A1571" s="14">
        <v>354197</v>
      </c>
      <c r="B1571" s="14" t="s">
        <v>1698</v>
      </c>
      <c r="C1571" s="14" t="s">
        <v>13029</v>
      </c>
      <c r="D1571" s="15">
        <v>9.64</v>
      </c>
      <c r="E1571" s="16" t="s">
        <v>30</v>
      </c>
    </row>
    <row r="1572" spans="1:5" x14ac:dyDescent="0.25">
      <c r="A1572" s="14">
        <v>354232</v>
      </c>
      <c r="B1572" s="14" t="s">
        <v>1699</v>
      </c>
      <c r="C1572" s="14" t="s">
        <v>13029</v>
      </c>
      <c r="D1572" s="15">
        <v>12</v>
      </c>
      <c r="E1572" s="16" t="s">
        <v>30</v>
      </c>
    </row>
    <row r="1573" spans="1:5" x14ac:dyDescent="0.25">
      <c r="A1573" s="14">
        <v>354322</v>
      </c>
      <c r="B1573" s="14" t="s">
        <v>1700</v>
      </c>
      <c r="C1573" s="14" t="s">
        <v>13029</v>
      </c>
      <c r="D1573" s="15">
        <v>11.8</v>
      </c>
      <c r="E1573" s="14" t="s">
        <v>30</v>
      </c>
    </row>
    <row r="1574" spans="1:5" x14ac:dyDescent="0.25">
      <c r="A1574" s="14">
        <v>355506</v>
      </c>
      <c r="B1574" s="14" t="s">
        <v>1701</v>
      </c>
      <c r="C1574" s="14" t="s">
        <v>13030</v>
      </c>
      <c r="D1574" s="15">
        <v>99.58</v>
      </c>
      <c r="E1574" s="16" t="s">
        <v>30</v>
      </c>
    </row>
    <row r="1575" spans="1:5" x14ac:dyDescent="0.25">
      <c r="A1575" s="14">
        <v>355507</v>
      </c>
      <c r="B1575" s="14" t="s">
        <v>1702</v>
      </c>
      <c r="C1575" s="14" t="s">
        <v>13030</v>
      </c>
      <c r="D1575" s="15">
        <v>167.09</v>
      </c>
      <c r="E1575" s="16" t="s">
        <v>30</v>
      </c>
    </row>
    <row r="1576" spans="1:5" x14ac:dyDescent="0.25">
      <c r="A1576" s="14">
        <v>355573</v>
      </c>
      <c r="B1576" s="14" t="s">
        <v>1703</v>
      </c>
      <c r="C1576" s="14" t="s">
        <v>13030</v>
      </c>
      <c r="D1576" s="15">
        <v>32.92</v>
      </c>
      <c r="E1576" s="16" t="s">
        <v>30</v>
      </c>
    </row>
    <row r="1577" spans="1:5" x14ac:dyDescent="0.25">
      <c r="A1577" s="14">
        <v>355717</v>
      </c>
      <c r="B1577" s="14" t="s">
        <v>1704</v>
      </c>
      <c r="C1577" s="14" t="s">
        <v>13030</v>
      </c>
      <c r="D1577" s="15">
        <v>53.95</v>
      </c>
      <c r="E1577" s="14" t="s">
        <v>30</v>
      </c>
    </row>
    <row r="1578" spans="1:5" x14ac:dyDescent="0.25">
      <c r="A1578" s="14">
        <v>355869</v>
      </c>
      <c r="B1578" s="14" t="s">
        <v>34</v>
      </c>
      <c r="C1578" s="14" t="s">
        <v>13029</v>
      </c>
      <c r="D1578" s="15">
        <v>13.37</v>
      </c>
      <c r="E1578" s="14" t="s">
        <v>30</v>
      </c>
    </row>
    <row r="1579" spans="1:5" x14ac:dyDescent="0.25">
      <c r="A1579" s="14">
        <v>355979</v>
      </c>
      <c r="B1579" s="14" t="s">
        <v>1705</v>
      </c>
      <c r="C1579" s="14" t="s">
        <v>13029</v>
      </c>
      <c r="D1579" s="15">
        <v>7.99</v>
      </c>
      <c r="E1579" s="16" t="s">
        <v>30</v>
      </c>
    </row>
    <row r="1580" spans="1:5" x14ac:dyDescent="0.25">
      <c r="A1580" s="14">
        <v>355982</v>
      </c>
      <c r="B1580" s="14" t="s">
        <v>1706</v>
      </c>
      <c r="C1580" s="14" t="s">
        <v>13030</v>
      </c>
      <c r="D1580" s="15">
        <v>74.45</v>
      </c>
      <c r="E1580" s="16" t="s">
        <v>30</v>
      </c>
    </row>
    <row r="1581" spans="1:5" x14ac:dyDescent="0.25">
      <c r="A1581" s="14">
        <v>356144</v>
      </c>
      <c r="B1581" s="14" t="s">
        <v>1707</v>
      </c>
      <c r="C1581" s="14" t="s">
        <v>13030</v>
      </c>
      <c r="D1581" s="15">
        <v>118.61</v>
      </c>
      <c r="E1581" s="16" t="s">
        <v>30</v>
      </c>
    </row>
    <row r="1582" spans="1:5" x14ac:dyDescent="0.25">
      <c r="A1582" s="14">
        <v>356334</v>
      </c>
      <c r="B1582" s="14" t="s">
        <v>1708</v>
      </c>
      <c r="C1582" s="14" t="s">
        <v>13030</v>
      </c>
      <c r="D1582" s="15">
        <v>34.78</v>
      </c>
      <c r="E1582" s="16" t="s">
        <v>30</v>
      </c>
    </row>
    <row r="1583" spans="1:5" x14ac:dyDescent="0.25">
      <c r="A1583" s="14">
        <v>356409</v>
      </c>
      <c r="B1583" s="14" t="s">
        <v>1709</v>
      </c>
      <c r="C1583" s="14" t="s">
        <v>13030</v>
      </c>
      <c r="D1583" s="15">
        <v>2.69</v>
      </c>
      <c r="E1583" s="16" t="s">
        <v>30</v>
      </c>
    </row>
    <row r="1584" spans="1:5" x14ac:dyDescent="0.25">
      <c r="A1584" s="14">
        <v>356410</v>
      </c>
      <c r="B1584" s="14" t="s">
        <v>1710</v>
      </c>
      <c r="C1584" s="14" t="s">
        <v>13030</v>
      </c>
      <c r="D1584" s="15">
        <v>3.66</v>
      </c>
      <c r="E1584" s="16" t="s">
        <v>30</v>
      </c>
    </row>
    <row r="1585" spans="1:5" x14ac:dyDescent="0.25">
      <c r="A1585" s="14">
        <v>356423</v>
      </c>
      <c r="B1585" s="14" t="s">
        <v>1711</v>
      </c>
      <c r="C1585" s="14" t="s">
        <v>13030</v>
      </c>
      <c r="D1585" s="15">
        <v>7.8</v>
      </c>
      <c r="E1585" s="16" t="s">
        <v>30</v>
      </c>
    </row>
    <row r="1586" spans="1:5" x14ac:dyDescent="0.25">
      <c r="A1586" s="14">
        <v>356426</v>
      </c>
      <c r="B1586" s="14" t="s">
        <v>1712</v>
      </c>
      <c r="C1586" s="14" t="s">
        <v>13031</v>
      </c>
      <c r="D1586" s="15">
        <v>12.2</v>
      </c>
      <c r="E1586" s="16" t="s">
        <v>30</v>
      </c>
    </row>
    <row r="1587" spans="1:5" x14ac:dyDescent="0.25">
      <c r="A1587" s="14">
        <v>356623</v>
      </c>
      <c r="B1587" s="14" t="s">
        <v>1713</v>
      </c>
      <c r="C1587" s="14" t="s">
        <v>13030</v>
      </c>
      <c r="D1587" s="15">
        <v>50.35</v>
      </c>
      <c r="E1587" s="16" t="s">
        <v>30</v>
      </c>
    </row>
    <row r="1588" spans="1:5" x14ac:dyDescent="0.25">
      <c r="A1588" s="14">
        <v>356624</v>
      </c>
      <c r="B1588" s="14" t="s">
        <v>1714</v>
      </c>
      <c r="C1588" s="14" t="s">
        <v>13030</v>
      </c>
      <c r="D1588" s="15">
        <v>50.36</v>
      </c>
      <c r="E1588" s="16" t="s">
        <v>30</v>
      </c>
    </row>
    <row r="1589" spans="1:5" x14ac:dyDescent="0.25">
      <c r="A1589" s="14">
        <v>356793</v>
      </c>
      <c r="B1589" s="14" t="s">
        <v>1715</v>
      </c>
      <c r="C1589" s="14" t="s">
        <v>13029</v>
      </c>
      <c r="D1589" s="15">
        <v>1.2</v>
      </c>
      <c r="E1589" s="16" t="s">
        <v>30</v>
      </c>
    </row>
    <row r="1590" spans="1:5" x14ac:dyDescent="0.25">
      <c r="A1590" s="14">
        <v>357352</v>
      </c>
      <c r="B1590" s="14" t="s">
        <v>1716</v>
      </c>
      <c r="C1590" s="14" t="s">
        <v>13029</v>
      </c>
      <c r="D1590" s="15">
        <v>0.6</v>
      </c>
      <c r="E1590" s="16" t="s">
        <v>30</v>
      </c>
    </row>
    <row r="1591" spans="1:5" x14ac:dyDescent="0.25">
      <c r="A1591" s="14">
        <v>357575</v>
      </c>
      <c r="B1591" s="14" t="s">
        <v>1717</v>
      </c>
      <c r="C1591" s="14" t="s">
        <v>13031</v>
      </c>
      <c r="D1591" s="15">
        <v>2.4</v>
      </c>
      <c r="E1591" s="16" t="s">
        <v>30</v>
      </c>
    </row>
    <row r="1592" spans="1:5" x14ac:dyDescent="0.25">
      <c r="A1592" s="14">
        <v>357764</v>
      </c>
      <c r="B1592" s="14" t="s">
        <v>1718</v>
      </c>
      <c r="C1592" s="14" t="s">
        <v>13029</v>
      </c>
      <c r="D1592" s="15">
        <v>11.49</v>
      </c>
      <c r="E1592" s="16" t="s">
        <v>30</v>
      </c>
    </row>
    <row r="1593" spans="1:5" x14ac:dyDescent="0.25">
      <c r="A1593" s="14">
        <v>357964</v>
      </c>
      <c r="B1593" s="14" t="s">
        <v>1719</v>
      </c>
      <c r="C1593" s="14" t="s">
        <v>13029</v>
      </c>
      <c r="D1593" s="15">
        <v>50.96</v>
      </c>
      <c r="E1593" s="14" t="s">
        <v>30</v>
      </c>
    </row>
    <row r="1594" spans="1:5" x14ac:dyDescent="0.25">
      <c r="A1594" s="14">
        <v>358467</v>
      </c>
      <c r="B1594" s="14" t="s">
        <v>1720</v>
      </c>
      <c r="C1594" s="14" t="s">
        <v>13030</v>
      </c>
      <c r="D1594" s="15">
        <v>486.37</v>
      </c>
      <c r="E1594" s="16" t="s">
        <v>30</v>
      </c>
    </row>
    <row r="1595" spans="1:5" x14ac:dyDescent="0.25">
      <c r="A1595" s="14">
        <v>358469</v>
      </c>
      <c r="B1595" s="14" t="s">
        <v>1721</v>
      </c>
      <c r="C1595" s="14" t="s">
        <v>13030</v>
      </c>
      <c r="D1595" s="15">
        <v>173.66</v>
      </c>
      <c r="E1595" s="16" t="s">
        <v>30</v>
      </c>
    </row>
    <row r="1596" spans="1:5" x14ac:dyDescent="0.25">
      <c r="A1596" s="14">
        <v>359895</v>
      </c>
      <c r="B1596" s="14" t="s">
        <v>1722</v>
      </c>
      <c r="C1596" s="14" t="s">
        <v>13031</v>
      </c>
      <c r="D1596" s="15">
        <v>0.85</v>
      </c>
      <c r="E1596" s="16" t="s">
        <v>30</v>
      </c>
    </row>
    <row r="1597" spans="1:5" x14ac:dyDescent="0.25">
      <c r="A1597" s="14">
        <v>360808</v>
      </c>
      <c r="B1597" s="14" t="s">
        <v>1723</v>
      </c>
      <c r="C1597" s="14" t="s">
        <v>13030</v>
      </c>
      <c r="D1597" s="15">
        <v>69.42</v>
      </c>
      <c r="E1597" s="16" t="s">
        <v>30</v>
      </c>
    </row>
    <row r="1598" spans="1:5" x14ac:dyDescent="0.25">
      <c r="A1598" s="14">
        <v>361483</v>
      </c>
      <c r="B1598" s="14" t="s">
        <v>1724</v>
      </c>
      <c r="C1598" s="14" t="s">
        <v>13031</v>
      </c>
      <c r="D1598" s="15">
        <v>9.3000000000000007</v>
      </c>
      <c r="E1598" s="16" t="s">
        <v>30</v>
      </c>
    </row>
    <row r="1599" spans="1:5" x14ac:dyDescent="0.25">
      <c r="A1599" s="14">
        <v>311249</v>
      </c>
      <c r="B1599" s="14" t="s">
        <v>1725</v>
      </c>
      <c r="C1599" s="14" t="s">
        <v>13030</v>
      </c>
      <c r="D1599" s="15">
        <v>19.02</v>
      </c>
      <c r="E1599" s="16" t="s">
        <v>20</v>
      </c>
    </row>
    <row r="1600" spans="1:5" x14ac:dyDescent="0.25">
      <c r="A1600" s="14">
        <v>311255</v>
      </c>
      <c r="B1600" s="14" t="s">
        <v>1726</v>
      </c>
      <c r="C1600" s="14" t="s">
        <v>13030</v>
      </c>
      <c r="D1600" s="15">
        <v>19.010000000000002</v>
      </c>
      <c r="E1600" s="16" t="s">
        <v>20</v>
      </c>
    </row>
    <row r="1601" spans="1:5" x14ac:dyDescent="0.25">
      <c r="A1601" s="14">
        <v>361485</v>
      </c>
      <c r="B1601" s="14" t="s">
        <v>1727</v>
      </c>
      <c r="C1601" s="14" t="s">
        <v>13031</v>
      </c>
      <c r="D1601" s="15">
        <v>9.3699999999999992</v>
      </c>
      <c r="E1601" s="16" t="s">
        <v>30</v>
      </c>
    </row>
    <row r="1602" spans="1:5" x14ac:dyDescent="0.25">
      <c r="A1602" s="14">
        <v>362421</v>
      </c>
      <c r="B1602" s="14" t="s">
        <v>1728</v>
      </c>
      <c r="C1602" s="14" t="s">
        <v>13031</v>
      </c>
      <c r="D1602" s="15">
        <v>18.68</v>
      </c>
      <c r="E1602" s="16" t="s">
        <v>30</v>
      </c>
    </row>
    <row r="1603" spans="1:5" x14ac:dyDescent="0.25">
      <c r="A1603" s="14">
        <v>362954</v>
      </c>
      <c r="B1603" s="14" t="s">
        <v>1729</v>
      </c>
      <c r="C1603" s="14" t="s">
        <v>13031</v>
      </c>
      <c r="D1603" s="15">
        <v>8.9</v>
      </c>
      <c r="E1603" s="16" t="s">
        <v>30</v>
      </c>
    </row>
    <row r="1604" spans="1:5" x14ac:dyDescent="0.25">
      <c r="A1604" s="14">
        <v>363358</v>
      </c>
      <c r="B1604" s="14" t="s">
        <v>1730</v>
      </c>
      <c r="C1604" s="14" t="s">
        <v>13031</v>
      </c>
      <c r="D1604" s="15">
        <v>39.15</v>
      </c>
      <c r="E1604" s="16" t="s">
        <v>30</v>
      </c>
    </row>
    <row r="1605" spans="1:5" x14ac:dyDescent="0.25">
      <c r="A1605" s="14">
        <v>363360</v>
      </c>
      <c r="B1605" s="14" t="s">
        <v>1731</v>
      </c>
      <c r="C1605" s="14" t="s">
        <v>13029</v>
      </c>
      <c r="D1605" s="15">
        <v>9.43</v>
      </c>
      <c r="E1605" s="16" t="s">
        <v>30</v>
      </c>
    </row>
    <row r="1606" spans="1:5" x14ac:dyDescent="0.25">
      <c r="A1606" s="14">
        <v>314889</v>
      </c>
      <c r="B1606" s="14" t="s">
        <v>1732</v>
      </c>
      <c r="C1606" s="14" t="s">
        <v>13031</v>
      </c>
      <c r="D1606" s="15">
        <v>32.97</v>
      </c>
      <c r="E1606" s="16" t="s">
        <v>20</v>
      </c>
    </row>
    <row r="1607" spans="1:5" x14ac:dyDescent="0.25">
      <c r="A1607" s="14">
        <v>317947</v>
      </c>
      <c r="B1607" s="14" t="s">
        <v>1733</v>
      </c>
      <c r="C1607" s="14" t="s">
        <v>13031</v>
      </c>
      <c r="D1607" s="15">
        <v>2.11</v>
      </c>
      <c r="E1607" s="16" t="s">
        <v>20</v>
      </c>
    </row>
    <row r="1608" spans="1:5" x14ac:dyDescent="0.25">
      <c r="A1608" s="14">
        <v>317948</v>
      </c>
      <c r="B1608" s="14" t="s">
        <v>1734</v>
      </c>
      <c r="C1608" s="14" t="s">
        <v>13031</v>
      </c>
      <c r="D1608" s="15">
        <v>1.85</v>
      </c>
      <c r="E1608" s="16" t="s">
        <v>20</v>
      </c>
    </row>
    <row r="1609" spans="1:5" x14ac:dyDescent="0.25">
      <c r="A1609" s="14">
        <v>331857</v>
      </c>
      <c r="B1609" s="14" t="s">
        <v>1735</v>
      </c>
      <c r="C1609" s="14" t="s">
        <v>13031</v>
      </c>
      <c r="D1609" s="15">
        <v>11.2</v>
      </c>
      <c r="E1609" s="16" t="s">
        <v>20</v>
      </c>
    </row>
    <row r="1610" spans="1:5" x14ac:dyDescent="0.25">
      <c r="A1610" s="14">
        <v>365891</v>
      </c>
      <c r="B1610" s="14" t="s">
        <v>1736</v>
      </c>
      <c r="C1610" s="14" t="s">
        <v>13030</v>
      </c>
      <c r="D1610" s="15">
        <v>26.85</v>
      </c>
      <c r="E1610" s="16" t="s">
        <v>20</v>
      </c>
    </row>
    <row r="1611" spans="1:5" x14ac:dyDescent="0.25">
      <c r="A1611" s="14">
        <v>334950</v>
      </c>
      <c r="B1611" s="14" t="s">
        <v>1737</v>
      </c>
      <c r="C1611" s="14" t="s">
        <v>13031</v>
      </c>
      <c r="D1611" s="15">
        <v>1.96</v>
      </c>
      <c r="E1611" s="16" t="s">
        <v>20</v>
      </c>
    </row>
    <row r="1612" spans="1:5" x14ac:dyDescent="0.25">
      <c r="A1612" s="14">
        <v>341116</v>
      </c>
      <c r="B1612" s="14" t="s">
        <v>1738</v>
      </c>
      <c r="C1612" s="14" t="s">
        <v>13031</v>
      </c>
      <c r="D1612" s="15">
        <v>6.35</v>
      </c>
      <c r="E1612" s="16" t="s">
        <v>20</v>
      </c>
    </row>
    <row r="1613" spans="1:5" x14ac:dyDescent="0.25">
      <c r="A1613" s="14">
        <v>342606</v>
      </c>
      <c r="B1613" s="14" t="s">
        <v>1739</v>
      </c>
      <c r="C1613" s="14" t="s">
        <v>13031</v>
      </c>
      <c r="D1613" s="15">
        <v>4.66</v>
      </c>
      <c r="E1613" s="16" t="s">
        <v>20</v>
      </c>
    </row>
    <row r="1614" spans="1:5" x14ac:dyDescent="0.25">
      <c r="A1614" s="14">
        <v>363417</v>
      </c>
      <c r="B1614" s="14" t="s">
        <v>1740</v>
      </c>
      <c r="C1614" s="14" t="s">
        <v>13029</v>
      </c>
      <c r="D1614" s="15">
        <v>22.66</v>
      </c>
      <c r="E1614" s="16" t="s">
        <v>30</v>
      </c>
    </row>
    <row r="1615" spans="1:5" x14ac:dyDescent="0.25">
      <c r="A1615" s="14">
        <v>363421</v>
      </c>
      <c r="B1615" s="14" t="s">
        <v>1741</v>
      </c>
      <c r="C1615" s="14" t="s">
        <v>13029</v>
      </c>
      <c r="D1615" s="15">
        <v>11.3</v>
      </c>
      <c r="E1615" s="16" t="s">
        <v>30</v>
      </c>
    </row>
    <row r="1616" spans="1:5" x14ac:dyDescent="0.25">
      <c r="A1616" s="14">
        <v>363428</v>
      </c>
      <c r="B1616" s="14" t="s">
        <v>1742</v>
      </c>
      <c r="C1616" s="14" t="s">
        <v>13031</v>
      </c>
      <c r="D1616" s="15">
        <v>24.71</v>
      </c>
      <c r="E1616" s="16" t="s">
        <v>30</v>
      </c>
    </row>
    <row r="1617" spans="1:5" x14ac:dyDescent="0.25">
      <c r="A1617" s="14">
        <v>364129</v>
      </c>
      <c r="B1617" s="14" t="s">
        <v>1743</v>
      </c>
      <c r="C1617" s="14" t="s">
        <v>13031</v>
      </c>
      <c r="D1617" s="15">
        <v>15.37</v>
      </c>
      <c r="E1617" s="16" t="s">
        <v>30</v>
      </c>
    </row>
    <row r="1618" spans="1:5" x14ac:dyDescent="0.25">
      <c r="A1618" s="14">
        <v>364130</v>
      </c>
      <c r="B1618" s="14" t="s">
        <v>1744</v>
      </c>
      <c r="C1618" s="14" t="s">
        <v>13031</v>
      </c>
      <c r="D1618" s="15">
        <v>13.54</v>
      </c>
      <c r="E1618" s="16" t="s">
        <v>30</v>
      </c>
    </row>
    <row r="1619" spans="1:5" x14ac:dyDescent="0.25">
      <c r="A1619" s="14">
        <v>364372</v>
      </c>
      <c r="B1619" s="14" t="s">
        <v>1745</v>
      </c>
      <c r="C1619" s="14" t="s">
        <v>13031</v>
      </c>
      <c r="D1619" s="15">
        <v>8.9</v>
      </c>
      <c r="E1619" s="16" t="s">
        <v>30</v>
      </c>
    </row>
    <row r="1620" spans="1:5" x14ac:dyDescent="0.25">
      <c r="A1620" s="14">
        <v>364378</v>
      </c>
      <c r="B1620" s="14" t="s">
        <v>1746</v>
      </c>
      <c r="C1620" s="14" t="s">
        <v>13031</v>
      </c>
      <c r="D1620" s="15">
        <v>8.9</v>
      </c>
      <c r="E1620" s="16" t="s">
        <v>30</v>
      </c>
    </row>
    <row r="1621" spans="1:5" x14ac:dyDescent="0.25">
      <c r="A1621" s="14">
        <v>364393</v>
      </c>
      <c r="B1621" s="14" t="s">
        <v>1747</v>
      </c>
      <c r="C1621" s="14" t="s">
        <v>13031</v>
      </c>
      <c r="D1621" s="15">
        <v>8.9</v>
      </c>
      <c r="E1621" s="16" t="s">
        <v>30</v>
      </c>
    </row>
    <row r="1622" spans="1:5" x14ac:dyDescent="0.25">
      <c r="A1622" s="14">
        <v>364394</v>
      </c>
      <c r="B1622" s="14" t="s">
        <v>1748</v>
      </c>
      <c r="C1622" s="14" t="s">
        <v>13031</v>
      </c>
      <c r="D1622" s="15">
        <v>8.9</v>
      </c>
      <c r="E1622" s="16" t="s">
        <v>30</v>
      </c>
    </row>
    <row r="1623" spans="1:5" x14ac:dyDescent="0.25">
      <c r="A1623" s="14">
        <v>364418</v>
      </c>
      <c r="B1623" s="14" t="s">
        <v>1749</v>
      </c>
      <c r="C1623" s="14" t="s">
        <v>13031</v>
      </c>
      <c r="D1623" s="15">
        <v>10.02</v>
      </c>
      <c r="E1623" s="16" t="s">
        <v>30</v>
      </c>
    </row>
    <row r="1624" spans="1:5" x14ac:dyDescent="0.25">
      <c r="A1624" s="14">
        <v>365939</v>
      </c>
      <c r="B1624" s="14" t="s">
        <v>1750</v>
      </c>
      <c r="C1624" s="14" t="s">
        <v>13030</v>
      </c>
      <c r="D1624" s="15">
        <v>32.43</v>
      </c>
      <c r="E1624" s="16" t="s">
        <v>30</v>
      </c>
    </row>
    <row r="1625" spans="1:5" x14ac:dyDescent="0.25">
      <c r="A1625" s="14">
        <v>365940</v>
      </c>
      <c r="B1625" s="14" t="s">
        <v>1751</v>
      </c>
      <c r="C1625" s="14" t="s">
        <v>13030</v>
      </c>
      <c r="D1625" s="15">
        <v>32.43</v>
      </c>
      <c r="E1625" s="16" t="s">
        <v>30</v>
      </c>
    </row>
    <row r="1626" spans="1:5" x14ac:dyDescent="0.25">
      <c r="A1626" s="14">
        <v>369863</v>
      </c>
      <c r="B1626" s="14" t="s">
        <v>1752</v>
      </c>
      <c r="C1626" s="14" t="s">
        <v>13030</v>
      </c>
      <c r="D1626" s="15">
        <v>25.81</v>
      </c>
      <c r="E1626" s="16" t="s">
        <v>20</v>
      </c>
    </row>
    <row r="1627" spans="1:5" x14ac:dyDescent="0.25">
      <c r="A1627" s="14">
        <v>365941</v>
      </c>
      <c r="B1627" s="14" t="s">
        <v>1753</v>
      </c>
      <c r="C1627" s="14" t="s">
        <v>13030</v>
      </c>
      <c r="D1627" s="15">
        <v>32.43</v>
      </c>
      <c r="E1627" s="16" t="s">
        <v>30</v>
      </c>
    </row>
    <row r="1628" spans="1:5" x14ac:dyDescent="0.25">
      <c r="A1628" s="14">
        <v>366313</v>
      </c>
      <c r="B1628" s="14" t="s">
        <v>1754</v>
      </c>
      <c r="C1628" s="14" t="s">
        <v>13029</v>
      </c>
      <c r="D1628" s="15">
        <v>11.06</v>
      </c>
      <c r="E1628" s="16" t="s">
        <v>30</v>
      </c>
    </row>
    <row r="1629" spans="1:5" x14ac:dyDescent="0.25">
      <c r="A1629" s="14">
        <v>367042</v>
      </c>
      <c r="B1629" s="14" t="s">
        <v>1755</v>
      </c>
      <c r="C1629" s="14" t="s">
        <v>13031</v>
      </c>
      <c r="D1629" s="15">
        <v>16.850000000000001</v>
      </c>
      <c r="E1629" s="16" t="s">
        <v>30</v>
      </c>
    </row>
    <row r="1630" spans="1:5" x14ac:dyDescent="0.25">
      <c r="A1630" s="14">
        <v>367594</v>
      </c>
      <c r="B1630" s="14" t="s">
        <v>1756</v>
      </c>
      <c r="C1630" s="14" t="s">
        <v>13030</v>
      </c>
      <c r="D1630" s="15">
        <v>43.15</v>
      </c>
      <c r="E1630" s="14" t="s">
        <v>30</v>
      </c>
    </row>
    <row r="1631" spans="1:5" x14ac:dyDescent="0.25">
      <c r="A1631" s="14">
        <v>355397</v>
      </c>
      <c r="B1631" s="14" t="s">
        <v>1757</v>
      </c>
      <c r="C1631" s="14" t="s">
        <v>13030</v>
      </c>
      <c r="D1631" s="15">
        <v>21.75</v>
      </c>
      <c r="E1631" s="16" t="s">
        <v>20</v>
      </c>
    </row>
    <row r="1632" spans="1:5" x14ac:dyDescent="0.25">
      <c r="A1632" s="14">
        <v>342607</v>
      </c>
      <c r="B1632" s="14" t="s">
        <v>1758</v>
      </c>
      <c r="C1632" s="14" t="s">
        <v>13031</v>
      </c>
      <c r="D1632" s="15">
        <v>4.66</v>
      </c>
      <c r="E1632" s="16" t="s">
        <v>20</v>
      </c>
    </row>
    <row r="1633" spans="1:5" x14ac:dyDescent="0.25">
      <c r="A1633" s="14">
        <v>353468</v>
      </c>
      <c r="B1633" s="14" t="s">
        <v>1759</v>
      </c>
      <c r="C1633" s="14" t="s">
        <v>13031</v>
      </c>
      <c r="D1633" s="15">
        <v>2.11</v>
      </c>
      <c r="E1633" s="16" t="s">
        <v>20</v>
      </c>
    </row>
    <row r="1634" spans="1:5" x14ac:dyDescent="0.25">
      <c r="A1634" s="14">
        <v>356311</v>
      </c>
      <c r="B1634" s="14" t="s">
        <v>1760</v>
      </c>
      <c r="C1634" s="14" t="s">
        <v>13030</v>
      </c>
      <c r="D1634" s="15">
        <v>30.07</v>
      </c>
      <c r="E1634" s="16" t="s">
        <v>20</v>
      </c>
    </row>
    <row r="1635" spans="1:5" x14ac:dyDescent="0.25">
      <c r="A1635" s="14">
        <v>353471</v>
      </c>
      <c r="B1635" s="14" t="s">
        <v>1761</v>
      </c>
      <c r="C1635" s="14" t="s">
        <v>13031</v>
      </c>
      <c r="D1635" s="15">
        <v>2.11</v>
      </c>
      <c r="E1635" s="16" t="s">
        <v>20</v>
      </c>
    </row>
    <row r="1636" spans="1:5" x14ac:dyDescent="0.25">
      <c r="A1636" s="14">
        <v>367613</v>
      </c>
      <c r="B1636" s="14" t="s">
        <v>1762</v>
      </c>
      <c r="C1636" s="14" t="s">
        <v>13031</v>
      </c>
      <c r="D1636" s="15">
        <v>3.2</v>
      </c>
      <c r="E1636" s="16" t="s">
        <v>30</v>
      </c>
    </row>
    <row r="1637" spans="1:5" x14ac:dyDescent="0.25">
      <c r="A1637" s="14">
        <v>367795</v>
      </c>
      <c r="B1637" s="14" t="s">
        <v>1763</v>
      </c>
      <c r="C1637" s="14" t="s">
        <v>13030</v>
      </c>
      <c r="D1637" s="15">
        <v>12.65</v>
      </c>
      <c r="E1637" s="16" t="s">
        <v>30</v>
      </c>
    </row>
    <row r="1638" spans="1:5" x14ac:dyDescent="0.25">
      <c r="A1638" s="14">
        <v>368264</v>
      </c>
      <c r="B1638" s="14" t="s">
        <v>1764</v>
      </c>
      <c r="C1638" s="14" t="s">
        <v>13030</v>
      </c>
      <c r="D1638" s="15">
        <v>30.91</v>
      </c>
      <c r="E1638" s="16" t="s">
        <v>30</v>
      </c>
    </row>
    <row r="1639" spans="1:5" x14ac:dyDescent="0.25">
      <c r="A1639" s="14">
        <v>368667</v>
      </c>
      <c r="B1639" s="14" t="s">
        <v>1765</v>
      </c>
      <c r="C1639" s="14" t="s">
        <v>13029</v>
      </c>
      <c r="D1639" s="15">
        <v>6.44</v>
      </c>
      <c r="E1639" s="16" t="s">
        <v>30</v>
      </c>
    </row>
    <row r="1640" spans="1:5" x14ac:dyDescent="0.25">
      <c r="A1640" s="14">
        <v>368668</v>
      </c>
      <c r="B1640" s="14" t="s">
        <v>1766</v>
      </c>
      <c r="C1640" s="14" t="s">
        <v>13029</v>
      </c>
      <c r="D1640" s="15">
        <v>6.44</v>
      </c>
      <c r="E1640" s="16" t="s">
        <v>30</v>
      </c>
    </row>
    <row r="1641" spans="1:5" x14ac:dyDescent="0.25">
      <c r="A1641" s="14">
        <v>369393</v>
      </c>
      <c r="B1641" s="14" t="s">
        <v>1767</v>
      </c>
      <c r="C1641" s="14" t="s">
        <v>13030</v>
      </c>
      <c r="D1641" s="15">
        <v>28.06</v>
      </c>
      <c r="E1641" s="16" t="s">
        <v>30</v>
      </c>
    </row>
    <row r="1642" spans="1:5" x14ac:dyDescent="0.25">
      <c r="A1642" s="14">
        <v>369564</v>
      </c>
      <c r="B1642" s="14" t="s">
        <v>1768</v>
      </c>
      <c r="C1642" s="14" t="s">
        <v>13031</v>
      </c>
      <c r="D1642" s="15">
        <v>18.68</v>
      </c>
      <c r="E1642" s="16" t="s">
        <v>30</v>
      </c>
    </row>
    <row r="1643" spans="1:5" x14ac:dyDescent="0.25">
      <c r="A1643" s="14">
        <v>369804</v>
      </c>
      <c r="B1643" s="14" t="s">
        <v>1769</v>
      </c>
      <c r="C1643" s="14" t="s">
        <v>13030</v>
      </c>
      <c r="D1643" s="15">
        <v>64.760000000000005</v>
      </c>
      <c r="E1643" s="16" t="s">
        <v>30</v>
      </c>
    </row>
    <row r="1644" spans="1:5" x14ac:dyDescent="0.25">
      <c r="A1644" s="14">
        <v>370762</v>
      </c>
      <c r="B1644" s="14" t="s">
        <v>1770</v>
      </c>
      <c r="C1644" s="14" t="s">
        <v>13030</v>
      </c>
      <c r="D1644" s="15">
        <v>19.38</v>
      </c>
      <c r="E1644" s="16" t="s">
        <v>30</v>
      </c>
    </row>
    <row r="1645" spans="1:5" x14ac:dyDescent="0.25">
      <c r="A1645" s="14">
        <v>370767</v>
      </c>
      <c r="B1645" s="14" t="s">
        <v>1771</v>
      </c>
      <c r="C1645" s="14" t="s">
        <v>13030</v>
      </c>
      <c r="D1645" s="15">
        <v>19.38</v>
      </c>
      <c r="E1645" s="16" t="s">
        <v>30</v>
      </c>
    </row>
    <row r="1646" spans="1:5" x14ac:dyDescent="0.25">
      <c r="A1646" s="14">
        <v>370771</v>
      </c>
      <c r="B1646" s="14" t="s">
        <v>1772</v>
      </c>
      <c r="C1646" s="14" t="s">
        <v>13030</v>
      </c>
      <c r="D1646" s="15">
        <v>19.38</v>
      </c>
      <c r="E1646" s="16" t="s">
        <v>30</v>
      </c>
    </row>
    <row r="1647" spans="1:5" x14ac:dyDescent="0.25">
      <c r="A1647" s="14">
        <v>370845</v>
      </c>
      <c r="B1647" s="14" t="s">
        <v>1773</v>
      </c>
      <c r="C1647" s="14" t="s">
        <v>13030</v>
      </c>
      <c r="D1647" s="15">
        <v>45.08</v>
      </c>
      <c r="E1647" s="16" t="s">
        <v>30</v>
      </c>
    </row>
    <row r="1648" spans="1:5" x14ac:dyDescent="0.25">
      <c r="A1648" s="14">
        <v>372043</v>
      </c>
      <c r="B1648" s="14" t="s">
        <v>1774</v>
      </c>
      <c r="C1648" s="14" t="s">
        <v>13031</v>
      </c>
      <c r="D1648" s="15">
        <v>2.1</v>
      </c>
      <c r="E1648" s="16" t="s">
        <v>30</v>
      </c>
    </row>
    <row r="1649" spans="1:5" x14ac:dyDescent="0.25">
      <c r="A1649" s="14">
        <v>372044</v>
      </c>
      <c r="B1649" s="14" t="s">
        <v>1775</v>
      </c>
      <c r="C1649" s="14" t="s">
        <v>13031</v>
      </c>
      <c r="D1649" s="15">
        <v>2.1</v>
      </c>
      <c r="E1649" s="16" t="s">
        <v>30</v>
      </c>
    </row>
    <row r="1650" spans="1:5" x14ac:dyDescent="0.25">
      <c r="A1650" s="14">
        <v>372523</v>
      </c>
      <c r="B1650" s="14" t="s">
        <v>1776</v>
      </c>
      <c r="C1650" s="14" t="s">
        <v>13029</v>
      </c>
      <c r="D1650" s="15">
        <v>14.74</v>
      </c>
      <c r="E1650" s="16" t="s">
        <v>30</v>
      </c>
    </row>
    <row r="1651" spans="1:5" x14ac:dyDescent="0.25">
      <c r="A1651" s="14">
        <v>373515</v>
      </c>
      <c r="B1651" s="14" t="s">
        <v>1777</v>
      </c>
      <c r="C1651" s="14" t="s">
        <v>13030</v>
      </c>
      <c r="D1651" s="15">
        <v>3.5</v>
      </c>
      <c r="E1651" s="16" t="s">
        <v>30</v>
      </c>
    </row>
    <row r="1652" spans="1:5" x14ac:dyDescent="0.25">
      <c r="A1652" s="14">
        <v>373517</v>
      </c>
      <c r="B1652" s="14" t="s">
        <v>1778</v>
      </c>
      <c r="C1652" s="14" t="s">
        <v>13030</v>
      </c>
      <c r="D1652" s="15">
        <v>44.18</v>
      </c>
      <c r="E1652" s="16" t="s">
        <v>30</v>
      </c>
    </row>
    <row r="1653" spans="1:5" x14ac:dyDescent="0.25">
      <c r="A1653" s="14">
        <v>373518</v>
      </c>
      <c r="B1653" s="14" t="s">
        <v>1779</v>
      </c>
      <c r="C1653" s="14" t="s">
        <v>13030</v>
      </c>
      <c r="D1653" s="15">
        <v>44.18</v>
      </c>
      <c r="E1653" s="16" t="s">
        <v>30</v>
      </c>
    </row>
    <row r="1654" spans="1:5" x14ac:dyDescent="0.25">
      <c r="A1654" s="14">
        <v>373520</v>
      </c>
      <c r="B1654" s="14" t="s">
        <v>1780</v>
      </c>
      <c r="C1654" s="14" t="s">
        <v>13030</v>
      </c>
      <c r="D1654" s="15">
        <v>42.59</v>
      </c>
      <c r="E1654" s="16" t="s">
        <v>30</v>
      </c>
    </row>
    <row r="1655" spans="1:5" x14ac:dyDescent="0.25">
      <c r="A1655" s="14">
        <v>373818</v>
      </c>
      <c r="B1655" s="14" t="s">
        <v>1781</v>
      </c>
      <c r="C1655" s="14" t="s">
        <v>13030</v>
      </c>
      <c r="D1655" s="15">
        <v>48.77</v>
      </c>
      <c r="E1655" s="16" t="s">
        <v>30</v>
      </c>
    </row>
    <row r="1656" spans="1:5" x14ac:dyDescent="0.25">
      <c r="A1656" s="14">
        <v>373849</v>
      </c>
      <c r="B1656" s="14" t="s">
        <v>1782</v>
      </c>
      <c r="C1656" s="14" t="s">
        <v>13031</v>
      </c>
      <c r="D1656" s="15">
        <v>39.08</v>
      </c>
      <c r="E1656" s="16" t="s">
        <v>30</v>
      </c>
    </row>
    <row r="1657" spans="1:5" x14ac:dyDescent="0.25">
      <c r="A1657" s="14">
        <v>373850</v>
      </c>
      <c r="B1657" s="14" t="s">
        <v>1783</v>
      </c>
      <c r="C1657" s="14" t="s">
        <v>13031</v>
      </c>
      <c r="D1657" s="15">
        <v>37.79</v>
      </c>
      <c r="E1657" s="16" t="s">
        <v>30</v>
      </c>
    </row>
    <row r="1658" spans="1:5" x14ac:dyDescent="0.25">
      <c r="A1658" s="14">
        <v>374433</v>
      </c>
      <c r="B1658" s="14" t="s">
        <v>1784</v>
      </c>
      <c r="C1658" s="14" t="s">
        <v>13029</v>
      </c>
      <c r="D1658" s="15">
        <v>5.49</v>
      </c>
      <c r="E1658" s="16" t="s">
        <v>30</v>
      </c>
    </row>
    <row r="1659" spans="1:5" x14ac:dyDescent="0.25">
      <c r="A1659" s="14">
        <v>374520</v>
      </c>
      <c r="B1659" s="14" t="s">
        <v>1785</v>
      </c>
      <c r="C1659" s="14" t="s">
        <v>13036</v>
      </c>
      <c r="D1659" s="15">
        <v>8.75</v>
      </c>
      <c r="E1659" s="16" t="s">
        <v>30</v>
      </c>
    </row>
    <row r="1660" spans="1:5" x14ac:dyDescent="0.25">
      <c r="A1660" s="14">
        <v>374627</v>
      </c>
      <c r="B1660" s="14" t="s">
        <v>1786</v>
      </c>
      <c r="C1660" s="14" t="s">
        <v>13030</v>
      </c>
      <c r="D1660" s="15">
        <v>18.649999999999999</v>
      </c>
      <c r="E1660" s="16" t="s">
        <v>30</v>
      </c>
    </row>
    <row r="1661" spans="1:5" x14ac:dyDescent="0.25">
      <c r="A1661" s="14">
        <v>374679</v>
      </c>
      <c r="B1661" s="14" t="s">
        <v>1787</v>
      </c>
      <c r="C1661" s="14" t="s">
        <v>13029</v>
      </c>
      <c r="D1661" s="15">
        <v>13.89</v>
      </c>
      <c r="E1661" s="16" t="s">
        <v>30</v>
      </c>
    </row>
    <row r="1662" spans="1:5" x14ac:dyDescent="0.25">
      <c r="A1662" s="14">
        <v>374742</v>
      </c>
      <c r="B1662" s="14" t="s">
        <v>1788</v>
      </c>
      <c r="C1662" s="14" t="s">
        <v>13029</v>
      </c>
      <c r="D1662" s="15">
        <v>6.9</v>
      </c>
      <c r="E1662" s="16" t="s">
        <v>30</v>
      </c>
    </row>
    <row r="1663" spans="1:5" x14ac:dyDescent="0.25">
      <c r="A1663" s="14">
        <v>375082</v>
      </c>
      <c r="B1663" s="14" t="s">
        <v>1789</v>
      </c>
      <c r="C1663" s="14" t="s">
        <v>13030</v>
      </c>
      <c r="D1663" s="15">
        <v>12.87</v>
      </c>
      <c r="E1663" s="16" t="s">
        <v>30</v>
      </c>
    </row>
    <row r="1664" spans="1:5" x14ac:dyDescent="0.25">
      <c r="A1664" s="14">
        <v>375329</v>
      </c>
      <c r="B1664" s="14" t="s">
        <v>1790</v>
      </c>
      <c r="C1664" s="14" t="s">
        <v>13029</v>
      </c>
      <c r="D1664" s="15">
        <v>11.99</v>
      </c>
      <c r="E1664" s="16" t="s">
        <v>30</v>
      </c>
    </row>
    <row r="1665" spans="1:5" x14ac:dyDescent="0.25">
      <c r="A1665" s="14">
        <v>375537</v>
      </c>
      <c r="B1665" s="14" t="s">
        <v>1791</v>
      </c>
      <c r="C1665" s="14" t="s">
        <v>13030</v>
      </c>
      <c r="D1665" s="15">
        <v>63.75</v>
      </c>
      <c r="E1665" s="16" t="s">
        <v>30</v>
      </c>
    </row>
    <row r="1666" spans="1:5" x14ac:dyDescent="0.25">
      <c r="A1666" s="14">
        <v>375671</v>
      </c>
      <c r="B1666" s="14" t="s">
        <v>1792</v>
      </c>
      <c r="C1666" s="14" t="s">
        <v>13029</v>
      </c>
      <c r="D1666" s="15">
        <v>39.08</v>
      </c>
      <c r="E1666" s="16" t="s">
        <v>30</v>
      </c>
    </row>
    <row r="1667" spans="1:5" x14ac:dyDescent="0.25">
      <c r="A1667" s="14">
        <v>376361</v>
      </c>
      <c r="B1667" s="14" t="s">
        <v>1793</v>
      </c>
      <c r="C1667" s="14" t="s">
        <v>13031</v>
      </c>
      <c r="D1667" s="15">
        <v>18.829999999999998</v>
      </c>
      <c r="E1667" s="16" t="s">
        <v>30</v>
      </c>
    </row>
    <row r="1668" spans="1:5" x14ac:dyDescent="0.25">
      <c r="A1668" s="14">
        <v>376392</v>
      </c>
      <c r="B1668" s="14" t="s">
        <v>1794</v>
      </c>
      <c r="C1668" s="14" t="s">
        <v>13031</v>
      </c>
      <c r="D1668" s="15">
        <v>18.829999999999998</v>
      </c>
      <c r="E1668" s="16" t="s">
        <v>30</v>
      </c>
    </row>
    <row r="1669" spans="1:5" x14ac:dyDescent="0.25">
      <c r="A1669" s="14">
        <v>376554</v>
      </c>
      <c r="B1669" s="14" t="s">
        <v>1795</v>
      </c>
      <c r="C1669" s="14" t="s">
        <v>13029</v>
      </c>
      <c r="D1669" s="15">
        <v>43.74</v>
      </c>
      <c r="E1669" s="16" t="s">
        <v>30</v>
      </c>
    </row>
    <row r="1670" spans="1:5" x14ac:dyDescent="0.25">
      <c r="A1670" s="14">
        <v>376580</v>
      </c>
      <c r="B1670" s="14" t="s">
        <v>1796</v>
      </c>
      <c r="C1670" s="14" t="s">
        <v>13030</v>
      </c>
      <c r="D1670" s="15">
        <v>7.62</v>
      </c>
      <c r="E1670" s="16" t="s">
        <v>30</v>
      </c>
    </row>
    <row r="1671" spans="1:5" x14ac:dyDescent="0.25">
      <c r="A1671" s="14">
        <v>357353</v>
      </c>
      <c r="B1671" s="14" t="s">
        <v>1797</v>
      </c>
      <c r="C1671" s="14" t="s">
        <v>13031</v>
      </c>
      <c r="D1671" s="15">
        <v>6.46</v>
      </c>
      <c r="E1671" s="16" t="s">
        <v>20</v>
      </c>
    </row>
    <row r="1672" spans="1:5" x14ac:dyDescent="0.25">
      <c r="A1672" s="14">
        <v>376604</v>
      </c>
      <c r="B1672" s="14" t="s">
        <v>1798</v>
      </c>
      <c r="C1672" s="14" t="s">
        <v>13030</v>
      </c>
      <c r="D1672" s="15">
        <v>7.62</v>
      </c>
      <c r="E1672" s="16" t="s">
        <v>30</v>
      </c>
    </row>
    <row r="1673" spans="1:5" x14ac:dyDescent="0.25">
      <c r="A1673" s="14">
        <v>376609</v>
      </c>
      <c r="B1673" s="14" t="s">
        <v>1799</v>
      </c>
      <c r="C1673" s="14" t="s">
        <v>13029</v>
      </c>
      <c r="D1673" s="15">
        <v>10.62</v>
      </c>
      <c r="E1673" s="16" t="s">
        <v>30</v>
      </c>
    </row>
    <row r="1674" spans="1:5" x14ac:dyDescent="0.25">
      <c r="A1674" s="14">
        <v>376610</v>
      </c>
      <c r="B1674" s="14" t="s">
        <v>1800</v>
      </c>
      <c r="C1674" s="14" t="s">
        <v>13029</v>
      </c>
      <c r="D1674" s="15">
        <v>11.51</v>
      </c>
      <c r="E1674" s="16" t="s">
        <v>30</v>
      </c>
    </row>
    <row r="1675" spans="1:5" x14ac:dyDescent="0.25">
      <c r="A1675" s="14">
        <v>377129</v>
      </c>
      <c r="B1675" s="14" t="s">
        <v>1801</v>
      </c>
      <c r="C1675" s="14" t="s">
        <v>13030</v>
      </c>
      <c r="D1675" s="15">
        <v>3.23</v>
      </c>
      <c r="E1675" s="16" t="s">
        <v>30</v>
      </c>
    </row>
    <row r="1676" spans="1:5" x14ac:dyDescent="0.25">
      <c r="A1676" s="14">
        <v>377458</v>
      </c>
      <c r="B1676" s="14" t="s">
        <v>1802</v>
      </c>
      <c r="C1676" s="14" t="s">
        <v>13030</v>
      </c>
      <c r="D1676" s="15">
        <v>84.9</v>
      </c>
      <c r="E1676" s="16" t="s">
        <v>30</v>
      </c>
    </row>
    <row r="1677" spans="1:5" x14ac:dyDescent="0.25">
      <c r="A1677" s="14">
        <v>377459</v>
      </c>
      <c r="B1677" s="14" t="s">
        <v>1803</v>
      </c>
      <c r="C1677" s="14" t="s">
        <v>13030</v>
      </c>
      <c r="D1677" s="15">
        <v>42.22</v>
      </c>
      <c r="E1677" s="16" t="s">
        <v>30</v>
      </c>
    </row>
    <row r="1678" spans="1:5" x14ac:dyDescent="0.25">
      <c r="A1678" s="14">
        <v>379687</v>
      </c>
      <c r="B1678" s="14" t="s">
        <v>1804</v>
      </c>
      <c r="C1678" s="14" t="s">
        <v>13029</v>
      </c>
      <c r="D1678" s="15">
        <v>9.92</v>
      </c>
      <c r="E1678" s="16" t="s">
        <v>30</v>
      </c>
    </row>
    <row r="1679" spans="1:5" x14ac:dyDescent="0.25">
      <c r="A1679" s="14">
        <v>379688</v>
      </c>
      <c r="B1679" s="14" t="s">
        <v>1805</v>
      </c>
      <c r="C1679" s="14" t="s">
        <v>13029</v>
      </c>
      <c r="D1679" s="15">
        <v>12.16</v>
      </c>
      <c r="E1679" s="16" t="s">
        <v>30</v>
      </c>
    </row>
    <row r="1680" spans="1:5" x14ac:dyDescent="0.25">
      <c r="A1680" s="14">
        <v>379877</v>
      </c>
      <c r="B1680" s="14" t="s">
        <v>1806</v>
      </c>
      <c r="C1680" s="14" t="s">
        <v>13034</v>
      </c>
      <c r="D1680" s="15">
        <v>7.4</v>
      </c>
      <c r="E1680" s="16" t="s">
        <v>30</v>
      </c>
    </row>
    <row r="1681" spans="1:5" x14ac:dyDescent="0.25">
      <c r="A1681" s="14">
        <v>380077</v>
      </c>
      <c r="B1681" s="14" t="s">
        <v>1807</v>
      </c>
      <c r="C1681" s="14" t="s">
        <v>13030</v>
      </c>
      <c r="D1681" s="15">
        <v>40.11</v>
      </c>
      <c r="E1681" s="16" t="s">
        <v>30</v>
      </c>
    </row>
    <row r="1682" spans="1:5" x14ac:dyDescent="0.25">
      <c r="A1682" s="14">
        <v>380082</v>
      </c>
      <c r="B1682" s="14" t="s">
        <v>1808</v>
      </c>
      <c r="C1682" s="14" t="s">
        <v>13030</v>
      </c>
      <c r="D1682" s="15">
        <v>40.11</v>
      </c>
      <c r="E1682" s="16" t="s">
        <v>30</v>
      </c>
    </row>
    <row r="1683" spans="1:5" x14ac:dyDescent="0.25">
      <c r="A1683" s="14">
        <v>380087</v>
      </c>
      <c r="B1683" s="14" t="s">
        <v>1809</v>
      </c>
      <c r="C1683" s="14" t="s">
        <v>13030</v>
      </c>
      <c r="D1683" s="15">
        <v>40.11</v>
      </c>
      <c r="E1683" s="16" t="s">
        <v>30</v>
      </c>
    </row>
    <row r="1684" spans="1:5" x14ac:dyDescent="0.25">
      <c r="A1684" s="14">
        <v>380725</v>
      </c>
      <c r="B1684" s="14" t="s">
        <v>1810</v>
      </c>
      <c r="C1684" s="14" t="s">
        <v>13029</v>
      </c>
      <c r="D1684" s="15">
        <v>12.85</v>
      </c>
      <c r="E1684" s="14" t="s">
        <v>30</v>
      </c>
    </row>
    <row r="1685" spans="1:5" x14ac:dyDescent="0.25">
      <c r="A1685" s="14">
        <v>381085</v>
      </c>
      <c r="B1685" s="14" t="s">
        <v>1811</v>
      </c>
      <c r="C1685" s="14" t="s">
        <v>13029</v>
      </c>
      <c r="D1685" s="15">
        <v>9.89</v>
      </c>
      <c r="E1685" s="16" t="s">
        <v>30</v>
      </c>
    </row>
    <row r="1686" spans="1:5" x14ac:dyDescent="0.25">
      <c r="A1686" s="14">
        <v>381686</v>
      </c>
      <c r="B1686" s="14" t="s">
        <v>1812</v>
      </c>
      <c r="C1686" s="14" t="s">
        <v>13029</v>
      </c>
      <c r="D1686" s="15">
        <v>36.65</v>
      </c>
      <c r="E1686" s="16" t="s">
        <v>30</v>
      </c>
    </row>
    <row r="1687" spans="1:5" x14ac:dyDescent="0.25">
      <c r="A1687" s="14">
        <v>381932</v>
      </c>
      <c r="B1687" s="14" t="s">
        <v>1813</v>
      </c>
      <c r="C1687" s="14" t="s">
        <v>13030</v>
      </c>
      <c r="D1687" s="15">
        <v>57.56</v>
      </c>
      <c r="E1687" s="14" t="s">
        <v>30</v>
      </c>
    </row>
    <row r="1688" spans="1:5" x14ac:dyDescent="0.25">
      <c r="A1688" s="14">
        <v>381937</v>
      </c>
      <c r="B1688" s="14" t="s">
        <v>1814</v>
      </c>
      <c r="C1688" s="14" t="s">
        <v>13030</v>
      </c>
      <c r="D1688" s="15">
        <v>45.1</v>
      </c>
      <c r="E1688" s="16" t="s">
        <v>30</v>
      </c>
    </row>
    <row r="1689" spans="1:5" x14ac:dyDescent="0.25">
      <c r="A1689" s="14">
        <v>381938</v>
      </c>
      <c r="B1689" s="14" t="s">
        <v>1815</v>
      </c>
      <c r="C1689" s="14" t="s">
        <v>13030</v>
      </c>
      <c r="D1689" s="15">
        <v>63.23</v>
      </c>
      <c r="E1689" s="16" t="s">
        <v>30</v>
      </c>
    </row>
    <row r="1690" spans="1:5" x14ac:dyDescent="0.25">
      <c r="A1690" s="14">
        <v>382121</v>
      </c>
      <c r="B1690" s="14" t="s">
        <v>1816</v>
      </c>
      <c r="C1690" s="14" t="s">
        <v>13031</v>
      </c>
      <c r="D1690" s="15">
        <v>8.5</v>
      </c>
      <c r="E1690" s="16" t="s">
        <v>30</v>
      </c>
    </row>
    <row r="1691" spans="1:5" x14ac:dyDescent="0.25">
      <c r="A1691" s="14">
        <v>382499</v>
      </c>
      <c r="B1691" s="14" t="s">
        <v>1817</v>
      </c>
      <c r="C1691" s="14" t="s">
        <v>13030</v>
      </c>
      <c r="D1691" s="15">
        <v>55.81</v>
      </c>
      <c r="E1691" s="16" t="s">
        <v>30</v>
      </c>
    </row>
    <row r="1692" spans="1:5" x14ac:dyDescent="0.25">
      <c r="A1692" s="14">
        <v>382669</v>
      </c>
      <c r="B1692" s="14" t="s">
        <v>1818</v>
      </c>
      <c r="C1692" s="14" t="s">
        <v>13030</v>
      </c>
      <c r="D1692" s="15">
        <v>49.93</v>
      </c>
      <c r="E1692" s="16" t="s">
        <v>30</v>
      </c>
    </row>
    <row r="1693" spans="1:5" x14ac:dyDescent="0.25">
      <c r="A1693" s="14">
        <v>382915</v>
      </c>
      <c r="B1693" s="14" t="s">
        <v>1819</v>
      </c>
      <c r="C1693" s="14" t="s">
        <v>13029</v>
      </c>
      <c r="D1693" s="15">
        <v>11.8</v>
      </c>
      <c r="E1693" s="14" t="s">
        <v>30</v>
      </c>
    </row>
    <row r="1694" spans="1:5" x14ac:dyDescent="0.25">
      <c r="A1694" s="14">
        <v>383352</v>
      </c>
      <c r="B1694" s="14" t="s">
        <v>1820</v>
      </c>
      <c r="C1694" s="14" t="s">
        <v>13030</v>
      </c>
      <c r="D1694" s="15">
        <v>5.31</v>
      </c>
      <c r="E1694" s="16" t="s">
        <v>30</v>
      </c>
    </row>
    <row r="1695" spans="1:5" x14ac:dyDescent="0.25">
      <c r="A1695" s="14">
        <v>383353</v>
      </c>
      <c r="B1695" s="14" t="s">
        <v>1821</v>
      </c>
      <c r="C1695" s="14" t="s">
        <v>13030</v>
      </c>
      <c r="D1695" s="15">
        <v>5.31</v>
      </c>
      <c r="E1695" s="16" t="s">
        <v>30</v>
      </c>
    </row>
    <row r="1696" spans="1:5" x14ac:dyDescent="0.25">
      <c r="A1696" s="14">
        <v>383355</v>
      </c>
      <c r="B1696" s="14" t="s">
        <v>1822</v>
      </c>
      <c r="C1696" s="14" t="s">
        <v>13030</v>
      </c>
      <c r="D1696" s="15">
        <v>5.31</v>
      </c>
      <c r="E1696" s="16" t="s">
        <v>30</v>
      </c>
    </row>
    <row r="1697" spans="1:5" x14ac:dyDescent="0.25">
      <c r="A1697" s="14">
        <v>383356</v>
      </c>
      <c r="B1697" s="14" t="s">
        <v>1823</v>
      </c>
      <c r="C1697" s="14" t="s">
        <v>13030</v>
      </c>
      <c r="D1697" s="15">
        <v>15.42</v>
      </c>
      <c r="E1697" s="16" t="s">
        <v>30</v>
      </c>
    </row>
    <row r="1698" spans="1:5" x14ac:dyDescent="0.25">
      <c r="A1698" s="14">
        <v>383397</v>
      </c>
      <c r="B1698" s="14" t="s">
        <v>1824</v>
      </c>
      <c r="C1698" s="14" t="s">
        <v>13031</v>
      </c>
      <c r="D1698" s="15">
        <v>11.69</v>
      </c>
      <c r="E1698" s="16" t="s">
        <v>30</v>
      </c>
    </row>
    <row r="1699" spans="1:5" x14ac:dyDescent="0.25">
      <c r="A1699" s="14">
        <v>383398</v>
      </c>
      <c r="B1699" s="14" t="s">
        <v>1825</v>
      </c>
      <c r="C1699" s="14" t="s">
        <v>13031</v>
      </c>
      <c r="D1699" s="15">
        <v>14.07</v>
      </c>
      <c r="E1699" s="16" t="s">
        <v>30</v>
      </c>
    </row>
    <row r="1700" spans="1:5" x14ac:dyDescent="0.25">
      <c r="A1700" s="14">
        <v>383440</v>
      </c>
      <c r="B1700" s="14" t="s">
        <v>1826</v>
      </c>
      <c r="C1700" s="14" t="s">
        <v>13031</v>
      </c>
      <c r="D1700" s="15">
        <v>4.58</v>
      </c>
      <c r="E1700" s="16" t="s">
        <v>30</v>
      </c>
    </row>
    <row r="1701" spans="1:5" x14ac:dyDescent="0.25">
      <c r="A1701" s="14">
        <v>383441</v>
      </c>
      <c r="B1701" s="14" t="s">
        <v>1827</v>
      </c>
      <c r="C1701" s="14" t="s">
        <v>13031</v>
      </c>
      <c r="D1701" s="15">
        <v>4.58</v>
      </c>
      <c r="E1701" s="16" t="s">
        <v>30</v>
      </c>
    </row>
    <row r="1702" spans="1:5" x14ac:dyDescent="0.25">
      <c r="A1702" s="14">
        <v>383472</v>
      </c>
      <c r="B1702" s="14" t="s">
        <v>1828</v>
      </c>
      <c r="C1702" s="14" t="s">
        <v>13031</v>
      </c>
      <c r="D1702" s="15">
        <v>5.14</v>
      </c>
      <c r="E1702" s="16" t="s">
        <v>30</v>
      </c>
    </row>
    <row r="1703" spans="1:5" x14ac:dyDescent="0.25">
      <c r="A1703" s="14">
        <v>383473</v>
      </c>
      <c r="B1703" s="14" t="s">
        <v>1829</v>
      </c>
      <c r="C1703" s="14" t="s">
        <v>13031</v>
      </c>
      <c r="D1703" s="15">
        <v>4.57</v>
      </c>
      <c r="E1703" s="16" t="s">
        <v>30</v>
      </c>
    </row>
    <row r="1704" spans="1:5" x14ac:dyDescent="0.25">
      <c r="A1704" s="14">
        <v>385201</v>
      </c>
      <c r="B1704" s="14" t="s">
        <v>1830</v>
      </c>
      <c r="C1704" s="14" t="s">
        <v>13031</v>
      </c>
      <c r="D1704" s="15">
        <v>1.36</v>
      </c>
      <c r="E1704" s="16" t="s">
        <v>30</v>
      </c>
    </row>
    <row r="1705" spans="1:5" x14ac:dyDescent="0.25">
      <c r="A1705" s="14">
        <v>386425</v>
      </c>
      <c r="B1705" s="14" t="s">
        <v>1831</v>
      </c>
      <c r="C1705" s="14" t="s">
        <v>13030</v>
      </c>
      <c r="D1705" s="15">
        <v>17.23</v>
      </c>
      <c r="E1705" s="16" t="s">
        <v>30</v>
      </c>
    </row>
    <row r="1706" spans="1:5" x14ac:dyDescent="0.25">
      <c r="A1706" s="14">
        <v>386934</v>
      </c>
      <c r="B1706" s="14" t="s">
        <v>1832</v>
      </c>
      <c r="C1706" s="14" t="s">
        <v>13030</v>
      </c>
      <c r="D1706" s="15">
        <v>12.99</v>
      </c>
      <c r="E1706" s="16" t="s">
        <v>30</v>
      </c>
    </row>
    <row r="1707" spans="1:5" x14ac:dyDescent="0.25">
      <c r="A1707" s="14">
        <v>387227</v>
      </c>
      <c r="B1707" s="14" t="s">
        <v>1833</v>
      </c>
      <c r="C1707" s="14" t="s">
        <v>13030</v>
      </c>
      <c r="D1707" s="15">
        <v>49.87</v>
      </c>
      <c r="E1707" s="16" t="s">
        <v>30</v>
      </c>
    </row>
    <row r="1708" spans="1:5" x14ac:dyDescent="0.25">
      <c r="A1708" s="14">
        <v>387228</v>
      </c>
      <c r="B1708" s="14" t="s">
        <v>1834</v>
      </c>
      <c r="C1708" s="14" t="s">
        <v>13030</v>
      </c>
      <c r="D1708" s="15">
        <v>49.87</v>
      </c>
      <c r="E1708" s="16" t="s">
        <v>30</v>
      </c>
    </row>
    <row r="1709" spans="1:5" x14ac:dyDescent="0.25">
      <c r="A1709" s="14">
        <v>388723</v>
      </c>
      <c r="B1709" s="14" t="s">
        <v>1835</v>
      </c>
      <c r="C1709" s="14" t="s">
        <v>13032</v>
      </c>
      <c r="D1709" s="15">
        <v>35</v>
      </c>
      <c r="E1709" s="16" t="s">
        <v>30</v>
      </c>
    </row>
    <row r="1710" spans="1:5" x14ac:dyDescent="0.25">
      <c r="A1710" s="14">
        <v>389347</v>
      </c>
      <c r="B1710" s="14" t="s">
        <v>1836</v>
      </c>
      <c r="C1710" s="14" t="s">
        <v>13031</v>
      </c>
      <c r="D1710" s="15">
        <v>3.22</v>
      </c>
      <c r="E1710" s="16" t="s">
        <v>30</v>
      </c>
    </row>
    <row r="1711" spans="1:5" x14ac:dyDescent="0.25">
      <c r="A1711" s="14">
        <v>390771</v>
      </c>
      <c r="B1711" s="14" t="s">
        <v>1837</v>
      </c>
      <c r="C1711" s="14" t="s">
        <v>13030</v>
      </c>
      <c r="D1711" s="15">
        <v>10.37</v>
      </c>
      <c r="E1711" s="16" t="s">
        <v>30</v>
      </c>
    </row>
    <row r="1712" spans="1:5" x14ac:dyDescent="0.25">
      <c r="A1712" s="14">
        <v>390773</v>
      </c>
      <c r="B1712" s="14" t="s">
        <v>1838</v>
      </c>
      <c r="C1712" s="14" t="s">
        <v>13030</v>
      </c>
      <c r="D1712" s="15">
        <v>10.36</v>
      </c>
      <c r="E1712" s="16" t="s">
        <v>30</v>
      </c>
    </row>
    <row r="1713" spans="1:5" x14ac:dyDescent="0.25">
      <c r="A1713" s="14">
        <v>390774</v>
      </c>
      <c r="B1713" s="14" t="s">
        <v>1839</v>
      </c>
      <c r="C1713" s="14" t="s">
        <v>13030</v>
      </c>
      <c r="D1713" s="15">
        <v>7.71</v>
      </c>
      <c r="E1713" s="16" t="s">
        <v>30</v>
      </c>
    </row>
    <row r="1714" spans="1:5" x14ac:dyDescent="0.25">
      <c r="A1714" s="14">
        <v>390775</v>
      </c>
      <c r="B1714" s="14" t="s">
        <v>1840</v>
      </c>
      <c r="C1714" s="14" t="s">
        <v>13030</v>
      </c>
      <c r="D1714" s="15">
        <v>7.71</v>
      </c>
      <c r="E1714" s="16" t="s">
        <v>30</v>
      </c>
    </row>
    <row r="1715" spans="1:5" x14ac:dyDescent="0.25">
      <c r="A1715" s="14">
        <v>390917</v>
      </c>
      <c r="B1715" s="14" t="s">
        <v>1841</v>
      </c>
      <c r="C1715" s="14" t="s">
        <v>13030</v>
      </c>
      <c r="D1715" s="15">
        <v>0.81</v>
      </c>
      <c r="E1715" s="16" t="s">
        <v>30</v>
      </c>
    </row>
    <row r="1716" spans="1:5" x14ac:dyDescent="0.25">
      <c r="A1716" s="14">
        <v>390961</v>
      </c>
      <c r="B1716" s="14" t="s">
        <v>1842</v>
      </c>
      <c r="C1716" s="14" t="s">
        <v>13029</v>
      </c>
      <c r="D1716" s="15">
        <v>35.49</v>
      </c>
      <c r="E1716" s="16" t="s">
        <v>30</v>
      </c>
    </row>
    <row r="1717" spans="1:5" x14ac:dyDescent="0.25">
      <c r="A1717" s="14">
        <v>390989</v>
      </c>
      <c r="B1717" s="14" t="s">
        <v>1843</v>
      </c>
      <c r="C1717" s="14" t="s">
        <v>13030</v>
      </c>
      <c r="D1717" s="15">
        <v>7.73</v>
      </c>
      <c r="E1717" s="16" t="s">
        <v>30</v>
      </c>
    </row>
    <row r="1718" spans="1:5" x14ac:dyDescent="0.25">
      <c r="A1718" s="14">
        <v>391411</v>
      </c>
      <c r="B1718" s="14" t="s">
        <v>1844</v>
      </c>
      <c r="C1718" s="14" t="s">
        <v>13030</v>
      </c>
      <c r="D1718" s="15">
        <v>152.80000000000001</v>
      </c>
      <c r="E1718" s="16" t="s">
        <v>30</v>
      </c>
    </row>
    <row r="1719" spans="1:5" x14ac:dyDescent="0.25">
      <c r="A1719" s="14">
        <v>391452</v>
      </c>
      <c r="B1719" s="14" t="s">
        <v>1845</v>
      </c>
      <c r="C1719" s="14" t="s">
        <v>13030</v>
      </c>
      <c r="D1719" s="15">
        <v>229.26</v>
      </c>
      <c r="E1719" s="16" t="s">
        <v>30</v>
      </c>
    </row>
    <row r="1720" spans="1:5" x14ac:dyDescent="0.25">
      <c r="A1720" s="14">
        <v>391455</v>
      </c>
      <c r="B1720" s="14" t="s">
        <v>1846</v>
      </c>
      <c r="C1720" s="14" t="s">
        <v>13030</v>
      </c>
      <c r="D1720" s="15">
        <v>191.04</v>
      </c>
      <c r="E1720" s="14" t="s">
        <v>30</v>
      </c>
    </row>
    <row r="1721" spans="1:5" x14ac:dyDescent="0.25">
      <c r="A1721" s="14">
        <v>392016</v>
      </c>
      <c r="B1721" s="14" t="s">
        <v>1847</v>
      </c>
      <c r="C1721" s="14" t="s">
        <v>13029</v>
      </c>
      <c r="D1721" s="15">
        <v>9.0299999999999994</v>
      </c>
      <c r="E1721" s="16" t="s">
        <v>30</v>
      </c>
    </row>
    <row r="1722" spans="1:5" x14ac:dyDescent="0.25">
      <c r="A1722" s="14">
        <v>392374</v>
      </c>
      <c r="B1722" s="14" t="s">
        <v>1848</v>
      </c>
      <c r="C1722" s="14" t="s">
        <v>13030</v>
      </c>
      <c r="D1722" s="15">
        <v>3.5</v>
      </c>
      <c r="E1722" s="16" t="s">
        <v>30</v>
      </c>
    </row>
    <row r="1723" spans="1:5" x14ac:dyDescent="0.25">
      <c r="A1723" s="14">
        <v>392375</v>
      </c>
      <c r="B1723" s="14" t="s">
        <v>1849</v>
      </c>
      <c r="C1723" s="14" t="s">
        <v>13030</v>
      </c>
      <c r="D1723" s="15">
        <v>1.89</v>
      </c>
      <c r="E1723" s="16" t="s">
        <v>30</v>
      </c>
    </row>
    <row r="1724" spans="1:5" x14ac:dyDescent="0.25">
      <c r="A1724" s="14">
        <v>392430</v>
      </c>
      <c r="B1724" s="14" t="s">
        <v>1850</v>
      </c>
      <c r="C1724" s="14" t="s">
        <v>13031</v>
      </c>
      <c r="D1724" s="15">
        <v>44.49</v>
      </c>
      <c r="E1724" s="16" t="s">
        <v>30</v>
      </c>
    </row>
    <row r="1725" spans="1:5" x14ac:dyDescent="0.25">
      <c r="A1725" s="14">
        <v>392444</v>
      </c>
      <c r="B1725" s="14" t="s">
        <v>1851</v>
      </c>
      <c r="C1725" s="14" t="s">
        <v>13031</v>
      </c>
      <c r="D1725" s="15">
        <v>87.6</v>
      </c>
      <c r="E1725" s="16" t="s">
        <v>30</v>
      </c>
    </row>
    <row r="1726" spans="1:5" x14ac:dyDescent="0.25">
      <c r="A1726" s="14">
        <v>392446</v>
      </c>
      <c r="B1726" s="14" t="s">
        <v>1852</v>
      </c>
      <c r="C1726" s="14" t="s">
        <v>13031</v>
      </c>
      <c r="D1726" s="15">
        <v>44.49</v>
      </c>
      <c r="E1726" s="16" t="s">
        <v>30</v>
      </c>
    </row>
    <row r="1727" spans="1:5" x14ac:dyDescent="0.25">
      <c r="A1727" s="14">
        <v>392451</v>
      </c>
      <c r="B1727" s="14" t="s">
        <v>1853</v>
      </c>
      <c r="C1727" s="14" t="s">
        <v>13031</v>
      </c>
      <c r="D1727" s="15">
        <v>87.6</v>
      </c>
      <c r="E1727" s="16" t="s">
        <v>30</v>
      </c>
    </row>
    <row r="1728" spans="1:5" x14ac:dyDescent="0.25">
      <c r="A1728" s="14">
        <v>392453</v>
      </c>
      <c r="B1728" s="14" t="s">
        <v>1854</v>
      </c>
      <c r="C1728" s="14" t="s">
        <v>13031</v>
      </c>
      <c r="D1728" s="15">
        <v>30.42</v>
      </c>
      <c r="E1728" s="16" t="s">
        <v>30</v>
      </c>
    </row>
    <row r="1729" spans="1:5" x14ac:dyDescent="0.25">
      <c r="A1729" s="14">
        <v>392652</v>
      </c>
      <c r="B1729" s="14" t="s">
        <v>1855</v>
      </c>
      <c r="C1729" s="14" t="s">
        <v>13029</v>
      </c>
      <c r="D1729" s="15">
        <v>6.33</v>
      </c>
      <c r="E1729" s="16" t="s">
        <v>30</v>
      </c>
    </row>
    <row r="1730" spans="1:5" x14ac:dyDescent="0.25">
      <c r="A1730" s="14">
        <v>392911</v>
      </c>
      <c r="B1730" s="14" t="s">
        <v>1856</v>
      </c>
      <c r="C1730" s="14" t="s">
        <v>13030</v>
      </c>
      <c r="D1730" s="15">
        <v>40.98</v>
      </c>
      <c r="E1730" s="16" t="s">
        <v>30</v>
      </c>
    </row>
    <row r="1731" spans="1:5" x14ac:dyDescent="0.25">
      <c r="A1731" s="14">
        <v>392941</v>
      </c>
      <c r="B1731" s="14" t="s">
        <v>1857</v>
      </c>
      <c r="C1731" s="14" t="s">
        <v>13030</v>
      </c>
      <c r="D1731" s="15">
        <v>43.15</v>
      </c>
      <c r="E1731" s="14" t="s">
        <v>30</v>
      </c>
    </row>
    <row r="1732" spans="1:5" x14ac:dyDescent="0.25">
      <c r="A1732" s="14">
        <v>393397</v>
      </c>
      <c r="B1732" s="14" t="s">
        <v>1858</v>
      </c>
      <c r="C1732" s="14" t="s">
        <v>13036</v>
      </c>
      <c r="D1732" s="15">
        <v>9.16</v>
      </c>
      <c r="E1732" s="16" t="s">
        <v>30</v>
      </c>
    </row>
    <row r="1733" spans="1:5" x14ac:dyDescent="0.25">
      <c r="A1733" s="14">
        <v>394500</v>
      </c>
      <c r="B1733" s="14" t="s">
        <v>1859</v>
      </c>
      <c r="C1733" s="14" t="s">
        <v>13031</v>
      </c>
      <c r="D1733" s="15">
        <v>1.77</v>
      </c>
      <c r="E1733" s="16" t="s">
        <v>30</v>
      </c>
    </row>
    <row r="1734" spans="1:5" x14ac:dyDescent="0.25">
      <c r="A1734" s="14">
        <v>394519</v>
      </c>
      <c r="B1734" s="14" t="s">
        <v>1860</v>
      </c>
      <c r="C1734" s="14" t="s">
        <v>13030</v>
      </c>
      <c r="D1734" s="15">
        <v>4.47</v>
      </c>
      <c r="E1734" s="16" t="s">
        <v>30</v>
      </c>
    </row>
    <row r="1735" spans="1:5" x14ac:dyDescent="0.25">
      <c r="A1735" s="14">
        <v>394521</v>
      </c>
      <c r="B1735" s="14" t="s">
        <v>1861</v>
      </c>
      <c r="C1735" s="14" t="s">
        <v>13030</v>
      </c>
      <c r="D1735" s="15">
        <v>4.47</v>
      </c>
      <c r="E1735" s="16" t="s">
        <v>30</v>
      </c>
    </row>
    <row r="1736" spans="1:5" x14ac:dyDescent="0.25">
      <c r="A1736" s="14">
        <v>394698</v>
      </c>
      <c r="B1736" s="14" t="s">
        <v>1862</v>
      </c>
      <c r="C1736" s="14" t="s">
        <v>13037</v>
      </c>
      <c r="D1736" s="15">
        <v>28.01</v>
      </c>
      <c r="E1736" s="16" t="s">
        <v>30</v>
      </c>
    </row>
    <row r="1737" spans="1:5" x14ac:dyDescent="0.25">
      <c r="A1737" s="14">
        <v>395221</v>
      </c>
      <c r="B1737" s="14" t="s">
        <v>1863</v>
      </c>
      <c r="C1737" s="14" t="s">
        <v>13030</v>
      </c>
      <c r="D1737" s="15">
        <v>9.6300000000000008</v>
      </c>
      <c r="E1737" s="16" t="s">
        <v>30</v>
      </c>
    </row>
    <row r="1738" spans="1:5" x14ac:dyDescent="0.25">
      <c r="A1738" s="14">
        <v>395598</v>
      </c>
      <c r="B1738" s="14" t="s">
        <v>1864</v>
      </c>
      <c r="C1738" s="14" t="s">
        <v>13030</v>
      </c>
      <c r="D1738" s="15">
        <v>48.94</v>
      </c>
      <c r="E1738" s="16" t="s">
        <v>30</v>
      </c>
    </row>
    <row r="1739" spans="1:5" x14ac:dyDescent="0.25">
      <c r="A1739" s="14">
        <v>395600</v>
      </c>
      <c r="B1739" s="14" t="s">
        <v>1865</v>
      </c>
      <c r="C1739" s="14" t="s">
        <v>13030</v>
      </c>
      <c r="D1739" s="15">
        <v>59.72</v>
      </c>
      <c r="E1739" s="16" t="s">
        <v>30</v>
      </c>
    </row>
    <row r="1740" spans="1:5" x14ac:dyDescent="0.25">
      <c r="A1740" s="14">
        <v>396381</v>
      </c>
      <c r="B1740" s="14" t="s">
        <v>1866</v>
      </c>
      <c r="C1740" s="14" t="s">
        <v>13031</v>
      </c>
      <c r="D1740" s="15">
        <v>3.96</v>
      </c>
      <c r="E1740" s="14" t="s">
        <v>30</v>
      </c>
    </row>
    <row r="1741" spans="1:5" x14ac:dyDescent="0.25">
      <c r="A1741" s="14">
        <v>397223</v>
      </c>
      <c r="B1741" s="14" t="s">
        <v>1867</v>
      </c>
      <c r="C1741" s="14" t="s">
        <v>13030</v>
      </c>
      <c r="D1741" s="15">
        <v>12.99</v>
      </c>
      <c r="E1741" s="16" t="s">
        <v>30</v>
      </c>
    </row>
    <row r="1742" spans="1:5" x14ac:dyDescent="0.25">
      <c r="A1742" s="14">
        <v>397225</v>
      </c>
      <c r="B1742" s="14" t="s">
        <v>1868</v>
      </c>
      <c r="C1742" s="14" t="s">
        <v>13030</v>
      </c>
      <c r="D1742" s="15">
        <v>7.62</v>
      </c>
      <c r="E1742" s="16" t="s">
        <v>30</v>
      </c>
    </row>
    <row r="1743" spans="1:5" x14ac:dyDescent="0.25">
      <c r="A1743" s="14">
        <v>397250</v>
      </c>
      <c r="B1743" s="14" t="s">
        <v>1869</v>
      </c>
      <c r="C1743" s="14" t="s">
        <v>13030</v>
      </c>
      <c r="D1743" s="15">
        <v>6.98</v>
      </c>
      <c r="E1743" s="16" t="s">
        <v>30</v>
      </c>
    </row>
    <row r="1744" spans="1:5" x14ac:dyDescent="0.25">
      <c r="A1744" s="14">
        <v>400612</v>
      </c>
      <c r="B1744" s="14" t="s">
        <v>1870</v>
      </c>
      <c r="C1744" s="14" t="s">
        <v>13031</v>
      </c>
      <c r="D1744" s="15">
        <v>16.38</v>
      </c>
      <c r="E1744" s="16" t="s">
        <v>30</v>
      </c>
    </row>
    <row r="1745" spans="1:5" x14ac:dyDescent="0.25">
      <c r="A1745" s="14">
        <v>400623</v>
      </c>
      <c r="B1745" s="14" t="s">
        <v>1871</v>
      </c>
      <c r="C1745" s="14" t="s">
        <v>13031</v>
      </c>
      <c r="D1745" s="15">
        <v>15.33</v>
      </c>
      <c r="E1745" s="16" t="s">
        <v>30</v>
      </c>
    </row>
    <row r="1746" spans="1:5" x14ac:dyDescent="0.25">
      <c r="A1746" s="14">
        <v>401122</v>
      </c>
      <c r="B1746" s="14" t="s">
        <v>1872</v>
      </c>
      <c r="C1746" s="14" t="s">
        <v>13030</v>
      </c>
      <c r="D1746" s="15">
        <v>12.9</v>
      </c>
      <c r="E1746" s="14" t="s">
        <v>30</v>
      </c>
    </row>
    <row r="1747" spans="1:5" x14ac:dyDescent="0.25">
      <c r="A1747" s="14">
        <v>401611</v>
      </c>
      <c r="B1747" s="14" t="s">
        <v>1873</v>
      </c>
      <c r="C1747" s="14" t="s">
        <v>13030</v>
      </c>
      <c r="D1747" s="15">
        <v>73.37</v>
      </c>
      <c r="E1747" s="16" t="s">
        <v>30</v>
      </c>
    </row>
    <row r="1748" spans="1:5" x14ac:dyDescent="0.25">
      <c r="A1748" s="14">
        <v>401612</v>
      </c>
      <c r="B1748" s="14" t="s">
        <v>1874</v>
      </c>
      <c r="C1748" s="14" t="s">
        <v>13030</v>
      </c>
      <c r="D1748" s="15">
        <v>64.47</v>
      </c>
      <c r="E1748" s="16" t="s">
        <v>30</v>
      </c>
    </row>
    <row r="1749" spans="1:5" x14ac:dyDescent="0.25">
      <c r="A1749" s="14">
        <v>402130</v>
      </c>
      <c r="B1749" s="14" t="s">
        <v>1875</v>
      </c>
      <c r="C1749" s="14" t="s">
        <v>13029</v>
      </c>
      <c r="D1749" s="15">
        <v>10.77</v>
      </c>
      <c r="E1749" s="14" t="s">
        <v>30</v>
      </c>
    </row>
    <row r="1750" spans="1:5" x14ac:dyDescent="0.25">
      <c r="A1750" s="14">
        <v>402134</v>
      </c>
      <c r="B1750" s="14" t="s">
        <v>1876</v>
      </c>
      <c r="C1750" s="14" t="s">
        <v>13031</v>
      </c>
      <c r="D1750" s="15">
        <v>12.62</v>
      </c>
      <c r="E1750" s="16" t="s">
        <v>30</v>
      </c>
    </row>
    <row r="1751" spans="1:5" x14ac:dyDescent="0.25">
      <c r="A1751" s="14">
        <v>402137</v>
      </c>
      <c r="B1751" s="14" t="s">
        <v>1877</v>
      </c>
      <c r="C1751" s="14" t="s">
        <v>13031</v>
      </c>
      <c r="D1751" s="15">
        <v>10.28</v>
      </c>
      <c r="E1751" s="16" t="s">
        <v>30</v>
      </c>
    </row>
    <row r="1752" spans="1:5" x14ac:dyDescent="0.25">
      <c r="A1752" s="14">
        <v>404103</v>
      </c>
      <c r="B1752" s="14" t="s">
        <v>1878</v>
      </c>
      <c r="C1752" s="14" t="s">
        <v>13031</v>
      </c>
      <c r="D1752" s="15">
        <v>12.62</v>
      </c>
      <c r="E1752" s="16" t="s">
        <v>30</v>
      </c>
    </row>
    <row r="1753" spans="1:5" x14ac:dyDescent="0.25">
      <c r="A1753" s="14">
        <v>404104</v>
      </c>
      <c r="B1753" s="14" t="s">
        <v>1879</v>
      </c>
      <c r="C1753" s="14" t="s">
        <v>13031</v>
      </c>
      <c r="D1753" s="15">
        <v>12.62</v>
      </c>
      <c r="E1753" s="16" t="s">
        <v>30</v>
      </c>
    </row>
    <row r="1754" spans="1:5" x14ac:dyDescent="0.25">
      <c r="A1754" s="14">
        <v>404167</v>
      </c>
      <c r="B1754" s="14" t="s">
        <v>1880</v>
      </c>
      <c r="C1754" s="14" t="s">
        <v>13031</v>
      </c>
      <c r="D1754" s="15">
        <v>1.95</v>
      </c>
      <c r="E1754" s="16" t="s">
        <v>30</v>
      </c>
    </row>
    <row r="1755" spans="1:5" x14ac:dyDescent="0.25">
      <c r="A1755" s="14">
        <v>404275</v>
      </c>
      <c r="B1755" s="14" t="s">
        <v>1881</v>
      </c>
      <c r="C1755" s="14" t="s">
        <v>13030</v>
      </c>
      <c r="D1755" s="15">
        <v>35.94</v>
      </c>
      <c r="E1755" s="16" t="s">
        <v>30</v>
      </c>
    </row>
    <row r="1756" spans="1:5" x14ac:dyDescent="0.25">
      <c r="A1756" s="14">
        <v>404952</v>
      </c>
      <c r="B1756" s="14" t="s">
        <v>1882</v>
      </c>
      <c r="C1756" s="14" t="s">
        <v>13031</v>
      </c>
      <c r="D1756" s="15">
        <v>4.32</v>
      </c>
      <c r="E1756" s="16" t="s">
        <v>30</v>
      </c>
    </row>
    <row r="1757" spans="1:5" x14ac:dyDescent="0.25">
      <c r="A1757" s="14">
        <v>404957</v>
      </c>
      <c r="B1757" s="14" t="s">
        <v>1883</v>
      </c>
      <c r="C1757" s="14" t="s">
        <v>13029</v>
      </c>
      <c r="D1757" s="15">
        <v>15.37</v>
      </c>
      <c r="E1757" s="16" t="s">
        <v>30</v>
      </c>
    </row>
    <row r="1758" spans="1:5" x14ac:dyDescent="0.25">
      <c r="A1758" s="14">
        <v>405194</v>
      </c>
      <c r="B1758" s="14" t="s">
        <v>1884</v>
      </c>
      <c r="C1758" s="14" t="s">
        <v>13029</v>
      </c>
      <c r="D1758" s="15">
        <v>24.86</v>
      </c>
      <c r="E1758" s="14" t="s">
        <v>30</v>
      </c>
    </row>
    <row r="1759" spans="1:5" x14ac:dyDescent="0.25">
      <c r="A1759" s="14">
        <v>405306</v>
      </c>
      <c r="B1759" s="14" t="s">
        <v>1885</v>
      </c>
      <c r="C1759" s="14" t="s">
        <v>13029</v>
      </c>
      <c r="D1759" s="15">
        <v>10.57</v>
      </c>
      <c r="E1759" s="16" t="s">
        <v>30</v>
      </c>
    </row>
    <row r="1760" spans="1:5" x14ac:dyDescent="0.25">
      <c r="A1760" s="14">
        <v>405367</v>
      </c>
      <c r="B1760" s="14" t="s">
        <v>1886</v>
      </c>
      <c r="C1760" s="14" t="s">
        <v>13029</v>
      </c>
      <c r="D1760" s="15">
        <v>34.11</v>
      </c>
      <c r="E1760" s="16" t="s">
        <v>30</v>
      </c>
    </row>
    <row r="1761" spans="1:5" x14ac:dyDescent="0.25">
      <c r="A1761" s="14">
        <v>405439</v>
      </c>
      <c r="B1761" s="14" t="s">
        <v>1887</v>
      </c>
      <c r="C1761" s="14" t="s">
        <v>13030</v>
      </c>
      <c r="D1761" s="15">
        <v>135.77000000000001</v>
      </c>
      <c r="E1761" s="16" t="s">
        <v>30</v>
      </c>
    </row>
    <row r="1762" spans="1:5" x14ac:dyDescent="0.25">
      <c r="A1762" s="14">
        <v>405721</v>
      </c>
      <c r="B1762" s="14" t="s">
        <v>1888</v>
      </c>
      <c r="C1762" s="14" t="s">
        <v>13031</v>
      </c>
      <c r="D1762" s="15">
        <v>2.2999999999999998</v>
      </c>
      <c r="E1762" s="16" t="s">
        <v>30</v>
      </c>
    </row>
    <row r="1763" spans="1:5" x14ac:dyDescent="0.25">
      <c r="A1763" s="14">
        <v>405805</v>
      </c>
      <c r="B1763" s="14" t="s">
        <v>1889</v>
      </c>
      <c r="C1763" s="14" t="s">
        <v>13033</v>
      </c>
      <c r="D1763" s="15">
        <v>5.87</v>
      </c>
      <c r="E1763" s="16" t="s">
        <v>30</v>
      </c>
    </row>
    <row r="1764" spans="1:5" x14ac:dyDescent="0.25">
      <c r="A1764" s="14">
        <v>405807</v>
      </c>
      <c r="B1764" s="14" t="s">
        <v>1890</v>
      </c>
      <c r="C1764" s="14" t="s">
        <v>13033</v>
      </c>
      <c r="D1764" s="15">
        <v>9.2899999999999991</v>
      </c>
      <c r="E1764" s="16" t="s">
        <v>30</v>
      </c>
    </row>
    <row r="1765" spans="1:5" x14ac:dyDescent="0.25">
      <c r="A1765" s="14">
        <v>405808</v>
      </c>
      <c r="B1765" s="14" t="s">
        <v>1891</v>
      </c>
      <c r="C1765" s="14" t="s">
        <v>13033</v>
      </c>
      <c r="D1765" s="15">
        <v>10.029999999999999</v>
      </c>
      <c r="E1765" s="16" t="s">
        <v>30</v>
      </c>
    </row>
    <row r="1766" spans="1:5" x14ac:dyDescent="0.25">
      <c r="A1766" s="14">
        <v>405809</v>
      </c>
      <c r="B1766" s="14" t="s">
        <v>1892</v>
      </c>
      <c r="C1766" s="14" t="s">
        <v>13033</v>
      </c>
      <c r="D1766" s="15">
        <v>8.49</v>
      </c>
      <c r="E1766" s="16" t="s">
        <v>30</v>
      </c>
    </row>
    <row r="1767" spans="1:5" x14ac:dyDescent="0.25">
      <c r="A1767" s="14">
        <v>406023</v>
      </c>
      <c r="B1767" s="14" t="s">
        <v>1893</v>
      </c>
      <c r="C1767" s="14" t="s">
        <v>13031</v>
      </c>
      <c r="D1767" s="15">
        <v>48.67</v>
      </c>
      <c r="E1767" s="16" t="s">
        <v>30</v>
      </c>
    </row>
    <row r="1768" spans="1:5" x14ac:dyDescent="0.25">
      <c r="A1768" s="14">
        <v>406024</v>
      </c>
      <c r="B1768" s="14" t="s">
        <v>1894</v>
      </c>
      <c r="C1768" s="14" t="s">
        <v>13031</v>
      </c>
      <c r="D1768" s="15">
        <v>89.27</v>
      </c>
      <c r="E1768" s="16" t="s">
        <v>30</v>
      </c>
    </row>
    <row r="1769" spans="1:5" x14ac:dyDescent="0.25">
      <c r="A1769" s="14">
        <v>406025</v>
      </c>
      <c r="B1769" s="14" t="s">
        <v>1895</v>
      </c>
      <c r="C1769" s="14" t="s">
        <v>13030</v>
      </c>
      <c r="D1769" s="15">
        <v>73.069999999999993</v>
      </c>
      <c r="E1769" s="16" t="s">
        <v>30</v>
      </c>
    </row>
    <row r="1770" spans="1:5" x14ac:dyDescent="0.25">
      <c r="A1770" s="14">
        <v>406027</v>
      </c>
      <c r="B1770" s="14" t="s">
        <v>1896</v>
      </c>
      <c r="C1770" s="14" t="s">
        <v>13030</v>
      </c>
      <c r="D1770" s="15">
        <v>70.67</v>
      </c>
      <c r="E1770" s="16" t="s">
        <v>30</v>
      </c>
    </row>
    <row r="1771" spans="1:5" x14ac:dyDescent="0.25">
      <c r="A1771" s="14">
        <v>407813</v>
      </c>
      <c r="B1771" s="14" t="s">
        <v>1897</v>
      </c>
      <c r="C1771" s="14" t="s">
        <v>13030</v>
      </c>
      <c r="D1771" s="15">
        <v>59.06</v>
      </c>
      <c r="E1771" s="16" t="s">
        <v>30</v>
      </c>
    </row>
    <row r="1772" spans="1:5" x14ac:dyDescent="0.25">
      <c r="A1772" s="14">
        <v>407963</v>
      </c>
      <c r="B1772" s="14" t="s">
        <v>1898</v>
      </c>
      <c r="C1772" s="14" t="s">
        <v>13030</v>
      </c>
      <c r="D1772" s="15">
        <v>21.29</v>
      </c>
      <c r="E1772" s="16" t="s">
        <v>30</v>
      </c>
    </row>
    <row r="1773" spans="1:5" x14ac:dyDescent="0.25">
      <c r="A1773" s="14">
        <v>407964</v>
      </c>
      <c r="B1773" s="14" t="s">
        <v>1899</v>
      </c>
      <c r="C1773" s="14" t="s">
        <v>13030</v>
      </c>
      <c r="D1773" s="15">
        <v>21.29</v>
      </c>
      <c r="E1773" s="16" t="s">
        <v>30</v>
      </c>
    </row>
    <row r="1774" spans="1:5" x14ac:dyDescent="0.25">
      <c r="A1774" s="14">
        <v>407968</v>
      </c>
      <c r="B1774" s="14" t="s">
        <v>1900</v>
      </c>
      <c r="C1774" s="14" t="s">
        <v>13030</v>
      </c>
      <c r="D1774" s="15">
        <v>27.63</v>
      </c>
      <c r="E1774" s="16" t="s">
        <v>30</v>
      </c>
    </row>
    <row r="1775" spans="1:5" x14ac:dyDescent="0.25">
      <c r="A1775" s="14">
        <v>408638</v>
      </c>
      <c r="B1775" s="14" t="s">
        <v>1901</v>
      </c>
      <c r="C1775" s="14" t="s">
        <v>13029</v>
      </c>
      <c r="D1775" s="15">
        <v>7.64</v>
      </c>
      <c r="E1775" s="16" t="s">
        <v>30</v>
      </c>
    </row>
    <row r="1776" spans="1:5" x14ac:dyDescent="0.25">
      <c r="A1776" s="14">
        <v>408765</v>
      </c>
      <c r="B1776" s="14" t="s">
        <v>1902</v>
      </c>
      <c r="C1776" s="14" t="s">
        <v>13029</v>
      </c>
      <c r="D1776" s="15">
        <v>24.6</v>
      </c>
      <c r="E1776" s="14" t="s">
        <v>30</v>
      </c>
    </row>
    <row r="1777" spans="1:5" x14ac:dyDescent="0.25">
      <c r="A1777" s="14">
        <v>409108</v>
      </c>
      <c r="B1777" s="14" t="s">
        <v>1903</v>
      </c>
      <c r="C1777" s="14" t="s">
        <v>13030</v>
      </c>
      <c r="D1777" s="15">
        <v>34.700000000000003</v>
      </c>
      <c r="E1777" s="16" t="s">
        <v>30</v>
      </c>
    </row>
    <row r="1778" spans="1:5" x14ac:dyDescent="0.25">
      <c r="A1778" s="14">
        <v>409109</v>
      </c>
      <c r="B1778" s="14" t="s">
        <v>1904</v>
      </c>
      <c r="C1778" s="14" t="s">
        <v>13030</v>
      </c>
      <c r="D1778" s="15">
        <v>19.77</v>
      </c>
      <c r="E1778" s="16" t="s">
        <v>30</v>
      </c>
    </row>
    <row r="1779" spans="1:5" x14ac:dyDescent="0.25">
      <c r="A1779" s="14">
        <v>409110</v>
      </c>
      <c r="B1779" s="14" t="s">
        <v>1905</v>
      </c>
      <c r="C1779" s="14" t="s">
        <v>13030</v>
      </c>
      <c r="D1779" s="15">
        <v>37.46</v>
      </c>
      <c r="E1779" s="16" t="s">
        <v>30</v>
      </c>
    </row>
    <row r="1780" spans="1:5" x14ac:dyDescent="0.25">
      <c r="A1780" s="14">
        <v>375620</v>
      </c>
      <c r="B1780" s="14" t="s">
        <v>1906</v>
      </c>
      <c r="C1780" s="14" t="s">
        <v>13030</v>
      </c>
      <c r="D1780" s="15">
        <v>25.87</v>
      </c>
      <c r="E1780" s="16" t="s">
        <v>20</v>
      </c>
    </row>
    <row r="1781" spans="1:5" x14ac:dyDescent="0.25">
      <c r="A1781" s="14">
        <v>357354</v>
      </c>
      <c r="B1781" s="14" t="s">
        <v>1907</v>
      </c>
      <c r="C1781" s="14" t="s">
        <v>13031</v>
      </c>
      <c r="D1781" s="15">
        <v>7.69</v>
      </c>
      <c r="E1781" s="16" t="s">
        <v>20</v>
      </c>
    </row>
    <row r="1782" spans="1:5" x14ac:dyDescent="0.25">
      <c r="A1782" s="14">
        <v>409111</v>
      </c>
      <c r="B1782" s="14" t="s">
        <v>1908</v>
      </c>
      <c r="C1782" s="14" t="s">
        <v>13030</v>
      </c>
      <c r="D1782" s="15">
        <v>19.77</v>
      </c>
      <c r="E1782" s="16" t="s">
        <v>30</v>
      </c>
    </row>
    <row r="1783" spans="1:5" x14ac:dyDescent="0.25">
      <c r="A1783" s="14">
        <v>409301</v>
      </c>
      <c r="B1783" s="14" t="s">
        <v>1909</v>
      </c>
      <c r="C1783" s="14" t="s">
        <v>13030</v>
      </c>
      <c r="D1783" s="15">
        <v>56.39</v>
      </c>
      <c r="E1783" s="16" t="s">
        <v>30</v>
      </c>
    </row>
    <row r="1784" spans="1:5" x14ac:dyDescent="0.25">
      <c r="A1784" s="14">
        <v>409324</v>
      </c>
      <c r="B1784" s="14" t="s">
        <v>1910</v>
      </c>
      <c r="C1784" s="14" t="s">
        <v>13030</v>
      </c>
      <c r="D1784" s="15">
        <v>4.51</v>
      </c>
      <c r="E1784" s="16" t="s">
        <v>30</v>
      </c>
    </row>
    <row r="1785" spans="1:5" x14ac:dyDescent="0.25">
      <c r="A1785" s="14">
        <v>409336</v>
      </c>
      <c r="B1785" s="14" t="s">
        <v>1911</v>
      </c>
      <c r="C1785" s="14" t="s">
        <v>13030</v>
      </c>
      <c r="D1785" s="15">
        <v>128.49</v>
      </c>
      <c r="E1785" s="16" t="s">
        <v>30</v>
      </c>
    </row>
    <row r="1786" spans="1:5" x14ac:dyDescent="0.25">
      <c r="A1786" s="14">
        <v>410348</v>
      </c>
      <c r="B1786" s="14" t="s">
        <v>1912</v>
      </c>
      <c r="C1786" s="14" t="s">
        <v>13029</v>
      </c>
      <c r="D1786" s="15">
        <v>35.71</v>
      </c>
      <c r="E1786" s="14" t="s">
        <v>30</v>
      </c>
    </row>
    <row r="1787" spans="1:5" x14ac:dyDescent="0.25">
      <c r="A1787" s="14">
        <v>410548</v>
      </c>
      <c r="B1787" s="14" t="s">
        <v>1913</v>
      </c>
      <c r="C1787" s="14" t="s">
        <v>13031</v>
      </c>
      <c r="D1787" s="15">
        <v>7.68</v>
      </c>
      <c r="E1787" s="16" t="s">
        <v>30</v>
      </c>
    </row>
    <row r="1788" spans="1:5" x14ac:dyDescent="0.25">
      <c r="A1788" s="14">
        <v>411023</v>
      </c>
      <c r="B1788" s="14" t="s">
        <v>1914</v>
      </c>
      <c r="C1788" s="14" t="s">
        <v>13031</v>
      </c>
      <c r="D1788" s="15">
        <v>154.44</v>
      </c>
      <c r="E1788" s="16" t="s">
        <v>30</v>
      </c>
    </row>
    <row r="1789" spans="1:5" x14ac:dyDescent="0.25">
      <c r="A1789" s="14">
        <v>411062</v>
      </c>
      <c r="B1789" s="14" t="s">
        <v>1915</v>
      </c>
      <c r="C1789" s="14" t="s">
        <v>13031</v>
      </c>
      <c r="D1789" s="15">
        <v>147.91</v>
      </c>
      <c r="E1789" s="16" t="s">
        <v>30</v>
      </c>
    </row>
    <row r="1790" spans="1:5" x14ac:dyDescent="0.25">
      <c r="A1790" s="14">
        <v>411983</v>
      </c>
      <c r="B1790" s="14" t="s">
        <v>1916</v>
      </c>
      <c r="C1790" s="14" t="s">
        <v>13030</v>
      </c>
      <c r="D1790" s="15">
        <v>31.2</v>
      </c>
      <c r="E1790" s="16" t="s">
        <v>30</v>
      </c>
    </row>
    <row r="1791" spans="1:5" x14ac:dyDescent="0.25">
      <c r="A1791" s="14">
        <v>412775</v>
      </c>
      <c r="B1791" s="14" t="s">
        <v>1917</v>
      </c>
      <c r="C1791" s="14" t="s">
        <v>13030</v>
      </c>
      <c r="D1791" s="15">
        <v>27.2</v>
      </c>
      <c r="E1791" s="16" t="s">
        <v>30</v>
      </c>
    </row>
    <row r="1792" spans="1:5" x14ac:dyDescent="0.25">
      <c r="A1792" s="14">
        <v>412803</v>
      </c>
      <c r="B1792" s="14" t="s">
        <v>1918</v>
      </c>
      <c r="C1792" s="14" t="s">
        <v>13030</v>
      </c>
      <c r="D1792" s="15">
        <v>11.04</v>
      </c>
      <c r="E1792" s="16" t="s">
        <v>30</v>
      </c>
    </row>
    <row r="1793" spans="1:5" x14ac:dyDescent="0.25">
      <c r="A1793" s="14">
        <v>413479</v>
      </c>
      <c r="B1793" s="14" t="s">
        <v>1919</v>
      </c>
      <c r="C1793" s="14" t="s">
        <v>13030</v>
      </c>
      <c r="D1793" s="15">
        <v>12.87</v>
      </c>
      <c r="E1793" s="16" t="s">
        <v>30</v>
      </c>
    </row>
    <row r="1794" spans="1:5" x14ac:dyDescent="0.25">
      <c r="A1794" s="14">
        <v>413852</v>
      </c>
      <c r="B1794" s="14" t="s">
        <v>1920</v>
      </c>
      <c r="C1794" s="14" t="s">
        <v>13030</v>
      </c>
      <c r="D1794" s="15">
        <v>37.53</v>
      </c>
      <c r="E1794" s="16" t="s">
        <v>30</v>
      </c>
    </row>
    <row r="1795" spans="1:5" x14ac:dyDescent="0.25">
      <c r="A1795" s="14">
        <v>413853</v>
      </c>
      <c r="B1795" s="14" t="s">
        <v>1921</v>
      </c>
      <c r="C1795" s="14" t="s">
        <v>13030</v>
      </c>
      <c r="D1795" s="15">
        <v>37.53</v>
      </c>
      <c r="E1795" s="16" t="s">
        <v>30</v>
      </c>
    </row>
    <row r="1796" spans="1:5" x14ac:dyDescent="0.25">
      <c r="A1796" s="14">
        <v>413854</v>
      </c>
      <c r="B1796" s="14" t="s">
        <v>1922</v>
      </c>
      <c r="C1796" s="14" t="s">
        <v>13030</v>
      </c>
      <c r="D1796" s="15">
        <v>37.53</v>
      </c>
      <c r="E1796" s="16" t="s">
        <v>30</v>
      </c>
    </row>
    <row r="1797" spans="1:5" x14ac:dyDescent="0.25">
      <c r="A1797" s="14">
        <v>413855</v>
      </c>
      <c r="B1797" s="14" t="s">
        <v>1923</v>
      </c>
      <c r="C1797" s="14" t="s">
        <v>13030</v>
      </c>
      <c r="D1797" s="15">
        <v>37.53</v>
      </c>
      <c r="E1797" s="16" t="s">
        <v>30</v>
      </c>
    </row>
    <row r="1798" spans="1:5" x14ac:dyDescent="0.25">
      <c r="A1798" s="14">
        <v>413856</v>
      </c>
      <c r="B1798" s="14" t="s">
        <v>1924</v>
      </c>
      <c r="C1798" s="14" t="s">
        <v>13030</v>
      </c>
      <c r="D1798" s="15">
        <v>85.36</v>
      </c>
      <c r="E1798" s="16" t="s">
        <v>30</v>
      </c>
    </row>
    <row r="1799" spans="1:5" x14ac:dyDescent="0.25">
      <c r="A1799" s="14">
        <v>413861</v>
      </c>
      <c r="B1799" s="14" t="s">
        <v>1925</v>
      </c>
      <c r="C1799" s="14" t="s">
        <v>13030</v>
      </c>
      <c r="D1799" s="15">
        <v>43.73</v>
      </c>
      <c r="E1799" s="16" t="s">
        <v>30</v>
      </c>
    </row>
    <row r="1800" spans="1:5" x14ac:dyDescent="0.25">
      <c r="A1800" s="14">
        <v>414115</v>
      </c>
      <c r="B1800" s="14" t="s">
        <v>1926</v>
      </c>
      <c r="C1800" s="14" t="s">
        <v>13030</v>
      </c>
      <c r="D1800" s="15">
        <v>32.700000000000003</v>
      </c>
      <c r="E1800" s="16" t="s">
        <v>30</v>
      </c>
    </row>
    <row r="1801" spans="1:5" x14ac:dyDescent="0.25">
      <c r="A1801" s="14">
        <v>414293</v>
      </c>
      <c r="B1801" s="14" t="s">
        <v>1927</v>
      </c>
      <c r="C1801" s="14" t="s">
        <v>13030</v>
      </c>
      <c r="D1801" s="15">
        <v>12.31</v>
      </c>
      <c r="E1801" s="16" t="s">
        <v>30</v>
      </c>
    </row>
    <row r="1802" spans="1:5" x14ac:dyDescent="0.25">
      <c r="A1802" s="14">
        <v>357355</v>
      </c>
      <c r="B1802" s="14" t="s">
        <v>1928</v>
      </c>
      <c r="C1802" s="14" t="s">
        <v>13031</v>
      </c>
      <c r="D1802" s="15">
        <v>7.32</v>
      </c>
      <c r="E1802" s="16" t="s">
        <v>20</v>
      </c>
    </row>
    <row r="1803" spans="1:5" x14ac:dyDescent="0.25">
      <c r="A1803" s="14">
        <v>358617</v>
      </c>
      <c r="B1803" s="14" t="s">
        <v>1929</v>
      </c>
      <c r="C1803" s="14" t="s">
        <v>13030</v>
      </c>
      <c r="D1803" s="15">
        <v>36.24</v>
      </c>
      <c r="E1803" s="16" t="s">
        <v>20</v>
      </c>
    </row>
    <row r="1804" spans="1:5" x14ac:dyDescent="0.25">
      <c r="A1804" s="14">
        <v>414695</v>
      </c>
      <c r="B1804" s="14" t="s">
        <v>1930</v>
      </c>
      <c r="C1804" s="14" t="s">
        <v>13031</v>
      </c>
      <c r="D1804" s="15">
        <v>8.64</v>
      </c>
      <c r="E1804" s="16" t="s">
        <v>30</v>
      </c>
    </row>
    <row r="1805" spans="1:5" x14ac:dyDescent="0.25">
      <c r="A1805" s="14">
        <v>414696</v>
      </c>
      <c r="B1805" s="14" t="s">
        <v>1931</v>
      </c>
      <c r="C1805" s="14" t="s">
        <v>13031</v>
      </c>
      <c r="D1805" s="15">
        <v>19.41</v>
      </c>
      <c r="E1805" s="16" t="s">
        <v>30</v>
      </c>
    </row>
    <row r="1806" spans="1:5" x14ac:dyDescent="0.25">
      <c r="A1806" s="14">
        <v>415503</v>
      </c>
      <c r="B1806" s="14" t="s">
        <v>1932</v>
      </c>
      <c r="C1806" s="14" t="s">
        <v>13030</v>
      </c>
      <c r="D1806" s="15">
        <v>93.49</v>
      </c>
      <c r="E1806" s="16" t="s">
        <v>30</v>
      </c>
    </row>
    <row r="1807" spans="1:5" x14ac:dyDescent="0.25">
      <c r="A1807" s="14">
        <v>415505</v>
      </c>
      <c r="B1807" s="14" t="s">
        <v>1933</v>
      </c>
      <c r="C1807" s="14" t="s">
        <v>13030</v>
      </c>
      <c r="D1807" s="15">
        <v>71.959999999999994</v>
      </c>
      <c r="E1807" s="16" t="s">
        <v>30</v>
      </c>
    </row>
    <row r="1808" spans="1:5" x14ac:dyDescent="0.25">
      <c r="A1808" s="14">
        <v>357356</v>
      </c>
      <c r="B1808" s="14" t="s">
        <v>1934</v>
      </c>
      <c r="C1808" s="14" t="s">
        <v>13031</v>
      </c>
      <c r="D1808" s="15">
        <v>9.23</v>
      </c>
      <c r="E1808" s="16" t="s">
        <v>20</v>
      </c>
    </row>
    <row r="1809" spans="1:5" x14ac:dyDescent="0.25">
      <c r="A1809" s="14">
        <v>415785</v>
      </c>
      <c r="B1809" s="14" t="s">
        <v>1935</v>
      </c>
      <c r="C1809" s="14" t="s">
        <v>13030</v>
      </c>
      <c r="D1809" s="15">
        <v>12.16</v>
      </c>
      <c r="E1809" s="16" t="s">
        <v>30</v>
      </c>
    </row>
    <row r="1810" spans="1:5" x14ac:dyDescent="0.25">
      <c r="A1810" s="14">
        <v>357357</v>
      </c>
      <c r="B1810" s="14" t="s">
        <v>1936</v>
      </c>
      <c r="C1810" s="14" t="s">
        <v>13031</v>
      </c>
      <c r="D1810" s="15">
        <v>7.32</v>
      </c>
      <c r="E1810" s="16" t="s">
        <v>20</v>
      </c>
    </row>
    <row r="1811" spans="1:5" x14ac:dyDescent="0.25">
      <c r="A1811" s="14">
        <v>357712</v>
      </c>
      <c r="B1811" s="14" t="s">
        <v>1937</v>
      </c>
      <c r="C1811" s="14" t="s">
        <v>13031</v>
      </c>
      <c r="D1811" s="15">
        <v>8.42</v>
      </c>
      <c r="E1811" s="16" t="s">
        <v>20</v>
      </c>
    </row>
    <row r="1812" spans="1:5" x14ac:dyDescent="0.25">
      <c r="A1812" s="14">
        <v>357713</v>
      </c>
      <c r="B1812" s="14" t="s">
        <v>1938</v>
      </c>
      <c r="C1812" s="14" t="s">
        <v>13031</v>
      </c>
      <c r="D1812" s="15">
        <v>8.42</v>
      </c>
      <c r="E1812" s="16" t="s">
        <v>20</v>
      </c>
    </row>
    <row r="1813" spans="1:5" x14ac:dyDescent="0.25">
      <c r="A1813" s="14">
        <v>416270</v>
      </c>
      <c r="B1813" s="14" t="s">
        <v>1939</v>
      </c>
      <c r="C1813" s="14" t="s">
        <v>13030</v>
      </c>
      <c r="D1813" s="15">
        <v>148.88</v>
      </c>
      <c r="E1813" s="16" t="s">
        <v>30</v>
      </c>
    </row>
    <row r="1814" spans="1:5" x14ac:dyDescent="0.25">
      <c r="A1814" s="14">
        <v>417224</v>
      </c>
      <c r="B1814" s="14" t="s">
        <v>1940</v>
      </c>
      <c r="C1814" s="14" t="s">
        <v>13031</v>
      </c>
      <c r="D1814" s="15">
        <v>1.97</v>
      </c>
      <c r="E1814" s="16" t="s">
        <v>30</v>
      </c>
    </row>
    <row r="1815" spans="1:5" x14ac:dyDescent="0.25">
      <c r="A1815" s="14">
        <v>417443</v>
      </c>
      <c r="B1815" s="14" t="s">
        <v>1941</v>
      </c>
      <c r="C1815" s="14" t="s">
        <v>13031</v>
      </c>
      <c r="D1815" s="15">
        <v>2.0699999999999998</v>
      </c>
      <c r="E1815" s="16" t="s">
        <v>30</v>
      </c>
    </row>
    <row r="1816" spans="1:5" x14ac:dyDescent="0.25">
      <c r="A1816" s="14">
        <v>370846</v>
      </c>
      <c r="B1816" s="14" t="s">
        <v>1942</v>
      </c>
      <c r="C1816" s="14" t="s">
        <v>13030</v>
      </c>
      <c r="D1816" s="15">
        <v>33.049999999999997</v>
      </c>
      <c r="E1816" s="16" t="s">
        <v>20</v>
      </c>
    </row>
    <row r="1817" spans="1:5" x14ac:dyDescent="0.25">
      <c r="A1817" s="14">
        <v>417634</v>
      </c>
      <c r="B1817" s="14" t="s">
        <v>1943</v>
      </c>
      <c r="C1817" s="14" t="s">
        <v>13029</v>
      </c>
      <c r="D1817" s="15">
        <v>5.22</v>
      </c>
      <c r="E1817" s="16" t="s">
        <v>30</v>
      </c>
    </row>
    <row r="1818" spans="1:5" x14ac:dyDescent="0.25">
      <c r="A1818" s="14">
        <v>417744</v>
      </c>
      <c r="B1818" s="14" t="s">
        <v>1944</v>
      </c>
      <c r="C1818" s="14" t="s">
        <v>13029</v>
      </c>
      <c r="D1818" s="15">
        <v>27.4</v>
      </c>
      <c r="E1818" s="16" t="s">
        <v>30</v>
      </c>
    </row>
    <row r="1819" spans="1:5" x14ac:dyDescent="0.25">
      <c r="A1819" s="14">
        <v>417745</v>
      </c>
      <c r="B1819" s="14" t="s">
        <v>1945</v>
      </c>
      <c r="C1819" s="14" t="s">
        <v>13029</v>
      </c>
      <c r="D1819" s="15">
        <v>27.4</v>
      </c>
      <c r="E1819" s="16" t="s">
        <v>30</v>
      </c>
    </row>
    <row r="1820" spans="1:5" x14ac:dyDescent="0.25">
      <c r="A1820" s="14">
        <v>418208</v>
      </c>
      <c r="B1820" s="14" t="s">
        <v>1946</v>
      </c>
      <c r="C1820" s="14" t="s">
        <v>13030</v>
      </c>
      <c r="D1820" s="15">
        <v>39.549999999999997</v>
      </c>
      <c r="E1820" s="16" t="s">
        <v>30</v>
      </c>
    </row>
    <row r="1821" spans="1:5" x14ac:dyDescent="0.25">
      <c r="A1821" s="14">
        <v>418210</v>
      </c>
      <c r="B1821" s="14" t="s">
        <v>1947</v>
      </c>
      <c r="C1821" s="14" t="s">
        <v>13030</v>
      </c>
      <c r="D1821" s="15">
        <v>46.75</v>
      </c>
      <c r="E1821" s="16" t="s">
        <v>30</v>
      </c>
    </row>
    <row r="1822" spans="1:5" x14ac:dyDescent="0.25">
      <c r="A1822" s="14">
        <v>418405</v>
      </c>
      <c r="B1822" s="14" t="s">
        <v>1948</v>
      </c>
      <c r="C1822" s="14" t="s">
        <v>13031</v>
      </c>
      <c r="D1822" s="15">
        <v>11.56</v>
      </c>
      <c r="E1822" s="16" t="s">
        <v>30</v>
      </c>
    </row>
    <row r="1823" spans="1:5" x14ac:dyDescent="0.25">
      <c r="A1823" s="14">
        <v>418510</v>
      </c>
      <c r="B1823" s="14" t="s">
        <v>1949</v>
      </c>
      <c r="C1823" s="14" t="s">
        <v>13031</v>
      </c>
      <c r="D1823" s="15">
        <v>12.64</v>
      </c>
      <c r="E1823" s="16" t="s">
        <v>30</v>
      </c>
    </row>
    <row r="1824" spans="1:5" x14ac:dyDescent="0.25">
      <c r="A1824" s="14">
        <v>418737</v>
      </c>
      <c r="B1824" s="14" t="s">
        <v>1950</v>
      </c>
      <c r="C1824" s="14" t="s">
        <v>13030</v>
      </c>
      <c r="D1824" s="15">
        <v>65.489999999999995</v>
      </c>
      <c r="E1824" s="16" t="s">
        <v>30</v>
      </c>
    </row>
    <row r="1825" spans="1:5" x14ac:dyDescent="0.25">
      <c r="A1825" s="14">
        <v>418738</v>
      </c>
      <c r="B1825" s="14" t="s">
        <v>1951</v>
      </c>
      <c r="C1825" s="14" t="s">
        <v>13030</v>
      </c>
      <c r="D1825" s="15">
        <v>64.069999999999993</v>
      </c>
      <c r="E1825" s="16" t="s">
        <v>30</v>
      </c>
    </row>
    <row r="1826" spans="1:5" x14ac:dyDescent="0.25">
      <c r="A1826" s="14">
        <v>419057</v>
      </c>
      <c r="B1826" s="14" t="s">
        <v>1952</v>
      </c>
      <c r="C1826" s="14" t="s">
        <v>13030</v>
      </c>
      <c r="D1826" s="15">
        <v>5.31</v>
      </c>
      <c r="E1826" s="16" t="s">
        <v>30</v>
      </c>
    </row>
    <row r="1827" spans="1:5" x14ac:dyDescent="0.25">
      <c r="A1827" s="14">
        <v>419109</v>
      </c>
      <c r="B1827" s="14" t="s">
        <v>1953</v>
      </c>
      <c r="C1827" s="14" t="s">
        <v>13030</v>
      </c>
      <c r="D1827" s="15">
        <v>149.80000000000001</v>
      </c>
      <c r="E1827" s="16" t="s">
        <v>30</v>
      </c>
    </row>
    <row r="1828" spans="1:5" x14ac:dyDescent="0.25">
      <c r="A1828" s="14">
        <v>370847</v>
      </c>
      <c r="B1828" s="14" t="s">
        <v>1954</v>
      </c>
      <c r="C1828" s="14" t="s">
        <v>13030</v>
      </c>
      <c r="D1828" s="15">
        <v>33.630000000000003</v>
      </c>
      <c r="E1828" s="16" t="s">
        <v>20</v>
      </c>
    </row>
    <row r="1829" spans="1:5" x14ac:dyDescent="0.25">
      <c r="A1829" s="14">
        <v>358642</v>
      </c>
      <c r="B1829" s="14" t="s">
        <v>1955</v>
      </c>
      <c r="C1829" s="14" t="s">
        <v>13031</v>
      </c>
      <c r="D1829" s="15">
        <v>10.36</v>
      </c>
      <c r="E1829" s="16" t="s">
        <v>20</v>
      </c>
    </row>
    <row r="1830" spans="1:5" x14ac:dyDescent="0.25">
      <c r="A1830" s="14">
        <v>363453</v>
      </c>
      <c r="B1830" s="14" t="s">
        <v>1956</v>
      </c>
      <c r="C1830" s="14" t="s">
        <v>13031</v>
      </c>
      <c r="D1830" s="15">
        <v>5.93</v>
      </c>
      <c r="E1830" s="16" t="s">
        <v>20</v>
      </c>
    </row>
    <row r="1831" spans="1:5" x14ac:dyDescent="0.25">
      <c r="A1831" s="14">
        <v>419186</v>
      </c>
      <c r="B1831" s="14" t="s">
        <v>1957</v>
      </c>
      <c r="C1831" s="14" t="s">
        <v>13031</v>
      </c>
      <c r="D1831" s="15">
        <v>0.62</v>
      </c>
      <c r="E1831" s="16" t="s">
        <v>30</v>
      </c>
    </row>
    <row r="1832" spans="1:5" x14ac:dyDescent="0.25">
      <c r="A1832" s="14">
        <v>419187</v>
      </c>
      <c r="B1832" s="14" t="s">
        <v>1958</v>
      </c>
      <c r="C1832" s="14" t="s">
        <v>13031</v>
      </c>
      <c r="D1832" s="15">
        <v>1.4</v>
      </c>
      <c r="E1832" s="16" t="s">
        <v>30</v>
      </c>
    </row>
    <row r="1833" spans="1:5" x14ac:dyDescent="0.25">
      <c r="A1833" s="14">
        <v>419189</v>
      </c>
      <c r="B1833" s="14" t="s">
        <v>1959</v>
      </c>
      <c r="C1833" s="14" t="s">
        <v>13031</v>
      </c>
      <c r="D1833" s="15">
        <v>0.85</v>
      </c>
      <c r="E1833" s="16" t="s">
        <v>30</v>
      </c>
    </row>
    <row r="1834" spans="1:5" x14ac:dyDescent="0.25">
      <c r="A1834" s="14">
        <v>419203</v>
      </c>
      <c r="B1834" s="14" t="s">
        <v>1960</v>
      </c>
      <c r="C1834" s="14" t="s">
        <v>13031</v>
      </c>
      <c r="D1834" s="15">
        <v>3.5</v>
      </c>
      <c r="E1834" s="16" t="s">
        <v>30</v>
      </c>
    </row>
    <row r="1835" spans="1:5" x14ac:dyDescent="0.25">
      <c r="A1835" s="14">
        <v>373210</v>
      </c>
      <c r="B1835" s="14" t="s">
        <v>1961</v>
      </c>
      <c r="C1835" s="14" t="s">
        <v>13031</v>
      </c>
      <c r="D1835" s="15">
        <v>2.71</v>
      </c>
      <c r="E1835" s="16" t="s">
        <v>20</v>
      </c>
    </row>
    <row r="1836" spans="1:5" x14ac:dyDescent="0.25">
      <c r="A1836" s="14">
        <v>419204</v>
      </c>
      <c r="B1836" s="14" t="s">
        <v>1962</v>
      </c>
      <c r="C1836" s="14" t="s">
        <v>13031</v>
      </c>
      <c r="D1836" s="15">
        <v>3.5</v>
      </c>
      <c r="E1836" s="16" t="s">
        <v>30</v>
      </c>
    </row>
    <row r="1837" spans="1:5" x14ac:dyDescent="0.25">
      <c r="A1837" s="14">
        <v>419207</v>
      </c>
      <c r="B1837" s="14" t="s">
        <v>1963</v>
      </c>
      <c r="C1837" s="14" t="s">
        <v>13031</v>
      </c>
      <c r="D1837" s="15">
        <v>0.55000000000000004</v>
      </c>
      <c r="E1837" s="16" t="s">
        <v>30</v>
      </c>
    </row>
    <row r="1838" spans="1:5" x14ac:dyDescent="0.25">
      <c r="A1838" s="14">
        <v>373211</v>
      </c>
      <c r="B1838" s="14" t="s">
        <v>1964</v>
      </c>
      <c r="C1838" s="14" t="s">
        <v>13031</v>
      </c>
      <c r="D1838" s="15">
        <v>2.71</v>
      </c>
      <c r="E1838" s="16" t="s">
        <v>20</v>
      </c>
    </row>
    <row r="1839" spans="1:5" x14ac:dyDescent="0.25">
      <c r="A1839" s="14">
        <v>419211</v>
      </c>
      <c r="B1839" s="14" t="s">
        <v>1965</v>
      </c>
      <c r="C1839" s="14" t="s">
        <v>13031</v>
      </c>
      <c r="D1839" s="15">
        <v>2.4</v>
      </c>
      <c r="E1839" s="16" t="s">
        <v>30</v>
      </c>
    </row>
    <row r="1840" spans="1:5" x14ac:dyDescent="0.25">
      <c r="A1840" s="14">
        <v>419213</v>
      </c>
      <c r="B1840" s="14" t="s">
        <v>1966</v>
      </c>
      <c r="C1840" s="14" t="s">
        <v>13031</v>
      </c>
      <c r="D1840" s="15">
        <v>2.4</v>
      </c>
      <c r="E1840" s="16" t="s">
        <v>30</v>
      </c>
    </row>
    <row r="1841" spans="1:5" x14ac:dyDescent="0.25">
      <c r="A1841" s="14">
        <v>419215</v>
      </c>
      <c r="B1841" s="14" t="s">
        <v>1967</v>
      </c>
      <c r="C1841" s="14" t="s">
        <v>13031</v>
      </c>
      <c r="D1841" s="15">
        <v>1.3</v>
      </c>
      <c r="E1841" s="16" t="s">
        <v>30</v>
      </c>
    </row>
    <row r="1842" spans="1:5" x14ac:dyDescent="0.25">
      <c r="A1842" s="14">
        <v>419216</v>
      </c>
      <c r="B1842" s="14" t="s">
        <v>1968</v>
      </c>
      <c r="C1842" s="14" t="s">
        <v>13031</v>
      </c>
      <c r="D1842" s="15">
        <v>1.3</v>
      </c>
      <c r="E1842" s="16" t="s">
        <v>30</v>
      </c>
    </row>
    <row r="1843" spans="1:5" x14ac:dyDescent="0.25">
      <c r="A1843" s="14">
        <v>419254</v>
      </c>
      <c r="B1843" s="14" t="s">
        <v>1969</v>
      </c>
      <c r="C1843" s="14" t="s">
        <v>13029</v>
      </c>
      <c r="D1843" s="15">
        <v>16.329999999999998</v>
      </c>
      <c r="E1843" s="16" t="s">
        <v>30</v>
      </c>
    </row>
    <row r="1844" spans="1:5" x14ac:dyDescent="0.25">
      <c r="A1844" s="14">
        <v>419327</v>
      </c>
      <c r="B1844" s="14" t="s">
        <v>1970</v>
      </c>
      <c r="C1844" s="14" t="s">
        <v>13030</v>
      </c>
      <c r="D1844" s="15">
        <v>96.92</v>
      </c>
      <c r="E1844" s="16" t="s">
        <v>30</v>
      </c>
    </row>
    <row r="1845" spans="1:5" x14ac:dyDescent="0.25">
      <c r="A1845" s="14">
        <v>419682</v>
      </c>
      <c r="B1845" s="14" t="s">
        <v>1971</v>
      </c>
      <c r="C1845" s="14" t="s">
        <v>13029</v>
      </c>
      <c r="D1845" s="15">
        <v>14.45</v>
      </c>
      <c r="E1845" s="16" t="s">
        <v>30</v>
      </c>
    </row>
    <row r="1846" spans="1:5" x14ac:dyDescent="0.25">
      <c r="A1846" s="14">
        <v>373212</v>
      </c>
      <c r="B1846" s="14" t="s">
        <v>1972</v>
      </c>
      <c r="C1846" s="14" t="s">
        <v>13031</v>
      </c>
      <c r="D1846" s="15">
        <v>2.71</v>
      </c>
      <c r="E1846" s="16" t="s">
        <v>20</v>
      </c>
    </row>
    <row r="1847" spans="1:5" x14ac:dyDescent="0.25">
      <c r="A1847" s="14">
        <v>419683</v>
      </c>
      <c r="B1847" s="14" t="s">
        <v>1973</v>
      </c>
      <c r="C1847" s="14" t="s">
        <v>13029</v>
      </c>
      <c r="D1847" s="15">
        <v>14.45</v>
      </c>
      <c r="E1847" s="16" t="s">
        <v>30</v>
      </c>
    </row>
    <row r="1848" spans="1:5" x14ac:dyDescent="0.25">
      <c r="A1848" s="14">
        <v>419685</v>
      </c>
      <c r="B1848" s="14" t="s">
        <v>1974</v>
      </c>
      <c r="C1848" s="14" t="s">
        <v>13029</v>
      </c>
      <c r="D1848" s="15">
        <v>10.18</v>
      </c>
      <c r="E1848" s="16" t="s">
        <v>30</v>
      </c>
    </row>
    <row r="1849" spans="1:5" x14ac:dyDescent="0.25">
      <c r="A1849" s="14">
        <v>419875</v>
      </c>
      <c r="B1849" s="14" t="s">
        <v>1975</v>
      </c>
      <c r="C1849" s="14" t="s">
        <v>13033</v>
      </c>
      <c r="D1849" s="15">
        <v>61.62</v>
      </c>
      <c r="E1849" s="16" t="s">
        <v>30</v>
      </c>
    </row>
    <row r="1850" spans="1:5" x14ac:dyDescent="0.25">
      <c r="A1850" s="14">
        <v>419876</v>
      </c>
      <c r="B1850" s="14" t="s">
        <v>1976</v>
      </c>
      <c r="C1850" s="14" t="s">
        <v>13033</v>
      </c>
      <c r="D1850" s="15">
        <v>66.59</v>
      </c>
      <c r="E1850" s="16" t="s">
        <v>30</v>
      </c>
    </row>
    <row r="1851" spans="1:5" x14ac:dyDescent="0.25">
      <c r="A1851" s="14">
        <v>420180</v>
      </c>
      <c r="B1851" s="14" t="s">
        <v>1977</v>
      </c>
      <c r="C1851" s="14" t="s">
        <v>13031</v>
      </c>
      <c r="D1851" s="15">
        <v>13.95</v>
      </c>
      <c r="E1851" s="16" t="s">
        <v>30</v>
      </c>
    </row>
    <row r="1852" spans="1:5" x14ac:dyDescent="0.25">
      <c r="A1852" s="14">
        <v>420875</v>
      </c>
      <c r="B1852" s="14" t="s">
        <v>1978</v>
      </c>
      <c r="C1852" s="14" t="s">
        <v>13031</v>
      </c>
      <c r="D1852" s="15">
        <v>8</v>
      </c>
      <c r="E1852" s="16" t="s">
        <v>30</v>
      </c>
    </row>
    <row r="1853" spans="1:5" x14ac:dyDescent="0.25">
      <c r="A1853" s="14">
        <v>420876</v>
      </c>
      <c r="B1853" s="14" t="s">
        <v>1979</v>
      </c>
      <c r="C1853" s="14" t="s">
        <v>13031</v>
      </c>
      <c r="D1853" s="15">
        <v>9.25</v>
      </c>
      <c r="E1853" s="16" t="s">
        <v>30</v>
      </c>
    </row>
    <row r="1854" spans="1:5" x14ac:dyDescent="0.25">
      <c r="A1854" s="14">
        <v>421019</v>
      </c>
      <c r="B1854" s="14" t="s">
        <v>1980</v>
      </c>
      <c r="C1854" s="14" t="s">
        <v>13029</v>
      </c>
      <c r="D1854" s="15">
        <v>10.73</v>
      </c>
      <c r="E1854" s="16" t="s">
        <v>30</v>
      </c>
    </row>
    <row r="1855" spans="1:5" x14ac:dyDescent="0.25">
      <c r="A1855" s="14">
        <v>421020</v>
      </c>
      <c r="B1855" s="14" t="s">
        <v>1981</v>
      </c>
      <c r="C1855" s="14" t="s">
        <v>13029</v>
      </c>
      <c r="D1855" s="15">
        <v>16.41</v>
      </c>
      <c r="E1855" s="16" t="s">
        <v>30</v>
      </c>
    </row>
    <row r="1856" spans="1:5" x14ac:dyDescent="0.25">
      <c r="A1856" s="14">
        <v>421032</v>
      </c>
      <c r="B1856" s="14" t="s">
        <v>1982</v>
      </c>
      <c r="C1856" s="14" t="s">
        <v>13033</v>
      </c>
      <c r="D1856" s="15">
        <v>7.66</v>
      </c>
      <c r="E1856" s="16" t="s">
        <v>30</v>
      </c>
    </row>
    <row r="1857" spans="1:5" x14ac:dyDescent="0.25">
      <c r="A1857" s="14">
        <v>421039</v>
      </c>
      <c r="B1857" s="14" t="s">
        <v>1983</v>
      </c>
      <c r="C1857" s="14" t="s">
        <v>13033</v>
      </c>
      <c r="D1857" s="15">
        <v>11.24</v>
      </c>
      <c r="E1857" s="16" t="s">
        <v>30</v>
      </c>
    </row>
    <row r="1858" spans="1:5" x14ac:dyDescent="0.25">
      <c r="A1858" s="14">
        <v>421040</v>
      </c>
      <c r="B1858" s="14" t="s">
        <v>1984</v>
      </c>
      <c r="C1858" s="14" t="s">
        <v>13033</v>
      </c>
      <c r="D1858" s="15">
        <v>16.600000000000001</v>
      </c>
      <c r="E1858" s="16" t="s">
        <v>30</v>
      </c>
    </row>
    <row r="1859" spans="1:5" x14ac:dyDescent="0.25">
      <c r="A1859" s="14">
        <v>421041</v>
      </c>
      <c r="B1859" s="14" t="s">
        <v>1985</v>
      </c>
      <c r="C1859" s="14" t="s">
        <v>13033</v>
      </c>
      <c r="D1859" s="15">
        <v>19.78</v>
      </c>
      <c r="E1859" s="16" t="s">
        <v>30</v>
      </c>
    </row>
    <row r="1860" spans="1:5" x14ac:dyDescent="0.25">
      <c r="A1860" s="14">
        <v>421287</v>
      </c>
      <c r="B1860" s="14" t="s">
        <v>1986</v>
      </c>
      <c r="C1860" s="14" t="s">
        <v>13033</v>
      </c>
      <c r="D1860" s="15">
        <v>6.89</v>
      </c>
      <c r="E1860" s="16" t="s">
        <v>30</v>
      </c>
    </row>
    <row r="1861" spans="1:5" x14ac:dyDescent="0.25">
      <c r="A1861" s="14">
        <v>421288</v>
      </c>
      <c r="B1861" s="14" t="s">
        <v>1987</v>
      </c>
      <c r="C1861" s="14" t="s">
        <v>13033</v>
      </c>
      <c r="D1861" s="15">
        <v>7.53</v>
      </c>
      <c r="E1861" s="16" t="s">
        <v>30</v>
      </c>
    </row>
    <row r="1862" spans="1:5" x14ac:dyDescent="0.25">
      <c r="A1862" s="14">
        <v>421289</v>
      </c>
      <c r="B1862" s="14" t="s">
        <v>1988</v>
      </c>
      <c r="C1862" s="14" t="s">
        <v>13033</v>
      </c>
      <c r="D1862" s="15">
        <v>6.89</v>
      </c>
      <c r="E1862" s="16" t="s">
        <v>30</v>
      </c>
    </row>
    <row r="1863" spans="1:5" x14ac:dyDescent="0.25">
      <c r="A1863" s="14">
        <v>421290</v>
      </c>
      <c r="B1863" s="14" t="s">
        <v>1989</v>
      </c>
      <c r="C1863" s="14" t="s">
        <v>13033</v>
      </c>
      <c r="D1863" s="15">
        <v>6.89</v>
      </c>
      <c r="E1863" s="16" t="s">
        <v>30</v>
      </c>
    </row>
    <row r="1864" spans="1:5" x14ac:dyDescent="0.25">
      <c r="A1864" s="14">
        <v>421291</v>
      </c>
      <c r="B1864" s="14" t="s">
        <v>1990</v>
      </c>
      <c r="C1864" s="14" t="s">
        <v>13033</v>
      </c>
      <c r="D1864" s="15">
        <v>6.89</v>
      </c>
      <c r="E1864" s="16" t="s">
        <v>30</v>
      </c>
    </row>
    <row r="1865" spans="1:5" x14ac:dyDescent="0.25">
      <c r="A1865" s="14">
        <v>421976</v>
      </c>
      <c r="B1865" s="14" t="s">
        <v>1991</v>
      </c>
      <c r="C1865" s="14" t="s">
        <v>13029</v>
      </c>
      <c r="D1865" s="15">
        <v>14.7</v>
      </c>
      <c r="E1865" s="16" t="s">
        <v>30</v>
      </c>
    </row>
    <row r="1866" spans="1:5" x14ac:dyDescent="0.25">
      <c r="A1866" s="14">
        <v>422024</v>
      </c>
      <c r="B1866" s="14" t="s">
        <v>1992</v>
      </c>
      <c r="C1866" s="14" t="s">
        <v>13029</v>
      </c>
      <c r="D1866" s="15">
        <v>13.03</v>
      </c>
      <c r="E1866" s="16" t="s">
        <v>30</v>
      </c>
    </row>
    <row r="1867" spans="1:5" x14ac:dyDescent="0.25">
      <c r="A1867" s="14">
        <v>422135</v>
      </c>
      <c r="B1867" s="14" t="s">
        <v>1993</v>
      </c>
      <c r="C1867" s="14" t="s">
        <v>13029</v>
      </c>
      <c r="D1867" s="15">
        <v>21.98</v>
      </c>
      <c r="E1867" s="16" t="s">
        <v>30</v>
      </c>
    </row>
    <row r="1868" spans="1:5" x14ac:dyDescent="0.25">
      <c r="A1868" s="14">
        <v>422136</v>
      </c>
      <c r="B1868" s="14" t="s">
        <v>1994</v>
      </c>
      <c r="C1868" s="14" t="s">
        <v>13029</v>
      </c>
      <c r="D1868" s="15">
        <v>14.83</v>
      </c>
      <c r="E1868" s="16" t="s">
        <v>30</v>
      </c>
    </row>
    <row r="1869" spans="1:5" x14ac:dyDescent="0.25">
      <c r="A1869" s="14">
        <v>422744</v>
      </c>
      <c r="B1869" s="14" t="s">
        <v>1995</v>
      </c>
      <c r="C1869" s="14" t="s">
        <v>13031</v>
      </c>
      <c r="D1869" s="15">
        <v>9.42</v>
      </c>
      <c r="E1869" s="16" t="s">
        <v>30</v>
      </c>
    </row>
    <row r="1870" spans="1:5" x14ac:dyDescent="0.25">
      <c r="A1870" s="14">
        <v>423201</v>
      </c>
      <c r="B1870" s="14" t="s">
        <v>1996</v>
      </c>
      <c r="C1870" s="14" t="s">
        <v>13030</v>
      </c>
      <c r="D1870" s="15">
        <v>69.790000000000006</v>
      </c>
      <c r="E1870" s="16" t="s">
        <v>30</v>
      </c>
    </row>
    <row r="1871" spans="1:5" x14ac:dyDescent="0.25">
      <c r="A1871" s="14">
        <v>423317</v>
      </c>
      <c r="B1871" s="14" t="s">
        <v>1997</v>
      </c>
      <c r="C1871" s="14" t="s">
        <v>13031</v>
      </c>
      <c r="D1871" s="15">
        <v>1.31</v>
      </c>
      <c r="E1871" s="16" t="s">
        <v>30</v>
      </c>
    </row>
    <row r="1872" spans="1:5" x14ac:dyDescent="0.25">
      <c r="A1872" s="14">
        <v>423318</v>
      </c>
      <c r="B1872" s="14" t="s">
        <v>1998</v>
      </c>
      <c r="C1872" s="14" t="s">
        <v>13031</v>
      </c>
      <c r="D1872" s="15">
        <v>1.49</v>
      </c>
      <c r="E1872" s="16" t="s">
        <v>30</v>
      </c>
    </row>
    <row r="1873" spans="1:5" x14ac:dyDescent="0.25">
      <c r="A1873" s="14">
        <v>423319</v>
      </c>
      <c r="B1873" s="14" t="s">
        <v>1999</v>
      </c>
      <c r="C1873" s="14" t="s">
        <v>13031</v>
      </c>
      <c r="D1873" s="15">
        <v>1.44</v>
      </c>
      <c r="E1873" s="16" t="s">
        <v>30</v>
      </c>
    </row>
    <row r="1874" spans="1:5" x14ac:dyDescent="0.25">
      <c r="A1874" s="14">
        <v>423320</v>
      </c>
      <c r="B1874" s="14" t="s">
        <v>2000</v>
      </c>
      <c r="C1874" s="14" t="s">
        <v>13031</v>
      </c>
      <c r="D1874" s="15">
        <v>1.49</v>
      </c>
      <c r="E1874" s="16" t="s">
        <v>30</v>
      </c>
    </row>
    <row r="1875" spans="1:5" x14ac:dyDescent="0.25">
      <c r="A1875" s="14">
        <v>423750</v>
      </c>
      <c r="B1875" s="14" t="s">
        <v>2001</v>
      </c>
      <c r="C1875" s="14" t="s">
        <v>13029</v>
      </c>
      <c r="D1875" s="15">
        <v>9.9</v>
      </c>
      <c r="E1875" s="16" t="s">
        <v>30</v>
      </c>
    </row>
    <row r="1876" spans="1:5" x14ac:dyDescent="0.25">
      <c r="A1876" s="14">
        <v>423751</v>
      </c>
      <c r="B1876" s="14" t="s">
        <v>2002</v>
      </c>
      <c r="C1876" s="14" t="s">
        <v>13029</v>
      </c>
      <c r="D1876" s="15">
        <v>9.91</v>
      </c>
      <c r="E1876" s="16" t="s">
        <v>30</v>
      </c>
    </row>
    <row r="1877" spans="1:5" x14ac:dyDescent="0.25">
      <c r="A1877" s="14">
        <v>424062</v>
      </c>
      <c r="B1877" s="14" t="s">
        <v>2003</v>
      </c>
      <c r="C1877" s="14" t="s">
        <v>13031</v>
      </c>
      <c r="D1877" s="15">
        <v>3.24</v>
      </c>
      <c r="E1877" s="16" t="s">
        <v>30</v>
      </c>
    </row>
    <row r="1878" spans="1:5" x14ac:dyDescent="0.25">
      <c r="A1878" s="14">
        <v>424232</v>
      </c>
      <c r="B1878" s="14" t="s">
        <v>2004</v>
      </c>
      <c r="C1878" s="14" t="s">
        <v>13029</v>
      </c>
      <c r="D1878" s="15">
        <v>42</v>
      </c>
      <c r="E1878" s="16" t="s">
        <v>30</v>
      </c>
    </row>
    <row r="1879" spans="1:5" x14ac:dyDescent="0.25">
      <c r="A1879" s="14">
        <v>424475</v>
      </c>
      <c r="B1879" s="14" t="s">
        <v>2005</v>
      </c>
      <c r="C1879" s="14" t="s">
        <v>13030</v>
      </c>
      <c r="D1879" s="15">
        <v>25.14</v>
      </c>
      <c r="E1879" s="16" t="s">
        <v>30</v>
      </c>
    </row>
    <row r="1880" spans="1:5" x14ac:dyDescent="0.25">
      <c r="A1880" s="14">
        <v>424524</v>
      </c>
      <c r="B1880" s="14" t="s">
        <v>2006</v>
      </c>
      <c r="C1880" s="14" t="s">
        <v>13030</v>
      </c>
      <c r="D1880" s="15">
        <v>68.36</v>
      </c>
      <c r="E1880" s="16" t="s">
        <v>30</v>
      </c>
    </row>
    <row r="1881" spans="1:5" x14ac:dyDescent="0.25">
      <c r="A1881" s="14">
        <v>424626</v>
      </c>
      <c r="B1881" s="14" t="s">
        <v>2007</v>
      </c>
      <c r="C1881" s="14" t="s">
        <v>13030</v>
      </c>
      <c r="D1881" s="15">
        <v>20.079999999999998</v>
      </c>
      <c r="E1881" s="16" t="s">
        <v>30</v>
      </c>
    </row>
    <row r="1882" spans="1:5" x14ac:dyDescent="0.25">
      <c r="A1882" s="14">
        <v>424627</v>
      </c>
      <c r="B1882" s="14" t="s">
        <v>2008</v>
      </c>
      <c r="C1882" s="14" t="s">
        <v>13030</v>
      </c>
      <c r="D1882" s="15">
        <v>36.28</v>
      </c>
      <c r="E1882" s="16" t="s">
        <v>30</v>
      </c>
    </row>
    <row r="1883" spans="1:5" x14ac:dyDescent="0.25">
      <c r="A1883" s="14">
        <v>424628</v>
      </c>
      <c r="B1883" s="14" t="s">
        <v>2009</v>
      </c>
      <c r="C1883" s="14" t="s">
        <v>13030</v>
      </c>
      <c r="D1883" s="15">
        <v>36.74</v>
      </c>
      <c r="E1883" s="16" t="s">
        <v>30</v>
      </c>
    </row>
    <row r="1884" spans="1:5" x14ac:dyDescent="0.25">
      <c r="A1884" s="14">
        <v>426790</v>
      </c>
      <c r="B1884" s="14" t="s">
        <v>2010</v>
      </c>
      <c r="C1884" s="14" t="s">
        <v>13030</v>
      </c>
      <c r="D1884" s="15">
        <v>34.380000000000003</v>
      </c>
      <c r="E1884" s="16" t="s">
        <v>30</v>
      </c>
    </row>
    <row r="1885" spans="1:5" x14ac:dyDescent="0.25">
      <c r="A1885" s="14">
        <v>426821</v>
      </c>
      <c r="B1885" s="14" t="s">
        <v>2011</v>
      </c>
      <c r="C1885" s="14" t="s">
        <v>13029</v>
      </c>
      <c r="D1885" s="15">
        <v>5.04</v>
      </c>
      <c r="E1885" s="16" t="s">
        <v>30</v>
      </c>
    </row>
    <row r="1886" spans="1:5" x14ac:dyDescent="0.25">
      <c r="A1886" s="14">
        <v>373449</v>
      </c>
      <c r="B1886" s="14" t="s">
        <v>2012</v>
      </c>
      <c r="C1886" s="14" t="s">
        <v>13031</v>
      </c>
      <c r="D1886" s="15">
        <v>4.2300000000000004</v>
      </c>
      <c r="E1886" s="16" t="s">
        <v>20</v>
      </c>
    </row>
    <row r="1887" spans="1:5" x14ac:dyDescent="0.25">
      <c r="A1887" s="14">
        <v>373674</v>
      </c>
      <c r="B1887" s="14" t="s">
        <v>2013</v>
      </c>
      <c r="C1887" s="14" t="s">
        <v>13031</v>
      </c>
      <c r="D1887" s="15">
        <v>5.08</v>
      </c>
      <c r="E1887" s="16" t="s">
        <v>20</v>
      </c>
    </row>
    <row r="1888" spans="1:5" x14ac:dyDescent="0.25">
      <c r="A1888" s="14">
        <v>427238</v>
      </c>
      <c r="B1888" s="14" t="s">
        <v>2014</v>
      </c>
      <c r="C1888" s="14" t="s">
        <v>13029</v>
      </c>
      <c r="D1888" s="15">
        <v>8.82</v>
      </c>
      <c r="E1888" s="16" t="s">
        <v>30</v>
      </c>
    </row>
    <row r="1889" spans="1:5" x14ac:dyDescent="0.25">
      <c r="A1889" s="14">
        <v>427239</v>
      </c>
      <c r="B1889" s="14" t="s">
        <v>2015</v>
      </c>
      <c r="C1889" s="14" t="s">
        <v>13029</v>
      </c>
      <c r="D1889" s="15">
        <v>8.83</v>
      </c>
      <c r="E1889" s="16" t="s">
        <v>30</v>
      </c>
    </row>
    <row r="1890" spans="1:5" x14ac:dyDescent="0.25">
      <c r="A1890" s="14">
        <v>427483</v>
      </c>
      <c r="B1890" s="14" t="s">
        <v>2016</v>
      </c>
      <c r="C1890" s="14" t="s">
        <v>13030</v>
      </c>
      <c r="D1890" s="15">
        <v>32.659999999999997</v>
      </c>
      <c r="E1890" s="16" t="s">
        <v>30</v>
      </c>
    </row>
    <row r="1891" spans="1:5" x14ac:dyDescent="0.25">
      <c r="A1891" s="14">
        <v>427498</v>
      </c>
      <c r="B1891" s="14" t="s">
        <v>2017</v>
      </c>
      <c r="C1891" s="14" t="s">
        <v>13029</v>
      </c>
      <c r="D1891" s="15">
        <v>21.92</v>
      </c>
      <c r="E1891" s="16" t="s">
        <v>30</v>
      </c>
    </row>
    <row r="1892" spans="1:5" x14ac:dyDescent="0.25">
      <c r="A1892" s="14">
        <v>427541</v>
      </c>
      <c r="B1892" s="14" t="s">
        <v>2018</v>
      </c>
      <c r="C1892" s="14" t="s">
        <v>13029</v>
      </c>
      <c r="D1892" s="15">
        <v>11.8</v>
      </c>
      <c r="E1892" s="14" t="s">
        <v>30</v>
      </c>
    </row>
    <row r="1893" spans="1:5" x14ac:dyDescent="0.25">
      <c r="A1893" s="14">
        <v>427542</v>
      </c>
      <c r="B1893" s="14" t="s">
        <v>2019</v>
      </c>
      <c r="C1893" s="14" t="s">
        <v>13029</v>
      </c>
      <c r="D1893" s="15">
        <v>13.37</v>
      </c>
      <c r="E1893" s="14" t="s">
        <v>30</v>
      </c>
    </row>
    <row r="1894" spans="1:5" x14ac:dyDescent="0.25">
      <c r="A1894" s="14">
        <v>427584</v>
      </c>
      <c r="B1894" s="14" t="s">
        <v>2020</v>
      </c>
      <c r="C1894" s="14" t="s">
        <v>13029</v>
      </c>
      <c r="D1894" s="15">
        <v>12.15</v>
      </c>
      <c r="E1894" s="16" t="s">
        <v>30</v>
      </c>
    </row>
    <row r="1895" spans="1:5" x14ac:dyDescent="0.25">
      <c r="A1895" s="14">
        <v>427630</v>
      </c>
      <c r="B1895" s="14" t="s">
        <v>2021</v>
      </c>
      <c r="C1895" s="14" t="s">
        <v>13031</v>
      </c>
      <c r="D1895" s="15">
        <v>8.64</v>
      </c>
      <c r="E1895" s="16" t="s">
        <v>30</v>
      </c>
    </row>
    <row r="1896" spans="1:5" x14ac:dyDescent="0.25">
      <c r="A1896" s="14">
        <v>374075</v>
      </c>
      <c r="B1896" s="14" t="s">
        <v>2022</v>
      </c>
      <c r="C1896" s="14" t="s">
        <v>13031</v>
      </c>
      <c r="D1896" s="15">
        <v>4.66</v>
      </c>
      <c r="E1896" s="16" t="s">
        <v>20</v>
      </c>
    </row>
    <row r="1897" spans="1:5" x14ac:dyDescent="0.25">
      <c r="A1897" s="14">
        <v>427729</v>
      </c>
      <c r="B1897" s="14" t="s">
        <v>2023</v>
      </c>
      <c r="C1897" s="14" t="s">
        <v>13030</v>
      </c>
      <c r="D1897" s="15">
        <v>57.56</v>
      </c>
      <c r="E1897" s="16" t="s">
        <v>30</v>
      </c>
    </row>
    <row r="1898" spans="1:5" x14ac:dyDescent="0.25">
      <c r="A1898" s="14">
        <v>427913</v>
      </c>
      <c r="B1898" s="14" t="s">
        <v>2024</v>
      </c>
      <c r="C1898" s="14" t="s">
        <v>13030</v>
      </c>
      <c r="D1898" s="15">
        <v>26.59</v>
      </c>
      <c r="E1898" s="16" t="s">
        <v>30</v>
      </c>
    </row>
    <row r="1899" spans="1:5" x14ac:dyDescent="0.25">
      <c r="A1899" s="14">
        <v>427914</v>
      </c>
      <c r="B1899" s="14" t="s">
        <v>2025</v>
      </c>
      <c r="C1899" s="14" t="s">
        <v>13030</v>
      </c>
      <c r="D1899" s="15">
        <v>31.66</v>
      </c>
      <c r="E1899" s="16" t="s">
        <v>30</v>
      </c>
    </row>
    <row r="1900" spans="1:5" x14ac:dyDescent="0.25">
      <c r="A1900" s="14">
        <v>427915</v>
      </c>
      <c r="B1900" s="14" t="s">
        <v>2026</v>
      </c>
      <c r="C1900" s="14" t="s">
        <v>13030</v>
      </c>
      <c r="D1900" s="15">
        <v>50.33</v>
      </c>
      <c r="E1900" s="16" t="s">
        <v>30</v>
      </c>
    </row>
    <row r="1901" spans="1:5" x14ac:dyDescent="0.25">
      <c r="A1901" s="14">
        <v>427924</v>
      </c>
      <c r="B1901" s="14" t="s">
        <v>2027</v>
      </c>
      <c r="C1901" s="14" t="s">
        <v>13030</v>
      </c>
      <c r="D1901" s="15">
        <v>50.35</v>
      </c>
      <c r="E1901" s="16" t="s">
        <v>30</v>
      </c>
    </row>
    <row r="1902" spans="1:5" x14ac:dyDescent="0.25">
      <c r="A1902" s="14">
        <v>428101</v>
      </c>
      <c r="B1902" s="14" t="s">
        <v>2028</v>
      </c>
      <c r="C1902" s="14" t="s">
        <v>13031</v>
      </c>
      <c r="D1902" s="15">
        <v>4.07</v>
      </c>
      <c r="E1902" s="16" t="s">
        <v>30</v>
      </c>
    </row>
    <row r="1903" spans="1:5" x14ac:dyDescent="0.25">
      <c r="A1903" s="14">
        <v>428149</v>
      </c>
      <c r="B1903" s="14" t="s">
        <v>2029</v>
      </c>
      <c r="C1903" s="14" t="s">
        <v>13032</v>
      </c>
      <c r="D1903" s="15">
        <v>31</v>
      </c>
      <c r="E1903" s="16" t="s">
        <v>30</v>
      </c>
    </row>
    <row r="1904" spans="1:5" x14ac:dyDescent="0.25">
      <c r="A1904" s="14">
        <v>428366</v>
      </c>
      <c r="B1904" s="14" t="s">
        <v>2030</v>
      </c>
      <c r="C1904" s="14" t="s">
        <v>13029</v>
      </c>
      <c r="D1904" s="15">
        <v>7.31</v>
      </c>
      <c r="E1904" s="16" t="s">
        <v>30</v>
      </c>
    </row>
    <row r="1905" spans="1:5" x14ac:dyDescent="0.25">
      <c r="A1905" s="14">
        <v>428367</v>
      </c>
      <c r="B1905" s="14" t="s">
        <v>2031</v>
      </c>
      <c r="C1905" s="14" t="s">
        <v>13029</v>
      </c>
      <c r="D1905" s="15">
        <v>7.31</v>
      </c>
      <c r="E1905" s="16" t="s">
        <v>30</v>
      </c>
    </row>
    <row r="1906" spans="1:5" x14ac:dyDescent="0.25">
      <c r="A1906" s="14">
        <v>374076</v>
      </c>
      <c r="B1906" s="14" t="s">
        <v>2032</v>
      </c>
      <c r="C1906" s="14" t="s">
        <v>13031</v>
      </c>
      <c r="D1906" s="15">
        <v>4.66</v>
      </c>
      <c r="E1906" s="16" t="s">
        <v>20</v>
      </c>
    </row>
    <row r="1907" spans="1:5" x14ac:dyDescent="0.25">
      <c r="A1907" s="14">
        <v>428369</v>
      </c>
      <c r="B1907" s="14" t="s">
        <v>2033</v>
      </c>
      <c r="C1907" s="14" t="s">
        <v>13029</v>
      </c>
      <c r="D1907" s="15">
        <v>5.09</v>
      </c>
      <c r="E1907" s="16" t="s">
        <v>30</v>
      </c>
    </row>
    <row r="1908" spans="1:5" x14ac:dyDescent="0.25">
      <c r="A1908" s="14">
        <v>428771</v>
      </c>
      <c r="B1908" s="14" t="s">
        <v>2034</v>
      </c>
      <c r="C1908" s="14" t="s">
        <v>13030</v>
      </c>
      <c r="D1908" s="15">
        <v>13.4</v>
      </c>
      <c r="E1908" s="16" t="s">
        <v>30</v>
      </c>
    </row>
    <row r="1909" spans="1:5" x14ac:dyDescent="0.25">
      <c r="A1909" s="14">
        <v>428795</v>
      </c>
      <c r="B1909" s="14" t="s">
        <v>2035</v>
      </c>
      <c r="C1909" s="14" t="s">
        <v>13031</v>
      </c>
      <c r="D1909" s="15">
        <v>15.96</v>
      </c>
      <c r="E1909" s="16" t="s">
        <v>30</v>
      </c>
    </row>
    <row r="1910" spans="1:5" x14ac:dyDescent="0.25">
      <c r="A1910" s="14">
        <v>430413</v>
      </c>
      <c r="B1910" s="14" t="s">
        <v>2036</v>
      </c>
      <c r="C1910" s="14" t="s">
        <v>13030</v>
      </c>
      <c r="D1910" s="15">
        <v>208.41</v>
      </c>
      <c r="E1910" s="16" t="s">
        <v>30</v>
      </c>
    </row>
    <row r="1911" spans="1:5" x14ac:dyDescent="0.25">
      <c r="A1911" s="14">
        <v>430418</v>
      </c>
      <c r="B1911" s="14" t="s">
        <v>2037</v>
      </c>
      <c r="C1911" s="14" t="s">
        <v>13030</v>
      </c>
      <c r="D1911" s="15">
        <v>46.77</v>
      </c>
      <c r="E1911" s="16" t="s">
        <v>30</v>
      </c>
    </row>
    <row r="1912" spans="1:5" x14ac:dyDescent="0.25">
      <c r="A1912" s="14">
        <v>430419</v>
      </c>
      <c r="B1912" s="14" t="s">
        <v>2038</v>
      </c>
      <c r="C1912" s="14" t="s">
        <v>13030</v>
      </c>
      <c r="D1912" s="15">
        <v>46.78</v>
      </c>
      <c r="E1912" s="16" t="s">
        <v>30</v>
      </c>
    </row>
    <row r="1913" spans="1:5" x14ac:dyDescent="0.25">
      <c r="A1913" s="14">
        <v>430421</v>
      </c>
      <c r="B1913" s="14" t="s">
        <v>2039</v>
      </c>
      <c r="C1913" s="14" t="s">
        <v>13030</v>
      </c>
      <c r="D1913" s="15">
        <v>46.75</v>
      </c>
      <c r="E1913" s="16" t="s">
        <v>30</v>
      </c>
    </row>
    <row r="1914" spans="1:5" x14ac:dyDescent="0.25">
      <c r="A1914" s="14">
        <v>430456</v>
      </c>
      <c r="B1914" s="14" t="s">
        <v>2040</v>
      </c>
      <c r="C1914" s="14" t="s">
        <v>13030</v>
      </c>
      <c r="D1914" s="15">
        <v>18.920000000000002</v>
      </c>
      <c r="E1914" s="16" t="s">
        <v>30</v>
      </c>
    </row>
    <row r="1915" spans="1:5" x14ac:dyDescent="0.25">
      <c r="A1915" s="14">
        <v>430457</v>
      </c>
      <c r="B1915" s="14" t="s">
        <v>2041</v>
      </c>
      <c r="C1915" s="14" t="s">
        <v>13030</v>
      </c>
      <c r="D1915" s="15">
        <v>14.71</v>
      </c>
      <c r="E1915" s="16" t="s">
        <v>30</v>
      </c>
    </row>
    <row r="1916" spans="1:5" x14ac:dyDescent="0.25">
      <c r="A1916" s="14">
        <v>430458</v>
      </c>
      <c r="B1916" s="14" t="s">
        <v>2042</v>
      </c>
      <c r="C1916" s="14" t="s">
        <v>13030</v>
      </c>
      <c r="D1916" s="15">
        <v>15.61</v>
      </c>
      <c r="E1916" s="16" t="s">
        <v>30</v>
      </c>
    </row>
    <row r="1917" spans="1:5" x14ac:dyDescent="0.25">
      <c r="A1917" s="14">
        <v>430459</v>
      </c>
      <c r="B1917" s="14" t="s">
        <v>2043</v>
      </c>
      <c r="C1917" s="14" t="s">
        <v>13030</v>
      </c>
      <c r="D1917" s="15">
        <v>17.52</v>
      </c>
      <c r="E1917" s="16" t="s">
        <v>30</v>
      </c>
    </row>
    <row r="1918" spans="1:5" x14ac:dyDescent="0.25">
      <c r="A1918" s="14">
        <v>374077</v>
      </c>
      <c r="B1918" s="14" t="s">
        <v>2044</v>
      </c>
      <c r="C1918" s="14" t="s">
        <v>13031</v>
      </c>
      <c r="D1918" s="15">
        <v>4.66</v>
      </c>
      <c r="E1918" s="16" t="s">
        <v>20</v>
      </c>
    </row>
    <row r="1919" spans="1:5" x14ac:dyDescent="0.25">
      <c r="A1919" s="14">
        <v>430460</v>
      </c>
      <c r="B1919" s="14" t="s">
        <v>2045</v>
      </c>
      <c r="C1919" s="14" t="s">
        <v>13030</v>
      </c>
      <c r="D1919" s="15">
        <v>10.93</v>
      </c>
      <c r="E1919" s="16" t="s">
        <v>30</v>
      </c>
    </row>
    <row r="1920" spans="1:5" x14ac:dyDescent="0.25">
      <c r="A1920" s="14">
        <v>430463</v>
      </c>
      <c r="B1920" s="14" t="s">
        <v>2046</v>
      </c>
      <c r="C1920" s="14" t="s">
        <v>13030</v>
      </c>
      <c r="D1920" s="15">
        <v>11.86</v>
      </c>
      <c r="E1920" s="16" t="s">
        <v>30</v>
      </c>
    </row>
    <row r="1921" spans="1:5" x14ac:dyDescent="0.25">
      <c r="A1921" s="14">
        <v>431886</v>
      </c>
      <c r="B1921" s="14" t="s">
        <v>2047</v>
      </c>
      <c r="C1921" s="14" t="s">
        <v>13030</v>
      </c>
      <c r="D1921" s="15">
        <v>8.25</v>
      </c>
      <c r="E1921" s="16" t="s">
        <v>30</v>
      </c>
    </row>
    <row r="1922" spans="1:5" x14ac:dyDescent="0.25">
      <c r="A1922" s="14">
        <v>431887</v>
      </c>
      <c r="B1922" s="14" t="s">
        <v>2048</v>
      </c>
      <c r="C1922" s="14" t="s">
        <v>13030</v>
      </c>
      <c r="D1922" s="15">
        <v>16.55</v>
      </c>
      <c r="E1922" s="16" t="s">
        <v>30</v>
      </c>
    </row>
    <row r="1923" spans="1:5" x14ac:dyDescent="0.25">
      <c r="A1923" s="14">
        <v>431891</v>
      </c>
      <c r="B1923" s="14" t="s">
        <v>2049</v>
      </c>
      <c r="C1923" s="14" t="s">
        <v>13030</v>
      </c>
      <c r="D1923" s="15">
        <v>30.26</v>
      </c>
      <c r="E1923" s="16" t="s">
        <v>30</v>
      </c>
    </row>
    <row r="1924" spans="1:5" x14ac:dyDescent="0.25">
      <c r="A1924" s="14">
        <v>431993</v>
      </c>
      <c r="B1924" s="14" t="s">
        <v>2050</v>
      </c>
      <c r="C1924" s="14" t="s">
        <v>13030</v>
      </c>
      <c r="D1924" s="15">
        <v>34.799999999999997</v>
      </c>
      <c r="E1924" s="16" t="s">
        <v>30</v>
      </c>
    </row>
    <row r="1925" spans="1:5" x14ac:dyDescent="0.25">
      <c r="A1925" s="14">
        <v>432041</v>
      </c>
      <c r="B1925" s="14" t="s">
        <v>2051</v>
      </c>
      <c r="C1925" s="14" t="s">
        <v>13030</v>
      </c>
      <c r="D1925" s="15">
        <v>39.82</v>
      </c>
      <c r="E1925" s="16" t="s">
        <v>30</v>
      </c>
    </row>
    <row r="1926" spans="1:5" x14ac:dyDescent="0.25">
      <c r="A1926" s="14">
        <v>375645</v>
      </c>
      <c r="B1926" s="14" t="s">
        <v>2052</v>
      </c>
      <c r="C1926" s="14" t="s">
        <v>13031</v>
      </c>
      <c r="D1926" s="15">
        <v>11</v>
      </c>
      <c r="E1926" s="16" t="s">
        <v>20</v>
      </c>
    </row>
    <row r="1927" spans="1:5" x14ac:dyDescent="0.25">
      <c r="A1927" s="14">
        <v>432289</v>
      </c>
      <c r="B1927" s="14" t="s">
        <v>2053</v>
      </c>
      <c r="C1927" s="14" t="s">
        <v>13031</v>
      </c>
      <c r="D1927" s="15">
        <v>0.85</v>
      </c>
      <c r="E1927" s="16" t="s">
        <v>30</v>
      </c>
    </row>
    <row r="1928" spans="1:5" x14ac:dyDescent="0.25">
      <c r="A1928" s="14">
        <v>432304</v>
      </c>
      <c r="B1928" s="14" t="s">
        <v>2054</v>
      </c>
      <c r="C1928" s="14" t="s">
        <v>13031</v>
      </c>
      <c r="D1928" s="15">
        <v>8.3000000000000007</v>
      </c>
      <c r="E1928" s="16" t="s">
        <v>30</v>
      </c>
    </row>
    <row r="1929" spans="1:5" x14ac:dyDescent="0.25">
      <c r="A1929" s="14">
        <v>432305</v>
      </c>
      <c r="B1929" s="14" t="s">
        <v>2055</v>
      </c>
      <c r="C1929" s="14" t="s">
        <v>13031</v>
      </c>
      <c r="D1929" s="15">
        <v>8.9</v>
      </c>
      <c r="E1929" s="16" t="s">
        <v>30</v>
      </c>
    </row>
    <row r="1930" spans="1:5" x14ac:dyDescent="0.25">
      <c r="A1930" s="14">
        <v>376147</v>
      </c>
      <c r="B1930" s="14" t="s">
        <v>2056</v>
      </c>
      <c r="C1930" s="14" t="s">
        <v>13031</v>
      </c>
      <c r="D1930" s="15">
        <v>5.93</v>
      </c>
      <c r="E1930" s="16" t="s">
        <v>20</v>
      </c>
    </row>
    <row r="1931" spans="1:5" x14ac:dyDescent="0.25">
      <c r="A1931" s="14">
        <v>386411</v>
      </c>
      <c r="B1931" s="14" t="s">
        <v>2057</v>
      </c>
      <c r="C1931" s="14" t="s">
        <v>13030</v>
      </c>
      <c r="D1931" s="15">
        <v>50.95</v>
      </c>
      <c r="E1931" s="16" t="s">
        <v>20</v>
      </c>
    </row>
    <row r="1932" spans="1:5" x14ac:dyDescent="0.25">
      <c r="A1932" s="14">
        <v>407900</v>
      </c>
      <c r="B1932" s="14" t="s">
        <v>2058</v>
      </c>
      <c r="C1932" s="14" t="s">
        <v>13030</v>
      </c>
      <c r="D1932" s="15">
        <v>43.93</v>
      </c>
      <c r="E1932" s="16" t="s">
        <v>20</v>
      </c>
    </row>
    <row r="1933" spans="1:5" x14ac:dyDescent="0.25">
      <c r="A1933" s="14">
        <v>407901</v>
      </c>
      <c r="B1933" s="14" t="s">
        <v>2059</v>
      </c>
      <c r="C1933" s="14" t="s">
        <v>13030</v>
      </c>
      <c r="D1933" s="15">
        <v>39.770000000000003</v>
      </c>
      <c r="E1933" s="16" t="s">
        <v>20</v>
      </c>
    </row>
    <row r="1934" spans="1:5" x14ac:dyDescent="0.25">
      <c r="A1934" s="14">
        <v>432558</v>
      </c>
      <c r="B1934" s="14" t="s">
        <v>2060</v>
      </c>
      <c r="C1934" s="14" t="s">
        <v>13030</v>
      </c>
      <c r="D1934" s="15">
        <v>250.1</v>
      </c>
      <c r="E1934" s="16" t="s">
        <v>30</v>
      </c>
    </row>
    <row r="1935" spans="1:5" x14ac:dyDescent="0.25">
      <c r="A1935" s="14">
        <v>432576</v>
      </c>
      <c r="B1935" s="14" t="s">
        <v>2061</v>
      </c>
      <c r="C1935" s="14" t="s">
        <v>13030</v>
      </c>
      <c r="D1935" s="15">
        <v>45.54</v>
      </c>
      <c r="E1935" s="16" t="s">
        <v>30</v>
      </c>
    </row>
    <row r="1936" spans="1:5" x14ac:dyDescent="0.25">
      <c r="A1936" s="14">
        <v>433063</v>
      </c>
      <c r="B1936" s="14" t="s">
        <v>2062</v>
      </c>
      <c r="C1936" s="14" t="s">
        <v>13030</v>
      </c>
      <c r="D1936" s="15">
        <v>37.42</v>
      </c>
      <c r="E1936" s="16" t="s">
        <v>30</v>
      </c>
    </row>
    <row r="1937" spans="1:5" x14ac:dyDescent="0.25">
      <c r="A1937" s="14">
        <v>433064</v>
      </c>
      <c r="B1937" s="14" t="s">
        <v>2063</v>
      </c>
      <c r="C1937" s="14" t="s">
        <v>13030</v>
      </c>
      <c r="D1937" s="15">
        <v>34.42</v>
      </c>
      <c r="E1937" s="16" t="s">
        <v>30</v>
      </c>
    </row>
    <row r="1938" spans="1:5" x14ac:dyDescent="0.25">
      <c r="A1938" s="14">
        <v>433295</v>
      </c>
      <c r="B1938" s="14" t="s">
        <v>2064</v>
      </c>
      <c r="C1938" s="14" t="s">
        <v>13030</v>
      </c>
      <c r="D1938" s="15">
        <v>6.42</v>
      </c>
      <c r="E1938" s="16" t="s">
        <v>30</v>
      </c>
    </row>
    <row r="1939" spans="1:5" x14ac:dyDescent="0.25">
      <c r="A1939" s="14">
        <v>433471</v>
      </c>
      <c r="B1939" s="14" t="s">
        <v>2065</v>
      </c>
      <c r="C1939" s="14" t="s">
        <v>13030</v>
      </c>
      <c r="D1939" s="15">
        <v>31.2</v>
      </c>
      <c r="E1939" s="16" t="s">
        <v>30</v>
      </c>
    </row>
    <row r="1940" spans="1:5" x14ac:dyDescent="0.25">
      <c r="A1940" s="14">
        <v>433473</v>
      </c>
      <c r="B1940" s="14" t="s">
        <v>2066</v>
      </c>
      <c r="C1940" s="14" t="s">
        <v>13030</v>
      </c>
      <c r="D1940" s="15">
        <v>31.2</v>
      </c>
      <c r="E1940" s="16" t="s">
        <v>30</v>
      </c>
    </row>
    <row r="1941" spans="1:5" x14ac:dyDescent="0.25">
      <c r="A1941" s="14">
        <v>433640</v>
      </c>
      <c r="B1941" s="14" t="s">
        <v>2067</v>
      </c>
      <c r="C1941" s="14" t="s">
        <v>13029</v>
      </c>
      <c r="D1941" s="15">
        <v>4.79</v>
      </c>
      <c r="E1941" s="16" t="s">
        <v>30</v>
      </c>
    </row>
    <row r="1942" spans="1:5" x14ac:dyDescent="0.25">
      <c r="A1942" s="14">
        <v>407942</v>
      </c>
      <c r="B1942" s="14" t="s">
        <v>2068</v>
      </c>
      <c r="C1942" s="14" t="s">
        <v>13030</v>
      </c>
      <c r="D1942" s="15">
        <v>35.76</v>
      </c>
      <c r="E1942" s="16" t="s">
        <v>20</v>
      </c>
    </row>
    <row r="1943" spans="1:5" x14ac:dyDescent="0.25">
      <c r="A1943" s="14">
        <v>433737</v>
      </c>
      <c r="B1943" s="14" t="s">
        <v>2069</v>
      </c>
      <c r="C1943" s="14" t="s">
        <v>13031</v>
      </c>
      <c r="D1943" s="15">
        <v>1</v>
      </c>
      <c r="E1943" s="16" t="s">
        <v>30</v>
      </c>
    </row>
    <row r="1944" spans="1:5" x14ac:dyDescent="0.25">
      <c r="A1944" s="14">
        <v>433738</v>
      </c>
      <c r="B1944" s="14" t="s">
        <v>2070</v>
      </c>
      <c r="C1944" s="14" t="s">
        <v>13031</v>
      </c>
      <c r="D1944" s="15">
        <v>1.49</v>
      </c>
      <c r="E1944" s="16" t="s">
        <v>30</v>
      </c>
    </row>
    <row r="1945" spans="1:5" x14ac:dyDescent="0.25">
      <c r="A1945" s="14">
        <v>433739</v>
      </c>
      <c r="B1945" s="14" t="s">
        <v>2071</v>
      </c>
      <c r="C1945" s="14" t="s">
        <v>13031</v>
      </c>
      <c r="D1945" s="15">
        <v>1.44</v>
      </c>
      <c r="E1945" s="16" t="s">
        <v>30</v>
      </c>
    </row>
    <row r="1946" spans="1:5" x14ac:dyDescent="0.25">
      <c r="A1946" s="14">
        <v>433740</v>
      </c>
      <c r="B1946" s="14" t="s">
        <v>2072</v>
      </c>
      <c r="C1946" s="14" t="s">
        <v>13031</v>
      </c>
      <c r="D1946" s="15">
        <v>1.49</v>
      </c>
      <c r="E1946" s="16" t="s">
        <v>30</v>
      </c>
    </row>
    <row r="1947" spans="1:5" x14ac:dyDescent="0.25">
      <c r="A1947" s="14">
        <v>433741</v>
      </c>
      <c r="B1947" s="14" t="s">
        <v>2073</v>
      </c>
      <c r="C1947" s="14" t="s">
        <v>13031</v>
      </c>
      <c r="D1947" s="15">
        <v>1.19</v>
      </c>
      <c r="E1947" s="16" t="s">
        <v>30</v>
      </c>
    </row>
    <row r="1948" spans="1:5" x14ac:dyDescent="0.25">
      <c r="A1948" s="14">
        <v>433742</v>
      </c>
      <c r="B1948" s="14" t="s">
        <v>2074</v>
      </c>
      <c r="C1948" s="14" t="s">
        <v>13031</v>
      </c>
      <c r="D1948" s="15">
        <v>1.19</v>
      </c>
      <c r="E1948" s="16" t="s">
        <v>30</v>
      </c>
    </row>
    <row r="1949" spans="1:5" x14ac:dyDescent="0.25">
      <c r="A1949" s="14">
        <v>407944</v>
      </c>
      <c r="B1949" s="14" t="s">
        <v>2075</v>
      </c>
      <c r="C1949" s="14" t="s">
        <v>13030</v>
      </c>
      <c r="D1949" s="15">
        <v>94.35</v>
      </c>
      <c r="E1949" s="16" t="s">
        <v>20</v>
      </c>
    </row>
    <row r="1950" spans="1:5" x14ac:dyDescent="0.25">
      <c r="A1950" s="14">
        <v>434009</v>
      </c>
      <c r="B1950" s="14" t="s">
        <v>2076</v>
      </c>
      <c r="C1950" s="14" t="s">
        <v>13030</v>
      </c>
      <c r="D1950" s="15">
        <v>29.69</v>
      </c>
      <c r="E1950" s="16" t="s">
        <v>30</v>
      </c>
    </row>
    <row r="1951" spans="1:5" x14ac:dyDescent="0.25">
      <c r="A1951" s="14">
        <v>434010</v>
      </c>
      <c r="B1951" s="14" t="s">
        <v>2077</v>
      </c>
      <c r="C1951" s="14" t="s">
        <v>13030</v>
      </c>
      <c r="D1951" s="15">
        <v>60.41</v>
      </c>
      <c r="E1951" s="16" t="s">
        <v>30</v>
      </c>
    </row>
    <row r="1952" spans="1:5" x14ac:dyDescent="0.25">
      <c r="A1952" s="14">
        <v>434011</v>
      </c>
      <c r="B1952" s="14" t="s">
        <v>2078</v>
      </c>
      <c r="C1952" s="14" t="s">
        <v>13030</v>
      </c>
      <c r="D1952" s="15">
        <v>88.92</v>
      </c>
      <c r="E1952" s="16" t="s">
        <v>30</v>
      </c>
    </row>
    <row r="1953" spans="1:5" x14ac:dyDescent="0.25">
      <c r="A1953" s="14">
        <v>435376</v>
      </c>
      <c r="B1953" s="14" t="s">
        <v>2079</v>
      </c>
      <c r="C1953" s="14" t="s">
        <v>13031</v>
      </c>
      <c r="D1953" s="15">
        <v>108.91</v>
      </c>
      <c r="E1953" s="16" t="s">
        <v>30</v>
      </c>
    </row>
    <row r="1954" spans="1:5" x14ac:dyDescent="0.25">
      <c r="A1954" s="14">
        <v>436045</v>
      </c>
      <c r="B1954" s="14" t="s">
        <v>2080</v>
      </c>
      <c r="C1954" s="14" t="s">
        <v>13029</v>
      </c>
      <c r="D1954" s="15">
        <v>39.69</v>
      </c>
      <c r="E1954" s="14" t="s">
        <v>30</v>
      </c>
    </row>
    <row r="1955" spans="1:5" x14ac:dyDescent="0.25">
      <c r="A1955" s="14">
        <v>436076</v>
      </c>
      <c r="B1955" s="14" t="s">
        <v>2081</v>
      </c>
      <c r="C1955" s="14" t="s">
        <v>13029</v>
      </c>
      <c r="D1955" s="15">
        <v>36.28</v>
      </c>
      <c r="E1955" s="14" t="s">
        <v>30</v>
      </c>
    </row>
    <row r="1956" spans="1:5" x14ac:dyDescent="0.25">
      <c r="A1956" s="14">
        <v>436078</v>
      </c>
      <c r="B1956" s="14" t="s">
        <v>2082</v>
      </c>
      <c r="C1956" s="14" t="s">
        <v>13029</v>
      </c>
      <c r="D1956" s="15">
        <v>39.43</v>
      </c>
      <c r="E1956" s="14" t="s">
        <v>30</v>
      </c>
    </row>
    <row r="1957" spans="1:5" x14ac:dyDescent="0.25">
      <c r="A1957" s="14">
        <v>436439</v>
      </c>
      <c r="B1957" s="14" t="s">
        <v>2083</v>
      </c>
      <c r="C1957" s="14" t="s">
        <v>13029</v>
      </c>
      <c r="D1957" s="15">
        <v>10.62</v>
      </c>
      <c r="E1957" s="16" t="s">
        <v>30</v>
      </c>
    </row>
    <row r="1958" spans="1:5" x14ac:dyDescent="0.25">
      <c r="A1958" s="14">
        <v>437322</v>
      </c>
      <c r="B1958" s="14" t="s">
        <v>2084</v>
      </c>
      <c r="C1958" s="14" t="s">
        <v>13030</v>
      </c>
      <c r="D1958" s="15">
        <v>237.5</v>
      </c>
      <c r="E1958" s="16" t="s">
        <v>30</v>
      </c>
    </row>
    <row r="1959" spans="1:5" x14ac:dyDescent="0.25">
      <c r="A1959" s="14">
        <v>437324</v>
      </c>
      <c r="B1959" s="14" t="s">
        <v>2085</v>
      </c>
      <c r="C1959" s="14" t="s">
        <v>13030</v>
      </c>
      <c r="D1959" s="15">
        <v>49.45</v>
      </c>
      <c r="E1959" s="16" t="s">
        <v>30</v>
      </c>
    </row>
    <row r="1960" spans="1:5" x14ac:dyDescent="0.25">
      <c r="A1960" s="14">
        <v>437515</v>
      </c>
      <c r="B1960" s="14" t="s">
        <v>2086</v>
      </c>
      <c r="C1960" s="14" t="s">
        <v>13029</v>
      </c>
      <c r="D1960" s="15">
        <v>8.3000000000000007</v>
      </c>
      <c r="E1960" s="16" t="s">
        <v>30</v>
      </c>
    </row>
    <row r="1961" spans="1:5" x14ac:dyDescent="0.25">
      <c r="A1961" s="14">
        <v>437516</v>
      </c>
      <c r="B1961" s="14" t="s">
        <v>2087</v>
      </c>
      <c r="C1961" s="14" t="s">
        <v>13029</v>
      </c>
      <c r="D1961" s="15">
        <v>14.74</v>
      </c>
      <c r="E1961" s="16" t="s">
        <v>30</v>
      </c>
    </row>
    <row r="1962" spans="1:5" x14ac:dyDescent="0.25">
      <c r="A1962" s="14">
        <v>437517</v>
      </c>
      <c r="B1962" s="14" t="s">
        <v>2088</v>
      </c>
      <c r="C1962" s="14" t="s">
        <v>13029</v>
      </c>
      <c r="D1962" s="15">
        <v>11.29</v>
      </c>
      <c r="E1962" s="16" t="s">
        <v>30</v>
      </c>
    </row>
    <row r="1963" spans="1:5" x14ac:dyDescent="0.25">
      <c r="A1963" s="14">
        <v>437613</v>
      </c>
      <c r="B1963" s="14" t="s">
        <v>2089</v>
      </c>
      <c r="C1963" s="14" t="s">
        <v>13031</v>
      </c>
      <c r="D1963" s="15">
        <v>6.9</v>
      </c>
      <c r="E1963" s="16" t="s">
        <v>30</v>
      </c>
    </row>
    <row r="1964" spans="1:5" x14ac:dyDescent="0.25">
      <c r="A1964" s="14">
        <v>437738</v>
      </c>
      <c r="B1964" s="14" t="s">
        <v>2090</v>
      </c>
      <c r="C1964" s="14" t="s">
        <v>13030</v>
      </c>
      <c r="D1964" s="15">
        <v>34.409999999999997</v>
      </c>
      <c r="E1964" s="16" t="s">
        <v>30</v>
      </c>
    </row>
    <row r="1965" spans="1:5" x14ac:dyDescent="0.25">
      <c r="A1965" s="14">
        <v>438080</v>
      </c>
      <c r="B1965" s="14" t="s">
        <v>2091</v>
      </c>
      <c r="C1965" s="14" t="s">
        <v>13029</v>
      </c>
      <c r="D1965" s="15">
        <v>5.71</v>
      </c>
      <c r="E1965" s="16" t="s">
        <v>30</v>
      </c>
    </row>
    <row r="1966" spans="1:5" x14ac:dyDescent="0.25">
      <c r="A1966" s="14">
        <v>438370</v>
      </c>
      <c r="B1966" s="14" t="s">
        <v>2092</v>
      </c>
      <c r="C1966" s="14" t="s">
        <v>13031</v>
      </c>
      <c r="D1966" s="15">
        <v>7.46</v>
      </c>
      <c r="E1966" s="16" t="s">
        <v>30</v>
      </c>
    </row>
    <row r="1967" spans="1:5" x14ac:dyDescent="0.25">
      <c r="A1967" s="14">
        <v>438387</v>
      </c>
      <c r="B1967" s="14" t="s">
        <v>2093</v>
      </c>
      <c r="C1967" s="14" t="s">
        <v>13030</v>
      </c>
      <c r="D1967" s="15">
        <v>3.83</v>
      </c>
      <c r="E1967" s="16" t="s">
        <v>30</v>
      </c>
    </row>
    <row r="1968" spans="1:5" x14ac:dyDescent="0.25">
      <c r="A1968" s="14">
        <v>438390</v>
      </c>
      <c r="B1968" s="14" t="s">
        <v>2094</v>
      </c>
      <c r="C1968" s="14" t="s">
        <v>13030</v>
      </c>
      <c r="D1968" s="15">
        <v>3.83</v>
      </c>
      <c r="E1968" s="16" t="s">
        <v>30</v>
      </c>
    </row>
    <row r="1969" spans="1:5" x14ac:dyDescent="0.25">
      <c r="A1969" s="14">
        <v>439165</v>
      </c>
      <c r="B1969" s="14" t="s">
        <v>2095</v>
      </c>
      <c r="C1969" s="14" t="s">
        <v>13031</v>
      </c>
      <c r="D1969" s="15">
        <v>6.48</v>
      </c>
      <c r="E1969" s="16" t="s">
        <v>30</v>
      </c>
    </row>
    <row r="1970" spans="1:5" x14ac:dyDescent="0.25">
      <c r="A1970" s="14">
        <v>439431</v>
      </c>
      <c r="B1970" s="14" t="s">
        <v>2096</v>
      </c>
      <c r="C1970" s="14" t="s">
        <v>13031</v>
      </c>
      <c r="D1970" s="15">
        <v>8.5</v>
      </c>
      <c r="E1970" s="16" t="s">
        <v>30</v>
      </c>
    </row>
    <row r="1971" spans="1:5" x14ac:dyDescent="0.25">
      <c r="A1971" s="14">
        <v>439606</v>
      </c>
      <c r="B1971" s="14" t="s">
        <v>2097</v>
      </c>
      <c r="C1971" s="14" t="s">
        <v>13037</v>
      </c>
      <c r="D1971" s="15">
        <v>0.03</v>
      </c>
      <c r="E1971" s="16" t="s">
        <v>30</v>
      </c>
    </row>
    <row r="1972" spans="1:5" x14ac:dyDescent="0.25">
      <c r="A1972" s="14">
        <v>439770</v>
      </c>
      <c r="B1972" s="14" t="s">
        <v>2098</v>
      </c>
      <c r="C1972" s="14" t="s">
        <v>13030</v>
      </c>
      <c r="D1972" s="15">
        <v>55.81</v>
      </c>
      <c r="E1972" s="16" t="s">
        <v>30</v>
      </c>
    </row>
    <row r="1973" spans="1:5" x14ac:dyDescent="0.25">
      <c r="A1973" s="14">
        <v>439816</v>
      </c>
      <c r="B1973" s="14" t="s">
        <v>2099</v>
      </c>
      <c r="C1973" s="14" t="s">
        <v>13029</v>
      </c>
      <c r="D1973" s="15">
        <v>24</v>
      </c>
      <c r="E1973" s="16" t="s">
        <v>30</v>
      </c>
    </row>
    <row r="1974" spans="1:5" x14ac:dyDescent="0.25">
      <c r="A1974" s="14">
        <v>439836</v>
      </c>
      <c r="B1974" s="14" t="s">
        <v>2100</v>
      </c>
      <c r="C1974" s="14" t="s">
        <v>13029</v>
      </c>
      <c r="D1974" s="15">
        <v>6.4</v>
      </c>
      <c r="E1974" s="16" t="s">
        <v>30</v>
      </c>
    </row>
    <row r="1975" spans="1:5" x14ac:dyDescent="0.25">
      <c r="A1975" s="14">
        <v>439840</v>
      </c>
      <c r="B1975" s="14" t="s">
        <v>2101</v>
      </c>
      <c r="C1975" s="14" t="s">
        <v>13029</v>
      </c>
      <c r="D1975" s="15">
        <v>17.170000000000002</v>
      </c>
      <c r="E1975" s="16" t="s">
        <v>30</v>
      </c>
    </row>
    <row r="1976" spans="1:5" x14ac:dyDescent="0.25">
      <c r="A1976" s="14">
        <v>439856</v>
      </c>
      <c r="B1976" s="14" t="s">
        <v>2102</v>
      </c>
      <c r="C1976" s="14" t="s">
        <v>13029</v>
      </c>
      <c r="D1976" s="15">
        <v>2.84</v>
      </c>
      <c r="E1976" s="16" t="s">
        <v>30</v>
      </c>
    </row>
    <row r="1977" spans="1:5" x14ac:dyDescent="0.25">
      <c r="A1977" s="14">
        <v>439857</v>
      </c>
      <c r="B1977" s="14" t="s">
        <v>2103</v>
      </c>
      <c r="C1977" s="14" t="s">
        <v>13029</v>
      </c>
      <c r="D1977" s="15">
        <v>9.4</v>
      </c>
      <c r="E1977" s="16" t="s">
        <v>30</v>
      </c>
    </row>
    <row r="1978" spans="1:5" x14ac:dyDescent="0.25">
      <c r="A1978" s="14">
        <v>440045</v>
      </c>
      <c r="B1978" s="14" t="s">
        <v>2104</v>
      </c>
      <c r="C1978" s="14" t="s">
        <v>13030</v>
      </c>
      <c r="D1978" s="15">
        <v>59.02</v>
      </c>
      <c r="E1978" s="16" t="s">
        <v>30</v>
      </c>
    </row>
    <row r="1979" spans="1:5" x14ac:dyDescent="0.25">
      <c r="A1979" s="14">
        <v>440047</v>
      </c>
      <c r="B1979" s="14" t="s">
        <v>2105</v>
      </c>
      <c r="C1979" s="14" t="s">
        <v>13030</v>
      </c>
      <c r="D1979" s="15">
        <v>59.02</v>
      </c>
      <c r="E1979" s="16" t="s">
        <v>30</v>
      </c>
    </row>
    <row r="1980" spans="1:5" x14ac:dyDescent="0.25">
      <c r="A1980" s="14">
        <v>440048</v>
      </c>
      <c r="B1980" s="14" t="s">
        <v>2106</v>
      </c>
      <c r="C1980" s="14" t="s">
        <v>13030</v>
      </c>
      <c r="D1980" s="15">
        <v>59</v>
      </c>
      <c r="E1980" s="16" t="s">
        <v>30</v>
      </c>
    </row>
    <row r="1981" spans="1:5" x14ac:dyDescent="0.25">
      <c r="A1981" s="14">
        <v>440210</v>
      </c>
      <c r="B1981" s="14" t="s">
        <v>2107</v>
      </c>
      <c r="C1981" s="14" t="s">
        <v>13030</v>
      </c>
      <c r="D1981" s="15">
        <v>3.83</v>
      </c>
      <c r="E1981" s="16" t="s">
        <v>30</v>
      </c>
    </row>
    <row r="1982" spans="1:5" x14ac:dyDescent="0.25">
      <c r="A1982" s="14">
        <v>440704</v>
      </c>
      <c r="B1982" s="14" t="s">
        <v>2108</v>
      </c>
      <c r="C1982" s="14" t="s">
        <v>13030</v>
      </c>
      <c r="D1982" s="15">
        <v>14.71</v>
      </c>
      <c r="E1982" s="16" t="s">
        <v>30</v>
      </c>
    </row>
    <row r="1983" spans="1:5" x14ac:dyDescent="0.25">
      <c r="A1983" s="14">
        <v>441352</v>
      </c>
      <c r="B1983" s="14" t="s">
        <v>2109</v>
      </c>
      <c r="C1983" s="14" t="s">
        <v>13029</v>
      </c>
      <c r="D1983" s="15">
        <v>9.0399999999999991</v>
      </c>
      <c r="E1983" s="16" t="s">
        <v>30</v>
      </c>
    </row>
    <row r="1984" spans="1:5" x14ac:dyDescent="0.25">
      <c r="A1984" s="14">
        <v>441374</v>
      </c>
      <c r="B1984" s="14" t="s">
        <v>2110</v>
      </c>
      <c r="C1984" s="14" t="s">
        <v>13029</v>
      </c>
      <c r="D1984" s="15">
        <v>7.43</v>
      </c>
      <c r="E1984" s="16" t="s">
        <v>30</v>
      </c>
    </row>
    <row r="1985" spans="1:5" x14ac:dyDescent="0.25">
      <c r="A1985" s="14">
        <v>441661</v>
      </c>
      <c r="B1985" s="14" t="s">
        <v>125</v>
      </c>
      <c r="C1985" s="14" t="s">
        <v>13030</v>
      </c>
      <c r="D1985" s="15">
        <v>180.61</v>
      </c>
      <c r="E1985" s="16" t="s">
        <v>30</v>
      </c>
    </row>
    <row r="1986" spans="1:5" x14ac:dyDescent="0.25">
      <c r="A1986" s="14">
        <v>441664</v>
      </c>
      <c r="B1986" s="14" t="s">
        <v>2111</v>
      </c>
      <c r="C1986" s="14" t="s">
        <v>13030</v>
      </c>
      <c r="D1986" s="15">
        <v>173.66</v>
      </c>
      <c r="E1986" s="16" t="s">
        <v>30</v>
      </c>
    </row>
    <row r="1987" spans="1:5" x14ac:dyDescent="0.25">
      <c r="A1987" s="14">
        <v>441808</v>
      </c>
      <c r="B1987" s="14" t="s">
        <v>2112</v>
      </c>
      <c r="C1987" s="14" t="s">
        <v>13031</v>
      </c>
      <c r="D1987" s="15">
        <v>11.23</v>
      </c>
      <c r="E1987" s="16" t="s">
        <v>30</v>
      </c>
    </row>
    <row r="1988" spans="1:5" x14ac:dyDescent="0.25">
      <c r="A1988" s="14">
        <v>441809</v>
      </c>
      <c r="B1988" s="14" t="s">
        <v>2113</v>
      </c>
      <c r="C1988" s="14" t="s">
        <v>13031</v>
      </c>
      <c r="D1988" s="15">
        <v>11.23</v>
      </c>
      <c r="E1988" s="16" t="s">
        <v>30</v>
      </c>
    </row>
    <row r="1989" spans="1:5" x14ac:dyDescent="0.25">
      <c r="A1989" s="14">
        <v>442082</v>
      </c>
      <c r="B1989" s="14" t="s">
        <v>2114</v>
      </c>
      <c r="C1989" s="14" t="s">
        <v>13030</v>
      </c>
      <c r="D1989" s="15">
        <v>22.25</v>
      </c>
      <c r="E1989" s="16" t="s">
        <v>30</v>
      </c>
    </row>
    <row r="1990" spans="1:5" x14ac:dyDescent="0.25">
      <c r="A1990" s="14">
        <v>442085</v>
      </c>
      <c r="B1990" s="14" t="s">
        <v>2115</v>
      </c>
      <c r="C1990" s="14" t="s">
        <v>13030</v>
      </c>
      <c r="D1990" s="15">
        <v>27.84</v>
      </c>
      <c r="E1990" s="16" t="s">
        <v>30</v>
      </c>
    </row>
    <row r="1991" spans="1:5" x14ac:dyDescent="0.25">
      <c r="A1991" s="14">
        <v>442242</v>
      </c>
      <c r="B1991" s="14" t="s">
        <v>2116</v>
      </c>
      <c r="C1991" s="14" t="s">
        <v>13029</v>
      </c>
      <c r="D1991" s="15">
        <v>6.07</v>
      </c>
      <c r="E1991" s="16" t="s">
        <v>30</v>
      </c>
    </row>
    <row r="1992" spans="1:5" x14ac:dyDescent="0.25">
      <c r="A1992" s="14">
        <v>442359</v>
      </c>
      <c r="B1992" s="14" t="s">
        <v>2117</v>
      </c>
      <c r="C1992" s="14" t="s">
        <v>13029</v>
      </c>
      <c r="D1992" s="15">
        <v>19.010000000000002</v>
      </c>
      <c r="E1992" s="16" t="s">
        <v>30</v>
      </c>
    </row>
    <row r="1993" spans="1:5" x14ac:dyDescent="0.25">
      <c r="A1993" s="14">
        <v>442360</v>
      </c>
      <c r="B1993" s="14" t="s">
        <v>2118</v>
      </c>
      <c r="C1993" s="14" t="s">
        <v>13031</v>
      </c>
      <c r="D1993" s="15">
        <v>20.49</v>
      </c>
      <c r="E1993" s="14" t="s">
        <v>30</v>
      </c>
    </row>
    <row r="1994" spans="1:5" x14ac:dyDescent="0.25">
      <c r="A1994" s="14">
        <v>442972</v>
      </c>
      <c r="B1994" s="14" t="s">
        <v>2119</v>
      </c>
      <c r="C1994" s="14" t="s">
        <v>13033</v>
      </c>
      <c r="D1994" s="15">
        <v>9.67</v>
      </c>
      <c r="E1994" s="16" t="s">
        <v>30</v>
      </c>
    </row>
    <row r="1995" spans="1:5" x14ac:dyDescent="0.25">
      <c r="A1995" s="14">
        <v>443092</v>
      </c>
      <c r="B1995" s="14" t="s">
        <v>2120</v>
      </c>
      <c r="C1995" s="14" t="s">
        <v>13029</v>
      </c>
      <c r="D1995" s="15">
        <v>6.1</v>
      </c>
      <c r="E1995" s="16" t="s">
        <v>30</v>
      </c>
    </row>
    <row r="1996" spans="1:5" x14ac:dyDescent="0.25">
      <c r="A1996" s="14">
        <v>443568</v>
      </c>
      <c r="B1996" s="14" t="s">
        <v>2121</v>
      </c>
      <c r="C1996" s="14" t="s">
        <v>13030</v>
      </c>
      <c r="D1996" s="15">
        <v>6.88</v>
      </c>
      <c r="E1996" s="16" t="s">
        <v>30</v>
      </c>
    </row>
    <row r="1997" spans="1:5" x14ac:dyDescent="0.25">
      <c r="A1997" s="14">
        <v>443658</v>
      </c>
      <c r="B1997" s="14" t="s">
        <v>2122</v>
      </c>
      <c r="C1997" s="14" t="s">
        <v>13031</v>
      </c>
      <c r="D1997" s="15">
        <v>27.82</v>
      </c>
      <c r="E1997" s="16" t="s">
        <v>30</v>
      </c>
    </row>
    <row r="1998" spans="1:5" x14ac:dyDescent="0.25">
      <c r="A1998" s="14">
        <v>407945</v>
      </c>
      <c r="B1998" s="14" t="s">
        <v>2123</v>
      </c>
      <c r="C1998" s="14" t="s">
        <v>13030</v>
      </c>
      <c r="D1998" s="15">
        <v>43.14</v>
      </c>
      <c r="E1998" s="16" t="s">
        <v>20</v>
      </c>
    </row>
    <row r="1999" spans="1:5" x14ac:dyDescent="0.25">
      <c r="A1999" s="14">
        <v>443908</v>
      </c>
      <c r="B1999" s="14" t="s">
        <v>2124</v>
      </c>
      <c r="C1999" s="14" t="s">
        <v>13031</v>
      </c>
      <c r="D1999" s="15">
        <v>6.84</v>
      </c>
      <c r="E1999" s="16" t="s">
        <v>30</v>
      </c>
    </row>
    <row r="2000" spans="1:5" x14ac:dyDescent="0.25">
      <c r="A2000" s="14">
        <v>443998</v>
      </c>
      <c r="B2000" s="14" t="s">
        <v>2125</v>
      </c>
      <c r="C2000" s="14" t="s">
        <v>13030</v>
      </c>
      <c r="D2000" s="15">
        <v>4.95</v>
      </c>
      <c r="E2000" s="16" t="s">
        <v>30</v>
      </c>
    </row>
    <row r="2001" spans="1:5" x14ac:dyDescent="0.25">
      <c r="A2001" s="14">
        <v>444062</v>
      </c>
      <c r="B2001" s="14" t="s">
        <v>2126</v>
      </c>
      <c r="C2001" s="14" t="s">
        <v>13030</v>
      </c>
      <c r="D2001" s="15">
        <v>19.89</v>
      </c>
      <c r="E2001" s="16" t="s">
        <v>30</v>
      </c>
    </row>
    <row r="2002" spans="1:5" x14ac:dyDescent="0.25">
      <c r="A2002" s="14">
        <v>444697</v>
      </c>
      <c r="B2002" s="14" t="s">
        <v>2127</v>
      </c>
      <c r="C2002" s="14" t="s">
        <v>13030</v>
      </c>
      <c r="D2002" s="15">
        <v>136.80000000000001</v>
      </c>
      <c r="E2002" s="16" t="s">
        <v>30</v>
      </c>
    </row>
    <row r="2003" spans="1:5" x14ac:dyDescent="0.25">
      <c r="A2003" s="14">
        <v>444698</v>
      </c>
      <c r="B2003" s="14" t="s">
        <v>2128</v>
      </c>
      <c r="C2003" s="14" t="s">
        <v>13030</v>
      </c>
      <c r="D2003" s="15">
        <v>41.38</v>
      </c>
      <c r="E2003" s="16" t="s">
        <v>30</v>
      </c>
    </row>
    <row r="2004" spans="1:5" x14ac:dyDescent="0.25">
      <c r="A2004" s="14">
        <v>444730</v>
      </c>
      <c r="B2004" s="14" t="s">
        <v>2129</v>
      </c>
      <c r="C2004" s="14" t="s">
        <v>13030</v>
      </c>
      <c r="D2004" s="15">
        <v>20.04</v>
      </c>
      <c r="E2004" s="16" t="s">
        <v>30</v>
      </c>
    </row>
    <row r="2005" spans="1:5" x14ac:dyDescent="0.25">
      <c r="A2005" s="14">
        <v>444732</v>
      </c>
      <c r="B2005" s="14" t="s">
        <v>2130</v>
      </c>
      <c r="C2005" s="14" t="s">
        <v>13030</v>
      </c>
      <c r="D2005" s="15">
        <v>22.73</v>
      </c>
      <c r="E2005" s="16" t="s">
        <v>30</v>
      </c>
    </row>
    <row r="2006" spans="1:5" x14ac:dyDescent="0.25">
      <c r="A2006" s="14">
        <v>445006</v>
      </c>
      <c r="B2006" s="14" t="s">
        <v>2131</v>
      </c>
      <c r="C2006" s="14" t="s">
        <v>13030</v>
      </c>
      <c r="D2006" s="15">
        <v>32.42</v>
      </c>
      <c r="E2006" s="16" t="s">
        <v>30</v>
      </c>
    </row>
    <row r="2007" spans="1:5" x14ac:dyDescent="0.25">
      <c r="A2007" s="14">
        <v>445008</v>
      </c>
      <c r="B2007" s="14" t="s">
        <v>2132</v>
      </c>
      <c r="C2007" s="14" t="s">
        <v>13030</v>
      </c>
      <c r="D2007" s="15">
        <v>22.86</v>
      </c>
      <c r="E2007" s="16" t="s">
        <v>30</v>
      </c>
    </row>
    <row r="2008" spans="1:5" x14ac:dyDescent="0.25">
      <c r="A2008" s="14">
        <v>445379</v>
      </c>
      <c r="B2008" s="14" t="s">
        <v>2133</v>
      </c>
      <c r="C2008" s="14" t="s">
        <v>13030</v>
      </c>
      <c r="D2008" s="15">
        <v>14.4</v>
      </c>
      <c r="E2008" s="16" t="s">
        <v>30</v>
      </c>
    </row>
    <row r="2009" spans="1:5" x14ac:dyDescent="0.25">
      <c r="A2009" s="14">
        <v>445665</v>
      </c>
      <c r="B2009" s="14" t="s">
        <v>2134</v>
      </c>
      <c r="C2009" s="14" t="s">
        <v>13029</v>
      </c>
      <c r="D2009" s="15">
        <v>7.14</v>
      </c>
      <c r="E2009" s="16" t="s">
        <v>30</v>
      </c>
    </row>
    <row r="2010" spans="1:5" x14ac:dyDescent="0.25">
      <c r="A2010" s="14">
        <v>446132</v>
      </c>
      <c r="B2010" s="14" t="s">
        <v>2135</v>
      </c>
      <c r="C2010" s="14" t="s">
        <v>13030</v>
      </c>
      <c r="D2010" s="15">
        <v>2.66</v>
      </c>
      <c r="E2010" s="16" t="s">
        <v>30</v>
      </c>
    </row>
    <row r="2011" spans="1:5" x14ac:dyDescent="0.25">
      <c r="A2011" s="14">
        <v>446133</v>
      </c>
      <c r="B2011" s="14" t="s">
        <v>2136</v>
      </c>
      <c r="C2011" s="14" t="s">
        <v>13030</v>
      </c>
      <c r="D2011" s="15">
        <v>2.66</v>
      </c>
      <c r="E2011" s="16" t="s">
        <v>30</v>
      </c>
    </row>
    <row r="2012" spans="1:5" x14ac:dyDescent="0.25">
      <c r="A2012" s="14">
        <v>446503</v>
      </c>
      <c r="B2012" s="14" t="s">
        <v>2137</v>
      </c>
      <c r="C2012" s="14" t="s">
        <v>13031</v>
      </c>
      <c r="D2012" s="15">
        <v>31.65</v>
      </c>
      <c r="E2012" s="16" t="s">
        <v>30</v>
      </c>
    </row>
    <row r="2013" spans="1:5" x14ac:dyDescent="0.25">
      <c r="A2013" s="14">
        <v>446547</v>
      </c>
      <c r="B2013" s="14" t="s">
        <v>2138</v>
      </c>
      <c r="C2013" s="14" t="s">
        <v>13031</v>
      </c>
      <c r="D2013" s="15">
        <v>27.9</v>
      </c>
      <c r="E2013" s="16" t="s">
        <v>30</v>
      </c>
    </row>
    <row r="2014" spans="1:5" x14ac:dyDescent="0.25">
      <c r="A2014" s="14">
        <v>446884</v>
      </c>
      <c r="B2014" s="14" t="s">
        <v>2139</v>
      </c>
      <c r="C2014" s="14" t="s">
        <v>13029</v>
      </c>
      <c r="D2014" s="15">
        <v>8.3699999999999992</v>
      </c>
      <c r="E2014" s="16" t="s">
        <v>30</v>
      </c>
    </row>
    <row r="2015" spans="1:5" x14ac:dyDescent="0.25">
      <c r="A2015" s="14">
        <v>446898</v>
      </c>
      <c r="B2015" s="14" t="s">
        <v>2140</v>
      </c>
      <c r="C2015" s="14" t="s">
        <v>13031</v>
      </c>
      <c r="D2015" s="15">
        <v>4.72</v>
      </c>
      <c r="E2015" s="16" t="s">
        <v>30</v>
      </c>
    </row>
    <row r="2016" spans="1:5" x14ac:dyDescent="0.25">
      <c r="A2016" s="14">
        <v>446955</v>
      </c>
      <c r="B2016" s="14" t="s">
        <v>2141</v>
      </c>
      <c r="C2016" s="14" t="s">
        <v>13031</v>
      </c>
      <c r="D2016" s="15">
        <v>15.09</v>
      </c>
      <c r="E2016" s="16" t="s">
        <v>30</v>
      </c>
    </row>
    <row r="2017" spans="1:5" x14ac:dyDescent="0.25">
      <c r="A2017" s="14">
        <v>400497</v>
      </c>
      <c r="B2017" s="14" t="s">
        <v>2142</v>
      </c>
      <c r="C2017" s="14" t="s">
        <v>13030</v>
      </c>
      <c r="D2017" s="15">
        <v>79.239999999999995</v>
      </c>
      <c r="E2017" s="16" t="s">
        <v>20</v>
      </c>
    </row>
    <row r="2018" spans="1:5" x14ac:dyDescent="0.25">
      <c r="A2018" s="14">
        <v>446956</v>
      </c>
      <c r="B2018" s="14" t="s">
        <v>2143</v>
      </c>
      <c r="C2018" s="14" t="s">
        <v>13031</v>
      </c>
      <c r="D2018" s="15">
        <v>11.87</v>
      </c>
      <c r="E2018" s="16" t="s">
        <v>30</v>
      </c>
    </row>
    <row r="2019" spans="1:5" x14ac:dyDescent="0.25">
      <c r="A2019" s="14">
        <v>433569</v>
      </c>
      <c r="B2019" s="14" t="s">
        <v>2144</v>
      </c>
      <c r="C2019" s="14" t="s">
        <v>13030</v>
      </c>
      <c r="D2019" s="15">
        <v>19.89</v>
      </c>
      <c r="E2019" s="16" t="s">
        <v>20</v>
      </c>
    </row>
    <row r="2020" spans="1:5" x14ac:dyDescent="0.25">
      <c r="A2020" s="14">
        <v>433571</v>
      </c>
      <c r="B2020" s="14" t="s">
        <v>2145</v>
      </c>
      <c r="C2020" s="14" t="s">
        <v>13030</v>
      </c>
      <c r="D2020" s="15">
        <v>30.86</v>
      </c>
      <c r="E2020" s="16" t="s">
        <v>20</v>
      </c>
    </row>
    <row r="2021" spans="1:5" x14ac:dyDescent="0.25">
      <c r="A2021" s="14">
        <v>392303</v>
      </c>
      <c r="B2021" s="14" t="s">
        <v>2146</v>
      </c>
      <c r="C2021" s="14" t="s">
        <v>13031</v>
      </c>
      <c r="D2021" s="15">
        <v>10.67</v>
      </c>
      <c r="E2021" s="16" t="s">
        <v>20</v>
      </c>
    </row>
    <row r="2022" spans="1:5" x14ac:dyDescent="0.25">
      <c r="A2022" s="14">
        <v>447289</v>
      </c>
      <c r="B2022" s="14" t="s">
        <v>2147</v>
      </c>
      <c r="C2022" s="14" t="s">
        <v>13031</v>
      </c>
      <c r="D2022" s="15">
        <v>10.29</v>
      </c>
      <c r="E2022" s="16" t="s">
        <v>30</v>
      </c>
    </row>
    <row r="2023" spans="1:5" x14ac:dyDescent="0.25">
      <c r="A2023" s="14">
        <v>447857</v>
      </c>
      <c r="B2023" s="14" t="s">
        <v>2148</v>
      </c>
      <c r="C2023" s="14" t="s">
        <v>13030</v>
      </c>
      <c r="D2023" s="15">
        <v>126.18</v>
      </c>
      <c r="E2023" s="16" t="s">
        <v>30</v>
      </c>
    </row>
    <row r="2024" spans="1:5" x14ac:dyDescent="0.25">
      <c r="A2024" s="14">
        <v>448613</v>
      </c>
      <c r="B2024" s="14" t="s">
        <v>2149</v>
      </c>
      <c r="C2024" s="14" t="s">
        <v>13030</v>
      </c>
      <c r="D2024" s="15">
        <v>47.9</v>
      </c>
      <c r="E2024" s="16" t="s">
        <v>30</v>
      </c>
    </row>
    <row r="2025" spans="1:5" x14ac:dyDescent="0.25">
      <c r="A2025" s="14">
        <v>448705</v>
      </c>
      <c r="B2025" s="14" t="s">
        <v>2150</v>
      </c>
      <c r="C2025" s="14" t="s">
        <v>13030</v>
      </c>
      <c r="D2025" s="15">
        <v>20.7</v>
      </c>
      <c r="E2025" s="16" t="s">
        <v>30</v>
      </c>
    </row>
    <row r="2026" spans="1:5" x14ac:dyDescent="0.25">
      <c r="A2026" s="14">
        <v>448706</v>
      </c>
      <c r="B2026" s="14" t="s">
        <v>2151</v>
      </c>
      <c r="C2026" s="14" t="s">
        <v>13030</v>
      </c>
      <c r="D2026" s="15">
        <v>26.64</v>
      </c>
      <c r="E2026" s="16" t="s">
        <v>30</v>
      </c>
    </row>
    <row r="2027" spans="1:5" x14ac:dyDescent="0.25">
      <c r="A2027" s="14">
        <v>448707</v>
      </c>
      <c r="B2027" s="14" t="s">
        <v>2152</v>
      </c>
      <c r="C2027" s="14" t="s">
        <v>13030</v>
      </c>
      <c r="D2027" s="15">
        <v>26.64</v>
      </c>
      <c r="E2027" s="16" t="s">
        <v>30</v>
      </c>
    </row>
    <row r="2028" spans="1:5" x14ac:dyDescent="0.25">
      <c r="A2028" s="14">
        <v>448708</v>
      </c>
      <c r="B2028" s="14" t="s">
        <v>2153</v>
      </c>
      <c r="C2028" s="14" t="s">
        <v>13030</v>
      </c>
      <c r="D2028" s="15">
        <v>35.53</v>
      </c>
      <c r="E2028" s="16" t="s">
        <v>30</v>
      </c>
    </row>
    <row r="2029" spans="1:5" x14ac:dyDescent="0.25">
      <c r="A2029" s="14">
        <v>392304</v>
      </c>
      <c r="B2029" s="14" t="s">
        <v>2154</v>
      </c>
      <c r="C2029" s="14" t="s">
        <v>13031</v>
      </c>
      <c r="D2029" s="15">
        <v>8.3699999999999992</v>
      </c>
      <c r="E2029" s="16" t="s">
        <v>20</v>
      </c>
    </row>
    <row r="2030" spans="1:5" x14ac:dyDescent="0.25">
      <c r="A2030" s="14">
        <v>448805</v>
      </c>
      <c r="B2030" s="14" t="s">
        <v>2155</v>
      </c>
      <c r="C2030" s="14" t="s">
        <v>13030</v>
      </c>
      <c r="D2030" s="15">
        <v>1.91</v>
      </c>
      <c r="E2030" s="16" t="s">
        <v>30</v>
      </c>
    </row>
    <row r="2031" spans="1:5" x14ac:dyDescent="0.25">
      <c r="A2031" s="14">
        <v>448820</v>
      </c>
      <c r="B2031" s="14" t="s">
        <v>2156</v>
      </c>
      <c r="C2031" s="14" t="s">
        <v>13030</v>
      </c>
      <c r="D2031" s="15">
        <v>1.49</v>
      </c>
      <c r="E2031" s="16" t="s">
        <v>30</v>
      </c>
    </row>
    <row r="2032" spans="1:5" x14ac:dyDescent="0.25">
      <c r="A2032" s="14">
        <v>448821</v>
      </c>
      <c r="B2032" s="14" t="s">
        <v>2157</v>
      </c>
      <c r="C2032" s="14" t="s">
        <v>13030</v>
      </c>
      <c r="D2032" s="15">
        <v>1.49</v>
      </c>
      <c r="E2032" s="16" t="s">
        <v>30</v>
      </c>
    </row>
    <row r="2033" spans="1:5" x14ac:dyDescent="0.25">
      <c r="A2033" s="14">
        <v>448822</v>
      </c>
      <c r="B2033" s="14" t="s">
        <v>2158</v>
      </c>
      <c r="C2033" s="14" t="s">
        <v>13030</v>
      </c>
      <c r="D2033" s="15">
        <v>1.49</v>
      </c>
      <c r="E2033" s="16" t="s">
        <v>30</v>
      </c>
    </row>
    <row r="2034" spans="1:5" x14ac:dyDescent="0.25">
      <c r="A2034" s="14">
        <v>449568</v>
      </c>
      <c r="B2034" s="14" t="s">
        <v>2159</v>
      </c>
      <c r="C2034" s="14" t="s">
        <v>13031</v>
      </c>
      <c r="D2034" s="15">
        <v>9.17</v>
      </c>
      <c r="E2034" s="16" t="s">
        <v>30</v>
      </c>
    </row>
    <row r="2035" spans="1:5" x14ac:dyDescent="0.25">
      <c r="A2035" s="14">
        <v>449570</v>
      </c>
      <c r="B2035" s="14" t="s">
        <v>2160</v>
      </c>
      <c r="C2035" s="14" t="s">
        <v>13030</v>
      </c>
      <c r="D2035" s="15">
        <v>31.2</v>
      </c>
      <c r="E2035" s="16" t="s">
        <v>30</v>
      </c>
    </row>
    <row r="2036" spans="1:5" x14ac:dyDescent="0.25">
      <c r="A2036" s="14">
        <v>449571</v>
      </c>
      <c r="B2036" s="14" t="s">
        <v>2161</v>
      </c>
      <c r="C2036" s="14" t="s">
        <v>13030</v>
      </c>
      <c r="D2036" s="15">
        <v>17.96</v>
      </c>
      <c r="E2036" s="16" t="s">
        <v>30</v>
      </c>
    </row>
    <row r="2037" spans="1:5" x14ac:dyDescent="0.25">
      <c r="A2037" s="14">
        <v>449599</v>
      </c>
      <c r="B2037" s="14" t="s">
        <v>2162</v>
      </c>
      <c r="C2037" s="14" t="s">
        <v>13029</v>
      </c>
      <c r="D2037" s="15">
        <v>15.8</v>
      </c>
      <c r="E2037" s="16" t="s">
        <v>30</v>
      </c>
    </row>
    <row r="2038" spans="1:5" x14ac:dyDescent="0.25">
      <c r="A2038" s="14">
        <v>449945</v>
      </c>
      <c r="B2038" s="14" t="s">
        <v>2163</v>
      </c>
      <c r="C2038" s="14" t="s">
        <v>13030</v>
      </c>
      <c r="D2038" s="15">
        <v>50.35</v>
      </c>
      <c r="E2038" s="16" t="s">
        <v>30</v>
      </c>
    </row>
    <row r="2039" spans="1:5" x14ac:dyDescent="0.25">
      <c r="A2039" s="14">
        <v>450564</v>
      </c>
      <c r="B2039" s="14" t="s">
        <v>2164</v>
      </c>
      <c r="C2039" s="14" t="s">
        <v>13031</v>
      </c>
      <c r="D2039" s="15">
        <v>13.59</v>
      </c>
      <c r="E2039" s="16" t="s">
        <v>30</v>
      </c>
    </row>
    <row r="2040" spans="1:5" x14ac:dyDescent="0.25">
      <c r="A2040" s="14">
        <v>450567</v>
      </c>
      <c r="B2040" s="14" t="s">
        <v>2165</v>
      </c>
      <c r="C2040" s="14" t="s">
        <v>13031</v>
      </c>
      <c r="D2040" s="15">
        <v>13.59</v>
      </c>
      <c r="E2040" s="16" t="s">
        <v>30</v>
      </c>
    </row>
    <row r="2041" spans="1:5" x14ac:dyDescent="0.25">
      <c r="A2041" s="14">
        <v>450744</v>
      </c>
      <c r="B2041" s="14" t="s">
        <v>2166</v>
      </c>
      <c r="C2041" s="14" t="s">
        <v>13030</v>
      </c>
      <c r="D2041" s="15">
        <v>83.32</v>
      </c>
      <c r="E2041" s="16" t="s">
        <v>30</v>
      </c>
    </row>
    <row r="2042" spans="1:5" x14ac:dyDescent="0.25">
      <c r="A2042" s="14">
        <v>450759</v>
      </c>
      <c r="B2042" s="14" t="s">
        <v>2167</v>
      </c>
      <c r="C2042" s="14" t="s">
        <v>13030</v>
      </c>
      <c r="D2042" s="15">
        <v>14.4</v>
      </c>
      <c r="E2042" s="16" t="s">
        <v>30</v>
      </c>
    </row>
    <row r="2043" spans="1:5" x14ac:dyDescent="0.25">
      <c r="A2043" s="14">
        <v>451418</v>
      </c>
      <c r="B2043" s="14" t="s">
        <v>2168</v>
      </c>
      <c r="C2043" s="14" t="s">
        <v>13029</v>
      </c>
      <c r="D2043" s="15">
        <v>8.35</v>
      </c>
      <c r="E2043" s="16" t="s">
        <v>30</v>
      </c>
    </row>
    <row r="2044" spans="1:5" x14ac:dyDescent="0.25">
      <c r="A2044" s="14">
        <v>451453</v>
      </c>
      <c r="B2044" s="14" t="s">
        <v>2169</v>
      </c>
      <c r="C2044" s="14" t="s">
        <v>13029</v>
      </c>
      <c r="D2044" s="15">
        <v>20.260000000000002</v>
      </c>
      <c r="E2044" s="16" t="s">
        <v>30</v>
      </c>
    </row>
    <row r="2045" spans="1:5" x14ac:dyDescent="0.25">
      <c r="A2045" s="14">
        <v>451944</v>
      </c>
      <c r="B2045" s="14" t="s">
        <v>2170</v>
      </c>
      <c r="C2045" s="14" t="s">
        <v>13029</v>
      </c>
      <c r="D2045" s="15">
        <v>29.29</v>
      </c>
      <c r="E2045" s="14" t="s">
        <v>30</v>
      </c>
    </row>
    <row r="2046" spans="1:5" x14ac:dyDescent="0.25">
      <c r="A2046" s="14">
        <v>452086</v>
      </c>
      <c r="B2046" s="14" t="s">
        <v>2171</v>
      </c>
      <c r="C2046" s="14" t="s">
        <v>13029</v>
      </c>
      <c r="D2046" s="15">
        <v>16.86</v>
      </c>
      <c r="E2046" s="16" t="s">
        <v>30</v>
      </c>
    </row>
    <row r="2047" spans="1:5" x14ac:dyDescent="0.25">
      <c r="A2047" s="14">
        <v>452311</v>
      </c>
      <c r="B2047" s="14" t="s">
        <v>2172</v>
      </c>
      <c r="C2047" s="14" t="s">
        <v>13030</v>
      </c>
      <c r="D2047" s="15">
        <v>24.87</v>
      </c>
      <c r="E2047" s="16" t="s">
        <v>30</v>
      </c>
    </row>
    <row r="2048" spans="1:5" x14ac:dyDescent="0.25">
      <c r="A2048" s="14">
        <v>452383</v>
      </c>
      <c r="B2048" s="14" t="s">
        <v>2173</v>
      </c>
      <c r="C2048" s="14" t="s">
        <v>13031</v>
      </c>
      <c r="D2048" s="15">
        <v>23.4</v>
      </c>
      <c r="E2048" s="16" t="s">
        <v>30</v>
      </c>
    </row>
    <row r="2049" spans="1:5" x14ac:dyDescent="0.25">
      <c r="A2049" s="14">
        <v>452385</v>
      </c>
      <c r="B2049" s="14" t="s">
        <v>2174</v>
      </c>
      <c r="C2049" s="14" t="s">
        <v>13031</v>
      </c>
      <c r="D2049" s="15">
        <v>6.74</v>
      </c>
      <c r="E2049" s="16" t="s">
        <v>30</v>
      </c>
    </row>
    <row r="2050" spans="1:5" x14ac:dyDescent="0.25">
      <c r="A2050" s="14">
        <v>452392</v>
      </c>
      <c r="B2050" s="14" t="s">
        <v>2175</v>
      </c>
      <c r="C2050" s="14" t="s">
        <v>13030</v>
      </c>
      <c r="D2050" s="15">
        <v>6.31</v>
      </c>
      <c r="E2050" s="16" t="s">
        <v>30</v>
      </c>
    </row>
    <row r="2051" spans="1:5" x14ac:dyDescent="0.25">
      <c r="A2051" s="14">
        <v>452524</v>
      </c>
      <c r="B2051" s="14" t="s">
        <v>2176</v>
      </c>
      <c r="C2051" s="14" t="s">
        <v>13029</v>
      </c>
      <c r="D2051" s="15">
        <v>13.43</v>
      </c>
      <c r="E2051" s="16" t="s">
        <v>30</v>
      </c>
    </row>
    <row r="2052" spans="1:5" x14ac:dyDescent="0.25">
      <c r="A2052" s="14">
        <v>452710</v>
      </c>
      <c r="B2052" s="14" t="s">
        <v>2177</v>
      </c>
      <c r="C2052" s="14" t="s">
        <v>13029</v>
      </c>
      <c r="D2052" s="15">
        <v>6.27</v>
      </c>
      <c r="E2052" s="16" t="s">
        <v>30</v>
      </c>
    </row>
    <row r="2053" spans="1:5" x14ac:dyDescent="0.25">
      <c r="A2053" s="14">
        <v>452711</v>
      </c>
      <c r="B2053" s="14" t="s">
        <v>2178</v>
      </c>
      <c r="C2053" s="14" t="s">
        <v>13029</v>
      </c>
      <c r="D2053" s="15">
        <v>5.85</v>
      </c>
      <c r="E2053" s="16" t="s">
        <v>30</v>
      </c>
    </row>
    <row r="2054" spans="1:5" x14ac:dyDescent="0.25">
      <c r="A2054" s="14">
        <v>452961</v>
      </c>
      <c r="B2054" s="14" t="s">
        <v>2179</v>
      </c>
      <c r="C2054" s="14" t="s">
        <v>13030</v>
      </c>
      <c r="D2054" s="15">
        <v>43.15</v>
      </c>
      <c r="E2054" s="14" t="s">
        <v>30</v>
      </c>
    </row>
    <row r="2055" spans="1:5" x14ac:dyDescent="0.25">
      <c r="A2055" s="14">
        <v>453689</v>
      </c>
      <c r="B2055" s="14" t="s">
        <v>2180</v>
      </c>
      <c r="C2055" s="14" t="s">
        <v>13031</v>
      </c>
      <c r="D2055" s="15">
        <v>39.32</v>
      </c>
      <c r="E2055" s="16" t="s">
        <v>30</v>
      </c>
    </row>
    <row r="2056" spans="1:5" x14ac:dyDescent="0.25">
      <c r="A2056" s="14">
        <v>453691</v>
      </c>
      <c r="B2056" s="14" t="s">
        <v>2181</v>
      </c>
      <c r="C2056" s="14" t="s">
        <v>13031</v>
      </c>
      <c r="D2056" s="15">
        <v>40.5</v>
      </c>
      <c r="E2056" s="16" t="s">
        <v>30</v>
      </c>
    </row>
    <row r="2057" spans="1:5" x14ac:dyDescent="0.25">
      <c r="A2057" s="14">
        <v>453712</v>
      </c>
      <c r="B2057" s="14" t="s">
        <v>54</v>
      </c>
      <c r="C2057" s="14" t="s">
        <v>13033</v>
      </c>
      <c r="D2057" s="15">
        <v>7.53</v>
      </c>
      <c r="E2057" s="16" t="s">
        <v>30</v>
      </c>
    </row>
    <row r="2058" spans="1:5" x14ac:dyDescent="0.25">
      <c r="A2058" s="14">
        <v>395583</v>
      </c>
      <c r="B2058" s="14" t="s">
        <v>2182</v>
      </c>
      <c r="C2058" s="14" t="s">
        <v>13030</v>
      </c>
      <c r="D2058" s="15">
        <v>11.23</v>
      </c>
      <c r="E2058" s="16" t="s">
        <v>20</v>
      </c>
    </row>
    <row r="2059" spans="1:5" x14ac:dyDescent="0.25">
      <c r="A2059" s="14">
        <v>401093</v>
      </c>
      <c r="B2059" s="14" t="s">
        <v>2183</v>
      </c>
      <c r="C2059" s="14" t="s">
        <v>13031</v>
      </c>
      <c r="D2059" s="15">
        <v>5.08</v>
      </c>
      <c r="E2059" s="16" t="s">
        <v>20</v>
      </c>
    </row>
    <row r="2060" spans="1:5" x14ac:dyDescent="0.25">
      <c r="A2060" s="14">
        <v>401095</v>
      </c>
      <c r="B2060" s="14" t="s">
        <v>2184</v>
      </c>
      <c r="C2060" s="14" t="s">
        <v>13031</v>
      </c>
      <c r="D2060" s="15">
        <v>5.08</v>
      </c>
      <c r="E2060" s="16" t="s">
        <v>20</v>
      </c>
    </row>
    <row r="2061" spans="1:5" x14ac:dyDescent="0.25">
      <c r="A2061" s="14">
        <v>453848</v>
      </c>
      <c r="B2061" s="14" t="s">
        <v>2185</v>
      </c>
      <c r="C2061" s="14" t="s">
        <v>13030</v>
      </c>
      <c r="D2061" s="15">
        <v>1092.94</v>
      </c>
      <c r="E2061" s="16" t="s">
        <v>30</v>
      </c>
    </row>
    <row r="2062" spans="1:5" x14ac:dyDescent="0.25">
      <c r="A2062" s="14">
        <v>453850</v>
      </c>
      <c r="B2062" s="14" t="s">
        <v>2186</v>
      </c>
      <c r="C2062" s="14" t="s">
        <v>13029</v>
      </c>
      <c r="D2062" s="15">
        <v>36.65</v>
      </c>
      <c r="E2062" s="16" t="s">
        <v>30</v>
      </c>
    </row>
    <row r="2063" spans="1:5" x14ac:dyDescent="0.25">
      <c r="A2063" s="14">
        <v>454309</v>
      </c>
      <c r="B2063" s="14" t="s">
        <v>2187</v>
      </c>
      <c r="C2063" s="14" t="s">
        <v>13029</v>
      </c>
      <c r="D2063" s="15">
        <v>8.48</v>
      </c>
      <c r="E2063" s="16" t="s">
        <v>30</v>
      </c>
    </row>
    <row r="2064" spans="1:5" x14ac:dyDescent="0.25">
      <c r="A2064" s="14">
        <v>454310</v>
      </c>
      <c r="B2064" s="14" t="s">
        <v>2188</v>
      </c>
      <c r="C2064" s="14" t="s">
        <v>13029</v>
      </c>
      <c r="D2064" s="15">
        <v>7.71</v>
      </c>
      <c r="E2064" s="16" t="s">
        <v>30</v>
      </c>
    </row>
    <row r="2065" spans="1:5" x14ac:dyDescent="0.25">
      <c r="A2065" s="14">
        <v>402730</v>
      </c>
      <c r="B2065" s="14" t="s">
        <v>2189</v>
      </c>
      <c r="C2065" s="14" t="s">
        <v>13031</v>
      </c>
      <c r="D2065" s="15">
        <v>7.1</v>
      </c>
      <c r="E2065" s="16" t="s">
        <v>20</v>
      </c>
    </row>
    <row r="2066" spans="1:5" x14ac:dyDescent="0.25">
      <c r="A2066" s="14">
        <v>427807</v>
      </c>
      <c r="B2066" s="14" t="s">
        <v>2190</v>
      </c>
      <c r="C2066" s="14" t="s">
        <v>13030</v>
      </c>
      <c r="D2066" s="15">
        <v>134.88999999999999</v>
      </c>
      <c r="E2066" s="16" t="s">
        <v>20</v>
      </c>
    </row>
    <row r="2067" spans="1:5" x14ac:dyDescent="0.25">
      <c r="A2067" s="14">
        <v>403053</v>
      </c>
      <c r="B2067" s="14" t="s">
        <v>2191</v>
      </c>
      <c r="C2067" s="14" t="s">
        <v>13031</v>
      </c>
      <c r="D2067" s="15">
        <v>5.93</v>
      </c>
      <c r="E2067" s="16" t="s">
        <v>20</v>
      </c>
    </row>
    <row r="2068" spans="1:5" x14ac:dyDescent="0.25">
      <c r="A2068" s="14">
        <v>454311</v>
      </c>
      <c r="B2068" s="14" t="s">
        <v>2192</v>
      </c>
      <c r="C2068" s="14" t="s">
        <v>13029</v>
      </c>
      <c r="D2068" s="15">
        <v>8.2899999999999991</v>
      </c>
      <c r="E2068" s="16" t="s">
        <v>30</v>
      </c>
    </row>
    <row r="2069" spans="1:5" x14ac:dyDescent="0.25">
      <c r="A2069" s="14">
        <v>454312</v>
      </c>
      <c r="B2069" s="14" t="s">
        <v>2193</v>
      </c>
      <c r="C2069" s="14" t="s">
        <v>13029</v>
      </c>
      <c r="D2069" s="15">
        <v>9.34</v>
      </c>
      <c r="E2069" s="16" t="s">
        <v>30</v>
      </c>
    </row>
    <row r="2070" spans="1:5" x14ac:dyDescent="0.25">
      <c r="A2070" s="14">
        <v>403214</v>
      </c>
      <c r="B2070" s="14" t="s">
        <v>2194</v>
      </c>
      <c r="C2070" s="14" t="s">
        <v>13030</v>
      </c>
      <c r="D2070" s="15">
        <v>16.079999999999998</v>
      </c>
      <c r="E2070" s="16" t="s">
        <v>20</v>
      </c>
    </row>
    <row r="2071" spans="1:5" x14ac:dyDescent="0.25">
      <c r="A2071" s="14">
        <v>403215</v>
      </c>
      <c r="B2071" s="14" t="s">
        <v>2195</v>
      </c>
      <c r="C2071" s="14" t="s">
        <v>13030</v>
      </c>
      <c r="D2071" s="15">
        <v>16.100000000000001</v>
      </c>
      <c r="E2071" s="16" t="s">
        <v>20</v>
      </c>
    </row>
    <row r="2072" spans="1:5" x14ac:dyDescent="0.25">
      <c r="A2072" s="14">
        <v>403216</v>
      </c>
      <c r="B2072" s="14" t="s">
        <v>2196</v>
      </c>
      <c r="C2072" s="14" t="s">
        <v>13030</v>
      </c>
      <c r="D2072" s="15">
        <v>16.100000000000001</v>
      </c>
      <c r="E2072" s="16" t="s">
        <v>20</v>
      </c>
    </row>
    <row r="2073" spans="1:5" x14ac:dyDescent="0.25">
      <c r="A2073" s="14">
        <v>454506</v>
      </c>
      <c r="B2073" s="14" t="s">
        <v>122</v>
      </c>
      <c r="C2073" s="14" t="s">
        <v>13029</v>
      </c>
      <c r="D2073" s="15">
        <v>6.03</v>
      </c>
      <c r="E2073" s="16" t="s">
        <v>30</v>
      </c>
    </row>
    <row r="2074" spans="1:5" x14ac:dyDescent="0.25">
      <c r="A2074" s="14">
        <v>454573</v>
      </c>
      <c r="B2074" s="14" t="s">
        <v>2197</v>
      </c>
      <c r="C2074" s="14" t="s">
        <v>13029</v>
      </c>
      <c r="D2074" s="15">
        <v>9.86</v>
      </c>
      <c r="E2074" s="16" t="s">
        <v>30</v>
      </c>
    </row>
    <row r="2075" spans="1:5" x14ac:dyDescent="0.25">
      <c r="A2075" s="14">
        <v>454627</v>
      </c>
      <c r="B2075" s="14" t="s">
        <v>2198</v>
      </c>
      <c r="C2075" s="14" t="s">
        <v>13029</v>
      </c>
      <c r="D2075" s="15">
        <v>13.26</v>
      </c>
      <c r="E2075" s="16" t="s">
        <v>30</v>
      </c>
    </row>
    <row r="2076" spans="1:5" x14ac:dyDescent="0.25">
      <c r="A2076" s="14">
        <v>454628</v>
      </c>
      <c r="B2076" s="14" t="s">
        <v>2199</v>
      </c>
      <c r="C2076" s="14" t="s">
        <v>13029</v>
      </c>
      <c r="D2076" s="15">
        <v>13.73</v>
      </c>
      <c r="E2076" s="16" t="s">
        <v>30</v>
      </c>
    </row>
    <row r="2077" spans="1:5" x14ac:dyDescent="0.25">
      <c r="A2077" s="14">
        <v>454651</v>
      </c>
      <c r="B2077" s="14" t="s">
        <v>2200</v>
      </c>
      <c r="C2077" s="14" t="s">
        <v>13029</v>
      </c>
      <c r="D2077" s="15">
        <v>4.83</v>
      </c>
      <c r="E2077" s="16" t="s">
        <v>30</v>
      </c>
    </row>
    <row r="2078" spans="1:5" x14ac:dyDescent="0.25">
      <c r="A2078" s="14">
        <v>454653</v>
      </c>
      <c r="B2078" s="14" t="s">
        <v>2201</v>
      </c>
      <c r="C2078" s="14" t="s">
        <v>13030</v>
      </c>
      <c r="D2078" s="15">
        <v>44.23</v>
      </c>
      <c r="E2078" s="16" t="s">
        <v>30</v>
      </c>
    </row>
    <row r="2079" spans="1:5" x14ac:dyDescent="0.25">
      <c r="A2079" s="14">
        <v>454654</v>
      </c>
      <c r="B2079" s="14" t="s">
        <v>2202</v>
      </c>
      <c r="C2079" s="14" t="s">
        <v>13030</v>
      </c>
      <c r="D2079" s="15">
        <v>44.23</v>
      </c>
      <c r="E2079" s="16" t="s">
        <v>30</v>
      </c>
    </row>
    <row r="2080" spans="1:5" x14ac:dyDescent="0.25">
      <c r="A2080" s="14">
        <v>454705</v>
      </c>
      <c r="B2080" s="14" t="s">
        <v>2203</v>
      </c>
      <c r="C2080" s="14" t="s">
        <v>13030</v>
      </c>
      <c r="D2080" s="15">
        <v>44.23</v>
      </c>
      <c r="E2080" s="16" t="s">
        <v>30</v>
      </c>
    </row>
    <row r="2081" spans="1:5" x14ac:dyDescent="0.25">
      <c r="A2081" s="14">
        <v>454916</v>
      </c>
      <c r="B2081" s="14" t="s">
        <v>2204</v>
      </c>
      <c r="C2081" s="14" t="s">
        <v>13029</v>
      </c>
      <c r="D2081" s="15">
        <v>7.32</v>
      </c>
      <c r="E2081" s="16" t="s">
        <v>30</v>
      </c>
    </row>
    <row r="2082" spans="1:5" x14ac:dyDescent="0.25">
      <c r="A2082" s="14">
        <v>454917</v>
      </c>
      <c r="B2082" s="14" t="s">
        <v>2205</v>
      </c>
      <c r="C2082" s="14" t="s">
        <v>13029</v>
      </c>
      <c r="D2082" s="15">
        <v>14.14</v>
      </c>
      <c r="E2082" s="16" t="s">
        <v>30</v>
      </c>
    </row>
    <row r="2083" spans="1:5" x14ac:dyDescent="0.25">
      <c r="A2083" s="14">
        <v>454918</v>
      </c>
      <c r="B2083" s="14" t="s">
        <v>2206</v>
      </c>
      <c r="C2083" s="14" t="s">
        <v>13029</v>
      </c>
      <c r="D2083" s="15">
        <v>12.43</v>
      </c>
      <c r="E2083" s="16" t="s">
        <v>30</v>
      </c>
    </row>
    <row r="2084" spans="1:5" x14ac:dyDescent="0.25">
      <c r="A2084" s="14">
        <v>404063</v>
      </c>
      <c r="B2084" s="14" t="s">
        <v>2207</v>
      </c>
      <c r="C2084" s="14" t="s">
        <v>13031</v>
      </c>
      <c r="D2084" s="15">
        <v>2</v>
      </c>
      <c r="E2084" s="16" t="s">
        <v>20</v>
      </c>
    </row>
    <row r="2085" spans="1:5" x14ac:dyDescent="0.25">
      <c r="A2085" s="14">
        <v>455054</v>
      </c>
      <c r="B2085" s="14" t="s">
        <v>2208</v>
      </c>
      <c r="C2085" s="14" t="s">
        <v>13031</v>
      </c>
      <c r="D2085" s="15">
        <v>15.25</v>
      </c>
      <c r="E2085" s="16" t="s">
        <v>30</v>
      </c>
    </row>
    <row r="2086" spans="1:5" x14ac:dyDescent="0.25">
      <c r="A2086" s="14">
        <v>455056</v>
      </c>
      <c r="B2086" s="14" t="s">
        <v>2209</v>
      </c>
      <c r="C2086" s="14" t="s">
        <v>13031</v>
      </c>
      <c r="D2086" s="15">
        <v>20.100000000000001</v>
      </c>
      <c r="E2086" s="16" t="s">
        <v>30</v>
      </c>
    </row>
    <row r="2087" spans="1:5" x14ac:dyDescent="0.25">
      <c r="A2087" s="14">
        <v>407312</v>
      </c>
      <c r="B2087" s="14" t="s">
        <v>2210</v>
      </c>
      <c r="C2087" s="14" t="s">
        <v>13031</v>
      </c>
      <c r="D2087" s="15">
        <v>3.16</v>
      </c>
      <c r="E2087" s="16" t="s">
        <v>20</v>
      </c>
    </row>
    <row r="2088" spans="1:5" x14ac:dyDescent="0.25">
      <c r="A2088" s="14">
        <v>455057</v>
      </c>
      <c r="B2088" s="14" t="s">
        <v>2211</v>
      </c>
      <c r="C2088" s="14" t="s">
        <v>13031</v>
      </c>
      <c r="D2088" s="15">
        <v>18.899999999999999</v>
      </c>
      <c r="E2088" s="16" t="s">
        <v>30</v>
      </c>
    </row>
    <row r="2089" spans="1:5" x14ac:dyDescent="0.25">
      <c r="A2089" s="14">
        <v>455421</v>
      </c>
      <c r="B2089" s="14" t="s">
        <v>2212</v>
      </c>
      <c r="C2089" s="14" t="s">
        <v>13032</v>
      </c>
      <c r="D2089" s="15">
        <v>56</v>
      </c>
      <c r="E2089" s="16" t="s">
        <v>30</v>
      </c>
    </row>
    <row r="2090" spans="1:5" x14ac:dyDescent="0.25">
      <c r="A2090" s="14">
        <v>407313</v>
      </c>
      <c r="B2090" s="14" t="s">
        <v>2213</v>
      </c>
      <c r="C2090" s="14" t="s">
        <v>13031</v>
      </c>
      <c r="D2090" s="15">
        <v>3.16</v>
      </c>
      <c r="E2090" s="16" t="s">
        <v>20</v>
      </c>
    </row>
    <row r="2091" spans="1:5" x14ac:dyDescent="0.25">
      <c r="A2091" s="14">
        <v>409445</v>
      </c>
      <c r="B2091" s="14" t="s">
        <v>2214</v>
      </c>
      <c r="C2091" s="14" t="s">
        <v>13031</v>
      </c>
      <c r="D2091" s="15">
        <v>2</v>
      </c>
      <c r="E2091" s="16" t="s">
        <v>20</v>
      </c>
    </row>
    <row r="2092" spans="1:5" x14ac:dyDescent="0.25">
      <c r="A2092" s="14">
        <v>455422</v>
      </c>
      <c r="B2092" s="14" t="s">
        <v>2215</v>
      </c>
      <c r="C2092" s="14" t="s">
        <v>13032</v>
      </c>
      <c r="D2092" s="15">
        <v>73</v>
      </c>
      <c r="E2092" s="16" t="s">
        <v>30</v>
      </c>
    </row>
    <row r="2093" spans="1:5" x14ac:dyDescent="0.25">
      <c r="A2093" s="14">
        <v>455427</v>
      </c>
      <c r="B2093" s="14" t="s">
        <v>2216</v>
      </c>
      <c r="C2093" s="14" t="s">
        <v>13032</v>
      </c>
      <c r="D2093" s="15">
        <v>21</v>
      </c>
      <c r="E2093" s="16" t="s">
        <v>30</v>
      </c>
    </row>
    <row r="2094" spans="1:5" x14ac:dyDescent="0.25">
      <c r="A2094" s="14">
        <v>455433</v>
      </c>
      <c r="B2094" s="14" t="s">
        <v>2217</v>
      </c>
      <c r="C2094" s="14" t="s">
        <v>13032</v>
      </c>
      <c r="D2094" s="15">
        <v>30</v>
      </c>
      <c r="E2094" s="16" t="s">
        <v>30</v>
      </c>
    </row>
    <row r="2095" spans="1:5" x14ac:dyDescent="0.25">
      <c r="A2095" s="14">
        <v>455445</v>
      </c>
      <c r="B2095" s="14" t="s">
        <v>2218</v>
      </c>
      <c r="C2095" s="14" t="s">
        <v>13032</v>
      </c>
      <c r="D2095" s="15">
        <v>79</v>
      </c>
      <c r="E2095" s="16" t="s">
        <v>30</v>
      </c>
    </row>
    <row r="2096" spans="1:5" x14ac:dyDescent="0.25">
      <c r="A2096" s="14">
        <v>455563</v>
      </c>
      <c r="B2096" s="14" t="s">
        <v>2219</v>
      </c>
      <c r="C2096" s="14" t="s">
        <v>13029</v>
      </c>
      <c r="D2096" s="15">
        <v>24.86</v>
      </c>
      <c r="E2096" s="14" t="s">
        <v>30</v>
      </c>
    </row>
    <row r="2097" spans="1:5" x14ac:dyDescent="0.25">
      <c r="A2097" s="14">
        <v>437847</v>
      </c>
      <c r="B2097" s="14" t="s">
        <v>2220</v>
      </c>
      <c r="C2097" s="14" t="s">
        <v>13031</v>
      </c>
      <c r="D2097" s="15">
        <v>8.44</v>
      </c>
      <c r="E2097" s="16" t="s">
        <v>20</v>
      </c>
    </row>
    <row r="2098" spans="1:5" x14ac:dyDescent="0.25">
      <c r="A2098" s="14">
        <v>453026</v>
      </c>
      <c r="B2098" s="14" t="s">
        <v>2221</v>
      </c>
      <c r="C2098" s="14" t="s">
        <v>13030</v>
      </c>
      <c r="D2098" s="15">
        <v>74</v>
      </c>
      <c r="E2098" s="16" t="s">
        <v>20</v>
      </c>
    </row>
    <row r="2099" spans="1:5" x14ac:dyDescent="0.25">
      <c r="A2099" s="14">
        <v>455574</v>
      </c>
      <c r="B2099" s="14" t="s">
        <v>2222</v>
      </c>
      <c r="C2099" s="14" t="s">
        <v>13030</v>
      </c>
      <c r="D2099" s="15">
        <v>1.1599999999999999</v>
      </c>
      <c r="E2099" s="16" t="s">
        <v>30</v>
      </c>
    </row>
    <row r="2100" spans="1:5" x14ac:dyDescent="0.25">
      <c r="A2100" s="14">
        <v>455725</v>
      </c>
      <c r="B2100" s="14" t="s">
        <v>2223</v>
      </c>
      <c r="C2100" s="14" t="s">
        <v>13030</v>
      </c>
      <c r="D2100" s="15">
        <v>1.1599999999999999</v>
      </c>
      <c r="E2100" s="16" t="s">
        <v>30</v>
      </c>
    </row>
    <row r="2101" spans="1:5" x14ac:dyDescent="0.25">
      <c r="A2101" s="14">
        <v>455735</v>
      </c>
      <c r="B2101" s="14" t="s">
        <v>2224</v>
      </c>
      <c r="C2101" s="14" t="s">
        <v>13030</v>
      </c>
      <c r="D2101" s="15">
        <v>1.66</v>
      </c>
      <c r="E2101" s="16" t="s">
        <v>30</v>
      </c>
    </row>
    <row r="2102" spans="1:5" x14ac:dyDescent="0.25">
      <c r="A2102" s="14">
        <v>456889</v>
      </c>
      <c r="B2102" s="14" t="s">
        <v>2225</v>
      </c>
      <c r="C2102" s="14" t="s">
        <v>13031</v>
      </c>
      <c r="D2102" s="15">
        <v>3.86</v>
      </c>
      <c r="E2102" s="16" t="s">
        <v>30</v>
      </c>
    </row>
    <row r="2103" spans="1:5" x14ac:dyDescent="0.25">
      <c r="A2103" s="14">
        <v>457132</v>
      </c>
      <c r="B2103" s="14" t="s">
        <v>2226</v>
      </c>
      <c r="C2103" s="14" t="s">
        <v>13030</v>
      </c>
      <c r="D2103" s="15">
        <v>43.14</v>
      </c>
      <c r="E2103" s="14" t="s">
        <v>30</v>
      </c>
    </row>
    <row r="2104" spans="1:5" x14ac:dyDescent="0.25">
      <c r="A2104" s="14">
        <v>457409</v>
      </c>
      <c r="B2104" s="14" t="s">
        <v>2227</v>
      </c>
      <c r="C2104" s="14" t="s">
        <v>13031</v>
      </c>
      <c r="D2104" s="15">
        <v>5.87</v>
      </c>
      <c r="E2104" s="16" t="s">
        <v>30</v>
      </c>
    </row>
    <row r="2105" spans="1:5" x14ac:dyDescent="0.25">
      <c r="A2105" s="14">
        <v>457410</v>
      </c>
      <c r="B2105" s="14" t="s">
        <v>2228</v>
      </c>
      <c r="C2105" s="14" t="s">
        <v>13031</v>
      </c>
      <c r="D2105" s="15">
        <v>5.87</v>
      </c>
      <c r="E2105" s="16" t="s">
        <v>30</v>
      </c>
    </row>
    <row r="2106" spans="1:5" x14ac:dyDescent="0.25">
      <c r="A2106" s="14">
        <v>439248</v>
      </c>
      <c r="B2106" s="14" t="s">
        <v>2229</v>
      </c>
      <c r="C2106" s="14" t="s">
        <v>13031</v>
      </c>
      <c r="D2106" s="15">
        <v>5.51</v>
      </c>
      <c r="E2106" s="16" t="s">
        <v>20</v>
      </c>
    </row>
    <row r="2107" spans="1:5" x14ac:dyDescent="0.25">
      <c r="A2107" s="14">
        <v>444994</v>
      </c>
      <c r="B2107" s="14" t="s">
        <v>2230</v>
      </c>
      <c r="C2107" s="14" t="s">
        <v>13030</v>
      </c>
      <c r="D2107" s="15">
        <v>39.33</v>
      </c>
      <c r="E2107" s="16" t="s">
        <v>20</v>
      </c>
    </row>
    <row r="2108" spans="1:5" x14ac:dyDescent="0.25">
      <c r="A2108" s="14">
        <v>445380</v>
      </c>
      <c r="B2108" s="14" t="s">
        <v>2231</v>
      </c>
      <c r="C2108" s="14" t="s">
        <v>13030</v>
      </c>
      <c r="D2108" s="15">
        <v>28.39</v>
      </c>
      <c r="E2108" s="16" t="s">
        <v>20</v>
      </c>
    </row>
    <row r="2109" spans="1:5" x14ac:dyDescent="0.25">
      <c r="A2109" s="14">
        <v>457411</v>
      </c>
      <c r="B2109" s="14" t="s">
        <v>2232</v>
      </c>
      <c r="C2109" s="14" t="s">
        <v>13031</v>
      </c>
      <c r="D2109" s="15">
        <v>5.87</v>
      </c>
      <c r="E2109" s="16" t="s">
        <v>30</v>
      </c>
    </row>
    <row r="2110" spans="1:5" x14ac:dyDescent="0.25">
      <c r="A2110" s="14">
        <v>457499</v>
      </c>
      <c r="B2110" s="14" t="s">
        <v>2233</v>
      </c>
      <c r="C2110" s="14" t="s">
        <v>13029</v>
      </c>
      <c r="D2110" s="15">
        <v>15.35</v>
      </c>
      <c r="E2110" s="16" t="s">
        <v>30</v>
      </c>
    </row>
    <row r="2111" spans="1:5" x14ac:dyDescent="0.25">
      <c r="A2111" s="14">
        <v>457877</v>
      </c>
      <c r="B2111" s="14" t="s">
        <v>2234</v>
      </c>
      <c r="C2111" s="14" t="s">
        <v>13030</v>
      </c>
      <c r="D2111" s="15">
        <v>12.99</v>
      </c>
      <c r="E2111" s="16" t="s">
        <v>30</v>
      </c>
    </row>
    <row r="2112" spans="1:5" x14ac:dyDescent="0.25">
      <c r="A2112" s="14">
        <v>458009</v>
      </c>
      <c r="B2112" s="14" t="s">
        <v>2235</v>
      </c>
      <c r="C2112" s="14" t="s">
        <v>13030</v>
      </c>
      <c r="D2112" s="15">
        <v>130.52000000000001</v>
      </c>
      <c r="E2112" s="16" t="s">
        <v>30</v>
      </c>
    </row>
    <row r="2113" spans="1:5" x14ac:dyDescent="0.25">
      <c r="A2113" s="14">
        <v>458011</v>
      </c>
      <c r="B2113" s="14" t="s">
        <v>2236</v>
      </c>
      <c r="C2113" s="14" t="s">
        <v>13030</v>
      </c>
      <c r="D2113" s="15">
        <v>32.78</v>
      </c>
      <c r="E2113" s="16" t="s">
        <v>30</v>
      </c>
    </row>
    <row r="2114" spans="1:5" x14ac:dyDescent="0.25">
      <c r="A2114" s="14">
        <v>458014</v>
      </c>
      <c r="B2114" s="14" t="s">
        <v>2237</v>
      </c>
      <c r="C2114" s="14" t="s">
        <v>13030</v>
      </c>
      <c r="D2114" s="15">
        <v>32.78</v>
      </c>
      <c r="E2114" s="16" t="s">
        <v>30</v>
      </c>
    </row>
    <row r="2115" spans="1:5" x14ac:dyDescent="0.25">
      <c r="A2115" s="14">
        <v>458055</v>
      </c>
      <c r="B2115" s="14" t="s">
        <v>2238</v>
      </c>
      <c r="C2115" s="14" t="s">
        <v>13030</v>
      </c>
      <c r="D2115" s="15">
        <v>119.53</v>
      </c>
      <c r="E2115" s="16" t="s">
        <v>30</v>
      </c>
    </row>
    <row r="2116" spans="1:5" x14ac:dyDescent="0.25">
      <c r="A2116" s="14">
        <v>458240</v>
      </c>
      <c r="B2116" s="14" t="s">
        <v>2239</v>
      </c>
      <c r="C2116" s="14" t="s">
        <v>13030</v>
      </c>
      <c r="D2116" s="15">
        <v>8.85</v>
      </c>
      <c r="E2116" s="16" t="s">
        <v>30</v>
      </c>
    </row>
    <row r="2117" spans="1:5" x14ac:dyDescent="0.25">
      <c r="A2117" s="14">
        <v>458241</v>
      </c>
      <c r="B2117" s="14" t="s">
        <v>2240</v>
      </c>
      <c r="C2117" s="14" t="s">
        <v>13030</v>
      </c>
      <c r="D2117" s="15">
        <v>5.07</v>
      </c>
      <c r="E2117" s="16" t="s">
        <v>30</v>
      </c>
    </row>
    <row r="2118" spans="1:5" x14ac:dyDescent="0.25">
      <c r="A2118" s="14">
        <v>459029</v>
      </c>
      <c r="B2118" s="14" t="s">
        <v>2241</v>
      </c>
      <c r="C2118" s="14" t="s">
        <v>13031</v>
      </c>
      <c r="D2118" s="15">
        <v>9.32</v>
      </c>
      <c r="E2118" s="16" t="s">
        <v>30</v>
      </c>
    </row>
    <row r="2119" spans="1:5" x14ac:dyDescent="0.25">
      <c r="A2119" s="14">
        <v>445381</v>
      </c>
      <c r="B2119" s="14" t="s">
        <v>2242</v>
      </c>
      <c r="C2119" s="14" t="s">
        <v>13030</v>
      </c>
      <c r="D2119" s="15">
        <v>43.74</v>
      </c>
      <c r="E2119" s="16" t="s">
        <v>20</v>
      </c>
    </row>
    <row r="2120" spans="1:5" x14ac:dyDescent="0.25">
      <c r="A2120" s="14">
        <v>459288</v>
      </c>
      <c r="B2120" s="14" t="s">
        <v>2243</v>
      </c>
      <c r="C2120" s="14" t="s">
        <v>13031</v>
      </c>
      <c r="D2120" s="15">
        <v>12.81</v>
      </c>
      <c r="E2120" s="16" t="s">
        <v>30</v>
      </c>
    </row>
    <row r="2121" spans="1:5" x14ac:dyDescent="0.25">
      <c r="A2121" s="14">
        <v>459386</v>
      </c>
      <c r="B2121" s="14" t="s">
        <v>2244</v>
      </c>
      <c r="C2121" s="14" t="s">
        <v>13030</v>
      </c>
      <c r="D2121" s="15">
        <v>185.97</v>
      </c>
      <c r="E2121" s="16" t="s">
        <v>30</v>
      </c>
    </row>
    <row r="2122" spans="1:5" x14ac:dyDescent="0.25">
      <c r="A2122" s="14">
        <v>459409</v>
      </c>
      <c r="B2122" s="14" t="s">
        <v>2245</v>
      </c>
      <c r="C2122" s="14" t="s">
        <v>13029</v>
      </c>
      <c r="D2122" s="15">
        <v>27.4</v>
      </c>
      <c r="E2122" s="16" t="s">
        <v>30</v>
      </c>
    </row>
    <row r="2123" spans="1:5" x14ac:dyDescent="0.25">
      <c r="A2123" s="14">
        <v>459987</v>
      </c>
      <c r="B2123" s="14" t="s">
        <v>2246</v>
      </c>
      <c r="C2123" s="14" t="s">
        <v>13033</v>
      </c>
      <c r="D2123" s="15">
        <v>5.9</v>
      </c>
      <c r="E2123" s="16" t="s">
        <v>30</v>
      </c>
    </row>
    <row r="2124" spans="1:5" x14ac:dyDescent="0.25">
      <c r="A2124" s="14">
        <v>459989</v>
      </c>
      <c r="B2124" s="14" t="s">
        <v>2247</v>
      </c>
      <c r="C2124" s="14" t="s">
        <v>13033</v>
      </c>
      <c r="D2124" s="15">
        <v>9.18</v>
      </c>
      <c r="E2124" s="16" t="s">
        <v>30</v>
      </c>
    </row>
    <row r="2125" spans="1:5" x14ac:dyDescent="0.25">
      <c r="A2125" s="14">
        <v>459990</v>
      </c>
      <c r="B2125" s="14" t="s">
        <v>2248</v>
      </c>
      <c r="C2125" s="14" t="s">
        <v>13033</v>
      </c>
      <c r="D2125" s="15">
        <v>10.6</v>
      </c>
      <c r="E2125" s="16" t="s">
        <v>30</v>
      </c>
    </row>
    <row r="2126" spans="1:5" x14ac:dyDescent="0.25">
      <c r="A2126" s="14">
        <v>459993</v>
      </c>
      <c r="B2126" s="14" t="s">
        <v>2249</v>
      </c>
      <c r="C2126" s="14" t="s">
        <v>13033</v>
      </c>
      <c r="D2126" s="15">
        <v>9.3699999999999992</v>
      </c>
      <c r="E2126" s="16" t="s">
        <v>30</v>
      </c>
    </row>
    <row r="2127" spans="1:5" x14ac:dyDescent="0.25">
      <c r="A2127" s="14">
        <v>459994</v>
      </c>
      <c r="B2127" s="14" t="s">
        <v>2250</v>
      </c>
      <c r="C2127" s="14" t="s">
        <v>13033</v>
      </c>
      <c r="D2127" s="15">
        <v>4.1399999999999997</v>
      </c>
      <c r="E2127" s="16" t="s">
        <v>30</v>
      </c>
    </row>
    <row r="2128" spans="1:5" x14ac:dyDescent="0.25">
      <c r="A2128" s="14">
        <v>460008</v>
      </c>
      <c r="B2128" s="14" t="s">
        <v>2251</v>
      </c>
      <c r="C2128" s="14" t="s">
        <v>13033</v>
      </c>
      <c r="D2128" s="15">
        <v>4.6900000000000004</v>
      </c>
      <c r="E2128" s="16" t="s">
        <v>30</v>
      </c>
    </row>
    <row r="2129" spans="1:5" x14ac:dyDescent="0.25">
      <c r="A2129" s="14">
        <v>460127</v>
      </c>
      <c r="B2129" s="14" t="s">
        <v>2252</v>
      </c>
      <c r="C2129" s="14" t="s">
        <v>13030</v>
      </c>
      <c r="D2129" s="15">
        <v>20.82</v>
      </c>
      <c r="E2129" s="14" t="s">
        <v>30</v>
      </c>
    </row>
    <row r="2130" spans="1:5" x14ac:dyDescent="0.25">
      <c r="A2130" s="14">
        <v>460130</v>
      </c>
      <c r="B2130" s="14" t="s">
        <v>2253</v>
      </c>
      <c r="C2130" s="14" t="s">
        <v>13030</v>
      </c>
      <c r="D2130" s="15">
        <v>20.82</v>
      </c>
      <c r="E2130" s="14" t="s">
        <v>30</v>
      </c>
    </row>
    <row r="2131" spans="1:5" x14ac:dyDescent="0.25">
      <c r="A2131" s="14">
        <v>445382</v>
      </c>
      <c r="B2131" s="14" t="s">
        <v>2254</v>
      </c>
      <c r="C2131" s="14" t="s">
        <v>13030</v>
      </c>
      <c r="D2131" s="15">
        <v>54.6</v>
      </c>
      <c r="E2131" s="16" t="s">
        <v>20</v>
      </c>
    </row>
    <row r="2132" spans="1:5" x14ac:dyDescent="0.25">
      <c r="A2132" s="14">
        <v>460203</v>
      </c>
      <c r="B2132" s="14" t="s">
        <v>2255</v>
      </c>
      <c r="C2132" s="14" t="s">
        <v>13029</v>
      </c>
      <c r="D2132" s="15">
        <v>12.61</v>
      </c>
      <c r="E2132" s="16" t="s">
        <v>30</v>
      </c>
    </row>
    <row r="2133" spans="1:5" x14ac:dyDescent="0.25">
      <c r="A2133" s="14">
        <v>460204</v>
      </c>
      <c r="B2133" s="14" t="s">
        <v>2256</v>
      </c>
      <c r="C2133" s="14" t="s">
        <v>13029</v>
      </c>
      <c r="D2133" s="15">
        <v>10.88</v>
      </c>
      <c r="E2133" s="16" t="s">
        <v>30</v>
      </c>
    </row>
    <row r="2134" spans="1:5" x14ac:dyDescent="0.25">
      <c r="A2134" s="14">
        <v>460558</v>
      </c>
      <c r="B2134" s="14" t="s">
        <v>2257</v>
      </c>
      <c r="C2134" s="14" t="s">
        <v>13031</v>
      </c>
      <c r="D2134" s="15">
        <v>11.4</v>
      </c>
      <c r="E2134" s="16" t="s">
        <v>30</v>
      </c>
    </row>
    <row r="2135" spans="1:5" x14ac:dyDescent="0.25">
      <c r="A2135" s="14">
        <v>460559</v>
      </c>
      <c r="B2135" s="14" t="s">
        <v>2258</v>
      </c>
      <c r="C2135" s="14" t="s">
        <v>13031</v>
      </c>
      <c r="D2135" s="15">
        <v>14.4</v>
      </c>
      <c r="E2135" s="16" t="s">
        <v>30</v>
      </c>
    </row>
    <row r="2136" spans="1:5" x14ac:dyDescent="0.25">
      <c r="A2136" s="14">
        <v>460560</v>
      </c>
      <c r="B2136" s="14" t="s">
        <v>2259</v>
      </c>
      <c r="C2136" s="14" t="s">
        <v>13031</v>
      </c>
      <c r="D2136" s="15">
        <v>17</v>
      </c>
      <c r="E2136" s="16" t="s">
        <v>30</v>
      </c>
    </row>
    <row r="2137" spans="1:5" x14ac:dyDescent="0.25">
      <c r="A2137" s="14">
        <v>460561</v>
      </c>
      <c r="B2137" s="14" t="s">
        <v>2260</v>
      </c>
      <c r="C2137" s="14" t="s">
        <v>13031</v>
      </c>
      <c r="D2137" s="15">
        <v>12.3</v>
      </c>
      <c r="E2137" s="16" t="s">
        <v>30</v>
      </c>
    </row>
    <row r="2138" spans="1:5" x14ac:dyDescent="0.25">
      <c r="A2138" s="14">
        <v>461134</v>
      </c>
      <c r="B2138" s="14" t="s">
        <v>2261</v>
      </c>
      <c r="C2138" s="14" t="s">
        <v>13033</v>
      </c>
      <c r="D2138" s="15">
        <v>1.68</v>
      </c>
      <c r="E2138" s="16" t="s">
        <v>30</v>
      </c>
    </row>
    <row r="2139" spans="1:5" x14ac:dyDescent="0.25">
      <c r="A2139" s="14">
        <v>461146</v>
      </c>
      <c r="B2139" s="14" t="s">
        <v>2262</v>
      </c>
      <c r="C2139" s="14" t="s">
        <v>13033</v>
      </c>
      <c r="D2139" s="15">
        <v>4.3099999999999996</v>
      </c>
      <c r="E2139" s="16" t="s">
        <v>30</v>
      </c>
    </row>
    <row r="2140" spans="1:5" x14ac:dyDescent="0.25">
      <c r="A2140" s="14">
        <v>461277</v>
      </c>
      <c r="B2140" s="14" t="s">
        <v>2263</v>
      </c>
      <c r="C2140" s="14" t="s">
        <v>13029</v>
      </c>
      <c r="D2140" s="15">
        <v>31.3</v>
      </c>
      <c r="E2140" s="16" t="s">
        <v>30</v>
      </c>
    </row>
    <row r="2141" spans="1:5" x14ac:dyDescent="0.25">
      <c r="A2141" s="14">
        <v>461280</v>
      </c>
      <c r="B2141" s="14" t="s">
        <v>2264</v>
      </c>
      <c r="C2141" s="14" t="s">
        <v>13029</v>
      </c>
      <c r="D2141" s="15">
        <v>8.6</v>
      </c>
      <c r="E2141" s="16" t="s">
        <v>30</v>
      </c>
    </row>
    <row r="2142" spans="1:5" x14ac:dyDescent="0.25">
      <c r="A2142" s="14">
        <v>461281</v>
      </c>
      <c r="B2142" s="14" t="s">
        <v>2265</v>
      </c>
      <c r="C2142" s="14" t="s">
        <v>13029</v>
      </c>
      <c r="D2142" s="15">
        <v>33.619999999999997</v>
      </c>
      <c r="E2142" s="16" t="s">
        <v>30</v>
      </c>
    </row>
    <row r="2143" spans="1:5" x14ac:dyDescent="0.25">
      <c r="A2143" s="14">
        <v>461324</v>
      </c>
      <c r="B2143" s="14" t="s">
        <v>2266</v>
      </c>
      <c r="C2143" s="14" t="s">
        <v>13029</v>
      </c>
      <c r="D2143" s="15">
        <v>8.5399999999999991</v>
      </c>
      <c r="E2143" s="16" t="s">
        <v>30</v>
      </c>
    </row>
    <row r="2144" spans="1:5" x14ac:dyDescent="0.25">
      <c r="A2144" s="14">
        <v>445383</v>
      </c>
      <c r="B2144" s="14" t="s">
        <v>2267</v>
      </c>
      <c r="C2144" s="14" t="s">
        <v>13030</v>
      </c>
      <c r="D2144" s="15">
        <v>105.29</v>
      </c>
      <c r="E2144" s="16" t="s">
        <v>20</v>
      </c>
    </row>
    <row r="2145" spans="1:5" x14ac:dyDescent="0.25">
      <c r="A2145" s="14">
        <v>457137</v>
      </c>
      <c r="B2145" s="14" t="s">
        <v>2268</v>
      </c>
      <c r="C2145" s="14" t="s">
        <v>13030</v>
      </c>
      <c r="D2145" s="15">
        <v>231.36</v>
      </c>
      <c r="E2145" s="16" t="s">
        <v>20</v>
      </c>
    </row>
    <row r="2146" spans="1:5" x14ac:dyDescent="0.25">
      <c r="A2146" s="14">
        <v>461561</v>
      </c>
      <c r="B2146" s="14" t="s">
        <v>2269</v>
      </c>
      <c r="C2146" s="14" t="s">
        <v>13029</v>
      </c>
      <c r="D2146" s="15">
        <v>4.1399999999999997</v>
      </c>
      <c r="E2146" s="16" t="s">
        <v>30</v>
      </c>
    </row>
    <row r="2147" spans="1:5" x14ac:dyDescent="0.25">
      <c r="A2147" s="14">
        <v>461918</v>
      </c>
      <c r="B2147" s="14" t="s">
        <v>2270</v>
      </c>
      <c r="C2147" s="14" t="s">
        <v>13029</v>
      </c>
      <c r="D2147" s="15">
        <v>39.69</v>
      </c>
      <c r="E2147" s="16" t="s">
        <v>30</v>
      </c>
    </row>
    <row r="2148" spans="1:5" x14ac:dyDescent="0.25">
      <c r="A2148" s="14">
        <v>462093</v>
      </c>
      <c r="B2148" s="14" t="s">
        <v>2271</v>
      </c>
      <c r="C2148" s="14" t="s">
        <v>13033</v>
      </c>
      <c r="D2148" s="15">
        <v>9.69</v>
      </c>
      <c r="E2148" s="16" t="s">
        <v>30</v>
      </c>
    </row>
    <row r="2149" spans="1:5" x14ac:dyDescent="0.25">
      <c r="A2149" s="14">
        <v>462094</v>
      </c>
      <c r="B2149" s="14" t="s">
        <v>2272</v>
      </c>
      <c r="C2149" s="14" t="s">
        <v>13033</v>
      </c>
      <c r="D2149" s="15">
        <v>12.11</v>
      </c>
      <c r="E2149" s="16" t="s">
        <v>30</v>
      </c>
    </row>
    <row r="2150" spans="1:5" x14ac:dyDescent="0.25">
      <c r="A2150" s="14">
        <v>462115</v>
      </c>
      <c r="B2150" s="14" t="s">
        <v>2273</v>
      </c>
      <c r="C2150" s="14" t="s">
        <v>13033</v>
      </c>
      <c r="D2150" s="15">
        <v>12.11</v>
      </c>
      <c r="E2150" s="16" t="s">
        <v>30</v>
      </c>
    </row>
    <row r="2151" spans="1:5" x14ac:dyDescent="0.25">
      <c r="A2151" s="14">
        <v>462116</v>
      </c>
      <c r="B2151" s="14" t="s">
        <v>2274</v>
      </c>
      <c r="C2151" s="14" t="s">
        <v>13033</v>
      </c>
      <c r="D2151" s="15">
        <v>12.11</v>
      </c>
      <c r="E2151" s="16" t="s">
        <v>30</v>
      </c>
    </row>
    <row r="2152" spans="1:5" x14ac:dyDescent="0.25">
      <c r="A2152" s="14">
        <v>462117</v>
      </c>
      <c r="B2152" s="14" t="s">
        <v>2275</v>
      </c>
      <c r="C2152" s="14" t="s">
        <v>13033</v>
      </c>
      <c r="D2152" s="15">
        <v>16.899999999999999</v>
      </c>
      <c r="E2152" s="16" t="s">
        <v>30</v>
      </c>
    </row>
    <row r="2153" spans="1:5" x14ac:dyDescent="0.25">
      <c r="A2153" s="14">
        <v>462118</v>
      </c>
      <c r="B2153" s="14" t="s">
        <v>2276</v>
      </c>
      <c r="C2153" s="14" t="s">
        <v>13033</v>
      </c>
      <c r="D2153" s="15">
        <v>16.899999999999999</v>
      </c>
      <c r="E2153" s="16" t="s">
        <v>30</v>
      </c>
    </row>
    <row r="2154" spans="1:5" x14ac:dyDescent="0.25">
      <c r="A2154" s="14">
        <v>462894</v>
      </c>
      <c r="B2154" s="14" t="s">
        <v>2277</v>
      </c>
      <c r="C2154" s="14" t="s">
        <v>13030</v>
      </c>
      <c r="D2154" s="15">
        <v>34.42</v>
      </c>
      <c r="E2154" s="16" t="s">
        <v>30</v>
      </c>
    </row>
    <row r="2155" spans="1:5" x14ac:dyDescent="0.25">
      <c r="A2155" s="14">
        <v>462896</v>
      </c>
      <c r="B2155" s="14" t="s">
        <v>2278</v>
      </c>
      <c r="C2155" s="14" t="s">
        <v>13029</v>
      </c>
      <c r="D2155" s="15">
        <v>16.02</v>
      </c>
      <c r="E2155" s="16" t="s">
        <v>30</v>
      </c>
    </row>
    <row r="2156" spans="1:5" x14ac:dyDescent="0.25">
      <c r="A2156" s="14">
        <v>463031</v>
      </c>
      <c r="B2156" s="14" t="s">
        <v>2279</v>
      </c>
      <c r="C2156" s="14" t="s">
        <v>13031</v>
      </c>
      <c r="D2156" s="15">
        <v>18.579999999999998</v>
      </c>
      <c r="E2156" s="16" t="s">
        <v>30</v>
      </c>
    </row>
    <row r="2157" spans="1:5" x14ac:dyDescent="0.25">
      <c r="A2157" s="14">
        <v>463032</v>
      </c>
      <c r="B2157" s="14" t="s">
        <v>2280</v>
      </c>
      <c r="C2157" s="14" t="s">
        <v>13031</v>
      </c>
      <c r="D2157" s="15">
        <v>98.05</v>
      </c>
      <c r="E2157" s="16" t="s">
        <v>30</v>
      </c>
    </row>
    <row r="2158" spans="1:5" x14ac:dyDescent="0.25">
      <c r="A2158" s="14">
        <v>463615</v>
      </c>
      <c r="B2158" s="14" t="s">
        <v>2281</v>
      </c>
      <c r="C2158" s="14" t="s">
        <v>13031</v>
      </c>
      <c r="D2158" s="15">
        <v>10.3</v>
      </c>
      <c r="E2158" s="16" t="s">
        <v>30</v>
      </c>
    </row>
    <row r="2159" spans="1:5" x14ac:dyDescent="0.25">
      <c r="A2159" s="14">
        <v>463622</v>
      </c>
      <c r="B2159" s="14" t="s">
        <v>2282</v>
      </c>
      <c r="C2159" s="14" t="s">
        <v>13030</v>
      </c>
      <c r="D2159" s="15">
        <v>103.26</v>
      </c>
      <c r="E2159" s="16" t="s">
        <v>30</v>
      </c>
    </row>
    <row r="2160" spans="1:5" x14ac:dyDescent="0.25">
      <c r="A2160" s="14">
        <v>463623</v>
      </c>
      <c r="B2160" s="14" t="s">
        <v>2283</v>
      </c>
      <c r="C2160" s="14" t="s">
        <v>13030</v>
      </c>
      <c r="D2160" s="15">
        <v>52.61</v>
      </c>
      <c r="E2160" s="16" t="s">
        <v>30</v>
      </c>
    </row>
    <row r="2161" spans="1:5" x14ac:dyDescent="0.25">
      <c r="A2161" s="14">
        <v>464517</v>
      </c>
      <c r="B2161" s="14" t="s">
        <v>2284</v>
      </c>
      <c r="C2161" s="14" t="s">
        <v>13030</v>
      </c>
      <c r="D2161" s="15">
        <v>73.7</v>
      </c>
      <c r="E2161" s="14" t="s">
        <v>30</v>
      </c>
    </row>
    <row r="2162" spans="1:5" x14ac:dyDescent="0.25">
      <c r="A2162" s="14">
        <v>464518</v>
      </c>
      <c r="B2162" s="14" t="s">
        <v>2285</v>
      </c>
      <c r="C2162" s="14" t="s">
        <v>13030</v>
      </c>
      <c r="D2162" s="15">
        <v>73.66</v>
      </c>
      <c r="E2162" s="16" t="s">
        <v>30</v>
      </c>
    </row>
    <row r="2163" spans="1:5" x14ac:dyDescent="0.25">
      <c r="A2163" s="14">
        <v>465100</v>
      </c>
      <c r="B2163" s="14" t="s">
        <v>2286</v>
      </c>
      <c r="C2163" s="14" t="s">
        <v>13030</v>
      </c>
      <c r="D2163" s="15">
        <v>14.33</v>
      </c>
      <c r="E2163" s="16" t="s">
        <v>30</v>
      </c>
    </row>
    <row r="2164" spans="1:5" x14ac:dyDescent="0.25">
      <c r="A2164" s="14">
        <v>457963</v>
      </c>
      <c r="B2164" s="14" t="s">
        <v>2287</v>
      </c>
      <c r="C2164" s="14" t="s">
        <v>13030</v>
      </c>
      <c r="D2164" s="15">
        <v>324.82</v>
      </c>
      <c r="E2164" s="16" t="s">
        <v>20</v>
      </c>
    </row>
    <row r="2165" spans="1:5" x14ac:dyDescent="0.25">
      <c r="A2165" s="14">
        <v>441859</v>
      </c>
      <c r="B2165" s="14" t="s">
        <v>2288</v>
      </c>
      <c r="C2165" s="14" t="s">
        <v>13031</v>
      </c>
      <c r="D2165" s="15">
        <v>82.16</v>
      </c>
      <c r="E2165" s="16" t="s">
        <v>20</v>
      </c>
    </row>
    <row r="2166" spans="1:5" x14ac:dyDescent="0.25">
      <c r="A2166" s="14">
        <v>457950</v>
      </c>
      <c r="B2166" s="14" t="s">
        <v>2289</v>
      </c>
      <c r="C2166" s="14" t="s">
        <v>13030</v>
      </c>
      <c r="D2166" s="15">
        <v>200.85</v>
      </c>
      <c r="E2166" s="16" t="s">
        <v>20</v>
      </c>
    </row>
    <row r="2167" spans="1:5" x14ac:dyDescent="0.25">
      <c r="A2167" s="14">
        <v>465164</v>
      </c>
      <c r="B2167" s="14" t="s">
        <v>2290</v>
      </c>
      <c r="C2167" s="14" t="s">
        <v>13030</v>
      </c>
      <c r="D2167" s="15">
        <v>7.79</v>
      </c>
      <c r="E2167" s="16" t="s">
        <v>30</v>
      </c>
    </row>
    <row r="2168" spans="1:5" x14ac:dyDescent="0.25">
      <c r="A2168" s="14">
        <v>465216</v>
      </c>
      <c r="B2168" s="14" t="s">
        <v>2291</v>
      </c>
      <c r="C2168" s="14" t="s">
        <v>13031</v>
      </c>
      <c r="D2168" s="15">
        <v>9.1</v>
      </c>
      <c r="E2168" s="16" t="s">
        <v>30</v>
      </c>
    </row>
    <row r="2169" spans="1:5" x14ac:dyDescent="0.25">
      <c r="A2169" s="14">
        <v>465217</v>
      </c>
      <c r="B2169" s="14" t="s">
        <v>2292</v>
      </c>
      <c r="C2169" s="14" t="s">
        <v>13031</v>
      </c>
      <c r="D2169" s="15">
        <v>4.84</v>
      </c>
      <c r="E2169" s="16" t="s">
        <v>30</v>
      </c>
    </row>
    <row r="2170" spans="1:5" x14ac:dyDescent="0.25">
      <c r="A2170" s="14">
        <v>465218</v>
      </c>
      <c r="B2170" s="14" t="s">
        <v>2293</v>
      </c>
      <c r="C2170" s="14" t="s">
        <v>13031</v>
      </c>
      <c r="D2170" s="15">
        <v>5.4</v>
      </c>
      <c r="E2170" s="16" t="s">
        <v>30</v>
      </c>
    </row>
    <row r="2171" spans="1:5" x14ac:dyDescent="0.25">
      <c r="A2171" s="14">
        <v>465219</v>
      </c>
      <c r="B2171" s="14" t="s">
        <v>2294</v>
      </c>
      <c r="C2171" s="14" t="s">
        <v>13031</v>
      </c>
      <c r="D2171" s="15">
        <v>5.4</v>
      </c>
      <c r="E2171" s="16" t="s">
        <v>30</v>
      </c>
    </row>
    <row r="2172" spans="1:5" x14ac:dyDescent="0.25">
      <c r="A2172" s="14">
        <v>465220</v>
      </c>
      <c r="B2172" s="14" t="s">
        <v>2295</v>
      </c>
      <c r="C2172" s="14" t="s">
        <v>13031</v>
      </c>
      <c r="D2172" s="15">
        <v>5.4</v>
      </c>
      <c r="E2172" s="16" t="s">
        <v>30</v>
      </c>
    </row>
    <row r="2173" spans="1:5" x14ac:dyDescent="0.25">
      <c r="A2173" s="14">
        <v>465221</v>
      </c>
      <c r="B2173" s="14" t="s">
        <v>2296</v>
      </c>
      <c r="C2173" s="14" t="s">
        <v>13031</v>
      </c>
      <c r="D2173" s="15">
        <v>5.4</v>
      </c>
      <c r="E2173" s="16" t="s">
        <v>30</v>
      </c>
    </row>
    <row r="2174" spans="1:5" x14ac:dyDescent="0.25">
      <c r="A2174" s="14">
        <v>466494</v>
      </c>
      <c r="B2174" s="14" t="s">
        <v>2297</v>
      </c>
      <c r="C2174" s="14" t="s">
        <v>13030</v>
      </c>
      <c r="D2174" s="15">
        <v>34.4</v>
      </c>
      <c r="E2174" s="16" t="s">
        <v>30</v>
      </c>
    </row>
    <row r="2175" spans="1:5" x14ac:dyDescent="0.25">
      <c r="A2175" s="14">
        <v>466495</v>
      </c>
      <c r="B2175" s="14" t="s">
        <v>2298</v>
      </c>
      <c r="C2175" s="14" t="s">
        <v>13030</v>
      </c>
      <c r="D2175" s="15">
        <v>34.4</v>
      </c>
      <c r="E2175" s="16" t="s">
        <v>30</v>
      </c>
    </row>
    <row r="2176" spans="1:5" x14ac:dyDescent="0.25">
      <c r="A2176" s="14">
        <v>466496</v>
      </c>
      <c r="B2176" s="14" t="s">
        <v>2299</v>
      </c>
      <c r="C2176" s="14" t="s">
        <v>13030</v>
      </c>
      <c r="D2176" s="15">
        <v>34.4</v>
      </c>
      <c r="E2176" s="16" t="s">
        <v>30</v>
      </c>
    </row>
    <row r="2177" spans="1:5" x14ac:dyDescent="0.25">
      <c r="A2177" s="14">
        <v>466497</v>
      </c>
      <c r="B2177" s="14" t="s">
        <v>2300</v>
      </c>
      <c r="C2177" s="14" t="s">
        <v>13030</v>
      </c>
      <c r="D2177" s="15">
        <v>18.37</v>
      </c>
      <c r="E2177" s="16" t="s">
        <v>30</v>
      </c>
    </row>
    <row r="2178" spans="1:5" x14ac:dyDescent="0.25">
      <c r="A2178" s="14">
        <v>466517</v>
      </c>
      <c r="B2178" s="14" t="s">
        <v>2301</v>
      </c>
      <c r="C2178" s="14" t="s">
        <v>13029</v>
      </c>
      <c r="D2178" s="15">
        <v>10.5</v>
      </c>
      <c r="E2178" s="16" t="s">
        <v>30</v>
      </c>
    </row>
    <row r="2179" spans="1:5" x14ac:dyDescent="0.25">
      <c r="A2179" s="14">
        <v>466909</v>
      </c>
      <c r="B2179" s="14" t="s">
        <v>2302</v>
      </c>
      <c r="C2179" s="14" t="s">
        <v>13029</v>
      </c>
      <c r="D2179" s="15">
        <v>11.7</v>
      </c>
      <c r="E2179" s="16" t="s">
        <v>30</v>
      </c>
    </row>
    <row r="2180" spans="1:5" x14ac:dyDescent="0.25">
      <c r="A2180" s="14">
        <v>467024</v>
      </c>
      <c r="B2180" s="14" t="s">
        <v>2303</v>
      </c>
      <c r="C2180" s="14" t="s">
        <v>13031</v>
      </c>
      <c r="D2180" s="15">
        <v>10</v>
      </c>
      <c r="E2180" s="16" t="s">
        <v>30</v>
      </c>
    </row>
    <row r="2181" spans="1:5" x14ac:dyDescent="0.25">
      <c r="A2181" s="14">
        <v>467136</v>
      </c>
      <c r="B2181" s="14" t="s">
        <v>2304</v>
      </c>
      <c r="C2181" s="14" t="s">
        <v>13035</v>
      </c>
      <c r="D2181" s="15">
        <v>10.48</v>
      </c>
      <c r="E2181" s="16" t="s">
        <v>30</v>
      </c>
    </row>
    <row r="2182" spans="1:5" x14ac:dyDescent="0.25">
      <c r="A2182" s="14">
        <v>467375</v>
      </c>
      <c r="B2182" s="14" t="s">
        <v>2305</v>
      </c>
      <c r="C2182" s="14" t="s">
        <v>13030</v>
      </c>
      <c r="D2182" s="15">
        <v>7.71</v>
      </c>
      <c r="E2182" s="16" t="s">
        <v>30</v>
      </c>
    </row>
    <row r="2183" spans="1:5" x14ac:dyDescent="0.25">
      <c r="A2183" s="14">
        <v>469304</v>
      </c>
      <c r="B2183" s="14" t="s">
        <v>2306</v>
      </c>
      <c r="C2183" s="14" t="s">
        <v>13030</v>
      </c>
      <c r="D2183" s="15">
        <v>93.49</v>
      </c>
      <c r="E2183" s="16" t="s">
        <v>30</v>
      </c>
    </row>
    <row r="2184" spans="1:5" x14ac:dyDescent="0.25">
      <c r="A2184" s="14">
        <v>469305</v>
      </c>
      <c r="B2184" s="14" t="s">
        <v>2307</v>
      </c>
      <c r="C2184" s="14" t="s">
        <v>13030</v>
      </c>
      <c r="D2184" s="15">
        <v>43.14</v>
      </c>
      <c r="E2184" s="14" t="s">
        <v>30</v>
      </c>
    </row>
    <row r="2185" spans="1:5" x14ac:dyDescent="0.25">
      <c r="A2185" s="14">
        <v>469311</v>
      </c>
      <c r="B2185" s="14" t="s">
        <v>2308</v>
      </c>
      <c r="C2185" s="14" t="s">
        <v>13030</v>
      </c>
      <c r="D2185" s="15">
        <v>44.24</v>
      </c>
      <c r="E2185" s="16" t="s">
        <v>30</v>
      </c>
    </row>
    <row r="2186" spans="1:5" x14ac:dyDescent="0.25">
      <c r="A2186" s="14">
        <v>469312</v>
      </c>
      <c r="B2186" s="14" t="s">
        <v>2309</v>
      </c>
      <c r="C2186" s="14" t="s">
        <v>13030</v>
      </c>
      <c r="D2186" s="15">
        <v>34.65</v>
      </c>
      <c r="E2186" s="16" t="s">
        <v>30</v>
      </c>
    </row>
    <row r="2187" spans="1:5" x14ac:dyDescent="0.25">
      <c r="A2187" s="14">
        <v>469324</v>
      </c>
      <c r="B2187" s="14" t="s">
        <v>2310</v>
      </c>
      <c r="C2187" s="14" t="s">
        <v>13029</v>
      </c>
      <c r="D2187" s="15">
        <v>9.27</v>
      </c>
      <c r="E2187" s="16" t="s">
        <v>30</v>
      </c>
    </row>
    <row r="2188" spans="1:5" x14ac:dyDescent="0.25">
      <c r="A2188" s="14">
        <v>469325</v>
      </c>
      <c r="B2188" s="14" t="s">
        <v>2311</v>
      </c>
      <c r="C2188" s="14" t="s">
        <v>13029</v>
      </c>
      <c r="D2188" s="15">
        <v>9.27</v>
      </c>
      <c r="E2188" s="16" t="s">
        <v>30</v>
      </c>
    </row>
    <row r="2189" spans="1:5" x14ac:dyDescent="0.25">
      <c r="A2189" s="14">
        <v>469326</v>
      </c>
      <c r="B2189" s="14" t="s">
        <v>2312</v>
      </c>
      <c r="C2189" s="14" t="s">
        <v>13029</v>
      </c>
      <c r="D2189" s="15">
        <v>9.27</v>
      </c>
      <c r="E2189" s="16" t="s">
        <v>30</v>
      </c>
    </row>
    <row r="2190" spans="1:5" x14ac:dyDescent="0.25">
      <c r="A2190" s="14">
        <v>468520</v>
      </c>
      <c r="B2190" s="14" t="s">
        <v>2313</v>
      </c>
      <c r="C2190" s="14" t="s">
        <v>13030</v>
      </c>
      <c r="D2190" s="15">
        <v>35.93</v>
      </c>
      <c r="E2190" s="16" t="s">
        <v>20</v>
      </c>
    </row>
    <row r="2191" spans="1:5" x14ac:dyDescent="0.25">
      <c r="A2191" s="14">
        <v>470803</v>
      </c>
      <c r="B2191" s="14" t="s">
        <v>2314</v>
      </c>
      <c r="C2191" s="14" t="s">
        <v>13031</v>
      </c>
      <c r="D2191" s="15">
        <v>3.99</v>
      </c>
      <c r="E2191" s="16" t="s">
        <v>30</v>
      </c>
    </row>
    <row r="2192" spans="1:5" x14ac:dyDescent="0.25">
      <c r="A2192" s="14">
        <v>470804</v>
      </c>
      <c r="B2192" s="14" t="s">
        <v>2315</v>
      </c>
      <c r="C2192" s="14" t="s">
        <v>13031</v>
      </c>
      <c r="D2192" s="15">
        <v>3.99</v>
      </c>
      <c r="E2192" s="16" t="s">
        <v>30</v>
      </c>
    </row>
    <row r="2193" spans="1:5" x14ac:dyDescent="0.25">
      <c r="A2193" s="14">
        <v>470816</v>
      </c>
      <c r="B2193" s="14" t="s">
        <v>2316</v>
      </c>
      <c r="C2193" s="14" t="s">
        <v>13031</v>
      </c>
      <c r="D2193" s="15">
        <v>3.99</v>
      </c>
      <c r="E2193" s="16" t="s">
        <v>30</v>
      </c>
    </row>
    <row r="2194" spans="1:5" x14ac:dyDescent="0.25">
      <c r="A2194" s="14">
        <v>468521</v>
      </c>
      <c r="B2194" s="14" t="s">
        <v>2317</v>
      </c>
      <c r="C2194" s="14" t="s">
        <v>13030</v>
      </c>
      <c r="D2194" s="15">
        <v>34.950000000000003</v>
      </c>
      <c r="E2194" s="16" t="s">
        <v>20</v>
      </c>
    </row>
    <row r="2195" spans="1:5" x14ac:dyDescent="0.25">
      <c r="A2195" s="14">
        <v>470900</v>
      </c>
      <c r="B2195" s="14" t="s">
        <v>2318</v>
      </c>
      <c r="C2195" s="14" t="s">
        <v>13031</v>
      </c>
      <c r="D2195" s="15">
        <v>11.76</v>
      </c>
      <c r="E2195" s="16" t="s">
        <v>30</v>
      </c>
    </row>
    <row r="2196" spans="1:5" x14ac:dyDescent="0.25">
      <c r="A2196" s="14">
        <v>470903</v>
      </c>
      <c r="B2196" s="14" t="s">
        <v>2319</v>
      </c>
      <c r="C2196" s="14" t="s">
        <v>13031</v>
      </c>
      <c r="D2196" s="15">
        <v>14</v>
      </c>
      <c r="E2196" s="16" t="s">
        <v>30</v>
      </c>
    </row>
    <row r="2197" spans="1:5" x14ac:dyDescent="0.25">
      <c r="A2197" s="14">
        <v>470904</v>
      </c>
      <c r="B2197" s="14" t="s">
        <v>2320</v>
      </c>
      <c r="C2197" s="14" t="s">
        <v>13031</v>
      </c>
      <c r="D2197" s="15">
        <v>18.5</v>
      </c>
      <c r="E2197" s="16" t="s">
        <v>30</v>
      </c>
    </row>
    <row r="2198" spans="1:5" x14ac:dyDescent="0.25">
      <c r="A2198" s="14">
        <v>470938</v>
      </c>
      <c r="B2198" s="14" t="s">
        <v>2321</v>
      </c>
      <c r="C2198" s="14" t="s">
        <v>13030</v>
      </c>
      <c r="D2198" s="15">
        <v>26.65</v>
      </c>
      <c r="E2198" s="16" t="s">
        <v>30</v>
      </c>
    </row>
    <row r="2199" spans="1:5" x14ac:dyDescent="0.25">
      <c r="A2199" s="14">
        <v>470939</v>
      </c>
      <c r="B2199" s="14" t="s">
        <v>2322</v>
      </c>
      <c r="C2199" s="14" t="s">
        <v>13030</v>
      </c>
      <c r="D2199" s="15">
        <v>32.270000000000003</v>
      </c>
      <c r="E2199" s="16" t="s">
        <v>30</v>
      </c>
    </row>
    <row r="2200" spans="1:5" x14ac:dyDescent="0.25">
      <c r="A2200" s="14">
        <v>470940</v>
      </c>
      <c r="B2200" s="14" t="s">
        <v>2323</v>
      </c>
      <c r="C2200" s="14" t="s">
        <v>13030</v>
      </c>
      <c r="D2200" s="15">
        <v>32.270000000000003</v>
      </c>
      <c r="E2200" s="16" t="s">
        <v>30</v>
      </c>
    </row>
    <row r="2201" spans="1:5" x14ac:dyDescent="0.25">
      <c r="A2201" s="14">
        <v>470941</v>
      </c>
      <c r="B2201" s="14" t="s">
        <v>2324</v>
      </c>
      <c r="C2201" s="14" t="s">
        <v>13030</v>
      </c>
      <c r="D2201" s="15">
        <v>32.270000000000003</v>
      </c>
      <c r="E2201" s="16" t="s">
        <v>30</v>
      </c>
    </row>
    <row r="2202" spans="1:5" x14ac:dyDescent="0.25">
      <c r="A2202" s="14">
        <v>471086</v>
      </c>
      <c r="B2202" s="14" t="s">
        <v>2325</v>
      </c>
      <c r="C2202" s="14" t="s">
        <v>13030</v>
      </c>
      <c r="D2202" s="15">
        <v>63.21</v>
      </c>
      <c r="E2202" s="16" t="s">
        <v>30</v>
      </c>
    </row>
    <row r="2203" spans="1:5" x14ac:dyDescent="0.25">
      <c r="A2203" s="14">
        <v>471163</v>
      </c>
      <c r="B2203" s="14" t="s">
        <v>2326</v>
      </c>
      <c r="C2203" s="14" t="s">
        <v>13030</v>
      </c>
      <c r="D2203" s="15">
        <v>104.78</v>
      </c>
      <c r="E2203" s="16" t="s">
        <v>30</v>
      </c>
    </row>
    <row r="2204" spans="1:5" x14ac:dyDescent="0.25">
      <c r="A2204" s="14">
        <v>471472</v>
      </c>
      <c r="B2204" s="14" t="s">
        <v>2327</v>
      </c>
      <c r="C2204" s="14" t="s">
        <v>13031</v>
      </c>
      <c r="D2204" s="15">
        <v>6.43</v>
      </c>
      <c r="E2204" s="16" t="s">
        <v>30</v>
      </c>
    </row>
    <row r="2205" spans="1:5" x14ac:dyDescent="0.25">
      <c r="A2205" s="14">
        <v>471473</v>
      </c>
      <c r="B2205" s="14" t="s">
        <v>2328</v>
      </c>
      <c r="C2205" s="14" t="s">
        <v>13031</v>
      </c>
      <c r="D2205" s="15">
        <v>8.6300000000000008</v>
      </c>
      <c r="E2205" s="16" t="s">
        <v>30</v>
      </c>
    </row>
    <row r="2206" spans="1:5" x14ac:dyDescent="0.25">
      <c r="A2206" s="14">
        <v>471497</v>
      </c>
      <c r="B2206" s="14" t="s">
        <v>2329</v>
      </c>
      <c r="C2206" s="14" t="s">
        <v>13029</v>
      </c>
      <c r="D2206" s="15">
        <v>24.86</v>
      </c>
      <c r="E2206" s="14" t="s">
        <v>30</v>
      </c>
    </row>
    <row r="2207" spans="1:5" x14ac:dyDescent="0.25">
      <c r="A2207" s="14">
        <v>471571</v>
      </c>
      <c r="B2207" s="14" t="s">
        <v>2330</v>
      </c>
      <c r="C2207" s="14" t="s">
        <v>13030</v>
      </c>
      <c r="D2207" s="15">
        <v>17.309999999999999</v>
      </c>
      <c r="E2207" s="16" t="s">
        <v>30</v>
      </c>
    </row>
    <row r="2208" spans="1:5" x14ac:dyDescent="0.25">
      <c r="A2208" s="14">
        <v>471572</v>
      </c>
      <c r="B2208" s="14" t="s">
        <v>2331</v>
      </c>
      <c r="C2208" s="14" t="s">
        <v>13030</v>
      </c>
      <c r="D2208" s="15">
        <v>19.39</v>
      </c>
      <c r="E2208" s="16" t="s">
        <v>30</v>
      </c>
    </row>
    <row r="2209" spans="1:5" x14ac:dyDescent="0.25">
      <c r="A2209" s="14">
        <v>471643</v>
      </c>
      <c r="B2209" s="14" t="s">
        <v>2332</v>
      </c>
      <c r="C2209" s="14" t="s">
        <v>13030</v>
      </c>
      <c r="D2209" s="15">
        <v>104.16</v>
      </c>
      <c r="E2209" s="16" t="s">
        <v>30</v>
      </c>
    </row>
    <row r="2210" spans="1:5" x14ac:dyDescent="0.25">
      <c r="A2210" s="14">
        <v>471703</v>
      </c>
      <c r="B2210" s="14" t="s">
        <v>2333</v>
      </c>
      <c r="C2210" s="14" t="s">
        <v>13029</v>
      </c>
      <c r="D2210" s="15">
        <v>16.7</v>
      </c>
      <c r="E2210" s="16" t="s">
        <v>30</v>
      </c>
    </row>
    <row r="2211" spans="1:5" x14ac:dyDescent="0.25">
      <c r="A2211" s="14">
        <v>442207</v>
      </c>
      <c r="B2211" s="14" t="s">
        <v>2334</v>
      </c>
      <c r="C2211" s="14" t="s">
        <v>13031</v>
      </c>
      <c r="D2211" s="15">
        <v>6.78</v>
      </c>
      <c r="E2211" s="16" t="s">
        <v>20</v>
      </c>
    </row>
    <row r="2212" spans="1:5" x14ac:dyDescent="0.25">
      <c r="A2212" s="14">
        <v>472106</v>
      </c>
      <c r="B2212" s="14" t="s">
        <v>2335</v>
      </c>
      <c r="C2212" s="14" t="s">
        <v>13030</v>
      </c>
      <c r="D2212" s="15">
        <v>3.83</v>
      </c>
      <c r="E2212" s="16" t="s">
        <v>30</v>
      </c>
    </row>
    <row r="2213" spans="1:5" x14ac:dyDescent="0.25">
      <c r="A2213" s="14">
        <v>472107</v>
      </c>
      <c r="B2213" s="14" t="s">
        <v>2336</v>
      </c>
      <c r="C2213" s="14" t="s">
        <v>13030</v>
      </c>
      <c r="D2213" s="15">
        <v>3.83</v>
      </c>
      <c r="E2213" s="16" t="s">
        <v>30</v>
      </c>
    </row>
    <row r="2214" spans="1:5" x14ac:dyDescent="0.25">
      <c r="A2214" s="14">
        <v>472108</v>
      </c>
      <c r="B2214" s="14" t="s">
        <v>2337</v>
      </c>
      <c r="C2214" s="14" t="s">
        <v>13030</v>
      </c>
      <c r="D2214" s="15">
        <v>3.83</v>
      </c>
      <c r="E2214" s="16" t="s">
        <v>30</v>
      </c>
    </row>
    <row r="2215" spans="1:5" x14ac:dyDescent="0.25">
      <c r="A2215" s="14">
        <v>472324</v>
      </c>
      <c r="B2215" s="14" t="s">
        <v>2338</v>
      </c>
      <c r="C2215" s="14" t="s">
        <v>13036</v>
      </c>
      <c r="D2215" s="15">
        <v>6.53</v>
      </c>
      <c r="E2215" s="16" t="s">
        <v>30</v>
      </c>
    </row>
    <row r="2216" spans="1:5" x14ac:dyDescent="0.25">
      <c r="A2216" s="14">
        <v>472575</v>
      </c>
      <c r="B2216" s="14" t="s">
        <v>2339</v>
      </c>
      <c r="C2216" s="14" t="s">
        <v>13031</v>
      </c>
      <c r="D2216" s="15">
        <v>8.5</v>
      </c>
      <c r="E2216" s="16" t="s">
        <v>30</v>
      </c>
    </row>
    <row r="2217" spans="1:5" x14ac:dyDescent="0.25">
      <c r="A2217" s="14">
        <v>473472</v>
      </c>
      <c r="B2217" s="14" t="s">
        <v>2340</v>
      </c>
      <c r="C2217" s="14" t="s">
        <v>13031</v>
      </c>
      <c r="D2217" s="15">
        <v>4.01</v>
      </c>
      <c r="E2217" s="16" t="s">
        <v>30</v>
      </c>
    </row>
    <row r="2218" spans="1:5" x14ac:dyDescent="0.25">
      <c r="A2218" s="14">
        <v>473474</v>
      </c>
      <c r="B2218" s="14" t="s">
        <v>2341</v>
      </c>
      <c r="C2218" s="14" t="s">
        <v>13031</v>
      </c>
      <c r="D2218" s="15">
        <v>3.39</v>
      </c>
      <c r="E2218" s="16" t="s">
        <v>30</v>
      </c>
    </row>
    <row r="2219" spans="1:5" x14ac:dyDescent="0.25">
      <c r="A2219" s="14">
        <v>473525</v>
      </c>
      <c r="B2219" s="14" t="s">
        <v>2342</v>
      </c>
      <c r="C2219" s="14" t="s">
        <v>13031</v>
      </c>
      <c r="D2219" s="15">
        <v>3.71</v>
      </c>
      <c r="E2219" s="16" t="s">
        <v>30</v>
      </c>
    </row>
    <row r="2220" spans="1:5" x14ac:dyDescent="0.25">
      <c r="A2220" s="14">
        <v>449865</v>
      </c>
      <c r="B2220" s="14" t="s">
        <v>2343</v>
      </c>
      <c r="C2220" s="14" t="s">
        <v>13030</v>
      </c>
      <c r="D2220" s="15">
        <v>28.87</v>
      </c>
      <c r="E2220" s="16" t="s">
        <v>20</v>
      </c>
    </row>
    <row r="2221" spans="1:5" x14ac:dyDescent="0.25">
      <c r="A2221" s="14">
        <v>473526</v>
      </c>
      <c r="B2221" s="14" t="s">
        <v>2344</v>
      </c>
      <c r="C2221" s="14" t="s">
        <v>13031</v>
      </c>
      <c r="D2221" s="15">
        <v>3.54</v>
      </c>
      <c r="E2221" s="16" t="s">
        <v>30</v>
      </c>
    </row>
    <row r="2222" spans="1:5" x14ac:dyDescent="0.25">
      <c r="A2222" s="14">
        <v>449866</v>
      </c>
      <c r="B2222" s="14" t="s">
        <v>2345</v>
      </c>
      <c r="C2222" s="14" t="s">
        <v>13030</v>
      </c>
      <c r="D2222" s="15">
        <v>28.92</v>
      </c>
      <c r="E2222" s="16" t="s">
        <v>20</v>
      </c>
    </row>
    <row r="2223" spans="1:5" x14ac:dyDescent="0.25">
      <c r="A2223" s="14">
        <v>449867</v>
      </c>
      <c r="B2223" s="14" t="s">
        <v>2346</v>
      </c>
      <c r="C2223" s="14" t="s">
        <v>13030</v>
      </c>
      <c r="D2223" s="15">
        <v>28.92</v>
      </c>
      <c r="E2223" s="16" t="s">
        <v>20</v>
      </c>
    </row>
    <row r="2224" spans="1:5" x14ac:dyDescent="0.25">
      <c r="A2224" s="14">
        <v>474824</v>
      </c>
      <c r="B2224" s="14" t="s">
        <v>2347</v>
      </c>
      <c r="C2224" s="14" t="s">
        <v>13029</v>
      </c>
      <c r="D2224" s="15">
        <v>14.77</v>
      </c>
      <c r="E2224" s="16" t="s">
        <v>30</v>
      </c>
    </row>
    <row r="2225" spans="1:5" x14ac:dyDescent="0.25">
      <c r="A2225" s="14">
        <v>474990</v>
      </c>
      <c r="B2225" s="14" t="s">
        <v>2348</v>
      </c>
      <c r="C2225" s="14" t="s">
        <v>13031</v>
      </c>
      <c r="D2225" s="15">
        <v>36.299999999999997</v>
      </c>
      <c r="E2225" s="16" t="s">
        <v>30</v>
      </c>
    </row>
    <row r="2226" spans="1:5" x14ac:dyDescent="0.25">
      <c r="A2226" s="14">
        <v>474991</v>
      </c>
      <c r="B2226" s="14" t="s">
        <v>2349</v>
      </c>
      <c r="C2226" s="14" t="s">
        <v>13031</v>
      </c>
      <c r="D2226" s="15">
        <v>81.34</v>
      </c>
      <c r="E2226" s="16" t="s">
        <v>30</v>
      </c>
    </row>
    <row r="2227" spans="1:5" x14ac:dyDescent="0.25">
      <c r="A2227" s="14">
        <v>451975</v>
      </c>
      <c r="B2227" s="14" t="s">
        <v>2350</v>
      </c>
      <c r="C2227" s="14" t="s">
        <v>13031</v>
      </c>
      <c r="D2227" s="15">
        <v>5.53</v>
      </c>
      <c r="E2227" s="16" t="s">
        <v>20</v>
      </c>
    </row>
    <row r="2228" spans="1:5" x14ac:dyDescent="0.25">
      <c r="A2228" s="14">
        <v>475161</v>
      </c>
      <c r="B2228" s="14" t="s">
        <v>2351</v>
      </c>
      <c r="C2228" s="14" t="s">
        <v>13031</v>
      </c>
      <c r="D2228" s="15">
        <v>4.25</v>
      </c>
      <c r="E2228" s="16" t="s">
        <v>30</v>
      </c>
    </row>
    <row r="2229" spans="1:5" x14ac:dyDescent="0.25">
      <c r="A2229" s="14">
        <v>475162</v>
      </c>
      <c r="B2229" s="14" t="s">
        <v>2352</v>
      </c>
      <c r="C2229" s="14" t="s">
        <v>13031</v>
      </c>
      <c r="D2229" s="15">
        <v>8</v>
      </c>
      <c r="E2229" s="16" t="s">
        <v>30</v>
      </c>
    </row>
    <row r="2230" spans="1:5" x14ac:dyDescent="0.25">
      <c r="A2230" s="14">
        <v>475433</v>
      </c>
      <c r="B2230" s="14" t="s">
        <v>2353</v>
      </c>
      <c r="C2230" s="14" t="s">
        <v>13029</v>
      </c>
      <c r="D2230" s="15">
        <v>3.95</v>
      </c>
      <c r="E2230" s="16" t="s">
        <v>30</v>
      </c>
    </row>
    <row r="2231" spans="1:5" x14ac:dyDescent="0.25">
      <c r="A2231" s="14">
        <v>475513</v>
      </c>
      <c r="B2231" s="14" t="s">
        <v>2354</v>
      </c>
      <c r="C2231" s="14" t="s">
        <v>13029</v>
      </c>
      <c r="D2231" s="15">
        <v>16.39</v>
      </c>
      <c r="E2231" s="16" t="s">
        <v>30</v>
      </c>
    </row>
    <row r="2232" spans="1:5" x14ac:dyDescent="0.25">
      <c r="A2232" s="14">
        <v>476376</v>
      </c>
      <c r="B2232" s="14" t="s">
        <v>2355</v>
      </c>
      <c r="C2232" s="14" t="s">
        <v>13029</v>
      </c>
      <c r="D2232" s="15">
        <v>14.77</v>
      </c>
      <c r="E2232" s="16" t="s">
        <v>30</v>
      </c>
    </row>
    <row r="2233" spans="1:5" x14ac:dyDescent="0.25">
      <c r="A2233" s="14">
        <v>477295</v>
      </c>
      <c r="B2233" s="14" t="s">
        <v>2356</v>
      </c>
      <c r="C2233" s="14" t="s">
        <v>13034</v>
      </c>
      <c r="D2233" s="15">
        <v>2.2999999999999998</v>
      </c>
      <c r="E2233" s="16" t="s">
        <v>30</v>
      </c>
    </row>
    <row r="2234" spans="1:5" x14ac:dyDescent="0.25">
      <c r="A2234" s="14">
        <v>477469</v>
      </c>
      <c r="B2234" s="14" t="s">
        <v>2357</v>
      </c>
      <c r="C2234" s="14" t="s">
        <v>13029</v>
      </c>
      <c r="D2234" s="15">
        <v>7.89</v>
      </c>
      <c r="E2234" s="16" t="s">
        <v>30</v>
      </c>
    </row>
    <row r="2235" spans="1:5" x14ac:dyDescent="0.25">
      <c r="A2235" s="14">
        <v>477472</v>
      </c>
      <c r="B2235" s="14" t="s">
        <v>2358</v>
      </c>
      <c r="C2235" s="14" t="s">
        <v>13029</v>
      </c>
      <c r="D2235" s="15">
        <v>31.17</v>
      </c>
      <c r="E2235" s="16" t="s">
        <v>30</v>
      </c>
    </row>
    <row r="2236" spans="1:5" x14ac:dyDescent="0.25">
      <c r="A2236" s="14">
        <v>477473</v>
      </c>
      <c r="B2236" s="14" t="s">
        <v>2359</v>
      </c>
      <c r="C2236" s="14" t="s">
        <v>13029</v>
      </c>
      <c r="D2236" s="15">
        <v>9.0299999999999994</v>
      </c>
      <c r="E2236" s="16" t="s">
        <v>30</v>
      </c>
    </row>
    <row r="2237" spans="1:5" x14ac:dyDescent="0.25">
      <c r="A2237" s="14">
        <v>478488</v>
      </c>
      <c r="B2237" s="14" t="s">
        <v>2360</v>
      </c>
      <c r="C2237" s="14" t="s">
        <v>13029</v>
      </c>
      <c r="D2237" s="15">
        <v>11.3</v>
      </c>
      <c r="E2237" s="16" t="s">
        <v>30</v>
      </c>
    </row>
    <row r="2238" spans="1:5" x14ac:dyDescent="0.25">
      <c r="A2238" s="14">
        <v>479298</v>
      </c>
      <c r="B2238" s="14" t="s">
        <v>2361</v>
      </c>
      <c r="C2238" s="14" t="s">
        <v>13031</v>
      </c>
      <c r="D2238" s="15">
        <v>9.65</v>
      </c>
      <c r="E2238" s="16" t="s">
        <v>30</v>
      </c>
    </row>
    <row r="2239" spans="1:5" x14ac:dyDescent="0.25">
      <c r="A2239" s="14">
        <v>480803</v>
      </c>
      <c r="B2239" s="14" t="s">
        <v>2362</v>
      </c>
      <c r="C2239" s="14" t="s">
        <v>13029</v>
      </c>
      <c r="D2239" s="15">
        <v>45.5</v>
      </c>
      <c r="E2239" s="16" t="s">
        <v>30</v>
      </c>
    </row>
    <row r="2240" spans="1:5" x14ac:dyDescent="0.25">
      <c r="A2240" s="14">
        <v>480804</v>
      </c>
      <c r="B2240" s="14" t="s">
        <v>2363</v>
      </c>
      <c r="C2240" s="14" t="s">
        <v>13031</v>
      </c>
      <c r="D2240" s="15">
        <v>130.97999999999999</v>
      </c>
      <c r="E2240" s="16" t="s">
        <v>30</v>
      </c>
    </row>
    <row r="2241" spans="1:5" x14ac:dyDescent="0.25">
      <c r="A2241" s="14">
        <v>480815</v>
      </c>
      <c r="B2241" s="14" t="s">
        <v>2364</v>
      </c>
      <c r="C2241" s="14" t="s">
        <v>13031</v>
      </c>
      <c r="D2241" s="15">
        <v>120.51</v>
      </c>
      <c r="E2241" s="16" t="s">
        <v>30</v>
      </c>
    </row>
    <row r="2242" spans="1:5" x14ac:dyDescent="0.25">
      <c r="A2242" s="14">
        <v>480816</v>
      </c>
      <c r="B2242" s="14" t="s">
        <v>2365</v>
      </c>
      <c r="C2242" s="14" t="s">
        <v>13031</v>
      </c>
      <c r="D2242" s="15">
        <v>63.45</v>
      </c>
      <c r="E2242" s="16" t="s">
        <v>30</v>
      </c>
    </row>
    <row r="2243" spans="1:5" x14ac:dyDescent="0.25">
      <c r="A2243" s="14">
        <v>482228</v>
      </c>
      <c r="B2243" s="14" t="s">
        <v>2366</v>
      </c>
      <c r="C2243" s="14" t="s">
        <v>13031</v>
      </c>
      <c r="D2243" s="15">
        <v>9.32</v>
      </c>
      <c r="E2243" s="16" t="s">
        <v>30</v>
      </c>
    </row>
    <row r="2244" spans="1:5" x14ac:dyDescent="0.25">
      <c r="A2244" s="14">
        <v>482880</v>
      </c>
      <c r="B2244" s="14" t="s">
        <v>2367</v>
      </c>
      <c r="C2244" s="14" t="s">
        <v>13029</v>
      </c>
      <c r="D2244" s="15">
        <v>5.76</v>
      </c>
      <c r="E2244" s="16" t="s">
        <v>30</v>
      </c>
    </row>
    <row r="2245" spans="1:5" x14ac:dyDescent="0.25">
      <c r="A2245" s="14">
        <v>483872</v>
      </c>
      <c r="B2245" s="14" t="s">
        <v>2368</v>
      </c>
      <c r="C2245" s="14" t="s">
        <v>13033</v>
      </c>
      <c r="D2245" s="15">
        <v>6.89</v>
      </c>
      <c r="E2245" s="16" t="s">
        <v>30</v>
      </c>
    </row>
    <row r="2246" spans="1:5" x14ac:dyDescent="0.25">
      <c r="A2246" s="14">
        <v>483874</v>
      </c>
      <c r="B2246" s="14" t="s">
        <v>2369</v>
      </c>
      <c r="C2246" s="14" t="s">
        <v>13033</v>
      </c>
      <c r="D2246" s="15">
        <v>6.89</v>
      </c>
      <c r="E2246" s="16" t="s">
        <v>30</v>
      </c>
    </row>
    <row r="2247" spans="1:5" x14ac:dyDescent="0.25">
      <c r="A2247" s="14">
        <v>484317</v>
      </c>
      <c r="B2247" s="14" t="s">
        <v>2370</v>
      </c>
      <c r="C2247" s="14" t="s">
        <v>13029</v>
      </c>
      <c r="D2247" s="15">
        <v>39.69</v>
      </c>
      <c r="E2247" s="16" t="s">
        <v>30</v>
      </c>
    </row>
    <row r="2248" spans="1:5" x14ac:dyDescent="0.25">
      <c r="A2248" s="14">
        <v>484318</v>
      </c>
      <c r="B2248" s="14" t="s">
        <v>2371</v>
      </c>
      <c r="C2248" s="14" t="s">
        <v>13029</v>
      </c>
      <c r="D2248" s="15">
        <v>39.69</v>
      </c>
      <c r="E2248" s="16" t="s">
        <v>30</v>
      </c>
    </row>
    <row r="2249" spans="1:5" x14ac:dyDescent="0.25">
      <c r="A2249" s="14">
        <v>484873</v>
      </c>
      <c r="B2249" s="14" t="s">
        <v>2372</v>
      </c>
      <c r="C2249" s="14" t="s">
        <v>13031</v>
      </c>
      <c r="D2249" s="15">
        <v>7.22</v>
      </c>
      <c r="E2249" s="16" t="s">
        <v>30</v>
      </c>
    </row>
    <row r="2250" spans="1:5" x14ac:dyDescent="0.25">
      <c r="A2250" s="14">
        <v>484885</v>
      </c>
      <c r="B2250" s="14" t="s">
        <v>2373</v>
      </c>
      <c r="C2250" s="14" t="s">
        <v>13030</v>
      </c>
      <c r="D2250" s="15">
        <v>32.950000000000003</v>
      </c>
      <c r="E2250" s="16" t="s">
        <v>30</v>
      </c>
    </row>
    <row r="2251" spans="1:5" x14ac:dyDescent="0.25">
      <c r="A2251" s="14">
        <v>484886</v>
      </c>
      <c r="B2251" s="14" t="s">
        <v>2374</v>
      </c>
      <c r="C2251" s="14" t="s">
        <v>13030</v>
      </c>
      <c r="D2251" s="15">
        <v>23.7</v>
      </c>
      <c r="E2251" s="16" t="s">
        <v>30</v>
      </c>
    </row>
    <row r="2252" spans="1:5" x14ac:dyDescent="0.25">
      <c r="A2252" s="14">
        <v>484887</v>
      </c>
      <c r="B2252" s="14" t="s">
        <v>2375</v>
      </c>
      <c r="C2252" s="14" t="s">
        <v>13030</v>
      </c>
      <c r="D2252" s="15">
        <v>23.7</v>
      </c>
      <c r="E2252" s="16" t="s">
        <v>30</v>
      </c>
    </row>
    <row r="2253" spans="1:5" x14ac:dyDescent="0.25">
      <c r="A2253" s="14">
        <v>484888</v>
      </c>
      <c r="B2253" s="14" t="s">
        <v>2376</v>
      </c>
      <c r="C2253" s="14" t="s">
        <v>13030</v>
      </c>
      <c r="D2253" s="15">
        <v>23.7</v>
      </c>
      <c r="E2253" s="16" t="s">
        <v>30</v>
      </c>
    </row>
    <row r="2254" spans="1:5" x14ac:dyDescent="0.25">
      <c r="A2254" s="14">
        <v>484908</v>
      </c>
      <c r="B2254" s="14" t="s">
        <v>2377</v>
      </c>
      <c r="C2254" s="14" t="s">
        <v>13031</v>
      </c>
      <c r="D2254" s="15">
        <v>8.93</v>
      </c>
      <c r="E2254" s="16" t="s">
        <v>30</v>
      </c>
    </row>
    <row r="2255" spans="1:5" x14ac:dyDescent="0.25">
      <c r="A2255" s="14">
        <v>485397</v>
      </c>
      <c r="B2255" s="14" t="s">
        <v>2378</v>
      </c>
      <c r="C2255" s="14" t="s">
        <v>13029</v>
      </c>
      <c r="D2255" s="15">
        <v>15.03</v>
      </c>
      <c r="E2255" s="16" t="s">
        <v>30</v>
      </c>
    </row>
    <row r="2256" spans="1:5" x14ac:dyDescent="0.25">
      <c r="A2256" s="14">
        <v>485447</v>
      </c>
      <c r="B2256" s="14" t="s">
        <v>2379</v>
      </c>
      <c r="C2256" s="14" t="s">
        <v>13030</v>
      </c>
      <c r="D2256" s="15">
        <v>3.83</v>
      </c>
      <c r="E2256" s="16" t="s">
        <v>30</v>
      </c>
    </row>
    <row r="2257" spans="1:5" x14ac:dyDescent="0.25">
      <c r="A2257" s="14">
        <v>485452</v>
      </c>
      <c r="B2257" s="14" t="s">
        <v>2380</v>
      </c>
      <c r="C2257" s="14" t="s">
        <v>13031</v>
      </c>
      <c r="D2257" s="15">
        <v>3.09</v>
      </c>
      <c r="E2257" s="16" t="s">
        <v>30</v>
      </c>
    </row>
    <row r="2258" spans="1:5" x14ac:dyDescent="0.25">
      <c r="A2258" s="14">
        <v>485905</v>
      </c>
      <c r="B2258" s="14" t="s">
        <v>2381</v>
      </c>
      <c r="C2258" s="14" t="s">
        <v>13031</v>
      </c>
      <c r="D2258" s="15">
        <v>12.2</v>
      </c>
      <c r="E2258" s="16" t="s">
        <v>30</v>
      </c>
    </row>
    <row r="2259" spans="1:5" x14ac:dyDescent="0.25">
      <c r="A2259" s="14">
        <v>486241</v>
      </c>
      <c r="B2259" s="14" t="s">
        <v>2382</v>
      </c>
      <c r="C2259" s="14" t="s">
        <v>13030</v>
      </c>
      <c r="D2259" s="15">
        <v>125.01</v>
      </c>
      <c r="E2259" s="16" t="s">
        <v>30</v>
      </c>
    </row>
    <row r="2260" spans="1:5" x14ac:dyDescent="0.25">
      <c r="A2260" s="14">
        <v>486288</v>
      </c>
      <c r="B2260" s="14" t="s">
        <v>2383</v>
      </c>
      <c r="C2260" s="14" t="s">
        <v>13029</v>
      </c>
      <c r="D2260" s="15">
        <v>15.36</v>
      </c>
      <c r="E2260" s="16" t="s">
        <v>30</v>
      </c>
    </row>
    <row r="2261" spans="1:5" x14ac:dyDescent="0.25">
      <c r="A2261" s="14">
        <v>486289</v>
      </c>
      <c r="B2261" s="14" t="s">
        <v>2384</v>
      </c>
      <c r="C2261" s="14" t="s">
        <v>13029</v>
      </c>
      <c r="D2261" s="15">
        <v>17.739999999999998</v>
      </c>
      <c r="E2261" s="16" t="s">
        <v>30</v>
      </c>
    </row>
    <row r="2262" spans="1:5" x14ac:dyDescent="0.25">
      <c r="A2262" s="14">
        <v>486290</v>
      </c>
      <c r="B2262" s="14" t="s">
        <v>2385</v>
      </c>
      <c r="C2262" s="14" t="s">
        <v>13029</v>
      </c>
      <c r="D2262" s="15">
        <v>21.89</v>
      </c>
      <c r="E2262" s="16" t="s">
        <v>30</v>
      </c>
    </row>
    <row r="2263" spans="1:5" x14ac:dyDescent="0.25">
      <c r="A2263" s="14">
        <v>486291</v>
      </c>
      <c r="B2263" s="14" t="s">
        <v>2386</v>
      </c>
      <c r="C2263" s="14" t="s">
        <v>13029</v>
      </c>
      <c r="D2263" s="15">
        <v>24.86</v>
      </c>
      <c r="E2263" s="16" t="s">
        <v>30</v>
      </c>
    </row>
    <row r="2264" spans="1:5" x14ac:dyDescent="0.25">
      <c r="A2264" s="14">
        <v>486682</v>
      </c>
      <c r="B2264" s="14" t="s">
        <v>2387</v>
      </c>
      <c r="C2264" s="14" t="s">
        <v>13030</v>
      </c>
      <c r="D2264" s="15">
        <v>79.11</v>
      </c>
      <c r="E2264" s="16" t="s">
        <v>30</v>
      </c>
    </row>
    <row r="2265" spans="1:5" x14ac:dyDescent="0.25">
      <c r="A2265" s="14">
        <v>486683</v>
      </c>
      <c r="B2265" s="14" t="s">
        <v>2388</v>
      </c>
      <c r="C2265" s="14" t="s">
        <v>13030</v>
      </c>
      <c r="D2265" s="15">
        <v>79.13</v>
      </c>
      <c r="E2265" s="16" t="s">
        <v>30</v>
      </c>
    </row>
    <row r="2266" spans="1:5" x14ac:dyDescent="0.25">
      <c r="A2266" s="14">
        <v>487385</v>
      </c>
      <c r="B2266" s="14" t="s">
        <v>2389</v>
      </c>
      <c r="C2266" s="14" t="s">
        <v>13029</v>
      </c>
      <c r="D2266" s="15">
        <v>20.12</v>
      </c>
      <c r="E2266" s="14" t="s">
        <v>30</v>
      </c>
    </row>
    <row r="2267" spans="1:5" x14ac:dyDescent="0.25">
      <c r="A2267" s="14">
        <v>487583</v>
      </c>
      <c r="B2267" s="14" t="s">
        <v>2390</v>
      </c>
      <c r="C2267" s="14" t="s">
        <v>13030</v>
      </c>
      <c r="D2267" s="15">
        <v>362.69</v>
      </c>
      <c r="E2267" s="16" t="s">
        <v>30</v>
      </c>
    </row>
    <row r="2268" spans="1:5" x14ac:dyDescent="0.25">
      <c r="A2268" s="14">
        <v>487675</v>
      </c>
      <c r="B2268" s="14" t="s">
        <v>2391</v>
      </c>
      <c r="C2268" s="14" t="s">
        <v>13031</v>
      </c>
      <c r="D2268" s="15">
        <v>25.45</v>
      </c>
      <c r="E2268" s="14" t="s">
        <v>30</v>
      </c>
    </row>
    <row r="2269" spans="1:5" x14ac:dyDescent="0.25">
      <c r="A2269" s="14">
        <v>487676</v>
      </c>
      <c r="B2269" s="14" t="s">
        <v>2392</v>
      </c>
      <c r="C2269" s="14" t="s">
        <v>13031</v>
      </c>
      <c r="D2269" s="15">
        <v>14.95</v>
      </c>
      <c r="E2269" s="14" t="s">
        <v>30</v>
      </c>
    </row>
    <row r="2270" spans="1:5" x14ac:dyDescent="0.25">
      <c r="A2270" s="14">
        <v>488265</v>
      </c>
      <c r="B2270" s="14" t="s">
        <v>2393</v>
      </c>
      <c r="C2270" s="14" t="s">
        <v>13030</v>
      </c>
      <c r="D2270" s="15">
        <v>48.42</v>
      </c>
      <c r="E2270" s="16" t="s">
        <v>30</v>
      </c>
    </row>
    <row r="2271" spans="1:5" x14ac:dyDescent="0.25">
      <c r="A2271" s="14">
        <v>488561</v>
      </c>
      <c r="B2271" s="14" t="s">
        <v>2394</v>
      </c>
      <c r="C2271" s="14" t="s">
        <v>13029</v>
      </c>
      <c r="D2271" s="15">
        <v>6.35</v>
      </c>
      <c r="E2271" s="16" t="s">
        <v>30</v>
      </c>
    </row>
    <row r="2272" spans="1:5" x14ac:dyDescent="0.25">
      <c r="A2272" s="14">
        <v>489934</v>
      </c>
      <c r="B2272" s="14" t="s">
        <v>2395</v>
      </c>
      <c r="C2272" s="14" t="s">
        <v>13030</v>
      </c>
      <c r="D2272" s="15">
        <v>21.25</v>
      </c>
      <c r="E2272" s="16" t="s">
        <v>30</v>
      </c>
    </row>
    <row r="2273" spans="1:5" x14ac:dyDescent="0.25">
      <c r="A2273" s="14">
        <v>489939</v>
      </c>
      <c r="B2273" s="14" t="s">
        <v>2396</v>
      </c>
      <c r="C2273" s="14" t="s">
        <v>13030</v>
      </c>
      <c r="D2273" s="15">
        <v>1.72</v>
      </c>
      <c r="E2273" s="16" t="s">
        <v>30</v>
      </c>
    </row>
    <row r="2274" spans="1:5" x14ac:dyDescent="0.25">
      <c r="A2274" s="14">
        <v>489955</v>
      </c>
      <c r="B2274" s="14" t="s">
        <v>2397</v>
      </c>
      <c r="C2274" s="14" t="s">
        <v>13030</v>
      </c>
      <c r="D2274" s="15">
        <v>76.36</v>
      </c>
      <c r="E2274" s="16" t="s">
        <v>30</v>
      </c>
    </row>
    <row r="2275" spans="1:5" x14ac:dyDescent="0.25">
      <c r="A2275" s="14">
        <v>490020</v>
      </c>
      <c r="B2275" s="14" t="s">
        <v>2398</v>
      </c>
      <c r="C2275" s="14" t="s">
        <v>13029</v>
      </c>
      <c r="D2275" s="15">
        <v>23.67</v>
      </c>
      <c r="E2275" s="16" t="s">
        <v>30</v>
      </c>
    </row>
    <row r="2276" spans="1:5" x14ac:dyDescent="0.25">
      <c r="A2276" s="14">
        <v>490021</v>
      </c>
      <c r="B2276" s="14" t="s">
        <v>2399</v>
      </c>
      <c r="C2276" s="14" t="s">
        <v>13029</v>
      </c>
      <c r="D2276" s="15">
        <v>15.96</v>
      </c>
      <c r="E2276" s="16" t="s">
        <v>30</v>
      </c>
    </row>
    <row r="2277" spans="1:5" x14ac:dyDescent="0.25">
      <c r="A2277" s="14">
        <v>491797</v>
      </c>
      <c r="B2277" s="14" t="s">
        <v>2400</v>
      </c>
      <c r="C2277" s="14" t="s">
        <v>13029</v>
      </c>
      <c r="D2277" s="15">
        <v>15.72</v>
      </c>
      <c r="E2277" s="16" t="s">
        <v>30</v>
      </c>
    </row>
    <row r="2278" spans="1:5" x14ac:dyDescent="0.25">
      <c r="A2278" s="14">
        <v>491798</v>
      </c>
      <c r="B2278" s="14" t="s">
        <v>2401</v>
      </c>
      <c r="C2278" s="14" t="s">
        <v>13029</v>
      </c>
      <c r="D2278" s="15">
        <v>14.77</v>
      </c>
      <c r="E2278" s="16" t="s">
        <v>30</v>
      </c>
    </row>
    <row r="2279" spans="1:5" x14ac:dyDescent="0.25">
      <c r="A2279" s="14">
        <v>492010</v>
      </c>
      <c r="B2279" s="14" t="s">
        <v>2402</v>
      </c>
      <c r="C2279" s="14" t="s">
        <v>13030</v>
      </c>
      <c r="D2279" s="15">
        <v>57.59</v>
      </c>
      <c r="E2279" s="16" t="s">
        <v>30</v>
      </c>
    </row>
    <row r="2280" spans="1:5" x14ac:dyDescent="0.25">
      <c r="A2280" s="14">
        <v>492011</v>
      </c>
      <c r="B2280" s="14" t="s">
        <v>2403</v>
      </c>
      <c r="C2280" s="14" t="s">
        <v>13030</v>
      </c>
      <c r="D2280" s="15">
        <v>57.59</v>
      </c>
      <c r="E2280" s="16" t="s">
        <v>30</v>
      </c>
    </row>
    <row r="2281" spans="1:5" x14ac:dyDescent="0.25">
      <c r="A2281" s="14">
        <v>492012</v>
      </c>
      <c r="B2281" s="14" t="s">
        <v>2404</v>
      </c>
      <c r="C2281" s="14" t="s">
        <v>13030</v>
      </c>
      <c r="D2281" s="15">
        <v>27.72</v>
      </c>
      <c r="E2281" s="16" t="s">
        <v>30</v>
      </c>
    </row>
    <row r="2282" spans="1:5" x14ac:dyDescent="0.25">
      <c r="A2282" s="14">
        <v>475293</v>
      </c>
      <c r="B2282" s="14" t="s">
        <v>2405</v>
      </c>
      <c r="C2282" s="14" t="s">
        <v>13030</v>
      </c>
      <c r="D2282" s="15">
        <v>103.22</v>
      </c>
      <c r="E2282" s="16" t="s">
        <v>20</v>
      </c>
    </row>
    <row r="2283" spans="1:5" x14ac:dyDescent="0.25">
      <c r="A2283" s="14">
        <v>475294</v>
      </c>
      <c r="B2283" s="14" t="s">
        <v>2406</v>
      </c>
      <c r="C2283" s="14" t="s">
        <v>13030</v>
      </c>
      <c r="D2283" s="15">
        <v>134.96</v>
      </c>
      <c r="E2283" s="16" t="s">
        <v>20</v>
      </c>
    </row>
    <row r="2284" spans="1:5" x14ac:dyDescent="0.25">
      <c r="A2284" s="14">
        <v>451980</v>
      </c>
      <c r="B2284" s="14" t="s">
        <v>2407</v>
      </c>
      <c r="C2284" s="14" t="s">
        <v>13031</v>
      </c>
      <c r="D2284" s="15">
        <v>5.42</v>
      </c>
      <c r="E2284" s="16" t="s">
        <v>20</v>
      </c>
    </row>
    <row r="2285" spans="1:5" x14ac:dyDescent="0.25">
      <c r="A2285" s="14">
        <v>451983</v>
      </c>
      <c r="B2285" s="14" t="s">
        <v>2408</v>
      </c>
      <c r="C2285" s="14" t="s">
        <v>13031</v>
      </c>
      <c r="D2285" s="15">
        <v>4.01</v>
      </c>
      <c r="E2285" s="16" t="s">
        <v>20</v>
      </c>
    </row>
    <row r="2286" spans="1:5" x14ac:dyDescent="0.25">
      <c r="A2286" s="14">
        <v>492067</v>
      </c>
      <c r="B2286" s="14" t="s">
        <v>2409</v>
      </c>
      <c r="C2286" s="14" t="s">
        <v>13030</v>
      </c>
      <c r="D2286" s="15">
        <v>17.37</v>
      </c>
      <c r="E2286" s="16" t="s">
        <v>30</v>
      </c>
    </row>
    <row r="2287" spans="1:5" x14ac:dyDescent="0.25">
      <c r="A2287" s="14">
        <v>492068</v>
      </c>
      <c r="B2287" s="14" t="s">
        <v>2410</v>
      </c>
      <c r="C2287" s="14" t="s">
        <v>13030</v>
      </c>
      <c r="D2287" s="15">
        <v>52.66</v>
      </c>
      <c r="E2287" s="16" t="s">
        <v>30</v>
      </c>
    </row>
    <row r="2288" spans="1:5" x14ac:dyDescent="0.25">
      <c r="A2288" s="14">
        <v>492069</v>
      </c>
      <c r="B2288" s="14" t="s">
        <v>2411</v>
      </c>
      <c r="C2288" s="14" t="s">
        <v>13030</v>
      </c>
      <c r="D2288" s="15">
        <v>30.91</v>
      </c>
      <c r="E2288" s="14" t="s">
        <v>30</v>
      </c>
    </row>
    <row r="2289" spans="1:5" x14ac:dyDescent="0.25">
      <c r="A2289" s="14">
        <v>492071</v>
      </c>
      <c r="B2289" s="14" t="s">
        <v>2412</v>
      </c>
      <c r="C2289" s="14" t="s">
        <v>13030</v>
      </c>
      <c r="D2289" s="15">
        <v>82.38</v>
      </c>
      <c r="E2289" s="16" t="s">
        <v>30</v>
      </c>
    </row>
    <row r="2290" spans="1:5" x14ac:dyDescent="0.25">
      <c r="A2290" s="14">
        <v>492078</v>
      </c>
      <c r="B2290" s="14" t="s">
        <v>2413</v>
      </c>
      <c r="C2290" s="14" t="s">
        <v>13029</v>
      </c>
      <c r="D2290" s="15">
        <v>6.53</v>
      </c>
      <c r="E2290" s="16" t="s">
        <v>30</v>
      </c>
    </row>
    <row r="2291" spans="1:5" x14ac:dyDescent="0.25">
      <c r="A2291" s="14">
        <v>492160</v>
      </c>
      <c r="B2291" s="14" t="s">
        <v>2414</v>
      </c>
      <c r="C2291" s="14" t="s">
        <v>13029</v>
      </c>
      <c r="D2291" s="15">
        <v>12.94</v>
      </c>
      <c r="E2291" s="16" t="s">
        <v>30</v>
      </c>
    </row>
    <row r="2292" spans="1:5" x14ac:dyDescent="0.25">
      <c r="A2292" s="14">
        <v>492680</v>
      </c>
      <c r="B2292" s="14" t="s">
        <v>2415</v>
      </c>
      <c r="C2292" s="14" t="s">
        <v>13030</v>
      </c>
      <c r="D2292" s="15">
        <v>43.15</v>
      </c>
      <c r="E2292" s="16" t="s">
        <v>30</v>
      </c>
    </row>
    <row r="2293" spans="1:5" x14ac:dyDescent="0.25">
      <c r="A2293" s="14">
        <v>492713</v>
      </c>
      <c r="B2293" s="14" t="s">
        <v>2416</v>
      </c>
      <c r="C2293" s="14" t="s">
        <v>13030</v>
      </c>
      <c r="D2293" s="15">
        <v>150.07</v>
      </c>
      <c r="E2293" s="16" t="s">
        <v>30</v>
      </c>
    </row>
    <row r="2294" spans="1:5" x14ac:dyDescent="0.25">
      <c r="A2294" s="14">
        <v>492715</v>
      </c>
      <c r="B2294" s="14" t="s">
        <v>2417</v>
      </c>
      <c r="C2294" s="14" t="s">
        <v>13030</v>
      </c>
      <c r="D2294" s="15">
        <v>44.24</v>
      </c>
      <c r="E2294" s="16" t="s">
        <v>30</v>
      </c>
    </row>
    <row r="2295" spans="1:5" x14ac:dyDescent="0.25">
      <c r="A2295" s="14">
        <v>492716</v>
      </c>
      <c r="B2295" s="14" t="s">
        <v>2418</v>
      </c>
      <c r="C2295" s="14" t="s">
        <v>13030</v>
      </c>
      <c r="D2295" s="15">
        <v>43.14</v>
      </c>
      <c r="E2295" s="14" t="s">
        <v>30</v>
      </c>
    </row>
    <row r="2296" spans="1:5" x14ac:dyDescent="0.25">
      <c r="A2296" s="14">
        <v>492717</v>
      </c>
      <c r="B2296" s="14" t="s">
        <v>2419</v>
      </c>
      <c r="C2296" s="14" t="s">
        <v>13030</v>
      </c>
      <c r="D2296" s="15">
        <v>25.86</v>
      </c>
      <c r="E2296" s="14" t="s">
        <v>30</v>
      </c>
    </row>
    <row r="2297" spans="1:5" x14ac:dyDescent="0.25">
      <c r="A2297" s="14">
        <v>492718</v>
      </c>
      <c r="B2297" s="14" t="s">
        <v>2420</v>
      </c>
      <c r="C2297" s="14" t="s">
        <v>13030</v>
      </c>
      <c r="D2297" s="15">
        <v>79.17</v>
      </c>
      <c r="E2297" s="14" t="s">
        <v>30</v>
      </c>
    </row>
    <row r="2298" spans="1:5" x14ac:dyDescent="0.25">
      <c r="A2298" s="14">
        <v>492722</v>
      </c>
      <c r="B2298" s="14" t="s">
        <v>2421</v>
      </c>
      <c r="C2298" s="14" t="s">
        <v>13030</v>
      </c>
      <c r="D2298" s="15">
        <v>86.79</v>
      </c>
      <c r="E2298" s="16" t="s">
        <v>30</v>
      </c>
    </row>
    <row r="2299" spans="1:5" x14ac:dyDescent="0.25">
      <c r="A2299" s="14">
        <v>493049</v>
      </c>
      <c r="B2299" s="14" t="s">
        <v>2422</v>
      </c>
      <c r="C2299" s="14" t="s">
        <v>13029</v>
      </c>
      <c r="D2299" s="15">
        <v>5.91</v>
      </c>
      <c r="E2299" s="16" t="s">
        <v>30</v>
      </c>
    </row>
    <row r="2300" spans="1:5" x14ac:dyDescent="0.25">
      <c r="A2300" s="14">
        <v>493050</v>
      </c>
      <c r="B2300" s="14" t="s">
        <v>2423</v>
      </c>
      <c r="C2300" s="14" t="s">
        <v>13029</v>
      </c>
      <c r="D2300" s="15">
        <v>6.05</v>
      </c>
      <c r="E2300" s="16" t="s">
        <v>30</v>
      </c>
    </row>
    <row r="2301" spans="1:5" x14ac:dyDescent="0.25">
      <c r="A2301" s="14">
        <v>493051</v>
      </c>
      <c r="B2301" s="14" t="s">
        <v>2424</v>
      </c>
      <c r="C2301" s="14" t="s">
        <v>13029</v>
      </c>
      <c r="D2301" s="15">
        <v>6.05</v>
      </c>
      <c r="E2301" s="16" t="s">
        <v>30</v>
      </c>
    </row>
    <row r="2302" spans="1:5" x14ac:dyDescent="0.25">
      <c r="A2302" s="14">
        <v>493670</v>
      </c>
      <c r="B2302" s="14" t="s">
        <v>2425</v>
      </c>
      <c r="C2302" s="14" t="s">
        <v>13029</v>
      </c>
      <c r="D2302" s="15">
        <v>3.78</v>
      </c>
      <c r="E2302" s="16" t="s">
        <v>30</v>
      </c>
    </row>
    <row r="2303" spans="1:5" x14ac:dyDescent="0.25">
      <c r="A2303" s="14">
        <v>494085</v>
      </c>
      <c r="B2303" s="14" t="s">
        <v>2426</v>
      </c>
      <c r="C2303" s="14" t="s">
        <v>13029</v>
      </c>
      <c r="D2303" s="15">
        <v>1.96</v>
      </c>
      <c r="E2303" s="16" t="s">
        <v>30</v>
      </c>
    </row>
    <row r="2304" spans="1:5" x14ac:dyDescent="0.25">
      <c r="A2304" s="14">
        <v>494086</v>
      </c>
      <c r="B2304" s="14" t="s">
        <v>2427</v>
      </c>
      <c r="C2304" s="14" t="s">
        <v>13029</v>
      </c>
      <c r="D2304" s="15">
        <v>3.5</v>
      </c>
      <c r="E2304" s="16" t="s">
        <v>30</v>
      </c>
    </row>
    <row r="2305" spans="1:5" x14ac:dyDescent="0.25">
      <c r="A2305" s="14">
        <v>494087</v>
      </c>
      <c r="B2305" s="14" t="s">
        <v>2428</v>
      </c>
      <c r="C2305" s="14" t="s">
        <v>13029</v>
      </c>
      <c r="D2305" s="15">
        <v>5.87</v>
      </c>
      <c r="E2305" s="16" t="s">
        <v>30</v>
      </c>
    </row>
    <row r="2306" spans="1:5" x14ac:dyDescent="0.25">
      <c r="A2306" s="14">
        <v>494104</v>
      </c>
      <c r="B2306" s="14" t="s">
        <v>2429</v>
      </c>
      <c r="C2306" s="14" t="s">
        <v>13031</v>
      </c>
      <c r="D2306" s="15">
        <v>11.01</v>
      </c>
      <c r="E2306" s="16" t="s">
        <v>30</v>
      </c>
    </row>
    <row r="2307" spans="1:5" x14ac:dyDescent="0.25">
      <c r="A2307" s="14">
        <v>494264</v>
      </c>
      <c r="B2307" s="14" t="s">
        <v>2430</v>
      </c>
      <c r="C2307" s="14" t="s">
        <v>13031</v>
      </c>
      <c r="D2307" s="15">
        <v>4.45</v>
      </c>
      <c r="E2307" s="16" t="s">
        <v>30</v>
      </c>
    </row>
    <row r="2308" spans="1:5" x14ac:dyDescent="0.25">
      <c r="A2308" s="14">
        <v>495236</v>
      </c>
      <c r="B2308" s="14" t="s">
        <v>2431</v>
      </c>
      <c r="C2308" s="14" t="s">
        <v>13029</v>
      </c>
      <c r="D2308" s="15">
        <v>7.11</v>
      </c>
      <c r="E2308" s="16" t="s">
        <v>30</v>
      </c>
    </row>
    <row r="2309" spans="1:5" x14ac:dyDescent="0.25">
      <c r="A2309" s="14">
        <v>495303</v>
      </c>
      <c r="B2309" s="14" t="s">
        <v>2432</v>
      </c>
      <c r="C2309" s="14" t="s">
        <v>13030</v>
      </c>
      <c r="D2309" s="15">
        <v>14.71</v>
      </c>
      <c r="E2309" s="16" t="s">
        <v>30</v>
      </c>
    </row>
    <row r="2310" spans="1:5" x14ac:dyDescent="0.25">
      <c r="A2310" s="14">
        <v>495889</v>
      </c>
      <c r="B2310" s="14" t="s">
        <v>2433</v>
      </c>
      <c r="C2310" s="14" t="s">
        <v>13029</v>
      </c>
      <c r="D2310" s="15">
        <v>3.26</v>
      </c>
      <c r="E2310" s="16" t="s">
        <v>30</v>
      </c>
    </row>
    <row r="2311" spans="1:5" x14ac:dyDescent="0.25">
      <c r="A2311" s="14">
        <v>496257</v>
      </c>
      <c r="B2311" s="14" t="s">
        <v>2434</v>
      </c>
      <c r="C2311" s="14" t="s">
        <v>13031</v>
      </c>
      <c r="D2311" s="15">
        <v>6.19</v>
      </c>
      <c r="E2311" s="16" t="s">
        <v>30</v>
      </c>
    </row>
    <row r="2312" spans="1:5" x14ac:dyDescent="0.25">
      <c r="A2312" s="14">
        <v>496659</v>
      </c>
      <c r="B2312" s="14" t="s">
        <v>2435</v>
      </c>
      <c r="C2312" s="14" t="s">
        <v>13031</v>
      </c>
      <c r="D2312" s="15">
        <v>11.6</v>
      </c>
      <c r="E2312" s="16" t="s">
        <v>30</v>
      </c>
    </row>
    <row r="2313" spans="1:5" x14ac:dyDescent="0.25">
      <c r="A2313" s="14">
        <v>496662</v>
      </c>
      <c r="B2313" s="14" t="s">
        <v>2436</v>
      </c>
      <c r="C2313" s="14" t="s">
        <v>13031</v>
      </c>
      <c r="D2313" s="15">
        <v>4.0999999999999996</v>
      </c>
      <c r="E2313" s="16" t="s">
        <v>30</v>
      </c>
    </row>
    <row r="2314" spans="1:5" x14ac:dyDescent="0.25">
      <c r="A2314" s="14">
        <v>496663</v>
      </c>
      <c r="B2314" s="14" t="s">
        <v>2437</v>
      </c>
      <c r="C2314" s="14" t="s">
        <v>13031</v>
      </c>
      <c r="D2314" s="15">
        <v>3.4</v>
      </c>
      <c r="E2314" s="16" t="s">
        <v>30</v>
      </c>
    </row>
    <row r="2315" spans="1:5" x14ac:dyDescent="0.25">
      <c r="A2315" s="14">
        <v>496664</v>
      </c>
      <c r="B2315" s="14" t="s">
        <v>2438</v>
      </c>
      <c r="C2315" s="14" t="s">
        <v>13031</v>
      </c>
      <c r="D2315" s="15">
        <v>3.7</v>
      </c>
      <c r="E2315" s="16" t="s">
        <v>30</v>
      </c>
    </row>
    <row r="2316" spans="1:5" x14ac:dyDescent="0.25">
      <c r="A2316" s="14">
        <v>496865</v>
      </c>
      <c r="B2316" s="14" t="s">
        <v>2439</v>
      </c>
      <c r="C2316" s="14" t="s">
        <v>13031</v>
      </c>
      <c r="D2316" s="15">
        <v>3.6</v>
      </c>
      <c r="E2316" s="16" t="s">
        <v>30</v>
      </c>
    </row>
    <row r="2317" spans="1:5" x14ac:dyDescent="0.25">
      <c r="A2317" s="14">
        <v>496866</v>
      </c>
      <c r="B2317" s="14" t="s">
        <v>2440</v>
      </c>
      <c r="C2317" s="14" t="s">
        <v>13031</v>
      </c>
      <c r="D2317" s="15">
        <v>4</v>
      </c>
      <c r="E2317" s="16" t="s">
        <v>30</v>
      </c>
    </row>
    <row r="2318" spans="1:5" x14ac:dyDescent="0.25">
      <c r="A2318" s="14">
        <v>496867</v>
      </c>
      <c r="B2318" s="14" t="s">
        <v>2441</v>
      </c>
      <c r="C2318" s="14" t="s">
        <v>13031</v>
      </c>
      <c r="D2318" s="15">
        <v>4.3</v>
      </c>
      <c r="E2318" s="16" t="s">
        <v>30</v>
      </c>
    </row>
    <row r="2319" spans="1:5" x14ac:dyDescent="0.25">
      <c r="A2319" s="14">
        <v>496868</v>
      </c>
      <c r="B2319" s="14" t="s">
        <v>2442</v>
      </c>
      <c r="C2319" s="14" t="s">
        <v>13031</v>
      </c>
      <c r="D2319" s="15">
        <v>5.5</v>
      </c>
      <c r="E2319" s="16" t="s">
        <v>30</v>
      </c>
    </row>
    <row r="2320" spans="1:5" x14ac:dyDescent="0.25">
      <c r="A2320" s="14">
        <v>496869</v>
      </c>
      <c r="B2320" s="14" t="s">
        <v>2443</v>
      </c>
      <c r="C2320" s="14" t="s">
        <v>13031</v>
      </c>
      <c r="D2320" s="15">
        <v>3.4</v>
      </c>
      <c r="E2320" s="16" t="s">
        <v>30</v>
      </c>
    </row>
    <row r="2321" spans="1:5" x14ac:dyDescent="0.25">
      <c r="A2321" s="14">
        <v>496880</v>
      </c>
      <c r="B2321" s="14" t="s">
        <v>2444</v>
      </c>
      <c r="C2321" s="14" t="s">
        <v>13029</v>
      </c>
      <c r="D2321" s="15">
        <v>3.86</v>
      </c>
      <c r="E2321" s="16" t="s">
        <v>30</v>
      </c>
    </row>
    <row r="2322" spans="1:5" x14ac:dyDescent="0.25">
      <c r="A2322" s="14">
        <v>497110</v>
      </c>
      <c r="B2322" s="14" t="s">
        <v>2445</v>
      </c>
      <c r="C2322" s="14" t="s">
        <v>13029</v>
      </c>
      <c r="D2322" s="15">
        <v>7.44</v>
      </c>
      <c r="E2322" s="16" t="s">
        <v>30</v>
      </c>
    </row>
    <row r="2323" spans="1:5" x14ac:dyDescent="0.25">
      <c r="A2323" s="14">
        <v>497250</v>
      </c>
      <c r="B2323" s="14" t="s">
        <v>2446</v>
      </c>
      <c r="C2323" s="14" t="s">
        <v>13030</v>
      </c>
      <c r="D2323" s="15">
        <v>11.66</v>
      </c>
      <c r="E2323" s="16" t="s">
        <v>30</v>
      </c>
    </row>
    <row r="2324" spans="1:5" x14ac:dyDescent="0.25">
      <c r="A2324" s="14">
        <v>497251</v>
      </c>
      <c r="B2324" s="14" t="s">
        <v>2447</v>
      </c>
      <c r="C2324" s="14" t="s">
        <v>13030</v>
      </c>
      <c r="D2324" s="15">
        <v>11.66</v>
      </c>
      <c r="E2324" s="16" t="s">
        <v>30</v>
      </c>
    </row>
    <row r="2325" spans="1:5" x14ac:dyDescent="0.25">
      <c r="A2325" s="14">
        <v>497475</v>
      </c>
      <c r="B2325" s="14" t="s">
        <v>2448</v>
      </c>
      <c r="C2325" s="14" t="s">
        <v>13029</v>
      </c>
      <c r="D2325" s="15">
        <v>6.83</v>
      </c>
      <c r="E2325" s="16" t="s">
        <v>30</v>
      </c>
    </row>
    <row r="2326" spans="1:5" x14ac:dyDescent="0.25">
      <c r="A2326" s="14">
        <v>452020</v>
      </c>
      <c r="B2326" s="14" t="s">
        <v>2449</v>
      </c>
      <c r="C2326" s="14" t="s">
        <v>13031</v>
      </c>
      <c r="D2326" s="15">
        <v>5.42</v>
      </c>
      <c r="E2326" s="16" t="s">
        <v>20</v>
      </c>
    </row>
    <row r="2327" spans="1:5" x14ac:dyDescent="0.25">
      <c r="A2327" s="14">
        <v>452021</v>
      </c>
      <c r="B2327" s="14" t="s">
        <v>2450</v>
      </c>
      <c r="C2327" s="14" t="s">
        <v>13031</v>
      </c>
      <c r="D2327" s="15">
        <v>4.01</v>
      </c>
      <c r="E2327" s="16" t="s">
        <v>20</v>
      </c>
    </row>
    <row r="2328" spans="1:5" x14ac:dyDescent="0.25">
      <c r="A2328" s="14">
        <v>497660</v>
      </c>
      <c r="B2328" s="14" t="s">
        <v>2451</v>
      </c>
      <c r="C2328" s="14" t="s">
        <v>13030</v>
      </c>
      <c r="D2328" s="15">
        <v>14.82</v>
      </c>
      <c r="E2328" s="16" t="s">
        <v>30</v>
      </c>
    </row>
    <row r="2329" spans="1:5" x14ac:dyDescent="0.25">
      <c r="A2329" s="14">
        <v>497661</v>
      </c>
      <c r="B2329" s="14" t="s">
        <v>2452</v>
      </c>
      <c r="C2329" s="14" t="s">
        <v>13030</v>
      </c>
      <c r="D2329" s="15">
        <v>14.82</v>
      </c>
      <c r="E2329" s="16" t="s">
        <v>30</v>
      </c>
    </row>
    <row r="2330" spans="1:5" x14ac:dyDescent="0.25">
      <c r="A2330" s="14">
        <v>497662</v>
      </c>
      <c r="B2330" s="14" t="s">
        <v>2453</v>
      </c>
      <c r="C2330" s="14" t="s">
        <v>13030</v>
      </c>
      <c r="D2330" s="15">
        <v>11.86</v>
      </c>
      <c r="E2330" s="16" t="s">
        <v>30</v>
      </c>
    </row>
    <row r="2331" spans="1:5" x14ac:dyDescent="0.25">
      <c r="A2331" s="14">
        <v>497663</v>
      </c>
      <c r="B2331" s="14" t="s">
        <v>2454</v>
      </c>
      <c r="C2331" s="14" t="s">
        <v>13030</v>
      </c>
      <c r="D2331" s="15">
        <v>11.86</v>
      </c>
      <c r="E2331" s="16" t="s">
        <v>30</v>
      </c>
    </row>
    <row r="2332" spans="1:5" x14ac:dyDescent="0.25">
      <c r="A2332" s="14">
        <v>497668</v>
      </c>
      <c r="B2332" s="14" t="s">
        <v>2455</v>
      </c>
      <c r="C2332" s="14" t="s">
        <v>13030</v>
      </c>
      <c r="D2332" s="15">
        <v>32.119999999999997</v>
      </c>
      <c r="E2332" s="16" t="s">
        <v>30</v>
      </c>
    </row>
    <row r="2333" spans="1:5" x14ac:dyDescent="0.25">
      <c r="A2333" s="14">
        <v>497669</v>
      </c>
      <c r="B2333" s="14" t="s">
        <v>2456</v>
      </c>
      <c r="C2333" s="14" t="s">
        <v>13030</v>
      </c>
      <c r="D2333" s="15">
        <v>32.119999999999997</v>
      </c>
      <c r="E2333" s="16" t="s">
        <v>30</v>
      </c>
    </row>
    <row r="2334" spans="1:5" x14ac:dyDescent="0.25">
      <c r="A2334" s="14">
        <v>497673</v>
      </c>
      <c r="B2334" s="14" t="s">
        <v>2457</v>
      </c>
      <c r="C2334" s="14" t="s">
        <v>13030</v>
      </c>
      <c r="D2334" s="15">
        <v>62.27</v>
      </c>
      <c r="E2334" s="14" t="s">
        <v>30</v>
      </c>
    </row>
    <row r="2335" spans="1:5" x14ac:dyDescent="0.25">
      <c r="A2335" s="14">
        <v>497675</v>
      </c>
      <c r="B2335" s="14" t="s">
        <v>2458</v>
      </c>
      <c r="C2335" s="14" t="s">
        <v>13030</v>
      </c>
      <c r="D2335" s="15">
        <v>61.95</v>
      </c>
      <c r="E2335" s="16" t="s">
        <v>30</v>
      </c>
    </row>
    <row r="2336" spans="1:5" x14ac:dyDescent="0.25">
      <c r="A2336" s="14">
        <v>497733</v>
      </c>
      <c r="B2336" s="14" t="s">
        <v>2459</v>
      </c>
      <c r="C2336" s="14" t="s">
        <v>13030</v>
      </c>
      <c r="D2336" s="15">
        <v>69.430000000000007</v>
      </c>
      <c r="E2336" s="16" t="s">
        <v>30</v>
      </c>
    </row>
    <row r="2337" spans="1:5" x14ac:dyDescent="0.25">
      <c r="A2337" s="14">
        <v>497827</v>
      </c>
      <c r="B2337" s="14" t="s">
        <v>2460</v>
      </c>
      <c r="C2337" s="14" t="s">
        <v>13031</v>
      </c>
      <c r="D2337" s="15">
        <v>17.73</v>
      </c>
      <c r="E2337" s="16" t="s">
        <v>30</v>
      </c>
    </row>
    <row r="2338" spans="1:5" x14ac:dyDescent="0.25">
      <c r="A2338" s="14">
        <v>498102</v>
      </c>
      <c r="B2338" s="14" t="s">
        <v>2461</v>
      </c>
      <c r="C2338" s="14" t="s">
        <v>13031</v>
      </c>
      <c r="D2338" s="15">
        <v>8.9</v>
      </c>
      <c r="E2338" s="16" t="s">
        <v>30</v>
      </c>
    </row>
    <row r="2339" spans="1:5" x14ac:dyDescent="0.25">
      <c r="A2339" s="14">
        <v>498355</v>
      </c>
      <c r="B2339" s="14" t="s">
        <v>2462</v>
      </c>
      <c r="C2339" s="14" t="s">
        <v>13030</v>
      </c>
      <c r="D2339" s="15">
        <v>3.14</v>
      </c>
      <c r="E2339" s="16" t="s">
        <v>30</v>
      </c>
    </row>
    <row r="2340" spans="1:5" x14ac:dyDescent="0.25">
      <c r="A2340" s="14">
        <v>498624</v>
      </c>
      <c r="B2340" s="14" t="s">
        <v>2463</v>
      </c>
      <c r="C2340" s="14" t="s">
        <v>13030</v>
      </c>
      <c r="D2340" s="15">
        <v>5.04</v>
      </c>
      <c r="E2340" s="16" t="s">
        <v>30</v>
      </c>
    </row>
    <row r="2341" spans="1:5" x14ac:dyDescent="0.25">
      <c r="A2341" s="14">
        <v>498626</v>
      </c>
      <c r="B2341" s="14" t="s">
        <v>2464</v>
      </c>
      <c r="C2341" s="14" t="s">
        <v>13030</v>
      </c>
      <c r="D2341" s="15">
        <v>12.75</v>
      </c>
      <c r="E2341" s="16" t="s">
        <v>30</v>
      </c>
    </row>
    <row r="2342" spans="1:5" x14ac:dyDescent="0.25">
      <c r="A2342" s="14">
        <v>498640</v>
      </c>
      <c r="B2342" s="14" t="s">
        <v>2465</v>
      </c>
      <c r="C2342" s="14" t="s">
        <v>13030</v>
      </c>
      <c r="D2342" s="15">
        <v>18.25</v>
      </c>
      <c r="E2342" s="16" t="s">
        <v>30</v>
      </c>
    </row>
    <row r="2343" spans="1:5" x14ac:dyDescent="0.25">
      <c r="A2343" s="14">
        <v>498950</v>
      </c>
      <c r="B2343" s="14" t="s">
        <v>2466</v>
      </c>
      <c r="C2343" s="14" t="s">
        <v>13030</v>
      </c>
      <c r="D2343" s="15">
        <v>29.6</v>
      </c>
      <c r="E2343" s="16" t="s">
        <v>30</v>
      </c>
    </row>
    <row r="2344" spans="1:5" x14ac:dyDescent="0.25">
      <c r="A2344" s="14">
        <v>498951</v>
      </c>
      <c r="B2344" s="14" t="s">
        <v>2467</v>
      </c>
      <c r="C2344" s="14" t="s">
        <v>13030</v>
      </c>
      <c r="D2344" s="15">
        <v>33.159999999999997</v>
      </c>
      <c r="E2344" s="16" t="s">
        <v>30</v>
      </c>
    </row>
    <row r="2345" spans="1:5" x14ac:dyDescent="0.25">
      <c r="A2345" s="14">
        <v>499663</v>
      </c>
      <c r="B2345" s="14" t="s">
        <v>2468</v>
      </c>
      <c r="C2345" s="14" t="s">
        <v>13030</v>
      </c>
      <c r="D2345" s="15">
        <v>114.58</v>
      </c>
      <c r="E2345" s="16" t="s">
        <v>30</v>
      </c>
    </row>
    <row r="2346" spans="1:5" x14ac:dyDescent="0.25">
      <c r="A2346" s="14">
        <v>499744</v>
      </c>
      <c r="B2346" s="14" t="s">
        <v>2469</v>
      </c>
      <c r="C2346" s="14" t="s">
        <v>13031</v>
      </c>
      <c r="D2346" s="15">
        <v>14.95</v>
      </c>
      <c r="E2346" s="16" t="s">
        <v>30</v>
      </c>
    </row>
    <row r="2347" spans="1:5" x14ac:dyDescent="0.25">
      <c r="A2347" s="14">
        <v>499746</v>
      </c>
      <c r="B2347" s="14" t="s">
        <v>2470</v>
      </c>
      <c r="C2347" s="14" t="s">
        <v>13031</v>
      </c>
      <c r="D2347" s="15">
        <v>8.2899999999999991</v>
      </c>
      <c r="E2347" s="16" t="s">
        <v>30</v>
      </c>
    </row>
    <row r="2348" spans="1:5" x14ac:dyDescent="0.25">
      <c r="A2348" s="14">
        <v>499747</v>
      </c>
      <c r="B2348" s="14" t="s">
        <v>2471</v>
      </c>
      <c r="C2348" s="14" t="s">
        <v>13031</v>
      </c>
      <c r="D2348" s="15">
        <v>13.12</v>
      </c>
      <c r="E2348" s="16" t="s">
        <v>30</v>
      </c>
    </row>
    <row r="2349" spans="1:5" x14ac:dyDescent="0.25">
      <c r="A2349" s="14">
        <v>499748</v>
      </c>
      <c r="B2349" s="14" t="s">
        <v>2472</v>
      </c>
      <c r="C2349" s="14" t="s">
        <v>13031</v>
      </c>
      <c r="D2349" s="15">
        <v>11.03</v>
      </c>
      <c r="E2349" s="16" t="s">
        <v>30</v>
      </c>
    </row>
    <row r="2350" spans="1:5" x14ac:dyDescent="0.25">
      <c r="A2350" s="14">
        <v>499873</v>
      </c>
      <c r="B2350" s="14" t="s">
        <v>2473</v>
      </c>
      <c r="C2350" s="14" t="s">
        <v>13031</v>
      </c>
      <c r="D2350" s="15">
        <v>12.1</v>
      </c>
      <c r="E2350" s="16" t="s">
        <v>30</v>
      </c>
    </row>
    <row r="2351" spans="1:5" x14ac:dyDescent="0.25">
      <c r="A2351" s="14">
        <v>500023</v>
      </c>
      <c r="B2351" s="14" t="s">
        <v>2474</v>
      </c>
      <c r="C2351" s="14" t="s">
        <v>13030</v>
      </c>
      <c r="D2351" s="15">
        <v>43.38</v>
      </c>
      <c r="E2351" s="16" t="s">
        <v>30</v>
      </c>
    </row>
    <row r="2352" spans="1:5" x14ac:dyDescent="0.25">
      <c r="A2352" s="14">
        <v>501530</v>
      </c>
      <c r="B2352" s="14" t="s">
        <v>2475</v>
      </c>
      <c r="C2352" s="14" t="s">
        <v>13030</v>
      </c>
      <c r="D2352" s="15">
        <v>34.799999999999997</v>
      </c>
      <c r="E2352" s="16" t="s">
        <v>30</v>
      </c>
    </row>
    <row r="2353" spans="1:5" x14ac:dyDescent="0.25">
      <c r="A2353" s="14">
        <v>501531</v>
      </c>
      <c r="B2353" s="14" t="s">
        <v>2476</v>
      </c>
      <c r="C2353" s="14" t="s">
        <v>13030</v>
      </c>
      <c r="D2353" s="15">
        <v>34.81</v>
      </c>
      <c r="E2353" s="16" t="s">
        <v>30</v>
      </c>
    </row>
    <row r="2354" spans="1:5" x14ac:dyDescent="0.25">
      <c r="A2354" s="14">
        <v>501554</v>
      </c>
      <c r="B2354" s="14" t="s">
        <v>2477</v>
      </c>
      <c r="C2354" s="14" t="s">
        <v>13030</v>
      </c>
      <c r="D2354" s="15">
        <v>25.86</v>
      </c>
      <c r="E2354" s="14" t="s">
        <v>30</v>
      </c>
    </row>
    <row r="2355" spans="1:5" x14ac:dyDescent="0.25">
      <c r="A2355" s="14">
        <v>501694</v>
      </c>
      <c r="B2355" s="14" t="s">
        <v>2478</v>
      </c>
      <c r="C2355" s="14" t="s">
        <v>13029</v>
      </c>
      <c r="D2355" s="15">
        <v>12.17</v>
      </c>
      <c r="E2355" s="16" t="s">
        <v>30</v>
      </c>
    </row>
    <row r="2356" spans="1:5" x14ac:dyDescent="0.25">
      <c r="A2356" s="14">
        <v>502173</v>
      </c>
      <c r="B2356" s="14" t="s">
        <v>2479</v>
      </c>
      <c r="C2356" s="14" t="s">
        <v>13030</v>
      </c>
      <c r="D2356" s="15">
        <v>112.65</v>
      </c>
      <c r="E2356" s="16" t="s">
        <v>30</v>
      </c>
    </row>
    <row r="2357" spans="1:5" x14ac:dyDescent="0.25">
      <c r="A2357" s="14">
        <v>503075</v>
      </c>
      <c r="B2357" s="14" t="s">
        <v>2480</v>
      </c>
      <c r="C2357" s="14" t="s">
        <v>13030</v>
      </c>
      <c r="D2357" s="15">
        <v>34.75</v>
      </c>
      <c r="E2357" s="16" t="s">
        <v>30</v>
      </c>
    </row>
    <row r="2358" spans="1:5" x14ac:dyDescent="0.25">
      <c r="A2358" s="14">
        <v>503300</v>
      </c>
      <c r="B2358" s="14" t="s">
        <v>2481</v>
      </c>
      <c r="C2358" s="14" t="s">
        <v>13030</v>
      </c>
      <c r="D2358" s="15">
        <v>11.22</v>
      </c>
      <c r="E2358" s="16" t="s">
        <v>30</v>
      </c>
    </row>
    <row r="2359" spans="1:5" x14ac:dyDescent="0.25">
      <c r="A2359" s="14">
        <v>504390</v>
      </c>
      <c r="B2359" s="14" t="s">
        <v>2482</v>
      </c>
      <c r="C2359" s="14" t="s">
        <v>13030</v>
      </c>
      <c r="D2359" s="15">
        <v>57.59</v>
      </c>
      <c r="E2359" s="16" t="s">
        <v>30</v>
      </c>
    </row>
    <row r="2360" spans="1:5" x14ac:dyDescent="0.25">
      <c r="A2360" s="14">
        <v>504418</v>
      </c>
      <c r="B2360" s="14" t="s">
        <v>2483</v>
      </c>
      <c r="C2360" s="14" t="s">
        <v>13029</v>
      </c>
      <c r="D2360" s="15">
        <v>15.83</v>
      </c>
      <c r="E2360" s="16" t="s">
        <v>30</v>
      </c>
    </row>
    <row r="2361" spans="1:5" x14ac:dyDescent="0.25">
      <c r="A2361" s="14">
        <v>504444</v>
      </c>
      <c r="B2361" s="14" t="s">
        <v>2484</v>
      </c>
      <c r="C2361" s="14" t="s">
        <v>13030</v>
      </c>
      <c r="D2361" s="15">
        <v>15.91</v>
      </c>
      <c r="E2361" s="16" t="s">
        <v>30</v>
      </c>
    </row>
    <row r="2362" spans="1:5" x14ac:dyDescent="0.25">
      <c r="A2362" s="14">
        <v>504475</v>
      </c>
      <c r="B2362" s="14" t="s">
        <v>2485</v>
      </c>
      <c r="C2362" s="14" t="s">
        <v>13030</v>
      </c>
      <c r="D2362" s="15">
        <v>19.39</v>
      </c>
      <c r="E2362" s="16" t="s">
        <v>30</v>
      </c>
    </row>
    <row r="2363" spans="1:5" x14ac:dyDescent="0.25">
      <c r="A2363" s="14">
        <v>504484</v>
      </c>
      <c r="B2363" s="14" t="s">
        <v>2486</v>
      </c>
      <c r="C2363" s="14" t="s">
        <v>13029</v>
      </c>
      <c r="D2363" s="15">
        <v>22.27</v>
      </c>
      <c r="E2363" s="16" t="s">
        <v>30</v>
      </c>
    </row>
    <row r="2364" spans="1:5" x14ac:dyDescent="0.25">
      <c r="A2364" s="14">
        <v>505219</v>
      </c>
      <c r="B2364" s="14" t="s">
        <v>2487</v>
      </c>
      <c r="C2364" s="14" t="s">
        <v>13031</v>
      </c>
      <c r="D2364" s="15">
        <v>23.8</v>
      </c>
      <c r="E2364" s="16" t="s">
        <v>30</v>
      </c>
    </row>
    <row r="2365" spans="1:5" x14ac:dyDescent="0.25">
      <c r="A2365" s="14">
        <v>505949</v>
      </c>
      <c r="B2365" s="14" t="s">
        <v>2488</v>
      </c>
      <c r="C2365" s="14" t="s">
        <v>13031</v>
      </c>
      <c r="D2365" s="15">
        <v>11.59</v>
      </c>
      <c r="E2365" s="16" t="s">
        <v>30</v>
      </c>
    </row>
    <row r="2366" spans="1:5" x14ac:dyDescent="0.25">
      <c r="A2366" s="14">
        <v>506552</v>
      </c>
      <c r="B2366" s="14" t="s">
        <v>2489</v>
      </c>
      <c r="C2366" s="14" t="s">
        <v>13030</v>
      </c>
      <c r="D2366" s="15">
        <v>29.65</v>
      </c>
      <c r="E2366" s="16" t="s">
        <v>30</v>
      </c>
    </row>
    <row r="2367" spans="1:5" x14ac:dyDescent="0.25">
      <c r="A2367" s="14">
        <v>506909</v>
      </c>
      <c r="B2367" s="14" t="s">
        <v>2490</v>
      </c>
      <c r="C2367" s="14" t="s">
        <v>13031</v>
      </c>
      <c r="D2367" s="15">
        <v>9.86</v>
      </c>
      <c r="E2367" s="16" t="s">
        <v>30</v>
      </c>
    </row>
    <row r="2368" spans="1:5" x14ac:dyDescent="0.25">
      <c r="A2368" s="14">
        <v>506945</v>
      </c>
      <c r="B2368" s="14" t="s">
        <v>2491</v>
      </c>
      <c r="C2368" s="14" t="s">
        <v>13029</v>
      </c>
      <c r="D2368" s="15">
        <v>8.5</v>
      </c>
      <c r="E2368" s="16" t="s">
        <v>30</v>
      </c>
    </row>
    <row r="2369" spans="1:5" x14ac:dyDescent="0.25">
      <c r="A2369" s="14">
        <v>508355</v>
      </c>
      <c r="B2369" s="14" t="s">
        <v>2492</v>
      </c>
      <c r="C2369" s="14" t="s">
        <v>13036</v>
      </c>
      <c r="D2369" s="15">
        <v>4.62</v>
      </c>
      <c r="E2369" s="16" t="s">
        <v>30</v>
      </c>
    </row>
    <row r="2370" spans="1:5" x14ac:dyDescent="0.25">
      <c r="A2370" s="14">
        <v>508390</v>
      </c>
      <c r="B2370" s="14" t="s">
        <v>2493</v>
      </c>
      <c r="C2370" s="14" t="s">
        <v>13030</v>
      </c>
      <c r="D2370" s="15">
        <v>31.61</v>
      </c>
      <c r="E2370" s="14" t="s">
        <v>30</v>
      </c>
    </row>
    <row r="2371" spans="1:5" x14ac:dyDescent="0.25">
      <c r="A2371" s="14">
        <v>508455</v>
      </c>
      <c r="B2371" s="14" t="s">
        <v>2494</v>
      </c>
      <c r="C2371" s="14" t="s">
        <v>13030</v>
      </c>
      <c r="D2371" s="15">
        <v>25.65</v>
      </c>
      <c r="E2371" s="16" t="s">
        <v>30</v>
      </c>
    </row>
    <row r="2372" spans="1:5" x14ac:dyDescent="0.25">
      <c r="A2372" s="14">
        <v>508658</v>
      </c>
      <c r="B2372" s="14" t="s">
        <v>2495</v>
      </c>
      <c r="C2372" s="14" t="s">
        <v>13031</v>
      </c>
      <c r="D2372" s="15">
        <v>9.43</v>
      </c>
      <c r="E2372" s="16" t="s">
        <v>30</v>
      </c>
    </row>
    <row r="2373" spans="1:5" x14ac:dyDescent="0.25">
      <c r="A2373" s="14">
        <v>508752</v>
      </c>
      <c r="B2373" s="14" t="s">
        <v>2496</v>
      </c>
      <c r="C2373" s="14" t="s">
        <v>13029</v>
      </c>
      <c r="D2373" s="15">
        <v>5.9</v>
      </c>
      <c r="E2373" s="16" t="s">
        <v>30</v>
      </c>
    </row>
    <row r="2374" spans="1:5" x14ac:dyDescent="0.25">
      <c r="A2374" s="14">
        <v>509102</v>
      </c>
      <c r="B2374" s="14" t="s">
        <v>2497</v>
      </c>
      <c r="C2374" s="14" t="s">
        <v>13029</v>
      </c>
      <c r="D2374" s="15">
        <v>7.63</v>
      </c>
      <c r="E2374" s="16" t="s">
        <v>30</v>
      </c>
    </row>
    <row r="2375" spans="1:5" x14ac:dyDescent="0.25">
      <c r="A2375" s="14">
        <v>509103</v>
      </c>
      <c r="B2375" s="14" t="s">
        <v>2498</v>
      </c>
      <c r="C2375" s="14" t="s">
        <v>13029</v>
      </c>
      <c r="D2375" s="15">
        <v>16.46</v>
      </c>
      <c r="E2375" s="16" t="s">
        <v>30</v>
      </c>
    </row>
    <row r="2376" spans="1:5" x14ac:dyDescent="0.25">
      <c r="A2376" s="14">
        <v>509207</v>
      </c>
      <c r="B2376" s="14" t="s">
        <v>2499</v>
      </c>
      <c r="C2376" s="14" t="s">
        <v>13031</v>
      </c>
      <c r="D2376" s="15">
        <v>19.5</v>
      </c>
      <c r="E2376" s="14" t="s">
        <v>30</v>
      </c>
    </row>
    <row r="2377" spans="1:5" x14ac:dyDescent="0.25">
      <c r="A2377" s="14">
        <v>509680</v>
      </c>
      <c r="B2377" s="14" t="s">
        <v>2500</v>
      </c>
      <c r="C2377" s="14" t="s">
        <v>13031</v>
      </c>
      <c r="D2377" s="15">
        <v>12.75</v>
      </c>
      <c r="E2377" s="16" t="s">
        <v>30</v>
      </c>
    </row>
    <row r="2378" spans="1:5" x14ac:dyDescent="0.25">
      <c r="A2378" s="14">
        <v>509681</v>
      </c>
      <c r="B2378" s="14" t="s">
        <v>2501</v>
      </c>
      <c r="C2378" s="14" t="s">
        <v>13031</v>
      </c>
      <c r="D2378" s="15">
        <v>12.75</v>
      </c>
      <c r="E2378" s="16" t="s">
        <v>30</v>
      </c>
    </row>
    <row r="2379" spans="1:5" x14ac:dyDescent="0.25">
      <c r="A2379" s="14">
        <v>510577</v>
      </c>
      <c r="B2379" s="14" t="s">
        <v>2502</v>
      </c>
      <c r="C2379" s="14" t="s">
        <v>13031</v>
      </c>
      <c r="D2379" s="15">
        <v>15.63</v>
      </c>
      <c r="E2379" s="16" t="s">
        <v>30</v>
      </c>
    </row>
    <row r="2380" spans="1:5" x14ac:dyDescent="0.25">
      <c r="A2380" s="14">
        <v>510578</v>
      </c>
      <c r="B2380" s="14" t="s">
        <v>2503</v>
      </c>
      <c r="C2380" s="14" t="s">
        <v>13031</v>
      </c>
      <c r="D2380" s="15">
        <v>9.42</v>
      </c>
      <c r="E2380" s="16" t="s">
        <v>30</v>
      </c>
    </row>
    <row r="2381" spans="1:5" x14ac:dyDescent="0.25">
      <c r="A2381" s="14">
        <v>511034</v>
      </c>
      <c r="B2381" s="14" t="s">
        <v>2504</v>
      </c>
      <c r="C2381" s="14" t="s">
        <v>13029</v>
      </c>
      <c r="D2381" s="15">
        <v>8.39</v>
      </c>
      <c r="E2381" s="16" t="s">
        <v>30</v>
      </c>
    </row>
    <row r="2382" spans="1:5" x14ac:dyDescent="0.25">
      <c r="A2382" s="14">
        <v>511075</v>
      </c>
      <c r="B2382" s="14" t="s">
        <v>2505</v>
      </c>
      <c r="C2382" s="14" t="s">
        <v>13029</v>
      </c>
      <c r="D2382" s="15">
        <v>8.5</v>
      </c>
      <c r="E2382" s="16" t="s">
        <v>30</v>
      </c>
    </row>
    <row r="2383" spans="1:5" x14ac:dyDescent="0.25">
      <c r="A2383" s="14">
        <v>452022</v>
      </c>
      <c r="B2383" s="14" t="s">
        <v>2506</v>
      </c>
      <c r="C2383" s="14" t="s">
        <v>13031</v>
      </c>
      <c r="D2383" s="15">
        <v>5.07</v>
      </c>
      <c r="E2383" s="16" t="s">
        <v>20</v>
      </c>
    </row>
    <row r="2384" spans="1:5" x14ac:dyDescent="0.25">
      <c r="A2384" s="14">
        <v>465232</v>
      </c>
      <c r="B2384" s="14" t="s">
        <v>2507</v>
      </c>
      <c r="C2384" s="14" t="s">
        <v>13031</v>
      </c>
      <c r="D2384" s="15">
        <v>5.9</v>
      </c>
      <c r="E2384" s="16" t="s">
        <v>20</v>
      </c>
    </row>
    <row r="2385" spans="1:5" x14ac:dyDescent="0.25">
      <c r="A2385" s="14">
        <v>484645</v>
      </c>
      <c r="B2385" s="14" t="s">
        <v>2508</v>
      </c>
      <c r="C2385" s="14" t="s">
        <v>13030</v>
      </c>
      <c r="D2385" s="15">
        <v>17.52</v>
      </c>
      <c r="E2385" s="16" t="s">
        <v>20</v>
      </c>
    </row>
    <row r="2386" spans="1:5" x14ac:dyDescent="0.25">
      <c r="A2386" s="14">
        <v>511244</v>
      </c>
      <c r="B2386" s="14" t="s">
        <v>2509</v>
      </c>
      <c r="C2386" s="14" t="s">
        <v>13029</v>
      </c>
      <c r="D2386" s="15">
        <v>21.97</v>
      </c>
      <c r="E2386" s="16" t="s">
        <v>30</v>
      </c>
    </row>
    <row r="2387" spans="1:5" x14ac:dyDescent="0.25">
      <c r="A2387" s="14">
        <v>511942</v>
      </c>
      <c r="B2387" s="14" t="s">
        <v>2510</v>
      </c>
      <c r="C2387" s="14" t="s">
        <v>13031</v>
      </c>
      <c r="D2387" s="15">
        <v>3.9</v>
      </c>
      <c r="E2387" s="16" t="s">
        <v>30</v>
      </c>
    </row>
    <row r="2388" spans="1:5" x14ac:dyDescent="0.25">
      <c r="A2388" s="14">
        <v>514178</v>
      </c>
      <c r="B2388" s="14" t="s">
        <v>2511</v>
      </c>
      <c r="C2388" s="14" t="s">
        <v>13030</v>
      </c>
      <c r="D2388" s="15">
        <v>28.74</v>
      </c>
      <c r="E2388" s="14" t="s">
        <v>30</v>
      </c>
    </row>
    <row r="2389" spans="1:5" x14ac:dyDescent="0.25">
      <c r="A2389" s="14">
        <v>514180</v>
      </c>
      <c r="B2389" s="14" t="s">
        <v>2512</v>
      </c>
      <c r="C2389" s="14" t="s">
        <v>13030</v>
      </c>
      <c r="D2389" s="15">
        <v>28.74</v>
      </c>
      <c r="E2389" s="14" t="s">
        <v>30</v>
      </c>
    </row>
    <row r="2390" spans="1:5" x14ac:dyDescent="0.25">
      <c r="A2390" s="14">
        <v>514183</v>
      </c>
      <c r="B2390" s="14" t="s">
        <v>2513</v>
      </c>
      <c r="C2390" s="14" t="s">
        <v>13030</v>
      </c>
      <c r="D2390" s="15">
        <v>28.74</v>
      </c>
      <c r="E2390" s="14" t="s">
        <v>30</v>
      </c>
    </row>
    <row r="2391" spans="1:5" x14ac:dyDescent="0.25">
      <c r="A2391" s="14">
        <v>514184</v>
      </c>
      <c r="B2391" s="14" t="s">
        <v>95</v>
      </c>
      <c r="C2391" s="14" t="s">
        <v>13030</v>
      </c>
      <c r="D2391" s="15">
        <v>20.82</v>
      </c>
      <c r="E2391" s="14" t="s">
        <v>30</v>
      </c>
    </row>
    <row r="2392" spans="1:5" x14ac:dyDescent="0.25">
      <c r="A2392" s="14">
        <v>514247</v>
      </c>
      <c r="B2392" s="14" t="s">
        <v>2514</v>
      </c>
      <c r="C2392" s="14" t="s">
        <v>13030</v>
      </c>
      <c r="D2392" s="15">
        <v>20.82</v>
      </c>
      <c r="E2392" s="14" t="s">
        <v>30</v>
      </c>
    </row>
    <row r="2393" spans="1:5" x14ac:dyDescent="0.25">
      <c r="A2393" s="14">
        <v>514249</v>
      </c>
      <c r="B2393" s="14" t="s">
        <v>2515</v>
      </c>
      <c r="C2393" s="14" t="s">
        <v>13030</v>
      </c>
      <c r="D2393" s="15">
        <v>57.55</v>
      </c>
      <c r="E2393" s="16" t="s">
        <v>30</v>
      </c>
    </row>
    <row r="2394" spans="1:5" x14ac:dyDescent="0.25">
      <c r="A2394" s="14">
        <v>514251</v>
      </c>
      <c r="B2394" s="14" t="s">
        <v>2516</v>
      </c>
      <c r="C2394" s="14" t="s">
        <v>13030</v>
      </c>
      <c r="D2394" s="15">
        <v>50.35</v>
      </c>
      <c r="E2394" s="16" t="s">
        <v>30</v>
      </c>
    </row>
    <row r="2395" spans="1:5" x14ac:dyDescent="0.25">
      <c r="A2395" s="14">
        <v>514257</v>
      </c>
      <c r="B2395" s="14" t="s">
        <v>2517</v>
      </c>
      <c r="C2395" s="14" t="s">
        <v>13030</v>
      </c>
      <c r="D2395" s="15">
        <v>20.82</v>
      </c>
      <c r="E2395" s="16" t="s">
        <v>30</v>
      </c>
    </row>
    <row r="2396" spans="1:5" x14ac:dyDescent="0.25">
      <c r="A2396" s="14">
        <v>515735</v>
      </c>
      <c r="B2396" s="14" t="s">
        <v>2518</v>
      </c>
      <c r="C2396" s="14" t="s">
        <v>13030</v>
      </c>
      <c r="D2396" s="15">
        <v>32.270000000000003</v>
      </c>
      <c r="E2396" s="16" t="s">
        <v>30</v>
      </c>
    </row>
    <row r="2397" spans="1:5" x14ac:dyDescent="0.25">
      <c r="A2397" s="14">
        <v>515736</v>
      </c>
      <c r="B2397" s="14" t="s">
        <v>2519</v>
      </c>
      <c r="C2397" s="14" t="s">
        <v>13030</v>
      </c>
      <c r="D2397" s="15">
        <v>48.41</v>
      </c>
      <c r="E2397" s="16" t="s">
        <v>30</v>
      </c>
    </row>
    <row r="2398" spans="1:5" x14ac:dyDescent="0.25">
      <c r="A2398" s="14">
        <v>515738</v>
      </c>
      <c r="B2398" s="14" t="s">
        <v>2520</v>
      </c>
      <c r="C2398" s="14" t="s">
        <v>13030</v>
      </c>
      <c r="D2398" s="15">
        <v>80.08</v>
      </c>
      <c r="E2398" s="16" t="s">
        <v>30</v>
      </c>
    </row>
    <row r="2399" spans="1:5" x14ac:dyDescent="0.25">
      <c r="A2399" s="14">
        <v>515747</v>
      </c>
      <c r="B2399" s="14" t="s">
        <v>2521</v>
      </c>
      <c r="C2399" s="14" t="s">
        <v>13029</v>
      </c>
      <c r="D2399" s="15">
        <v>9.09</v>
      </c>
      <c r="E2399" s="14" t="s">
        <v>30</v>
      </c>
    </row>
    <row r="2400" spans="1:5" x14ac:dyDescent="0.25">
      <c r="A2400" s="14">
        <v>515748</v>
      </c>
      <c r="B2400" s="14" t="s">
        <v>2522</v>
      </c>
      <c r="C2400" s="14" t="s">
        <v>13029</v>
      </c>
      <c r="D2400" s="15">
        <v>15.8</v>
      </c>
      <c r="E2400" s="14" t="s">
        <v>30</v>
      </c>
    </row>
    <row r="2401" spans="1:5" x14ac:dyDescent="0.25">
      <c r="A2401" s="14">
        <v>515749</v>
      </c>
      <c r="B2401" s="14" t="s">
        <v>2523</v>
      </c>
      <c r="C2401" s="14" t="s">
        <v>13029</v>
      </c>
      <c r="D2401" s="15">
        <v>9.09</v>
      </c>
      <c r="E2401" s="14" t="s">
        <v>30</v>
      </c>
    </row>
    <row r="2402" spans="1:5" x14ac:dyDescent="0.25">
      <c r="A2402" s="14">
        <v>515750</v>
      </c>
      <c r="B2402" s="14" t="s">
        <v>2524</v>
      </c>
      <c r="C2402" s="14" t="s">
        <v>13029</v>
      </c>
      <c r="D2402" s="15">
        <v>15.8</v>
      </c>
      <c r="E2402" s="14" t="s">
        <v>30</v>
      </c>
    </row>
    <row r="2403" spans="1:5" x14ac:dyDescent="0.25">
      <c r="A2403" s="14">
        <v>515751</v>
      </c>
      <c r="B2403" s="14" t="s">
        <v>2525</v>
      </c>
      <c r="C2403" s="14" t="s">
        <v>13029</v>
      </c>
      <c r="D2403" s="15">
        <v>9.09</v>
      </c>
      <c r="E2403" s="14" t="s">
        <v>30</v>
      </c>
    </row>
    <row r="2404" spans="1:5" x14ac:dyDescent="0.25">
      <c r="A2404" s="14">
        <v>515752</v>
      </c>
      <c r="B2404" s="14" t="s">
        <v>2526</v>
      </c>
      <c r="C2404" s="14" t="s">
        <v>13029</v>
      </c>
      <c r="D2404" s="15">
        <v>15.8</v>
      </c>
      <c r="E2404" s="14" t="s">
        <v>30</v>
      </c>
    </row>
    <row r="2405" spans="1:5" x14ac:dyDescent="0.25">
      <c r="A2405" s="14">
        <v>516226</v>
      </c>
      <c r="B2405" s="14" t="s">
        <v>2527</v>
      </c>
      <c r="C2405" s="14" t="s">
        <v>13031</v>
      </c>
      <c r="D2405" s="15">
        <v>4.96</v>
      </c>
      <c r="E2405" s="16" t="s">
        <v>30</v>
      </c>
    </row>
    <row r="2406" spans="1:5" x14ac:dyDescent="0.25">
      <c r="A2406" s="14">
        <v>516274</v>
      </c>
      <c r="B2406" s="14" t="s">
        <v>2528</v>
      </c>
      <c r="C2406" s="14" t="s">
        <v>13029</v>
      </c>
      <c r="D2406" s="15">
        <v>5.45</v>
      </c>
      <c r="E2406" s="16" t="s">
        <v>30</v>
      </c>
    </row>
    <row r="2407" spans="1:5" x14ac:dyDescent="0.25">
      <c r="A2407" s="14">
        <v>516621</v>
      </c>
      <c r="B2407" s="14" t="s">
        <v>2529</v>
      </c>
      <c r="C2407" s="14" t="s">
        <v>13030</v>
      </c>
      <c r="D2407" s="15">
        <v>18.93</v>
      </c>
      <c r="E2407" s="16" t="s">
        <v>30</v>
      </c>
    </row>
    <row r="2408" spans="1:5" x14ac:dyDescent="0.25">
      <c r="A2408" s="14">
        <v>516861</v>
      </c>
      <c r="B2408" s="14" t="s">
        <v>2530</v>
      </c>
      <c r="C2408" s="14" t="s">
        <v>13030</v>
      </c>
      <c r="D2408" s="15">
        <v>11.43</v>
      </c>
      <c r="E2408" s="16" t="s">
        <v>30</v>
      </c>
    </row>
    <row r="2409" spans="1:5" x14ac:dyDescent="0.25">
      <c r="A2409" s="14">
        <v>516862</v>
      </c>
      <c r="B2409" s="14" t="s">
        <v>2531</v>
      </c>
      <c r="C2409" s="14" t="s">
        <v>13030</v>
      </c>
      <c r="D2409" s="15">
        <v>11.43</v>
      </c>
      <c r="E2409" s="16" t="s">
        <v>30</v>
      </c>
    </row>
    <row r="2410" spans="1:5" x14ac:dyDescent="0.25">
      <c r="A2410" s="14">
        <v>516863</v>
      </c>
      <c r="B2410" s="14" t="s">
        <v>2532</v>
      </c>
      <c r="C2410" s="14" t="s">
        <v>13030</v>
      </c>
      <c r="D2410" s="15">
        <v>11.43</v>
      </c>
      <c r="E2410" s="16" t="s">
        <v>30</v>
      </c>
    </row>
    <row r="2411" spans="1:5" x14ac:dyDescent="0.25">
      <c r="A2411" s="14">
        <v>516864</v>
      </c>
      <c r="B2411" s="14" t="s">
        <v>2533</v>
      </c>
      <c r="C2411" s="14" t="s">
        <v>13030</v>
      </c>
      <c r="D2411" s="15">
        <v>11.43</v>
      </c>
      <c r="E2411" s="16" t="s">
        <v>30</v>
      </c>
    </row>
    <row r="2412" spans="1:5" x14ac:dyDescent="0.25">
      <c r="A2412" s="14">
        <v>517268</v>
      </c>
      <c r="B2412" s="14" t="s">
        <v>2534</v>
      </c>
      <c r="C2412" s="14" t="s">
        <v>13029</v>
      </c>
      <c r="D2412" s="15">
        <v>13.5</v>
      </c>
      <c r="E2412" s="16" t="s">
        <v>30</v>
      </c>
    </row>
    <row r="2413" spans="1:5" x14ac:dyDescent="0.25">
      <c r="A2413" s="14">
        <v>517418</v>
      </c>
      <c r="B2413" s="14" t="s">
        <v>2535</v>
      </c>
      <c r="C2413" s="14" t="s">
        <v>13030</v>
      </c>
      <c r="D2413" s="15">
        <v>51.03</v>
      </c>
      <c r="E2413" s="16" t="s">
        <v>30</v>
      </c>
    </row>
    <row r="2414" spans="1:5" x14ac:dyDescent="0.25">
      <c r="A2414" s="14">
        <v>517419</v>
      </c>
      <c r="B2414" s="14" t="s">
        <v>2536</v>
      </c>
      <c r="C2414" s="14" t="s">
        <v>13030</v>
      </c>
      <c r="D2414" s="15">
        <v>51.03</v>
      </c>
      <c r="E2414" s="16" t="s">
        <v>30</v>
      </c>
    </row>
    <row r="2415" spans="1:5" x14ac:dyDescent="0.25">
      <c r="A2415" s="14">
        <v>517455</v>
      </c>
      <c r="B2415" s="14" t="s">
        <v>2537</v>
      </c>
      <c r="C2415" s="14" t="s">
        <v>13029</v>
      </c>
      <c r="D2415" s="15">
        <v>7.65</v>
      </c>
      <c r="E2415" s="16" t="s">
        <v>30</v>
      </c>
    </row>
    <row r="2416" spans="1:5" x14ac:dyDescent="0.25">
      <c r="A2416" s="14">
        <v>517456</v>
      </c>
      <c r="B2416" s="14" t="s">
        <v>2538</v>
      </c>
      <c r="C2416" s="14" t="s">
        <v>13029</v>
      </c>
      <c r="D2416" s="15">
        <v>11.8</v>
      </c>
      <c r="E2416" s="16" t="s">
        <v>30</v>
      </c>
    </row>
    <row r="2417" spans="1:5" x14ac:dyDescent="0.25">
      <c r="A2417" s="14">
        <v>517659</v>
      </c>
      <c r="B2417" s="14" t="s">
        <v>2539</v>
      </c>
      <c r="C2417" s="14" t="s">
        <v>13029</v>
      </c>
      <c r="D2417" s="15">
        <v>31.3</v>
      </c>
      <c r="E2417" s="16" t="s">
        <v>30</v>
      </c>
    </row>
    <row r="2418" spans="1:5" x14ac:dyDescent="0.25">
      <c r="A2418" s="14">
        <v>517660</v>
      </c>
      <c r="B2418" s="14" t="s">
        <v>2540</v>
      </c>
      <c r="C2418" s="14" t="s">
        <v>13029</v>
      </c>
      <c r="D2418" s="15">
        <v>31.3</v>
      </c>
      <c r="E2418" s="16" t="s">
        <v>30</v>
      </c>
    </row>
    <row r="2419" spans="1:5" x14ac:dyDescent="0.25">
      <c r="A2419" s="14">
        <v>517663</v>
      </c>
      <c r="B2419" s="14" t="s">
        <v>2541</v>
      </c>
      <c r="C2419" s="14" t="s">
        <v>13030</v>
      </c>
      <c r="D2419" s="15">
        <v>21.84</v>
      </c>
      <c r="E2419" s="14" t="s">
        <v>30</v>
      </c>
    </row>
    <row r="2420" spans="1:5" x14ac:dyDescent="0.25">
      <c r="A2420" s="14">
        <v>517664</v>
      </c>
      <c r="B2420" s="14" t="s">
        <v>2542</v>
      </c>
      <c r="C2420" s="14" t="s">
        <v>13030</v>
      </c>
      <c r="D2420" s="15">
        <v>21.84</v>
      </c>
      <c r="E2420" s="14" t="s">
        <v>30</v>
      </c>
    </row>
    <row r="2421" spans="1:5" x14ac:dyDescent="0.25">
      <c r="A2421" s="14">
        <v>517701</v>
      </c>
      <c r="B2421" s="14" t="s">
        <v>2543</v>
      </c>
      <c r="C2421" s="14" t="s">
        <v>13030</v>
      </c>
      <c r="D2421" s="15">
        <v>230.31</v>
      </c>
      <c r="E2421" s="16" t="s">
        <v>30</v>
      </c>
    </row>
    <row r="2422" spans="1:5" x14ac:dyDescent="0.25">
      <c r="A2422" s="14">
        <v>518275</v>
      </c>
      <c r="B2422" s="14" t="s">
        <v>2544</v>
      </c>
      <c r="C2422" s="14" t="s">
        <v>13029</v>
      </c>
      <c r="D2422" s="15">
        <v>9.42</v>
      </c>
      <c r="E2422" s="16" t="s">
        <v>30</v>
      </c>
    </row>
    <row r="2423" spans="1:5" x14ac:dyDescent="0.25">
      <c r="A2423" s="14">
        <v>518276</v>
      </c>
      <c r="B2423" s="14" t="s">
        <v>2545</v>
      </c>
      <c r="C2423" s="14" t="s">
        <v>13029</v>
      </c>
      <c r="D2423" s="15">
        <v>7.92</v>
      </c>
      <c r="E2423" s="16" t="s">
        <v>30</v>
      </c>
    </row>
    <row r="2424" spans="1:5" x14ac:dyDescent="0.25">
      <c r="A2424" s="14">
        <v>518344</v>
      </c>
      <c r="B2424" s="14" t="s">
        <v>2546</v>
      </c>
      <c r="C2424" s="14" t="s">
        <v>13032</v>
      </c>
      <c r="D2424" s="15">
        <v>34</v>
      </c>
      <c r="E2424" s="16" t="s">
        <v>30</v>
      </c>
    </row>
    <row r="2425" spans="1:5" x14ac:dyDescent="0.25">
      <c r="A2425" s="14">
        <v>518540</v>
      </c>
      <c r="B2425" s="14" t="s">
        <v>2547</v>
      </c>
      <c r="C2425" s="14" t="s">
        <v>13029</v>
      </c>
      <c r="D2425" s="15">
        <v>9.8000000000000007</v>
      </c>
      <c r="E2425" s="16" t="s">
        <v>30</v>
      </c>
    </row>
    <row r="2426" spans="1:5" x14ac:dyDescent="0.25">
      <c r="A2426" s="14">
        <v>519037</v>
      </c>
      <c r="B2426" s="14" t="s">
        <v>2548</v>
      </c>
      <c r="C2426" s="14" t="s">
        <v>13030</v>
      </c>
      <c r="D2426" s="15">
        <v>90.64</v>
      </c>
      <c r="E2426" s="16" t="s">
        <v>30</v>
      </c>
    </row>
    <row r="2427" spans="1:5" x14ac:dyDescent="0.25">
      <c r="A2427" s="14">
        <v>519352</v>
      </c>
      <c r="B2427" s="14" t="s">
        <v>2549</v>
      </c>
      <c r="C2427" s="14" t="s">
        <v>13029</v>
      </c>
      <c r="D2427" s="15">
        <v>6.62</v>
      </c>
      <c r="E2427" s="16" t="s">
        <v>30</v>
      </c>
    </row>
    <row r="2428" spans="1:5" x14ac:dyDescent="0.25">
      <c r="A2428" s="14">
        <v>519353</v>
      </c>
      <c r="B2428" s="14" t="s">
        <v>2550</v>
      </c>
      <c r="C2428" s="14" t="s">
        <v>13029</v>
      </c>
      <c r="D2428" s="15">
        <v>5.72</v>
      </c>
      <c r="E2428" s="16" t="s">
        <v>30</v>
      </c>
    </row>
    <row r="2429" spans="1:5" x14ac:dyDescent="0.25">
      <c r="A2429" s="14">
        <v>519381</v>
      </c>
      <c r="B2429" s="14" t="s">
        <v>2551</v>
      </c>
      <c r="C2429" s="14" t="s">
        <v>13030</v>
      </c>
      <c r="D2429" s="15">
        <v>76.19</v>
      </c>
      <c r="E2429" s="16" t="s">
        <v>30</v>
      </c>
    </row>
    <row r="2430" spans="1:5" x14ac:dyDescent="0.25">
      <c r="A2430" s="14">
        <v>519633</v>
      </c>
      <c r="B2430" s="14" t="s">
        <v>2552</v>
      </c>
      <c r="C2430" s="14" t="s">
        <v>13029</v>
      </c>
      <c r="D2430" s="15">
        <v>6</v>
      </c>
      <c r="E2430" s="16" t="s">
        <v>30</v>
      </c>
    </row>
    <row r="2431" spans="1:5" x14ac:dyDescent="0.25">
      <c r="A2431" s="14">
        <v>519793</v>
      </c>
      <c r="B2431" s="14" t="s">
        <v>2553</v>
      </c>
      <c r="C2431" s="14" t="s">
        <v>13033</v>
      </c>
      <c r="D2431" s="15">
        <v>18.690000000000001</v>
      </c>
      <c r="E2431" s="16" t="s">
        <v>30</v>
      </c>
    </row>
    <row r="2432" spans="1:5" x14ac:dyDescent="0.25">
      <c r="A2432" s="14">
        <v>519794</v>
      </c>
      <c r="B2432" s="14" t="s">
        <v>2554</v>
      </c>
      <c r="C2432" s="14" t="s">
        <v>13033</v>
      </c>
      <c r="D2432" s="15">
        <v>23.7</v>
      </c>
      <c r="E2432" s="16" t="s">
        <v>30</v>
      </c>
    </row>
    <row r="2433" spans="1:5" x14ac:dyDescent="0.25">
      <c r="A2433" s="14">
        <v>519932</v>
      </c>
      <c r="B2433" s="14" t="s">
        <v>2555</v>
      </c>
      <c r="C2433" s="14" t="s">
        <v>13030</v>
      </c>
      <c r="D2433" s="15">
        <v>13.69</v>
      </c>
      <c r="E2433" s="14" t="s">
        <v>30</v>
      </c>
    </row>
    <row r="2434" spans="1:5" x14ac:dyDescent="0.25">
      <c r="A2434" s="14">
        <v>520173</v>
      </c>
      <c r="B2434" s="14" t="s">
        <v>2556</v>
      </c>
      <c r="C2434" s="14" t="s">
        <v>13031</v>
      </c>
      <c r="D2434" s="15">
        <v>8.6</v>
      </c>
      <c r="E2434" s="16" t="s">
        <v>30</v>
      </c>
    </row>
    <row r="2435" spans="1:5" x14ac:dyDescent="0.25">
      <c r="A2435" s="14">
        <v>520181</v>
      </c>
      <c r="B2435" s="14" t="s">
        <v>2557</v>
      </c>
      <c r="C2435" s="14" t="s">
        <v>13033</v>
      </c>
      <c r="D2435" s="15">
        <v>16.47</v>
      </c>
      <c r="E2435" s="16" t="s">
        <v>30</v>
      </c>
    </row>
    <row r="2436" spans="1:5" x14ac:dyDescent="0.25">
      <c r="A2436" s="14">
        <v>520374</v>
      </c>
      <c r="B2436" s="14" t="s">
        <v>2558</v>
      </c>
      <c r="C2436" s="14" t="s">
        <v>13030</v>
      </c>
      <c r="D2436" s="15">
        <v>19.329999999999998</v>
      </c>
      <c r="E2436" s="16" t="s">
        <v>30</v>
      </c>
    </row>
    <row r="2437" spans="1:5" x14ac:dyDescent="0.25">
      <c r="A2437" s="14">
        <v>520375</v>
      </c>
      <c r="B2437" s="14" t="s">
        <v>2559</v>
      </c>
      <c r="C2437" s="14" t="s">
        <v>13030</v>
      </c>
      <c r="D2437" s="15">
        <v>18</v>
      </c>
      <c r="E2437" s="16" t="s">
        <v>30</v>
      </c>
    </row>
    <row r="2438" spans="1:5" x14ac:dyDescent="0.25">
      <c r="A2438" s="14">
        <v>520381</v>
      </c>
      <c r="B2438" s="14" t="s">
        <v>2560</v>
      </c>
      <c r="C2438" s="14" t="s">
        <v>13030</v>
      </c>
      <c r="D2438" s="15">
        <v>67.8</v>
      </c>
      <c r="E2438" s="16" t="s">
        <v>30</v>
      </c>
    </row>
    <row r="2439" spans="1:5" x14ac:dyDescent="0.25">
      <c r="A2439" s="14">
        <v>520871</v>
      </c>
      <c r="B2439" s="14" t="s">
        <v>2561</v>
      </c>
      <c r="C2439" s="14" t="s">
        <v>13030</v>
      </c>
      <c r="D2439" s="15">
        <v>8.27</v>
      </c>
      <c r="E2439" s="16" t="s">
        <v>30</v>
      </c>
    </row>
    <row r="2440" spans="1:5" x14ac:dyDescent="0.25">
      <c r="A2440" s="14">
        <v>521088</v>
      </c>
      <c r="B2440" s="14" t="s">
        <v>2562</v>
      </c>
      <c r="C2440" s="14" t="s">
        <v>13031</v>
      </c>
      <c r="D2440" s="15">
        <v>6.47</v>
      </c>
      <c r="E2440" s="16" t="s">
        <v>30</v>
      </c>
    </row>
    <row r="2441" spans="1:5" x14ac:dyDescent="0.25">
      <c r="A2441" s="14">
        <v>521102</v>
      </c>
      <c r="B2441" s="14" t="s">
        <v>2563</v>
      </c>
      <c r="C2441" s="14" t="s">
        <v>13031</v>
      </c>
      <c r="D2441" s="15">
        <v>27.82</v>
      </c>
      <c r="E2441" s="16" t="s">
        <v>30</v>
      </c>
    </row>
    <row r="2442" spans="1:5" x14ac:dyDescent="0.25">
      <c r="A2442" s="14">
        <v>521376</v>
      </c>
      <c r="B2442" s="14" t="s">
        <v>2564</v>
      </c>
      <c r="C2442" s="14" t="s">
        <v>13030</v>
      </c>
      <c r="D2442" s="15">
        <v>12.56</v>
      </c>
      <c r="E2442" s="16" t="s">
        <v>30</v>
      </c>
    </row>
    <row r="2443" spans="1:5" x14ac:dyDescent="0.25">
      <c r="A2443" s="14">
        <v>521377</v>
      </c>
      <c r="B2443" s="14" t="s">
        <v>2565</v>
      </c>
      <c r="C2443" s="14" t="s">
        <v>13030</v>
      </c>
      <c r="D2443" s="15">
        <v>12.56</v>
      </c>
      <c r="E2443" s="16" t="s">
        <v>30</v>
      </c>
    </row>
    <row r="2444" spans="1:5" x14ac:dyDescent="0.25">
      <c r="A2444" s="14">
        <v>521378</v>
      </c>
      <c r="B2444" s="14" t="s">
        <v>2566</v>
      </c>
      <c r="C2444" s="14" t="s">
        <v>13030</v>
      </c>
      <c r="D2444" s="15">
        <v>12.56</v>
      </c>
      <c r="E2444" s="16" t="s">
        <v>30</v>
      </c>
    </row>
    <row r="2445" spans="1:5" x14ac:dyDescent="0.25">
      <c r="A2445" s="14">
        <v>521512</v>
      </c>
      <c r="B2445" s="14" t="s">
        <v>2567</v>
      </c>
      <c r="C2445" s="14" t="s">
        <v>13031</v>
      </c>
      <c r="D2445" s="15">
        <v>14.8</v>
      </c>
      <c r="E2445" s="16" t="s">
        <v>30</v>
      </c>
    </row>
    <row r="2446" spans="1:5" x14ac:dyDescent="0.25">
      <c r="A2446" s="14">
        <v>521514</v>
      </c>
      <c r="B2446" s="14" t="s">
        <v>2568</v>
      </c>
      <c r="C2446" s="14" t="s">
        <v>13031</v>
      </c>
      <c r="D2446" s="15">
        <v>14.8</v>
      </c>
      <c r="E2446" s="16" t="s">
        <v>30</v>
      </c>
    </row>
    <row r="2447" spans="1:5" x14ac:dyDescent="0.25">
      <c r="A2447" s="14">
        <v>521571</v>
      </c>
      <c r="B2447" s="14" t="s">
        <v>2569</v>
      </c>
      <c r="C2447" s="14" t="s">
        <v>13031</v>
      </c>
      <c r="D2447" s="15">
        <v>9</v>
      </c>
      <c r="E2447" s="16" t="s">
        <v>30</v>
      </c>
    </row>
    <row r="2448" spans="1:5" x14ac:dyDescent="0.25">
      <c r="A2448" s="14">
        <v>521841</v>
      </c>
      <c r="B2448" s="14" t="s">
        <v>2570</v>
      </c>
      <c r="C2448" s="14" t="s">
        <v>13030</v>
      </c>
      <c r="D2448" s="15">
        <v>12.9</v>
      </c>
      <c r="E2448" s="14" t="s">
        <v>30</v>
      </c>
    </row>
    <row r="2449" spans="1:5" x14ac:dyDescent="0.25">
      <c r="A2449" s="14">
        <v>522204</v>
      </c>
      <c r="B2449" s="14" t="s">
        <v>2571</v>
      </c>
      <c r="C2449" s="14" t="s">
        <v>13029</v>
      </c>
      <c r="D2449" s="15">
        <v>19.170000000000002</v>
      </c>
      <c r="E2449" s="16" t="s">
        <v>30</v>
      </c>
    </row>
    <row r="2450" spans="1:5" x14ac:dyDescent="0.25">
      <c r="A2450" s="14">
        <v>522295</v>
      </c>
      <c r="B2450" s="14" t="s">
        <v>2572</v>
      </c>
      <c r="C2450" s="14" t="s">
        <v>13029</v>
      </c>
      <c r="D2450" s="15">
        <v>28.78</v>
      </c>
      <c r="E2450" s="16" t="s">
        <v>30</v>
      </c>
    </row>
    <row r="2451" spans="1:5" x14ac:dyDescent="0.25">
      <c r="A2451" s="14">
        <v>522296</v>
      </c>
      <c r="B2451" s="14" t="s">
        <v>2573</v>
      </c>
      <c r="C2451" s="14" t="s">
        <v>13029</v>
      </c>
      <c r="D2451" s="15">
        <v>28.78</v>
      </c>
      <c r="E2451" s="16" t="s">
        <v>30</v>
      </c>
    </row>
    <row r="2452" spans="1:5" x14ac:dyDescent="0.25">
      <c r="A2452" s="14">
        <v>522299</v>
      </c>
      <c r="B2452" s="14" t="s">
        <v>2574</v>
      </c>
      <c r="C2452" s="14" t="s">
        <v>13029</v>
      </c>
      <c r="D2452" s="15">
        <v>11.69</v>
      </c>
      <c r="E2452" s="16" t="s">
        <v>30</v>
      </c>
    </row>
    <row r="2453" spans="1:5" x14ac:dyDescent="0.25">
      <c r="A2453" s="14">
        <v>522300</v>
      </c>
      <c r="B2453" s="14" t="s">
        <v>2575</v>
      </c>
      <c r="C2453" s="14" t="s">
        <v>13029</v>
      </c>
      <c r="D2453" s="15">
        <v>11.69</v>
      </c>
      <c r="E2453" s="16" t="s">
        <v>30</v>
      </c>
    </row>
    <row r="2454" spans="1:5" x14ac:dyDescent="0.25">
      <c r="A2454" s="14">
        <v>522381</v>
      </c>
      <c r="B2454" s="14" t="s">
        <v>2576</v>
      </c>
      <c r="C2454" s="14" t="s">
        <v>13030</v>
      </c>
      <c r="D2454" s="15">
        <v>94.4</v>
      </c>
      <c r="E2454" s="16" t="s">
        <v>30</v>
      </c>
    </row>
    <row r="2455" spans="1:5" x14ac:dyDescent="0.25">
      <c r="A2455" s="14">
        <v>522382</v>
      </c>
      <c r="B2455" s="14" t="s">
        <v>2577</v>
      </c>
      <c r="C2455" s="14" t="s">
        <v>13030</v>
      </c>
      <c r="D2455" s="15">
        <v>96.4</v>
      </c>
      <c r="E2455" s="16" t="s">
        <v>30</v>
      </c>
    </row>
    <row r="2456" spans="1:5" x14ac:dyDescent="0.25">
      <c r="A2456" s="14">
        <v>522383</v>
      </c>
      <c r="B2456" s="14" t="s">
        <v>2578</v>
      </c>
      <c r="C2456" s="14" t="s">
        <v>13029</v>
      </c>
      <c r="D2456" s="15">
        <v>14.63</v>
      </c>
      <c r="E2456" s="14" t="s">
        <v>30</v>
      </c>
    </row>
    <row r="2457" spans="1:5" x14ac:dyDescent="0.25">
      <c r="A2457" s="14">
        <v>522470</v>
      </c>
      <c r="B2457" s="14" t="s">
        <v>2579</v>
      </c>
      <c r="C2457" s="14" t="s">
        <v>13029</v>
      </c>
      <c r="D2457" s="15">
        <v>23.79</v>
      </c>
      <c r="E2457" s="16" t="s">
        <v>30</v>
      </c>
    </row>
    <row r="2458" spans="1:5" x14ac:dyDescent="0.25">
      <c r="A2458" s="14">
        <v>522471</v>
      </c>
      <c r="B2458" s="14" t="s">
        <v>2580</v>
      </c>
      <c r="C2458" s="14" t="s">
        <v>13029</v>
      </c>
      <c r="D2458" s="15">
        <v>37.1</v>
      </c>
      <c r="E2458" s="16" t="s">
        <v>30</v>
      </c>
    </row>
    <row r="2459" spans="1:5" x14ac:dyDescent="0.25">
      <c r="A2459" s="14">
        <v>522530</v>
      </c>
      <c r="B2459" s="14" t="s">
        <v>2581</v>
      </c>
      <c r="C2459" s="14" t="s">
        <v>13030</v>
      </c>
      <c r="D2459" s="15">
        <v>50.76</v>
      </c>
      <c r="E2459" s="16" t="s">
        <v>30</v>
      </c>
    </row>
    <row r="2460" spans="1:5" x14ac:dyDescent="0.25">
      <c r="A2460" s="14">
        <v>522531</v>
      </c>
      <c r="B2460" s="14" t="s">
        <v>2582</v>
      </c>
      <c r="C2460" s="14" t="s">
        <v>13030</v>
      </c>
      <c r="D2460" s="15">
        <v>50.76</v>
      </c>
      <c r="E2460" s="16" t="s">
        <v>30</v>
      </c>
    </row>
    <row r="2461" spans="1:5" x14ac:dyDescent="0.25">
      <c r="A2461" s="14">
        <v>522958</v>
      </c>
      <c r="B2461" s="14" t="s">
        <v>2583</v>
      </c>
      <c r="C2461" s="14" t="s">
        <v>13030</v>
      </c>
      <c r="D2461" s="15">
        <v>14.33</v>
      </c>
      <c r="E2461" s="16" t="s">
        <v>30</v>
      </c>
    </row>
    <row r="2462" spans="1:5" x14ac:dyDescent="0.25">
      <c r="A2462" s="14">
        <v>522972</v>
      </c>
      <c r="B2462" s="14" t="s">
        <v>2584</v>
      </c>
      <c r="C2462" s="14" t="s">
        <v>13031</v>
      </c>
      <c r="D2462" s="15">
        <v>10.95</v>
      </c>
      <c r="E2462" s="16" t="s">
        <v>30</v>
      </c>
    </row>
    <row r="2463" spans="1:5" x14ac:dyDescent="0.25">
      <c r="A2463" s="14">
        <v>523657</v>
      </c>
      <c r="B2463" s="14" t="s">
        <v>2585</v>
      </c>
      <c r="C2463" s="14" t="s">
        <v>13030</v>
      </c>
      <c r="D2463" s="15">
        <v>93.74</v>
      </c>
      <c r="E2463" s="16" t="s">
        <v>30</v>
      </c>
    </row>
    <row r="2464" spans="1:5" x14ac:dyDescent="0.25">
      <c r="A2464" s="14">
        <v>523978</v>
      </c>
      <c r="B2464" s="14" t="s">
        <v>2586</v>
      </c>
      <c r="C2464" s="14" t="s">
        <v>13031</v>
      </c>
      <c r="D2464" s="15">
        <v>12.75</v>
      </c>
      <c r="E2464" s="16" t="s">
        <v>30</v>
      </c>
    </row>
    <row r="2465" spans="1:5" x14ac:dyDescent="0.25">
      <c r="A2465" s="14">
        <v>524025</v>
      </c>
      <c r="B2465" s="14" t="s">
        <v>2587</v>
      </c>
      <c r="C2465" s="14" t="s">
        <v>13031</v>
      </c>
      <c r="D2465" s="15">
        <v>7.46</v>
      </c>
      <c r="E2465" s="16" t="s">
        <v>30</v>
      </c>
    </row>
    <row r="2466" spans="1:5" x14ac:dyDescent="0.25">
      <c r="A2466" s="14">
        <v>524556</v>
      </c>
      <c r="B2466" s="14" t="s">
        <v>2588</v>
      </c>
      <c r="C2466" s="14" t="s">
        <v>13031</v>
      </c>
      <c r="D2466" s="15">
        <v>16.05</v>
      </c>
      <c r="E2466" s="16" t="s">
        <v>30</v>
      </c>
    </row>
    <row r="2467" spans="1:5" x14ac:dyDescent="0.25">
      <c r="A2467" s="14">
        <v>524557</v>
      </c>
      <c r="B2467" s="14" t="s">
        <v>2589</v>
      </c>
      <c r="C2467" s="14" t="s">
        <v>13031</v>
      </c>
      <c r="D2467" s="15">
        <v>40.5</v>
      </c>
      <c r="E2467" s="16" t="s">
        <v>30</v>
      </c>
    </row>
    <row r="2468" spans="1:5" x14ac:dyDescent="0.25">
      <c r="A2468" s="14">
        <v>484648</v>
      </c>
      <c r="B2468" s="14" t="s">
        <v>2590</v>
      </c>
      <c r="C2468" s="14" t="s">
        <v>13030</v>
      </c>
      <c r="D2468" s="15">
        <v>7.13</v>
      </c>
      <c r="E2468" s="16" t="s">
        <v>20</v>
      </c>
    </row>
    <row r="2469" spans="1:5" x14ac:dyDescent="0.25">
      <c r="A2469" s="14">
        <v>452024</v>
      </c>
      <c r="B2469" s="14" t="s">
        <v>2591</v>
      </c>
      <c r="C2469" s="14" t="s">
        <v>13031</v>
      </c>
      <c r="D2469" s="15">
        <v>5.42</v>
      </c>
      <c r="E2469" s="16" t="s">
        <v>20</v>
      </c>
    </row>
    <row r="2470" spans="1:5" x14ac:dyDescent="0.25">
      <c r="A2470" s="14">
        <v>454603</v>
      </c>
      <c r="B2470" s="14" t="s">
        <v>2592</v>
      </c>
      <c r="C2470" s="14" t="s">
        <v>13031</v>
      </c>
      <c r="D2470" s="15">
        <v>12.25</v>
      </c>
      <c r="E2470" s="16" t="s">
        <v>20</v>
      </c>
    </row>
    <row r="2471" spans="1:5" x14ac:dyDescent="0.25">
      <c r="A2471" s="14">
        <v>524560</v>
      </c>
      <c r="B2471" s="14" t="s">
        <v>2593</v>
      </c>
      <c r="C2471" s="14" t="s">
        <v>13031</v>
      </c>
      <c r="D2471" s="15">
        <v>21.3</v>
      </c>
      <c r="E2471" s="16" t="s">
        <v>30</v>
      </c>
    </row>
    <row r="2472" spans="1:5" x14ac:dyDescent="0.25">
      <c r="A2472" s="14">
        <v>454604</v>
      </c>
      <c r="B2472" s="14" t="s">
        <v>2594</v>
      </c>
      <c r="C2472" s="14" t="s">
        <v>13031</v>
      </c>
      <c r="D2472" s="15">
        <v>6.86</v>
      </c>
      <c r="E2472" s="16" t="s">
        <v>20</v>
      </c>
    </row>
    <row r="2473" spans="1:5" x14ac:dyDescent="0.25">
      <c r="A2473" s="14">
        <v>454605</v>
      </c>
      <c r="B2473" s="14" t="s">
        <v>2595</v>
      </c>
      <c r="C2473" s="14" t="s">
        <v>13031</v>
      </c>
      <c r="D2473" s="15">
        <v>9.56</v>
      </c>
      <c r="E2473" s="16" t="s">
        <v>20</v>
      </c>
    </row>
    <row r="2474" spans="1:5" x14ac:dyDescent="0.25">
      <c r="A2474" s="14">
        <v>464456</v>
      </c>
      <c r="B2474" s="14" t="s">
        <v>2596</v>
      </c>
      <c r="C2474" s="14" t="s">
        <v>13031</v>
      </c>
      <c r="D2474" s="15">
        <v>5.3</v>
      </c>
      <c r="E2474" s="16" t="s">
        <v>20</v>
      </c>
    </row>
    <row r="2475" spans="1:5" x14ac:dyDescent="0.25">
      <c r="A2475" s="14">
        <v>524561</v>
      </c>
      <c r="B2475" s="14" t="s">
        <v>2597</v>
      </c>
      <c r="C2475" s="14" t="s">
        <v>13031</v>
      </c>
      <c r="D2475" s="15">
        <v>31.1</v>
      </c>
      <c r="E2475" s="16" t="s">
        <v>30</v>
      </c>
    </row>
    <row r="2476" spans="1:5" x14ac:dyDescent="0.25">
      <c r="A2476" s="14">
        <v>525489</v>
      </c>
      <c r="B2476" s="14" t="s">
        <v>2598</v>
      </c>
      <c r="C2476" s="14" t="s">
        <v>13033</v>
      </c>
      <c r="D2476" s="15">
        <v>5.47</v>
      </c>
      <c r="E2476" s="16" t="s">
        <v>30</v>
      </c>
    </row>
    <row r="2477" spans="1:5" x14ac:dyDescent="0.25">
      <c r="A2477" s="14">
        <v>526257</v>
      </c>
      <c r="B2477" s="14" t="s">
        <v>2599</v>
      </c>
      <c r="C2477" s="14" t="s">
        <v>13030</v>
      </c>
      <c r="D2477" s="15">
        <v>65.55</v>
      </c>
      <c r="E2477" s="16" t="s">
        <v>30</v>
      </c>
    </row>
    <row r="2478" spans="1:5" x14ac:dyDescent="0.25">
      <c r="A2478" s="14">
        <v>526263</v>
      </c>
      <c r="B2478" s="14" t="s">
        <v>2600</v>
      </c>
      <c r="C2478" s="14" t="s">
        <v>13029</v>
      </c>
      <c r="D2478" s="15">
        <v>8.01</v>
      </c>
      <c r="E2478" s="16" t="s">
        <v>30</v>
      </c>
    </row>
    <row r="2479" spans="1:5" x14ac:dyDescent="0.25">
      <c r="A2479" s="14">
        <v>526264</v>
      </c>
      <c r="B2479" s="14" t="s">
        <v>2601</v>
      </c>
      <c r="C2479" s="14" t="s">
        <v>13029</v>
      </c>
      <c r="D2479" s="15">
        <v>10.029999999999999</v>
      </c>
      <c r="E2479" s="16" t="s">
        <v>30</v>
      </c>
    </row>
    <row r="2480" spans="1:5" x14ac:dyDescent="0.25">
      <c r="A2480" s="14">
        <v>526265</v>
      </c>
      <c r="B2480" s="14" t="s">
        <v>2602</v>
      </c>
      <c r="C2480" s="14" t="s">
        <v>13029</v>
      </c>
      <c r="D2480" s="15">
        <v>8.01</v>
      </c>
      <c r="E2480" s="16" t="s">
        <v>30</v>
      </c>
    </row>
    <row r="2481" spans="1:5" x14ac:dyDescent="0.25">
      <c r="A2481" s="14">
        <v>526551</v>
      </c>
      <c r="B2481" s="14" t="s">
        <v>2603</v>
      </c>
      <c r="C2481" s="14" t="s">
        <v>13030</v>
      </c>
      <c r="D2481" s="15">
        <v>27.03</v>
      </c>
      <c r="E2481" s="16" t="s">
        <v>30</v>
      </c>
    </row>
    <row r="2482" spans="1:5" x14ac:dyDescent="0.25">
      <c r="A2482" s="14">
        <v>526709</v>
      </c>
      <c r="B2482" s="14" t="s">
        <v>2604</v>
      </c>
      <c r="C2482" s="14" t="s">
        <v>13031</v>
      </c>
      <c r="D2482" s="15">
        <v>10.64</v>
      </c>
      <c r="E2482" s="16" t="s">
        <v>30</v>
      </c>
    </row>
    <row r="2483" spans="1:5" x14ac:dyDescent="0.25">
      <c r="A2483" s="14">
        <v>526711</v>
      </c>
      <c r="B2483" s="14" t="s">
        <v>2605</v>
      </c>
      <c r="C2483" s="14" t="s">
        <v>13031</v>
      </c>
      <c r="D2483" s="15">
        <v>10.64</v>
      </c>
      <c r="E2483" s="16" t="s">
        <v>30</v>
      </c>
    </row>
    <row r="2484" spans="1:5" x14ac:dyDescent="0.25">
      <c r="A2484" s="14">
        <v>526868</v>
      </c>
      <c r="B2484" s="14" t="s">
        <v>2606</v>
      </c>
      <c r="C2484" s="14" t="s">
        <v>13029</v>
      </c>
      <c r="D2484" s="15">
        <v>4.1500000000000004</v>
      </c>
      <c r="E2484" s="16" t="s">
        <v>30</v>
      </c>
    </row>
    <row r="2485" spans="1:5" x14ac:dyDescent="0.25">
      <c r="A2485" s="14">
        <v>526869</v>
      </c>
      <c r="B2485" s="14" t="s">
        <v>2607</v>
      </c>
      <c r="C2485" s="14" t="s">
        <v>13029</v>
      </c>
      <c r="D2485" s="15">
        <v>3.43</v>
      </c>
      <c r="E2485" s="16" t="s">
        <v>30</v>
      </c>
    </row>
    <row r="2486" spans="1:5" x14ac:dyDescent="0.25">
      <c r="A2486" s="14">
        <v>526870</v>
      </c>
      <c r="B2486" s="14" t="s">
        <v>2608</v>
      </c>
      <c r="C2486" s="14" t="s">
        <v>13029</v>
      </c>
      <c r="D2486" s="15">
        <v>1.78</v>
      </c>
      <c r="E2486" s="16" t="s">
        <v>30</v>
      </c>
    </row>
    <row r="2487" spans="1:5" x14ac:dyDescent="0.25">
      <c r="A2487" s="14">
        <v>527463</v>
      </c>
      <c r="B2487" s="14" t="s">
        <v>2609</v>
      </c>
      <c r="C2487" s="14" t="s">
        <v>13029</v>
      </c>
      <c r="D2487" s="15">
        <v>7.6</v>
      </c>
      <c r="E2487" s="16" t="s">
        <v>30</v>
      </c>
    </row>
    <row r="2488" spans="1:5" x14ac:dyDescent="0.25">
      <c r="A2488" s="14">
        <v>527464</v>
      </c>
      <c r="B2488" s="14" t="s">
        <v>2610</v>
      </c>
      <c r="C2488" s="14" t="s">
        <v>13029</v>
      </c>
      <c r="D2488" s="15">
        <v>7.06</v>
      </c>
      <c r="E2488" s="16" t="s">
        <v>30</v>
      </c>
    </row>
    <row r="2489" spans="1:5" x14ac:dyDescent="0.25">
      <c r="A2489" s="14">
        <v>527465</v>
      </c>
      <c r="B2489" s="14" t="s">
        <v>2611</v>
      </c>
      <c r="C2489" s="14" t="s">
        <v>13029</v>
      </c>
      <c r="D2489" s="15">
        <v>7.06</v>
      </c>
      <c r="E2489" s="16" t="s">
        <v>30</v>
      </c>
    </row>
    <row r="2490" spans="1:5" x14ac:dyDescent="0.25">
      <c r="A2490" s="14">
        <v>527466</v>
      </c>
      <c r="B2490" s="14" t="s">
        <v>2612</v>
      </c>
      <c r="C2490" s="14" t="s">
        <v>13029</v>
      </c>
      <c r="D2490" s="15">
        <v>9.59</v>
      </c>
      <c r="E2490" s="16" t="s">
        <v>30</v>
      </c>
    </row>
    <row r="2491" spans="1:5" x14ac:dyDescent="0.25">
      <c r="A2491" s="14">
        <v>527882</v>
      </c>
      <c r="B2491" s="14" t="s">
        <v>2613</v>
      </c>
      <c r="C2491" s="14" t="s">
        <v>13030</v>
      </c>
      <c r="D2491" s="15">
        <v>150.07</v>
      </c>
      <c r="E2491" s="16" t="s">
        <v>30</v>
      </c>
    </row>
    <row r="2492" spans="1:5" x14ac:dyDescent="0.25">
      <c r="A2492" s="14">
        <v>527903</v>
      </c>
      <c r="B2492" s="14" t="s">
        <v>2614</v>
      </c>
      <c r="C2492" s="14" t="s">
        <v>13029</v>
      </c>
      <c r="D2492" s="15">
        <v>39.89</v>
      </c>
      <c r="E2492" s="16" t="s">
        <v>30</v>
      </c>
    </row>
    <row r="2493" spans="1:5" x14ac:dyDescent="0.25">
      <c r="A2493" s="14">
        <v>527905</v>
      </c>
      <c r="B2493" s="14" t="s">
        <v>2615</v>
      </c>
      <c r="C2493" s="14" t="s">
        <v>13029</v>
      </c>
      <c r="D2493" s="15">
        <v>55.79</v>
      </c>
      <c r="E2493" s="16" t="s">
        <v>30</v>
      </c>
    </row>
    <row r="2494" spans="1:5" x14ac:dyDescent="0.25">
      <c r="A2494" s="14">
        <v>527906</v>
      </c>
      <c r="B2494" s="14" t="s">
        <v>2616</v>
      </c>
      <c r="C2494" s="14" t="s">
        <v>13029</v>
      </c>
      <c r="D2494" s="15">
        <v>46.27</v>
      </c>
      <c r="E2494" s="16" t="s">
        <v>30</v>
      </c>
    </row>
    <row r="2495" spans="1:5" x14ac:dyDescent="0.25">
      <c r="A2495" s="14">
        <v>527907</v>
      </c>
      <c r="B2495" s="14" t="s">
        <v>2617</v>
      </c>
      <c r="C2495" s="14" t="s">
        <v>13029</v>
      </c>
      <c r="D2495" s="15">
        <v>46.27</v>
      </c>
      <c r="E2495" s="16" t="s">
        <v>30</v>
      </c>
    </row>
    <row r="2496" spans="1:5" x14ac:dyDescent="0.25">
      <c r="A2496" s="14">
        <v>528766</v>
      </c>
      <c r="B2496" s="14" t="s">
        <v>2618</v>
      </c>
      <c r="C2496" s="14" t="s">
        <v>13030</v>
      </c>
      <c r="D2496" s="15">
        <v>34.4</v>
      </c>
      <c r="E2496" s="16" t="s">
        <v>30</v>
      </c>
    </row>
    <row r="2497" spans="1:5" x14ac:dyDescent="0.25">
      <c r="A2497" s="14">
        <v>528950</v>
      </c>
      <c r="B2497" s="14" t="s">
        <v>2619</v>
      </c>
      <c r="C2497" s="14" t="s">
        <v>13029</v>
      </c>
      <c r="D2497" s="15">
        <v>8.4600000000000009</v>
      </c>
      <c r="E2497" s="16" t="s">
        <v>30</v>
      </c>
    </row>
    <row r="2498" spans="1:5" x14ac:dyDescent="0.25">
      <c r="A2498" s="14">
        <v>529182</v>
      </c>
      <c r="B2498" s="14" t="s">
        <v>2620</v>
      </c>
      <c r="C2498" s="14" t="s">
        <v>13031</v>
      </c>
      <c r="D2498" s="15">
        <v>4.51</v>
      </c>
      <c r="E2498" s="16" t="s">
        <v>30</v>
      </c>
    </row>
    <row r="2499" spans="1:5" x14ac:dyDescent="0.25">
      <c r="A2499" s="14">
        <v>529490</v>
      </c>
      <c r="B2499" s="14" t="s">
        <v>2621</v>
      </c>
      <c r="C2499" s="14" t="s">
        <v>13031</v>
      </c>
      <c r="D2499" s="15">
        <v>4.9800000000000004</v>
      </c>
      <c r="E2499" s="16" t="s">
        <v>30</v>
      </c>
    </row>
    <row r="2500" spans="1:5" x14ac:dyDescent="0.25">
      <c r="A2500" s="14">
        <v>529492</v>
      </c>
      <c r="B2500" s="14" t="s">
        <v>2622</v>
      </c>
      <c r="C2500" s="14" t="s">
        <v>13031</v>
      </c>
      <c r="D2500" s="15">
        <v>3.84</v>
      </c>
      <c r="E2500" s="16" t="s">
        <v>30</v>
      </c>
    </row>
    <row r="2501" spans="1:5" x14ac:dyDescent="0.25">
      <c r="A2501" s="14">
        <v>529494</v>
      </c>
      <c r="B2501" s="14" t="s">
        <v>2623</v>
      </c>
      <c r="C2501" s="14" t="s">
        <v>13031</v>
      </c>
      <c r="D2501" s="15">
        <v>3.84</v>
      </c>
      <c r="E2501" s="16" t="s">
        <v>30</v>
      </c>
    </row>
    <row r="2502" spans="1:5" x14ac:dyDescent="0.25">
      <c r="A2502" s="14">
        <v>530362</v>
      </c>
      <c r="B2502" s="14" t="s">
        <v>2624</v>
      </c>
      <c r="C2502" s="14" t="s">
        <v>13029</v>
      </c>
      <c r="D2502" s="15">
        <v>27.45</v>
      </c>
      <c r="E2502" s="16" t="s">
        <v>30</v>
      </c>
    </row>
    <row r="2503" spans="1:5" x14ac:dyDescent="0.25">
      <c r="A2503" s="14">
        <v>464457</v>
      </c>
      <c r="B2503" s="14" t="s">
        <v>2625</v>
      </c>
      <c r="C2503" s="14" t="s">
        <v>13031</v>
      </c>
      <c r="D2503" s="15">
        <v>5.4</v>
      </c>
      <c r="E2503" s="16" t="s">
        <v>20</v>
      </c>
    </row>
    <row r="2504" spans="1:5" x14ac:dyDescent="0.25">
      <c r="A2504" s="14">
        <v>530776</v>
      </c>
      <c r="B2504" s="14" t="s">
        <v>2626</v>
      </c>
      <c r="C2504" s="14" t="s">
        <v>13029</v>
      </c>
      <c r="D2504" s="15">
        <v>5.73</v>
      </c>
      <c r="E2504" s="16" t="s">
        <v>30</v>
      </c>
    </row>
    <row r="2505" spans="1:5" x14ac:dyDescent="0.25">
      <c r="A2505" s="14">
        <v>530777</v>
      </c>
      <c r="B2505" s="14" t="s">
        <v>2627</v>
      </c>
      <c r="C2505" s="14" t="s">
        <v>13029</v>
      </c>
      <c r="D2505" s="15">
        <v>10.73</v>
      </c>
      <c r="E2505" s="16" t="s">
        <v>30</v>
      </c>
    </row>
    <row r="2506" spans="1:5" x14ac:dyDescent="0.25">
      <c r="A2506" s="14">
        <v>531388</v>
      </c>
      <c r="B2506" s="14" t="s">
        <v>2628</v>
      </c>
      <c r="C2506" s="14" t="s">
        <v>13031</v>
      </c>
      <c r="D2506" s="15">
        <v>7.32</v>
      </c>
      <c r="E2506" s="16" t="s">
        <v>30</v>
      </c>
    </row>
    <row r="2507" spans="1:5" x14ac:dyDescent="0.25">
      <c r="A2507" s="14">
        <v>531389</v>
      </c>
      <c r="B2507" s="14" t="s">
        <v>2629</v>
      </c>
      <c r="C2507" s="14" t="s">
        <v>13031</v>
      </c>
      <c r="D2507" s="15">
        <v>7.32</v>
      </c>
      <c r="E2507" s="16" t="s">
        <v>30</v>
      </c>
    </row>
    <row r="2508" spans="1:5" x14ac:dyDescent="0.25">
      <c r="A2508" s="14">
        <v>531390</v>
      </c>
      <c r="B2508" s="14" t="s">
        <v>2630</v>
      </c>
      <c r="C2508" s="14" t="s">
        <v>13031</v>
      </c>
      <c r="D2508" s="15">
        <v>9.1</v>
      </c>
      <c r="E2508" s="16" t="s">
        <v>30</v>
      </c>
    </row>
    <row r="2509" spans="1:5" x14ac:dyDescent="0.25">
      <c r="A2509" s="14">
        <v>470338</v>
      </c>
      <c r="B2509" s="14" t="s">
        <v>2631</v>
      </c>
      <c r="C2509" s="14" t="s">
        <v>13031</v>
      </c>
      <c r="D2509" s="15">
        <v>30.3</v>
      </c>
      <c r="E2509" s="16" t="s">
        <v>20</v>
      </c>
    </row>
    <row r="2510" spans="1:5" x14ac:dyDescent="0.25">
      <c r="A2510" s="14">
        <v>492323</v>
      </c>
      <c r="B2510" s="14" t="s">
        <v>2632</v>
      </c>
      <c r="C2510" s="14" t="s">
        <v>13030</v>
      </c>
      <c r="D2510" s="15">
        <v>28.74</v>
      </c>
      <c r="E2510" s="16" t="s">
        <v>20</v>
      </c>
    </row>
    <row r="2511" spans="1:5" x14ac:dyDescent="0.25">
      <c r="A2511" s="14">
        <v>492324</v>
      </c>
      <c r="B2511" s="14" t="s">
        <v>2633</v>
      </c>
      <c r="C2511" s="14" t="s">
        <v>13030</v>
      </c>
      <c r="D2511" s="15">
        <v>10.92</v>
      </c>
      <c r="E2511" s="16" t="s">
        <v>20</v>
      </c>
    </row>
    <row r="2512" spans="1:5" x14ac:dyDescent="0.25">
      <c r="A2512" s="14">
        <v>475903</v>
      </c>
      <c r="B2512" s="14" t="s">
        <v>2634</v>
      </c>
      <c r="C2512" s="14" t="s">
        <v>13031</v>
      </c>
      <c r="D2512" s="15">
        <v>11.22</v>
      </c>
      <c r="E2512" s="16" t="s">
        <v>20</v>
      </c>
    </row>
    <row r="2513" spans="1:5" x14ac:dyDescent="0.25">
      <c r="A2513" s="14">
        <v>475904</v>
      </c>
      <c r="B2513" s="14" t="s">
        <v>2635</v>
      </c>
      <c r="C2513" s="14" t="s">
        <v>13031</v>
      </c>
      <c r="D2513" s="15">
        <v>11.22</v>
      </c>
      <c r="E2513" s="16" t="s">
        <v>20</v>
      </c>
    </row>
    <row r="2514" spans="1:5" x14ac:dyDescent="0.25">
      <c r="A2514" s="14">
        <v>482548</v>
      </c>
      <c r="B2514" s="14" t="s">
        <v>2636</v>
      </c>
      <c r="C2514" s="14" t="s">
        <v>13031</v>
      </c>
      <c r="D2514" s="15">
        <v>8.61</v>
      </c>
      <c r="E2514" s="16" t="s">
        <v>20</v>
      </c>
    </row>
    <row r="2515" spans="1:5" x14ac:dyDescent="0.25">
      <c r="A2515" s="14">
        <v>488262</v>
      </c>
      <c r="B2515" s="14" t="s">
        <v>2637</v>
      </c>
      <c r="C2515" s="14" t="s">
        <v>13030</v>
      </c>
      <c r="D2515" s="15">
        <v>39.83</v>
      </c>
      <c r="E2515" s="16" t="s">
        <v>20</v>
      </c>
    </row>
    <row r="2516" spans="1:5" x14ac:dyDescent="0.25">
      <c r="A2516" s="14">
        <v>484896</v>
      </c>
      <c r="B2516" s="14" t="s">
        <v>2638</v>
      </c>
      <c r="C2516" s="14" t="s">
        <v>13031</v>
      </c>
      <c r="D2516" s="15">
        <v>7.7</v>
      </c>
      <c r="E2516" s="16" t="s">
        <v>20</v>
      </c>
    </row>
    <row r="2517" spans="1:5" x14ac:dyDescent="0.25">
      <c r="A2517" s="14">
        <v>484897</v>
      </c>
      <c r="B2517" s="14" t="s">
        <v>2639</v>
      </c>
      <c r="C2517" s="14" t="s">
        <v>13031</v>
      </c>
      <c r="D2517" s="15">
        <v>8.6999999999999993</v>
      </c>
      <c r="E2517" s="16" t="s">
        <v>20</v>
      </c>
    </row>
    <row r="2518" spans="1:5" x14ac:dyDescent="0.25">
      <c r="A2518" s="14">
        <v>531391</v>
      </c>
      <c r="B2518" s="14" t="s">
        <v>2640</v>
      </c>
      <c r="C2518" s="14" t="s">
        <v>13031</v>
      </c>
      <c r="D2518" s="15">
        <v>9.1</v>
      </c>
      <c r="E2518" s="16" t="s">
        <v>30</v>
      </c>
    </row>
    <row r="2519" spans="1:5" x14ac:dyDescent="0.25">
      <c r="A2519" s="14">
        <v>531408</v>
      </c>
      <c r="B2519" s="14" t="s">
        <v>2641</v>
      </c>
      <c r="C2519" s="14" t="s">
        <v>13030</v>
      </c>
      <c r="D2519" s="15">
        <v>31.07</v>
      </c>
      <c r="E2519" s="16" t="s">
        <v>30</v>
      </c>
    </row>
    <row r="2520" spans="1:5" x14ac:dyDescent="0.25">
      <c r="A2520" s="14">
        <v>531410</v>
      </c>
      <c r="B2520" s="14" t="s">
        <v>2642</v>
      </c>
      <c r="C2520" s="14" t="s">
        <v>13030</v>
      </c>
      <c r="D2520" s="15">
        <v>31.07</v>
      </c>
      <c r="E2520" s="16" t="s">
        <v>30</v>
      </c>
    </row>
    <row r="2521" spans="1:5" x14ac:dyDescent="0.25">
      <c r="A2521" s="14">
        <v>531411</v>
      </c>
      <c r="B2521" s="14" t="s">
        <v>2643</v>
      </c>
      <c r="C2521" s="14" t="s">
        <v>13030</v>
      </c>
      <c r="D2521" s="15">
        <v>31.07</v>
      </c>
      <c r="E2521" s="16" t="s">
        <v>30</v>
      </c>
    </row>
    <row r="2522" spans="1:5" x14ac:dyDescent="0.25">
      <c r="A2522" s="14">
        <v>531417</v>
      </c>
      <c r="B2522" s="14" t="s">
        <v>2644</v>
      </c>
      <c r="C2522" s="14" t="s">
        <v>13030</v>
      </c>
      <c r="D2522" s="15">
        <v>43.15</v>
      </c>
      <c r="E2522" s="16" t="s">
        <v>30</v>
      </c>
    </row>
    <row r="2523" spans="1:5" x14ac:dyDescent="0.25">
      <c r="A2523" s="14">
        <v>531418</v>
      </c>
      <c r="B2523" s="14" t="s">
        <v>2645</v>
      </c>
      <c r="C2523" s="14" t="s">
        <v>13030</v>
      </c>
      <c r="D2523" s="15">
        <v>43.15</v>
      </c>
      <c r="E2523" s="16" t="s">
        <v>30</v>
      </c>
    </row>
    <row r="2524" spans="1:5" x14ac:dyDescent="0.25">
      <c r="A2524" s="14">
        <v>531419</v>
      </c>
      <c r="B2524" s="14" t="s">
        <v>2646</v>
      </c>
      <c r="C2524" s="14" t="s">
        <v>13030</v>
      </c>
      <c r="D2524" s="15">
        <v>43.15</v>
      </c>
      <c r="E2524" s="16" t="s">
        <v>30</v>
      </c>
    </row>
    <row r="2525" spans="1:5" x14ac:dyDescent="0.25">
      <c r="A2525" s="14">
        <v>531420</v>
      </c>
      <c r="B2525" s="14" t="s">
        <v>2647</v>
      </c>
      <c r="C2525" s="14" t="s">
        <v>13030</v>
      </c>
      <c r="D2525" s="15">
        <v>43.15</v>
      </c>
      <c r="E2525" s="16" t="s">
        <v>30</v>
      </c>
    </row>
    <row r="2526" spans="1:5" x14ac:dyDescent="0.25">
      <c r="A2526" s="14">
        <v>531472</v>
      </c>
      <c r="B2526" s="14" t="s">
        <v>2648</v>
      </c>
      <c r="C2526" s="14" t="s">
        <v>13030</v>
      </c>
      <c r="D2526" s="15">
        <v>103.69</v>
      </c>
      <c r="E2526" s="16" t="s">
        <v>30</v>
      </c>
    </row>
    <row r="2527" spans="1:5" x14ac:dyDescent="0.25">
      <c r="A2527" s="14">
        <v>531475</v>
      </c>
      <c r="B2527" s="14" t="s">
        <v>2649</v>
      </c>
      <c r="C2527" s="14" t="s">
        <v>13030</v>
      </c>
      <c r="D2527" s="15">
        <v>35.94</v>
      </c>
      <c r="E2527" s="16" t="s">
        <v>30</v>
      </c>
    </row>
    <row r="2528" spans="1:5" x14ac:dyDescent="0.25">
      <c r="A2528" s="14">
        <v>531503</v>
      </c>
      <c r="B2528" s="14" t="s">
        <v>2650</v>
      </c>
      <c r="C2528" s="14" t="s">
        <v>13030</v>
      </c>
      <c r="D2528" s="15">
        <v>55.53</v>
      </c>
      <c r="E2528" s="16" t="s">
        <v>30</v>
      </c>
    </row>
    <row r="2529" spans="1:5" x14ac:dyDescent="0.25">
      <c r="A2529" s="14">
        <v>531505</v>
      </c>
      <c r="B2529" s="14" t="s">
        <v>2651</v>
      </c>
      <c r="C2529" s="14" t="s">
        <v>13030</v>
      </c>
      <c r="D2529" s="15">
        <v>84.66</v>
      </c>
      <c r="E2529" s="16" t="s">
        <v>30</v>
      </c>
    </row>
    <row r="2530" spans="1:5" x14ac:dyDescent="0.25">
      <c r="A2530" s="14">
        <v>531514</v>
      </c>
      <c r="B2530" s="14" t="s">
        <v>2652</v>
      </c>
      <c r="C2530" s="14" t="s">
        <v>13030</v>
      </c>
      <c r="D2530" s="15">
        <v>11.66</v>
      </c>
      <c r="E2530" s="16" t="s">
        <v>30</v>
      </c>
    </row>
    <row r="2531" spans="1:5" x14ac:dyDescent="0.25">
      <c r="A2531" s="14">
        <v>531515</v>
      </c>
      <c r="B2531" s="14" t="s">
        <v>2653</v>
      </c>
      <c r="C2531" s="14" t="s">
        <v>13030</v>
      </c>
      <c r="D2531" s="15">
        <v>11.66</v>
      </c>
      <c r="E2531" s="16" t="s">
        <v>30</v>
      </c>
    </row>
    <row r="2532" spans="1:5" x14ac:dyDescent="0.25">
      <c r="A2532" s="14">
        <v>531563</v>
      </c>
      <c r="B2532" s="14" t="s">
        <v>2654</v>
      </c>
      <c r="C2532" s="14" t="s">
        <v>13029</v>
      </c>
      <c r="D2532" s="15">
        <v>25.83</v>
      </c>
      <c r="E2532" s="16" t="s">
        <v>30</v>
      </c>
    </row>
    <row r="2533" spans="1:5" x14ac:dyDescent="0.25">
      <c r="A2533" s="14">
        <v>531772</v>
      </c>
      <c r="B2533" s="14" t="s">
        <v>2655</v>
      </c>
      <c r="C2533" s="14" t="s">
        <v>13029</v>
      </c>
      <c r="D2533" s="15">
        <v>9.64</v>
      </c>
      <c r="E2533" s="16" t="s">
        <v>30</v>
      </c>
    </row>
    <row r="2534" spans="1:5" x14ac:dyDescent="0.25">
      <c r="A2534" s="14">
        <v>531773</v>
      </c>
      <c r="B2534" s="14" t="s">
        <v>2656</v>
      </c>
      <c r="C2534" s="14" t="s">
        <v>13029</v>
      </c>
      <c r="D2534" s="15">
        <v>9.64</v>
      </c>
      <c r="E2534" s="16" t="s">
        <v>30</v>
      </c>
    </row>
    <row r="2535" spans="1:5" x14ac:dyDescent="0.25">
      <c r="A2535" s="14">
        <v>531774</v>
      </c>
      <c r="B2535" s="14" t="s">
        <v>2657</v>
      </c>
      <c r="C2535" s="14" t="s">
        <v>13029</v>
      </c>
      <c r="D2535" s="15">
        <v>8.1</v>
      </c>
      <c r="E2535" s="16" t="s">
        <v>30</v>
      </c>
    </row>
    <row r="2536" spans="1:5" x14ac:dyDescent="0.25">
      <c r="A2536" s="14">
        <v>531775</v>
      </c>
      <c r="B2536" s="14" t="s">
        <v>2658</v>
      </c>
      <c r="C2536" s="14" t="s">
        <v>13029</v>
      </c>
      <c r="D2536" s="15">
        <v>9.64</v>
      </c>
      <c r="E2536" s="16" t="s">
        <v>30</v>
      </c>
    </row>
    <row r="2537" spans="1:5" x14ac:dyDescent="0.25">
      <c r="A2537" s="14">
        <v>531776</v>
      </c>
      <c r="B2537" s="14" t="s">
        <v>2659</v>
      </c>
      <c r="C2537" s="14" t="s">
        <v>13029</v>
      </c>
      <c r="D2537" s="15">
        <v>9.64</v>
      </c>
      <c r="E2537" s="16" t="s">
        <v>30</v>
      </c>
    </row>
    <row r="2538" spans="1:5" x14ac:dyDescent="0.25">
      <c r="A2538" s="14">
        <v>531777</v>
      </c>
      <c r="B2538" s="14" t="s">
        <v>2660</v>
      </c>
      <c r="C2538" s="14" t="s">
        <v>13029</v>
      </c>
      <c r="D2538" s="15">
        <v>8.1</v>
      </c>
      <c r="E2538" s="16" t="s">
        <v>30</v>
      </c>
    </row>
    <row r="2539" spans="1:5" x14ac:dyDescent="0.25">
      <c r="A2539" s="14">
        <v>531813</v>
      </c>
      <c r="B2539" s="14" t="s">
        <v>2661</v>
      </c>
      <c r="C2539" s="14" t="s">
        <v>13031</v>
      </c>
      <c r="D2539" s="15">
        <v>10.85</v>
      </c>
      <c r="E2539" s="16" t="s">
        <v>30</v>
      </c>
    </row>
    <row r="2540" spans="1:5" x14ac:dyDescent="0.25">
      <c r="A2540" s="14">
        <v>531814</v>
      </c>
      <c r="B2540" s="14" t="s">
        <v>2662</v>
      </c>
      <c r="C2540" s="14" t="s">
        <v>13031</v>
      </c>
      <c r="D2540" s="15">
        <v>16.91</v>
      </c>
      <c r="E2540" s="16" t="s">
        <v>30</v>
      </c>
    </row>
    <row r="2541" spans="1:5" x14ac:dyDescent="0.25">
      <c r="A2541" s="14">
        <v>531815</v>
      </c>
      <c r="B2541" s="14" t="s">
        <v>2663</v>
      </c>
      <c r="C2541" s="14" t="s">
        <v>13031</v>
      </c>
      <c r="D2541" s="15">
        <v>22.91</v>
      </c>
      <c r="E2541" s="16" t="s">
        <v>30</v>
      </c>
    </row>
    <row r="2542" spans="1:5" x14ac:dyDescent="0.25">
      <c r="A2542" s="14">
        <v>531839</v>
      </c>
      <c r="B2542" s="14" t="s">
        <v>2664</v>
      </c>
      <c r="C2542" s="14" t="s">
        <v>13029</v>
      </c>
      <c r="D2542" s="15">
        <v>4.1399999999999997</v>
      </c>
      <c r="E2542" s="16" t="s">
        <v>30</v>
      </c>
    </row>
    <row r="2543" spans="1:5" x14ac:dyDescent="0.25">
      <c r="A2543" s="14">
        <v>531840</v>
      </c>
      <c r="B2543" s="14" t="s">
        <v>2665</v>
      </c>
      <c r="C2543" s="14" t="s">
        <v>13029</v>
      </c>
      <c r="D2543" s="15">
        <v>4.3499999999999996</v>
      </c>
      <c r="E2543" s="16" t="s">
        <v>30</v>
      </c>
    </row>
    <row r="2544" spans="1:5" x14ac:dyDescent="0.25">
      <c r="A2544" s="14">
        <v>531841</v>
      </c>
      <c r="B2544" s="14" t="s">
        <v>2666</v>
      </c>
      <c r="C2544" s="14" t="s">
        <v>13029</v>
      </c>
      <c r="D2544" s="15">
        <v>6.28</v>
      </c>
      <c r="E2544" s="16" t="s">
        <v>30</v>
      </c>
    </row>
    <row r="2545" spans="1:5" x14ac:dyDescent="0.25">
      <c r="A2545" s="14">
        <v>531882</v>
      </c>
      <c r="B2545" s="14" t="s">
        <v>2667</v>
      </c>
      <c r="C2545" s="14" t="s">
        <v>13031</v>
      </c>
      <c r="D2545" s="15">
        <v>11.08</v>
      </c>
      <c r="E2545" s="16" t="s">
        <v>30</v>
      </c>
    </row>
    <row r="2546" spans="1:5" x14ac:dyDescent="0.25">
      <c r="A2546" s="14">
        <v>531884</v>
      </c>
      <c r="B2546" s="14" t="s">
        <v>2668</v>
      </c>
      <c r="C2546" s="14" t="s">
        <v>13031</v>
      </c>
      <c r="D2546" s="15">
        <v>11.08</v>
      </c>
      <c r="E2546" s="16" t="s">
        <v>30</v>
      </c>
    </row>
    <row r="2547" spans="1:5" x14ac:dyDescent="0.25">
      <c r="A2547" s="14">
        <v>532459</v>
      </c>
      <c r="B2547" s="14" t="s">
        <v>2669</v>
      </c>
      <c r="C2547" s="14" t="s">
        <v>13033</v>
      </c>
      <c r="D2547" s="15">
        <v>9.31</v>
      </c>
      <c r="E2547" s="16" t="s">
        <v>30</v>
      </c>
    </row>
    <row r="2548" spans="1:5" x14ac:dyDescent="0.25">
      <c r="A2548" s="14">
        <v>485925</v>
      </c>
      <c r="B2548" s="14" t="s">
        <v>2670</v>
      </c>
      <c r="C2548" s="14" t="s">
        <v>13031</v>
      </c>
      <c r="D2548" s="15">
        <v>4</v>
      </c>
      <c r="E2548" s="16" t="s">
        <v>20</v>
      </c>
    </row>
    <row r="2549" spans="1:5" x14ac:dyDescent="0.25">
      <c r="A2549" s="14">
        <v>532569</v>
      </c>
      <c r="B2549" s="14" t="s">
        <v>2671</v>
      </c>
      <c r="C2549" s="14" t="s">
        <v>13030</v>
      </c>
      <c r="D2549" s="15">
        <v>6.77</v>
      </c>
      <c r="E2549" s="16" t="s">
        <v>30</v>
      </c>
    </row>
    <row r="2550" spans="1:5" x14ac:dyDescent="0.25">
      <c r="A2550" s="14">
        <v>532861</v>
      </c>
      <c r="B2550" s="14" t="s">
        <v>2672</v>
      </c>
      <c r="C2550" s="14" t="s">
        <v>13030</v>
      </c>
      <c r="D2550" s="15">
        <v>43.15</v>
      </c>
      <c r="E2550" s="16" t="s">
        <v>30</v>
      </c>
    </row>
    <row r="2551" spans="1:5" x14ac:dyDescent="0.25">
      <c r="A2551" s="14">
        <v>532862</v>
      </c>
      <c r="B2551" s="14" t="s">
        <v>2673</v>
      </c>
      <c r="C2551" s="14" t="s">
        <v>13030</v>
      </c>
      <c r="D2551" s="15">
        <v>43.15</v>
      </c>
      <c r="E2551" s="16" t="s">
        <v>30</v>
      </c>
    </row>
    <row r="2552" spans="1:5" x14ac:dyDescent="0.25">
      <c r="A2552" s="14">
        <v>533024</v>
      </c>
      <c r="B2552" s="14" t="s">
        <v>2674</v>
      </c>
      <c r="C2552" s="14" t="s">
        <v>13029</v>
      </c>
      <c r="D2552" s="15">
        <v>27.41</v>
      </c>
      <c r="E2552" s="16" t="s">
        <v>30</v>
      </c>
    </row>
    <row r="2553" spans="1:5" x14ac:dyDescent="0.25">
      <c r="A2553" s="14">
        <v>533025</v>
      </c>
      <c r="B2553" s="14" t="s">
        <v>2675</v>
      </c>
      <c r="C2553" s="14" t="s">
        <v>13029</v>
      </c>
      <c r="D2553" s="15">
        <v>80.62</v>
      </c>
      <c r="E2553" s="16" t="s">
        <v>30</v>
      </c>
    </row>
    <row r="2554" spans="1:5" x14ac:dyDescent="0.25">
      <c r="A2554" s="14">
        <v>533026</v>
      </c>
      <c r="B2554" s="14" t="s">
        <v>2676</v>
      </c>
      <c r="C2554" s="14" t="s">
        <v>13029</v>
      </c>
      <c r="D2554" s="15">
        <v>33.619999999999997</v>
      </c>
      <c r="E2554" s="16" t="s">
        <v>30</v>
      </c>
    </row>
    <row r="2555" spans="1:5" x14ac:dyDescent="0.25">
      <c r="A2555" s="14">
        <v>533032</v>
      </c>
      <c r="B2555" s="14" t="s">
        <v>2677</v>
      </c>
      <c r="C2555" s="14" t="s">
        <v>13031</v>
      </c>
      <c r="D2555" s="15">
        <v>40</v>
      </c>
      <c r="E2555" s="16" t="s">
        <v>30</v>
      </c>
    </row>
    <row r="2556" spans="1:5" x14ac:dyDescent="0.25">
      <c r="A2556" s="14">
        <v>533033</v>
      </c>
      <c r="B2556" s="14" t="s">
        <v>2678</v>
      </c>
      <c r="C2556" s="14" t="s">
        <v>13031</v>
      </c>
      <c r="D2556" s="15">
        <v>40</v>
      </c>
      <c r="E2556" s="16" t="s">
        <v>30</v>
      </c>
    </row>
    <row r="2557" spans="1:5" x14ac:dyDescent="0.25">
      <c r="A2557" s="14">
        <v>533034</v>
      </c>
      <c r="B2557" s="14" t="s">
        <v>2679</v>
      </c>
      <c r="C2557" s="14" t="s">
        <v>13031</v>
      </c>
      <c r="D2557" s="15">
        <v>63.25</v>
      </c>
      <c r="E2557" s="16" t="s">
        <v>30</v>
      </c>
    </row>
    <row r="2558" spans="1:5" x14ac:dyDescent="0.25">
      <c r="A2558" s="14">
        <v>533436</v>
      </c>
      <c r="B2558" s="14" t="s">
        <v>2680</v>
      </c>
      <c r="C2558" s="14" t="s">
        <v>13029</v>
      </c>
      <c r="D2558" s="15">
        <v>31.97</v>
      </c>
      <c r="E2558" s="14" t="s">
        <v>30</v>
      </c>
    </row>
    <row r="2559" spans="1:5" x14ac:dyDescent="0.25">
      <c r="A2559" s="14">
        <v>533437</v>
      </c>
      <c r="B2559" s="14" t="s">
        <v>2681</v>
      </c>
      <c r="C2559" s="14" t="s">
        <v>13029</v>
      </c>
      <c r="D2559" s="15">
        <v>31.97</v>
      </c>
      <c r="E2559" s="14" t="s">
        <v>30</v>
      </c>
    </row>
    <row r="2560" spans="1:5" x14ac:dyDescent="0.25">
      <c r="A2560" s="14">
        <v>533693</v>
      </c>
      <c r="B2560" s="14" t="s">
        <v>2682</v>
      </c>
      <c r="C2560" s="14" t="s">
        <v>13029</v>
      </c>
      <c r="D2560" s="15">
        <v>15.42</v>
      </c>
      <c r="E2560" s="16" t="s">
        <v>30</v>
      </c>
    </row>
    <row r="2561" spans="1:5" x14ac:dyDescent="0.25">
      <c r="A2561" s="14">
        <v>533865</v>
      </c>
      <c r="B2561" s="14" t="s">
        <v>2683</v>
      </c>
      <c r="C2561" s="14" t="s">
        <v>13029</v>
      </c>
      <c r="D2561" s="15">
        <v>12.68</v>
      </c>
      <c r="E2561" s="16" t="s">
        <v>30</v>
      </c>
    </row>
    <row r="2562" spans="1:5" x14ac:dyDescent="0.25">
      <c r="A2562" s="14">
        <v>533956</v>
      </c>
      <c r="B2562" s="14" t="s">
        <v>2684</v>
      </c>
      <c r="C2562" s="14" t="s">
        <v>13029</v>
      </c>
      <c r="D2562" s="15">
        <v>1.65</v>
      </c>
      <c r="E2562" s="16" t="s">
        <v>30</v>
      </c>
    </row>
    <row r="2563" spans="1:5" x14ac:dyDescent="0.25">
      <c r="A2563" s="14">
        <v>533997</v>
      </c>
      <c r="B2563" s="14" t="s">
        <v>56</v>
      </c>
      <c r="C2563" s="14" t="s">
        <v>13030</v>
      </c>
      <c r="D2563" s="15">
        <v>15.05</v>
      </c>
      <c r="E2563" s="14" t="s">
        <v>30</v>
      </c>
    </row>
    <row r="2564" spans="1:5" x14ac:dyDescent="0.25">
      <c r="A2564" s="14">
        <v>533998</v>
      </c>
      <c r="B2564" s="14" t="s">
        <v>2685</v>
      </c>
      <c r="C2564" s="14" t="s">
        <v>13030</v>
      </c>
      <c r="D2564" s="15">
        <v>15.05</v>
      </c>
      <c r="E2564" s="14" t="s">
        <v>30</v>
      </c>
    </row>
    <row r="2565" spans="1:5" x14ac:dyDescent="0.25">
      <c r="A2565" s="14">
        <v>534004</v>
      </c>
      <c r="B2565" s="14" t="s">
        <v>2686</v>
      </c>
      <c r="C2565" s="14" t="s">
        <v>13029</v>
      </c>
      <c r="D2565" s="15">
        <v>14.17</v>
      </c>
      <c r="E2565" s="16" t="s">
        <v>30</v>
      </c>
    </row>
    <row r="2566" spans="1:5" x14ac:dyDescent="0.25">
      <c r="A2566" s="14">
        <v>534108</v>
      </c>
      <c r="B2566" s="14" t="s">
        <v>2687</v>
      </c>
      <c r="C2566" s="14" t="s">
        <v>13031</v>
      </c>
      <c r="D2566" s="15">
        <v>7.64</v>
      </c>
      <c r="E2566" s="16" t="s">
        <v>30</v>
      </c>
    </row>
    <row r="2567" spans="1:5" x14ac:dyDescent="0.25">
      <c r="A2567" s="14">
        <v>534109</v>
      </c>
      <c r="B2567" s="14" t="s">
        <v>2688</v>
      </c>
      <c r="C2567" s="14" t="s">
        <v>13031</v>
      </c>
      <c r="D2567" s="15">
        <v>7.35</v>
      </c>
      <c r="E2567" s="16" t="s">
        <v>30</v>
      </c>
    </row>
    <row r="2568" spans="1:5" x14ac:dyDescent="0.25">
      <c r="A2568" s="14">
        <v>534110</v>
      </c>
      <c r="B2568" s="14" t="s">
        <v>2689</v>
      </c>
      <c r="C2568" s="14" t="s">
        <v>13031</v>
      </c>
      <c r="D2568" s="15">
        <v>7.35</v>
      </c>
      <c r="E2568" s="16" t="s">
        <v>30</v>
      </c>
    </row>
    <row r="2569" spans="1:5" x14ac:dyDescent="0.25">
      <c r="A2569" s="14">
        <v>534230</v>
      </c>
      <c r="B2569" s="14" t="s">
        <v>2690</v>
      </c>
      <c r="C2569" s="14" t="s">
        <v>13029</v>
      </c>
      <c r="D2569" s="15">
        <v>23.2</v>
      </c>
      <c r="E2569" s="16" t="s">
        <v>30</v>
      </c>
    </row>
    <row r="2570" spans="1:5" x14ac:dyDescent="0.25">
      <c r="A2570" s="14">
        <v>534379</v>
      </c>
      <c r="B2570" s="14" t="s">
        <v>2691</v>
      </c>
      <c r="C2570" s="14" t="s">
        <v>13031</v>
      </c>
      <c r="D2570" s="15">
        <v>13.95</v>
      </c>
      <c r="E2570" s="16" t="s">
        <v>30</v>
      </c>
    </row>
    <row r="2571" spans="1:5" x14ac:dyDescent="0.25">
      <c r="A2571" s="14">
        <v>534387</v>
      </c>
      <c r="B2571" s="14" t="s">
        <v>2692</v>
      </c>
      <c r="C2571" s="14" t="s">
        <v>13030</v>
      </c>
      <c r="D2571" s="15">
        <v>4.47</v>
      </c>
      <c r="E2571" s="16" t="s">
        <v>30</v>
      </c>
    </row>
    <row r="2572" spans="1:5" x14ac:dyDescent="0.25">
      <c r="A2572" s="14">
        <v>534435</v>
      </c>
      <c r="B2572" s="14" t="s">
        <v>2693</v>
      </c>
      <c r="C2572" s="14" t="s">
        <v>13029</v>
      </c>
      <c r="D2572" s="15">
        <v>6.38</v>
      </c>
      <c r="E2572" s="16" t="s">
        <v>30</v>
      </c>
    </row>
    <row r="2573" spans="1:5" x14ac:dyDescent="0.25">
      <c r="A2573" s="14">
        <v>534508</v>
      </c>
      <c r="B2573" s="14" t="s">
        <v>2694</v>
      </c>
      <c r="C2573" s="14" t="s">
        <v>13029</v>
      </c>
      <c r="D2573" s="15">
        <v>8.76</v>
      </c>
      <c r="E2573" s="16" t="s">
        <v>30</v>
      </c>
    </row>
    <row r="2574" spans="1:5" x14ac:dyDescent="0.25">
      <c r="A2574" s="14">
        <v>534511</v>
      </c>
      <c r="B2574" s="14" t="s">
        <v>2695</v>
      </c>
      <c r="C2574" s="14" t="s">
        <v>13030</v>
      </c>
      <c r="D2574" s="15">
        <v>34.68</v>
      </c>
      <c r="E2574" s="16" t="s">
        <v>30</v>
      </c>
    </row>
    <row r="2575" spans="1:5" x14ac:dyDescent="0.25">
      <c r="A2575" s="14">
        <v>534512</v>
      </c>
      <c r="B2575" s="14" t="s">
        <v>2696</v>
      </c>
      <c r="C2575" s="14" t="s">
        <v>13030</v>
      </c>
      <c r="D2575" s="15">
        <v>7.33</v>
      </c>
      <c r="E2575" s="16" t="s">
        <v>30</v>
      </c>
    </row>
    <row r="2576" spans="1:5" x14ac:dyDescent="0.25">
      <c r="A2576" s="14">
        <v>534513</v>
      </c>
      <c r="B2576" s="14" t="s">
        <v>2697</v>
      </c>
      <c r="C2576" s="14" t="s">
        <v>13030</v>
      </c>
      <c r="D2576" s="15">
        <v>7.33</v>
      </c>
      <c r="E2576" s="16" t="s">
        <v>30</v>
      </c>
    </row>
    <row r="2577" spans="1:5" x14ac:dyDescent="0.25">
      <c r="A2577" s="14">
        <v>534564</v>
      </c>
      <c r="B2577" s="14" t="s">
        <v>2698</v>
      </c>
      <c r="C2577" s="14" t="s">
        <v>13031</v>
      </c>
      <c r="D2577" s="15">
        <v>7.35</v>
      </c>
      <c r="E2577" s="16" t="s">
        <v>30</v>
      </c>
    </row>
    <row r="2578" spans="1:5" x14ac:dyDescent="0.25">
      <c r="A2578" s="14">
        <v>534664</v>
      </c>
      <c r="B2578" s="14" t="s">
        <v>2699</v>
      </c>
      <c r="C2578" s="14" t="s">
        <v>13030</v>
      </c>
      <c r="D2578" s="15">
        <v>22.73</v>
      </c>
      <c r="E2578" s="16" t="s">
        <v>30</v>
      </c>
    </row>
    <row r="2579" spans="1:5" x14ac:dyDescent="0.25">
      <c r="A2579" s="14">
        <v>534665</v>
      </c>
      <c r="B2579" s="14" t="s">
        <v>2700</v>
      </c>
      <c r="C2579" s="14" t="s">
        <v>13030</v>
      </c>
      <c r="D2579" s="15">
        <v>22.73</v>
      </c>
      <c r="E2579" s="16" t="s">
        <v>30</v>
      </c>
    </row>
    <row r="2580" spans="1:5" x14ac:dyDescent="0.25">
      <c r="A2580" s="14">
        <v>535153</v>
      </c>
      <c r="B2580" s="14" t="s">
        <v>2701</v>
      </c>
      <c r="C2580" s="14" t="s">
        <v>13031</v>
      </c>
      <c r="D2580" s="15">
        <v>9.4700000000000006</v>
      </c>
      <c r="E2580" s="16" t="s">
        <v>30</v>
      </c>
    </row>
    <row r="2581" spans="1:5" x14ac:dyDescent="0.25">
      <c r="A2581" s="14">
        <v>535154</v>
      </c>
      <c r="B2581" s="14" t="s">
        <v>2702</v>
      </c>
      <c r="C2581" s="14" t="s">
        <v>13031</v>
      </c>
      <c r="D2581" s="15">
        <v>7.4</v>
      </c>
      <c r="E2581" s="16" t="s">
        <v>30</v>
      </c>
    </row>
    <row r="2582" spans="1:5" x14ac:dyDescent="0.25">
      <c r="A2582" s="14">
        <v>535158</v>
      </c>
      <c r="B2582" s="14" t="s">
        <v>2703</v>
      </c>
      <c r="C2582" s="14" t="s">
        <v>13030</v>
      </c>
      <c r="D2582" s="15">
        <v>3.65</v>
      </c>
      <c r="E2582" s="16" t="s">
        <v>30</v>
      </c>
    </row>
    <row r="2583" spans="1:5" x14ac:dyDescent="0.25">
      <c r="A2583" s="14">
        <v>535340</v>
      </c>
      <c r="B2583" s="14" t="s">
        <v>2704</v>
      </c>
      <c r="C2583" s="14" t="s">
        <v>13030</v>
      </c>
      <c r="D2583" s="15">
        <v>73.59</v>
      </c>
      <c r="E2583" s="16" t="s">
        <v>30</v>
      </c>
    </row>
    <row r="2584" spans="1:5" x14ac:dyDescent="0.25">
      <c r="A2584" s="14">
        <v>535519</v>
      </c>
      <c r="B2584" s="14" t="s">
        <v>2705</v>
      </c>
      <c r="C2584" s="14" t="s">
        <v>13029</v>
      </c>
      <c r="D2584" s="15">
        <v>3.02</v>
      </c>
      <c r="E2584" s="16" t="s">
        <v>30</v>
      </c>
    </row>
    <row r="2585" spans="1:5" x14ac:dyDescent="0.25">
      <c r="A2585" s="14">
        <v>535520</v>
      </c>
      <c r="B2585" s="14" t="s">
        <v>2706</v>
      </c>
      <c r="C2585" s="14" t="s">
        <v>13029</v>
      </c>
      <c r="D2585" s="15">
        <v>3.02</v>
      </c>
      <c r="E2585" s="16" t="s">
        <v>30</v>
      </c>
    </row>
    <row r="2586" spans="1:5" x14ac:dyDescent="0.25">
      <c r="A2586" s="14">
        <v>535521</v>
      </c>
      <c r="B2586" s="14" t="s">
        <v>2707</v>
      </c>
      <c r="C2586" s="14" t="s">
        <v>13029</v>
      </c>
      <c r="D2586" s="15">
        <v>3.02</v>
      </c>
      <c r="E2586" s="16" t="s">
        <v>30</v>
      </c>
    </row>
    <row r="2587" spans="1:5" x14ac:dyDescent="0.25">
      <c r="A2587" s="14">
        <v>535522</v>
      </c>
      <c r="B2587" s="14" t="s">
        <v>2708</v>
      </c>
      <c r="C2587" s="14" t="s">
        <v>13029</v>
      </c>
      <c r="D2587" s="15">
        <v>4.95</v>
      </c>
      <c r="E2587" s="16" t="s">
        <v>30</v>
      </c>
    </row>
    <row r="2588" spans="1:5" x14ac:dyDescent="0.25">
      <c r="A2588" s="14">
        <v>535523</v>
      </c>
      <c r="B2588" s="14" t="s">
        <v>2709</v>
      </c>
      <c r="C2588" s="14" t="s">
        <v>13029</v>
      </c>
      <c r="D2588" s="15">
        <v>4.95</v>
      </c>
      <c r="E2588" s="16" t="s">
        <v>30</v>
      </c>
    </row>
    <row r="2589" spans="1:5" x14ac:dyDescent="0.25">
      <c r="A2589" s="14">
        <v>535524</v>
      </c>
      <c r="B2589" s="14" t="s">
        <v>2710</v>
      </c>
      <c r="C2589" s="14" t="s">
        <v>13029</v>
      </c>
      <c r="D2589" s="15">
        <v>4.95</v>
      </c>
      <c r="E2589" s="16" t="s">
        <v>30</v>
      </c>
    </row>
    <row r="2590" spans="1:5" x14ac:dyDescent="0.25">
      <c r="A2590" s="14">
        <v>535525</v>
      </c>
      <c r="B2590" s="14" t="s">
        <v>2711</v>
      </c>
      <c r="C2590" s="14" t="s">
        <v>13029</v>
      </c>
      <c r="D2590" s="15">
        <v>8.35</v>
      </c>
      <c r="E2590" s="16" t="s">
        <v>30</v>
      </c>
    </row>
    <row r="2591" spans="1:5" x14ac:dyDescent="0.25">
      <c r="A2591" s="14">
        <v>535526</v>
      </c>
      <c r="B2591" s="14" t="s">
        <v>2712</v>
      </c>
      <c r="C2591" s="14" t="s">
        <v>13029</v>
      </c>
      <c r="D2591" s="15">
        <v>8.35</v>
      </c>
      <c r="E2591" s="16" t="s">
        <v>30</v>
      </c>
    </row>
    <row r="2592" spans="1:5" x14ac:dyDescent="0.25">
      <c r="A2592" s="14">
        <v>535527</v>
      </c>
      <c r="B2592" s="14" t="s">
        <v>2713</v>
      </c>
      <c r="C2592" s="14" t="s">
        <v>13029</v>
      </c>
      <c r="D2592" s="15">
        <v>8.35</v>
      </c>
      <c r="E2592" s="16" t="s">
        <v>30</v>
      </c>
    </row>
    <row r="2593" spans="1:5" x14ac:dyDescent="0.25">
      <c r="A2593" s="14">
        <v>535528</v>
      </c>
      <c r="B2593" s="14" t="s">
        <v>2714</v>
      </c>
      <c r="C2593" s="14" t="s">
        <v>13029</v>
      </c>
      <c r="D2593" s="15">
        <v>3.02</v>
      </c>
      <c r="E2593" s="16" t="s">
        <v>30</v>
      </c>
    </row>
    <row r="2594" spans="1:5" x14ac:dyDescent="0.25">
      <c r="A2594" s="14">
        <v>535530</v>
      </c>
      <c r="B2594" s="14" t="s">
        <v>2715</v>
      </c>
      <c r="C2594" s="14" t="s">
        <v>13029</v>
      </c>
      <c r="D2594" s="15">
        <v>3.02</v>
      </c>
      <c r="E2594" s="16" t="s">
        <v>30</v>
      </c>
    </row>
    <row r="2595" spans="1:5" x14ac:dyDescent="0.25">
      <c r="A2595" s="14">
        <v>535531</v>
      </c>
      <c r="B2595" s="14" t="s">
        <v>2716</v>
      </c>
      <c r="C2595" s="14" t="s">
        <v>13029</v>
      </c>
      <c r="D2595" s="15">
        <v>4.24</v>
      </c>
      <c r="E2595" s="16" t="s">
        <v>30</v>
      </c>
    </row>
    <row r="2596" spans="1:5" x14ac:dyDescent="0.25">
      <c r="A2596" s="14">
        <v>485926</v>
      </c>
      <c r="B2596" s="14" t="s">
        <v>64</v>
      </c>
      <c r="C2596" s="14" t="s">
        <v>13031</v>
      </c>
      <c r="D2596" s="15">
        <v>9.6999999999999993</v>
      </c>
      <c r="E2596" s="16" t="s">
        <v>20</v>
      </c>
    </row>
    <row r="2597" spans="1:5" x14ac:dyDescent="0.25">
      <c r="A2597" s="14">
        <v>485929</v>
      </c>
      <c r="B2597" s="14" t="s">
        <v>2717</v>
      </c>
      <c r="C2597" s="14" t="s">
        <v>13031</v>
      </c>
      <c r="D2597" s="15">
        <v>5.44</v>
      </c>
      <c r="E2597" s="16" t="s">
        <v>20</v>
      </c>
    </row>
    <row r="2598" spans="1:5" x14ac:dyDescent="0.25">
      <c r="A2598" s="14">
        <v>535532</v>
      </c>
      <c r="B2598" s="14" t="s">
        <v>2718</v>
      </c>
      <c r="C2598" s="14" t="s">
        <v>13029</v>
      </c>
      <c r="D2598" s="15">
        <v>4.24</v>
      </c>
      <c r="E2598" s="16" t="s">
        <v>30</v>
      </c>
    </row>
    <row r="2599" spans="1:5" x14ac:dyDescent="0.25">
      <c r="A2599" s="14">
        <v>535533</v>
      </c>
      <c r="B2599" s="14" t="s">
        <v>2719</v>
      </c>
      <c r="C2599" s="14" t="s">
        <v>13029</v>
      </c>
      <c r="D2599" s="15">
        <v>4.24</v>
      </c>
      <c r="E2599" s="16" t="s">
        <v>30</v>
      </c>
    </row>
    <row r="2600" spans="1:5" x14ac:dyDescent="0.25">
      <c r="A2600" s="14">
        <v>535534</v>
      </c>
      <c r="B2600" s="14" t="s">
        <v>2720</v>
      </c>
      <c r="C2600" s="14" t="s">
        <v>13029</v>
      </c>
      <c r="D2600" s="15">
        <v>7.15</v>
      </c>
      <c r="E2600" s="16" t="s">
        <v>30</v>
      </c>
    </row>
    <row r="2601" spans="1:5" x14ac:dyDescent="0.25">
      <c r="A2601" s="14">
        <v>535536</v>
      </c>
      <c r="B2601" s="14" t="s">
        <v>2721</v>
      </c>
      <c r="C2601" s="14" t="s">
        <v>13029</v>
      </c>
      <c r="D2601" s="15">
        <v>7.15</v>
      </c>
      <c r="E2601" s="16" t="s">
        <v>30</v>
      </c>
    </row>
    <row r="2602" spans="1:5" x14ac:dyDescent="0.25">
      <c r="A2602" s="14">
        <v>535548</v>
      </c>
      <c r="B2602" s="14" t="s">
        <v>2722</v>
      </c>
      <c r="C2602" s="14" t="s">
        <v>13031</v>
      </c>
      <c r="D2602" s="15">
        <v>21.5</v>
      </c>
      <c r="E2602" s="16" t="s">
        <v>30</v>
      </c>
    </row>
    <row r="2603" spans="1:5" x14ac:dyDescent="0.25">
      <c r="A2603" s="14">
        <v>535587</v>
      </c>
      <c r="B2603" s="14" t="s">
        <v>2723</v>
      </c>
      <c r="C2603" s="14" t="s">
        <v>13029</v>
      </c>
      <c r="D2603" s="15">
        <v>14.88</v>
      </c>
      <c r="E2603" s="16" t="s">
        <v>30</v>
      </c>
    </row>
    <row r="2604" spans="1:5" x14ac:dyDescent="0.25">
      <c r="A2604" s="14">
        <v>535649</v>
      </c>
      <c r="B2604" s="14" t="s">
        <v>2724</v>
      </c>
      <c r="C2604" s="14" t="s">
        <v>13032</v>
      </c>
      <c r="D2604" s="15">
        <v>86</v>
      </c>
      <c r="E2604" s="16" t="s">
        <v>30</v>
      </c>
    </row>
    <row r="2605" spans="1:5" x14ac:dyDescent="0.25">
      <c r="A2605" s="14">
        <v>535985</v>
      </c>
      <c r="B2605" s="14" t="s">
        <v>2725</v>
      </c>
      <c r="C2605" s="14" t="s">
        <v>13030</v>
      </c>
      <c r="D2605" s="15">
        <v>5.04</v>
      </c>
      <c r="E2605" s="14" t="s">
        <v>30</v>
      </c>
    </row>
    <row r="2606" spans="1:5" x14ac:dyDescent="0.25">
      <c r="A2606" s="14">
        <v>535987</v>
      </c>
      <c r="B2606" s="14" t="s">
        <v>2726</v>
      </c>
      <c r="C2606" s="14" t="s">
        <v>13030</v>
      </c>
      <c r="D2606" s="15">
        <v>22.88</v>
      </c>
      <c r="E2606" s="16" t="s">
        <v>30</v>
      </c>
    </row>
    <row r="2607" spans="1:5" x14ac:dyDescent="0.25">
      <c r="A2607" s="14">
        <v>535996</v>
      </c>
      <c r="B2607" s="14" t="s">
        <v>2727</v>
      </c>
      <c r="C2607" s="14" t="s">
        <v>13030</v>
      </c>
      <c r="D2607" s="15">
        <v>27.15</v>
      </c>
      <c r="E2607" s="16" t="s">
        <v>30</v>
      </c>
    </row>
    <row r="2608" spans="1:5" x14ac:dyDescent="0.25">
      <c r="A2608" s="14">
        <v>536112</v>
      </c>
      <c r="B2608" s="14" t="s">
        <v>2728</v>
      </c>
      <c r="C2608" s="14" t="s">
        <v>13029</v>
      </c>
      <c r="D2608" s="15">
        <v>9.42</v>
      </c>
      <c r="E2608" s="16" t="s">
        <v>30</v>
      </c>
    </row>
    <row r="2609" spans="1:5" x14ac:dyDescent="0.25">
      <c r="A2609" s="14">
        <v>536220</v>
      </c>
      <c r="B2609" s="14" t="s">
        <v>2729</v>
      </c>
      <c r="C2609" s="14" t="s">
        <v>13030</v>
      </c>
      <c r="D2609" s="15">
        <v>52.67</v>
      </c>
      <c r="E2609" s="16" t="s">
        <v>30</v>
      </c>
    </row>
    <row r="2610" spans="1:5" x14ac:dyDescent="0.25">
      <c r="A2610" s="14">
        <v>502958</v>
      </c>
      <c r="B2610" s="14" t="s">
        <v>2730</v>
      </c>
      <c r="C2610" s="14" t="s">
        <v>13031</v>
      </c>
      <c r="D2610" s="15">
        <v>15.57</v>
      </c>
      <c r="E2610" s="16" t="s">
        <v>20</v>
      </c>
    </row>
    <row r="2611" spans="1:5" x14ac:dyDescent="0.25">
      <c r="A2611" s="14">
        <v>536300</v>
      </c>
      <c r="B2611" s="14" t="s">
        <v>2731</v>
      </c>
      <c r="C2611" s="14" t="s">
        <v>13031</v>
      </c>
      <c r="D2611" s="15">
        <v>25.6</v>
      </c>
      <c r="E2611" s="16" t="s">
        <v>30</v>
      </c>
    </row>
    <row r="2612" spans="1:5" x14ac:dyDescent="0.25">
      <c r="A2612" s="14">
        <v>536301</v>
      </c>
      <c r="B2612" s="14" t="s">
        <v>2732</v>
      </c>
      <c r="C2612" s="14" t="s">
        <v>13031</v>
      </c>
      <c r="D2612" s="15">
        <v>25.6</v>
      </c>
      <c r="E2612" s="16" t="s">
        <v>30</v>
      </c>
    </row>
    <row r="2613" spans="1:5" x14ac:dyDescent="0.25">
      <c r="A2613" s="14">
        <v>536818</v>
      </c>
      <c r="B2613" s="14" t="s">
        <v>2733</v>
      </c>
      <c r="C2613" s="14" t="s">
        <v>13029</v>
      </c>
      <c r="D2613" s="15">
        <v>26</v>
      </c>
      <c r="E2613" s="16" t="s">
        <v>30</v>
      </c>
    </row>
    <row r="2614" spans="1:5" x14ac:dyDescent="0.25">
      <c r="A2614" s="14">
        <v>536819</v>
      </c>
      <c r="B2614" s="14" t="s">
        <v>2734</v>
      </c>
      <c r="C2614" s="14" t="s">
        <v>13029</v>
      </c>
      <c r="D2614" s="15">
        <v>25.99</v>
      </c>
      <c r="E2614" s="16" t="s">
        <v>30</v>
      </c>
    </row>
    <row r="2615" spans="1:5" x14ac:dyDescent="0.25">
      <c r="A2615" s="14">
        <v>536820</v>
      </c>
      <c r="B2615" s="14" t="s">
        <v>2735</v>
      </c>
      <c r="C2615" s="14" t="s">
        <v>13029</v>
      </c>
      <c r="D2615" s="15">
        <v>13.19</v>
      </c>
      <c r="E2615" s="16" t="s">
        <v>30</v>
      </c>
    </row>
    <row r="2616" spans="1:5" x14ac:dyDescent="0.25">
      <c r="A2616" s="14">
        <v>536821</v>
      </c>
      <c r="B2616" s="14" t="s">
        <v>2736</v>
      </c>
      <c r="C2616" s="14" t="s">
        <v>13029</v>
      </c>
      <c r="D2616" s="15">
        <v>6.56</v>
      </c>
      <c r="E2616" s="16" t="s">
        <v>30</v>
      </c>
    </row>
    <row r="2617" spans="1:5" x14ac:dyDescent="0.25">
      <c r="A2617" s="14">
        <v>536833</v>
      </c>
      <c r="B2617" s="14" t="s">
        <v>2737</v>
      </c>
      <c r="C2617" s="14" t="s">
        <v>13031</v>
      </c>
      <c r="D2617" s="15">
        <v>9.85</v>
      </c>
      <c r="E2617" s="16" t="s">
        <v>30</v>
      </c>
    </row>
    <row r="2618" spans="1:5" x14ac:dyDescent="0.25">
      <c r="A2618" s="14">
        <v>536980</v>
      </c>
      <c r="B2618" s="14" t="s">
        <v>2738</v>
      </c>
      <c r="C2618" s="14" t="s">
        <v>13031</v>
      </c>
      <c r="D2618" s="15">
        <v>13.88</v>
      </c>
      <c r="E2618" s="14" t="s">
        <v>30</v>
      </c>
    </row>
    <row r="2619" spans="1:5" x14ac:dyDescent="0.25">
      <c r="A2619" s="14">
        <v>536981</v>
      </c>
      <c r="B2619" s="14" t="s">
        <v>2739</v>
      </c>
      <c r="C2619" s="14" t="s">
        <v>13031</v>
      </c>
      <c r="D2619" s="15">
        <v>25.45</v>
      </c>
      <c r="E2619" s="14" t="s">
        <v>30</v>
      </c>
    </row>
    <row r="2620" spans="1:5" x14ac:dyDescent="0.25">
      <c r="A2620" s="14">
        <v>537873</v>
      </c>
      <c r="B2620" s="14" t="s">
        <v>2740</v>
      </c>
      <c r="C2620" s="14" t="s">
        <v>13030</v>
      </c>
      <c r="D2620" s="15">
        <v>32.35</v>
      </c>
      <c r="E2620" s="14" t="s">
        <v>30</v>
      </c>
    </row>
    <row r="2621" spans="1:5" x14ac:dyDescent="0.25">
      <c r="A2621" s="14">
        <v>537885</v>
      </c>
      <c r="B2621" s="14" t="s">
        <v>2741</v>
      </c>
      <c r="C2621" s="14" t="s">
        <v>13030</v>
      </c>
      <c r="D2621" s="15">
        <v>32.35</v>
      </c>
      <c r="E2621" s="16" t="s">
        <v>30</v>
      </c>
    </row>
    <row r="2622" spans="1:5" x14ac:dyDescent="0.25">
      <c r="A2622" s="14">
        <v>537886</v>
      </c>
      <c r="B2622" s="14" t="s">
        <v>2742</v>
      </c>
      <c r="C2622" s="14" t="s">
        <v>13030</v>
      </c>
      <c r="D2622" s="15">
        <v>32.35</v>
      </c>
      <c r="E2622" s="14" t="s">
        <v>30</v>
      </c>
    </row>
    <row r="2623" spans="1:5" x14ac:dyDescent="0.25">
      <c r="A2623" s="14">
        <v>537887</v>
      </c>
      <c r="B2623" s="14" t="s">
        <v>2743</v>
      </c>
      <c r="C2623" s="14" t="s">
        <v>13030</v>
      </c>
      <c r="D2623" s="15">
        <v>32.35</v>
      </c>
      <c r="E2623" s="14" t="s">
        <v>30</v>
      </c>
    </row>
    <row r="2624" spans="1:5" x14ac:dyDescent="0.25">
      <c r="A2624" s="14">
        <v>537888</v>
      </c>
      <c r="B2624" s="14" t="s">
        <v>2744</v>
      </c>
      <c r="C2624" s="14" t="s">
        <v>13030</v>
      </c>
      <c r="D2624" s="15">
        <v>53.96</v>
      </c>
      <c r="E2624" s="14" t="s">
        <v>30</v>
      </c>
    </row>
    <row r="2625" spans="1:5" x14ac:dyDescent="0.25">
      <c r="A2625" s="14">
        <v>541448</v>
      </c>
      <c r="B2625" s="14" t="s">
        <v>2745</v>
      </c>
      <c r="C2625" s="14" t="s">
        <v>13030</v>
      </c>
      <c r="D2625" s="15">
        <v>60.04</v>
      </c>
      <c r="E2625" s="16" t="s">
        <v>30</v>
      </c>
    </row>
    <row r="2626" spans="1:5" x14ac:dyDescent="0.25">
      <c r="A2626" s="14">
        <v>541763</v>
      </c>
      <c r="B2626" s="14" t="s">
        <v>2746</v>
      </c>
      <c r="C2626" s="14" t="s">
        <v>13029</v>
      </c>
      <c r="D2626" s="15">
        <v>4.6900000000000004</v>
      </c>
      <c r="E2626" s="16" t="s">
        <v>30</v>
      </c>
    </row>
    <row r="2627" spans="1:5" x14ac:dyDescent="0.25">
      <c r="A2627" s="14">
        <v>541778</v>
      </c>
      <c r="B2627" s="14" t="s">
        <v>2747</v>
      </c>
      <c r="C2627" s="14" t="s">
        <v>13029</v>
      </c>
      <c r="D2627" s="15">
        <v>7.14</v>
      </c>
      <c r="E2627" s="16" t="s">
        <v>30</v>
      </c>
    </row>
    <row r="2628" spans="1:5" x14ac:dyDescent="0.25">
      <c r="A2628" s="14">
        <v>542049</v>
      </c>
      <c r="B2628" s="14" t="s">
        <v>2748</v>
      </c>
      <c r="C2628" s="14" t="s">
        <v>13032</v>
      </c>
      <c r="D2628" s="15">
        <v>56</v>
      </c>
      <c r="E2628" s="16" t="s">
        <v>30</v>
      </c>
    </row>
    <row r="2629" spans="1:5" x14ac:dyDescent="0.25">
      <c r="A2629" s="14">
        <v>542050</v>
      </c>
      <c r="B2629" s="14" t="s">
        <v>2749</v>
      </c>
      <c r="C2629" s="14" t="s">
        <v>13032</v>
      </c>
      <c r="D2629" s="15">
        <v>33</v>
      </c>
      <c r="E2629" s="16" t="s">
        <v>30</v>
      </c>
    </row>
    <row r="2630" spans="1:5" x14ac:dyDescent="0.25">
      <c r="A2630" s="14">
        <v>542051</v>
      </c>
      <c r="B2630" s="14" t="s">
        <v>2750</v>
      </c>
      <c r="C2630" s="14" t="s">
        <v>13032</v>
      </c>
      <c r="D2630" s="15">
        <v>35</v>
      </c>
      <c r="E2630" s="16" t="s">
        <v>30</v>
      </c>
    </row>
    <row r="2631" spans="1:5" x14ac:dyDescent="0.25">
      <c r="A2631" s="14">
        <v>542052</v>
      </c>
      <c r="B2631" s="14" t="s">
        <v>2751</v>
      </c>
      <c r="C2631" s="14" t="s">
        <v>13032</v>
      </c>
      <c r="D2631" s="15">
        <v>36</v>
      </c>
      <c r="E2631" s="16" t="s">
        <v>30</v>
      </c>
    </row>
    <row r="2632" spans="1:5" x14ac:dyDescent="0.25">
      <c r="A2632" s="14">
        <v>542053</v>
      </c>
      <c r="B2632" s="14" t="s">
        <v>2752</v>
      </c>
      <c r="C2632" s="14" t="s">
        <v>13032</v>
      </c>
      <c r="D2632" s="15">
        <v>20</v>
      </c>
      <c r="E2632" s="16" t="s">
        <v>30</v>
      </c>
    </row>
    <row r="2633" spans="1:5" x14ac:dyDescent="0.25">
      <c r="A2633" s="14">
        <v>542150</v>
      </c>
      <c r="B2633" s="14" t="s">
        <v>2753</v>
      </c>
      <c r="C2633" s="14" t="s">
        <v>13034</v>
      </c>
      <c r="D2633" s="15">
        <v>7.29</v>
      </c>
      <c r="E2633" s="16" t="s">
        <v>30</v>
      </c>
    </row>
    <row r="2634" spans="1:5" x14ac:dyDescent="0.25">
      <c r="A2634" s="14">
        <v>542171</v>
      </c>
      <c r="B2634" s="14" t="s">
        <v>2754</v>
      </c>
      <c r="C2634" s="14" t="s">
        <v>13033</v>
      </c>
      <c r="D2634" s="15">
        <v>4.84</v>
      </c>
      <c r="E2634" s="16" t="s">
        <v>30</v>
      </c>
    </row>
    <row r="2635" spans="1:5" x14ac:dyDescent="0.25">
      <c r="A2635" s="14">
        <v>542172</v>
      </c>
      <c r="B2635" s="14" t="s">
        <v>2755</v>
      </c>
      <c r="C2635" s="14" t="s">
        <v>13033</v>
      </c>
      <c r="D2635" s="15">
        <v>4.84</v>
      </c>
      <c r="E2635" s="16" t="s">
        <v>30</v>
      </c>
    </row>
    <row r="2636" spans="1:5" x14ac:dyDescent="0.25">
      <c r="A2636" s="14">
        <v>542173</v>
      </c>
      <c r="B2636" s="14" t="s">
        <v>2756</v>
      </c>
      <c r="C2636" s="14" t="s">
        <v>13033</v>
      </c>
      <c r="D2636" s="15">
        <v>4.84</v>
      </c>
      <c r="E2636" s="16" t="s">
        <v>30</v>
      </c>
    </row>
    <row r="2637" spans="1:5" x14ac:dyDescent="0.25">
      <c r="A2637" s="14">
        <v>542256</v>
      </c>
      <c r="B2637" s="14" t="s">
        <v>2757</v>
      </c>
      <c r="C2637" s="14" t="s">
        <v>13031</v>
      </c>
      <c r="D2637" s="15">
        <v>35.6</v>
      </c>
      <c r="E2637" s="16" t="s">
        <v>30</v>
      </c>
    </row>
    <row r="2638" spans="1:5" x14ac:dyDescent="0.25">
      <c r="A2638" s="14">
        <v>542612</v>
      </c>
      <c r="B2638" s="14" t="s">
        <v>2758</v>
      </c>
      <c r="C2638" s="14" t="s">
        <v>13030</v>
      </c>
      <c r="D2638" s="15">
        <v>78.510000000000005</v>
      </c>
      <c r="E2638" s="16" t="s">
        <v>30</v>
      </c>
    </row>
    <row r="2639" spans="1:5" x14ac:dyDescent="0.25">
      <c r="A2639" s="14">
        <v>542614</v>
      </c>
      <c r="B2639" s="14" t="s">
        <v>2759</v>
      </c>
      <c r="C2639" s="14" t="s">
        <v>13030</v>
      </c>
      <c r="D2639" s="15">
        <v>37.32</v>
      </c>
      <c r="E2639" s="16" t="s">
        <v>30</v>
      </c>
    </row>
    <row r="2640" spans="1:5" x14ac:dyDescent="0.25">
      <c r="A2640" s="14">
        <v>542860</v>
      </c>
      <c r="B2640" s="14" t="s">
        <v>2760</v>
      </c>
      <c r="C2640" s="14" t="s">
        <v>13034</v>
      </c>
      <c r="D2640" s="15">
        <v>4.9400000000000004</v>
      </c>
      <c r="E2640" s="16" t="s">
        <v>30</v>
      </c>
    </row>
    <row r="2641" spans="1:5" x14ac:dyDescent="0.25">
      <c r="A2641" s="14">
        <v>542861</v>
      </c>
      <c r="B2641" s="14" t="s">
        <v>2761</v>
      </c>
      <c r="C2641" s="14" t="s">
        <v>13030</v>
      </c>
      <c r="D2641" s="15">
        <v>78.540000000000006</v>
      </c>
      <c r="E2641" s="16" t="s">
        <v>30</v>
      </c>
    </row>
    <row r="2642" spans="1:5" x14ac:dyDescent="0.25">
      <c r="A2642" s="14">
        <v>542864</v>
      </c>
      <c r="B2642" s="14" t="s">
        <v>2762</v>
      </c>
      <c r="C2642" s="14" t="s">
        <v>13029</v>
      </c>
      <c r="D2642" s="15">
        <v>10.1</v>
      </c>
      <c r="E2642" s="16" t="s">
        <v>30</v>
      </c>
    </row>
    <row r="2643" spans="1:5" x14ac:dyDescent="0.25">
      <c r="A2643" s="14">
        <v>542953</v>
      </c>
      <c r="B2643" s="14" t="s">
        <v>2763</v>
      </c>
      <c r="C2643" s="14" t="s">
        <v>13029</v>
      </c>
      <c r="D2643" s="15">
        <v>14.01</v>
      </c>
      <c r="E2643" s="14" t="s">
        <v>30</v>
      </c>
    </row>
    <row r="2644" spans="1:5" x14ac:dyDescent="0.25">
      <c r="A2644" s="14">
        <v>543074</v>
      </c>
      <c r="B2644" s="14" t="s">
        <v>2764</v>
      </c>
      <c r="C2644" s="14" t="s">
        <v>13031</v>
      </c>
      <c r="D2644" s="15">
        <v>4.63</v>
      </c>
      <c r="E2644" s="16" t="s">
        <v>30</v>
      </c>
    </row>
    <row r="2645" spans="1:5" x14ac:dyDescent="0.25">
      <c r="A2645" s="14">
        <v>543098</v>
      </c>
      <c r="B2645" s="14" t="s">
        <v>2765</v>
      </c>
      <c r="C2645" s="14" t="s">
        <v>13031</v>
      </c>
      <c r="D2645" s="15">
        <v>10.5</v>
      </c>
      <c r="E2645" s="16" t="s">
        <v>30</v>
      </c>
    </row>
    <row r="2646" spans="1:5" x14ac:dyDescent="0.25">
      <c r="A2646" s="14">
        <v>543106</v>
      </c>
      <c r="B2646" s="14" t="s">
        <v>2766</v>
      </c>
      <c r="C2646" s="14" t="s">
        <v>13031</v>
      </c>
      <c r="D2646" s="15">
        <v>3.97</v>
      </c>
      <c r="E2646" s="16" t="s">
        <v>30</v>
      </c>
    </row>
    <row r="2647" spans="1:5" x14ac:dyDescent="0.25">
      <c r="A2647" s="14">
        <v>543115</v>
      </c>
      <c r="B2647" s="14" t="s">
        <v>2767</v>
      </c>
      <c r="C2647" s="14" t="s">
        <v>13029</v>
      </c>
      <c r="D2647" s="15">
        <v>7.63</v>
      </c>
      <c r="E2647" s="16" t="s">
        <v>30</v>
      </c>
    </row>
    <row r="2648" spans="1:5" x14ac:dyDescent="0.25">
      <c r="A2648" s="14">
        <v>543116</v>
      </c>
      <c r="B2648" s="14" t="s">
        <v>2768</v>
      </c>
      <c r="C2648" s="14" t="s">
        <v>13029</v>
      </c>
      <c r="D2648" s="15">
        <v>16.45</v>
      </c>
      <c r="E2648" s="16" t="s">
        <v>30</v>
      </c>
    </row>
    <row r="2649" spans="1:5" x14ac:dyDescent="0.25">
      <c r="A2649" s="14">
        <v>543309</v>
      </c>
      <c r="B2649" s="14" t="s">
        <v>2769</v>
      </c>
      <c r="C2649" s="14" t="s">
        <v>13029</v>
      </c>
      <c r="D2649" s="15">
        <v>5.88</v>
      </c>
      <c r="E2649" s="16" t="s">
        <v>30</v>
      </c>
    </row>
    <row r="2650" spans="1:5" x14ac:dyDescent="0.25">
      <c r="A2650" s="14">
        <v>543482</v>
      </c>
      <c r="B2650" s="14" t="s">
        <v>2770</v>
      </c>
      <c r="C2650" s="14" t="s">
        <v>13031</v>
      </c>
      <c r="D2650" s="15">
        <v>2.1</v>
      </c>
      <c r="E2650" s="16" t="s">
        <v>30</v>
      </c>
    </row>
    <row r="2651" spans="1:5" x14ac:dyDescent="0.25">
      <c r="A2651" s="14">
        <v>543546</v>
      </c>
      <c r="B2651" s="14" t="s">
        <v>2771</v>
      </c>
      <c r="C2651" s="14" t="s">
        <v>13030</v>
      </c>
      <c r="D2651" s="15">
        <v>65.39</v>
      </c>
      <c r="E2651" s="16" t="s">
        <v>30</v>
      </c>
    </row>
    <row r="2652" spans="1:5" x14ac:dyDescent="0.25">
      <c r="A2652" s="14">
        <v>543689</v>
      </c>
      <c r="B2652" s="14" t="s">
        <v>2772</v>
      </c>
      <c r="C2652" s="14" t="s">
        <v>13033</v>
      </c>
      <c r="D2652" s="15">
        <v>20.7</v>
      </c>
      <c r="E2652" s="16" t="s">
        <v>30</v>
      </c>
    </row>
    <row r="2653" spans="1:5" x14ac:dyDescent="0.25">
      <c r="A2653" s="14">
        <v>543743</v>
      </c>
      <c r="B2653" s="14" t="s">
        <v>2773</v>
      </c>
      <c r="C2653" s="14" t="s">
        <v>13030</v>
      </c>
      <c r="D2653" s="15">
        <v>50.29</v>
      </c>
      <c r="E2653" s="16" t="s">
        <v>30</v>
      </c>
    </row>
    <row r="2654" spans="1:5" x14ac:dyDescent="0.25">
      <c r="A2654" s="14">
        <v>543744</v>
      </c>
      <c r="B2654" s="14" t="s">
        <v>2774</v>
      </c>
      <c r="C2654" s="14" t="s">
        <v>13030</v>
      </c>
      <c r="D2654" s="15">
        <v>50.29</v>
      </c>
      <c r="E2654" s="16" t="s">
        <v>30</v>
      </c>
    </row>
    <row r="2655" spans="1:5" x14ac:dyDescent="0.25">
      <c r="A2655" s="14">
        <v>543746</v>
      </c>
      <c r="B2655" s="14" t="s">
        <v>2775</v>
      </c>
      <c r="C2655" s="14" t="s">
        <v>13030</v>
      </c>
      <c r="D2655" s="15">
        <v>50.29</v>
      </c>
      <c r="E2655" s="16" t="s">
        <v>30</v>
      </c>
    </row>
    <row r="2656" spans="1:5" x14ac:dyDescent="0.25">
      <c r="A2656" s="14">
        <v>543751</v>
      </c>
      <c r="B2656" s="14" t="s">
        <v>2776</v>
      </c>
      <c r="C2656" s="14" t="s">
        <v>13031</v>
      </c>
      <c r="D2656" s="15">
        <v>8.9600000000000009</v>
      </c>
      <c r="E2656" s="16" t="s">
        <v>30</v>
      </c>
    </row>
    <row r="2657" spans="1:5" x14ac:dyDescent="0.25">
      <c r="A2657" s="14">
        <v>543804</v>
      </c>
      <c r="B2657" s="14" t="s">
        <v>2777</v>
      </c>
      <c r="C2657" s="14" t="s">
        <v>13030</v>
      </c>
      <c r="D2657" s="15">
        <v>45.54</v>
      </c>
      <c r="E2657" s="16" t="s">
        <v>30</v>
      </c>
    </row>
    <row r="2658" spans="1:5" x14ac:dyDescent="0.25">
      <c r="A2658" s="14">
        <v>543969</v>
      </c>
      <c r="B2658" s="14" t="s">
        <v>2778</v>
      </c>
      <c r="C2658" s="14" t="s">
        <v>13029</v>
      </c>
      <c r="D2658" s="15">
        <v>31.32</v>
      </c>
      <c r="E2658" s="16" t="s">
        <v>30</v>
      </c>
    </row>
    <row r="2659" spans="1:5" x14ac:dyDescent="0.25">
      <c r="A2659" s="14">
        <v>543971</v>
      </c>
      <c r="B2659" s="14" t="s">
        <v>2779</v>
      </c>
      <c r="C2659" s="14" t="s">
        <v>13029</v>
      </c>
      <c r="D2659" s="15">
        <v>43.07</v>
      </c>
      <c r="E2659" s="16" t="s">
        <v>30</v>
      </c>
    </row>
    <row r="2660" spans="1:5" x14ac:dyDescent="0.25">
      <c r="A2660" s="14">
        <v>543974</v>
      </c>
      <c r="B2660" s="14" t="s">
        <v>2780</v>
      </c>
      <c r="C2660" s="14" t="s">
        <v>13029</v>
      </c>
      <c r="D2660" s="15">
        <v>29.76</v>
      </c>
      <c r="E2660" s="16" t="s">
        <v>30</v>
      </c>
    </row>
    <row r="2661" spans="1:5" x14ac:dyDescent="0.25">
      <c r="A2661" s="14">
        <v>544299</v>
      </c>
      <c r="B2661" s="14" t="s">
        <v>2781</v>
      </c>
      <c r="C2661" s="14" t="s">
        <v>13029</v>
      </c>
      <c r="D2661" s="15">
        <v>31.17</v>
      </c>
      <c r="E2661" s="14" t="s">
        <v>30</v>
      </c>
    </row>
    <row r="2662" spans="1:5" x14ac:dyDescent="0.25">
      <c r="A2662" s="14">
        <v>544301</v>
      </c>
      <c r="B2662" s="14" t="s">
        <v>2782</v>
      </c>
      <c r="C2662" s="14" t="s">
        <v>13029</v>
      </c>
      <c r="D2662" s="15">
        <v>10.43</v>
      </c>
      <c r="E2662" s="16" t="s">
        <v>30</v>
      </c>
    </row>
    <row r="2663" spans="1:5" x14ac:dyDescent="0.25">
      <c r="A2663" s="14">
        <v>544304</v>
      </c>
      <c r="B2663" s="14" t="s">
        <v>2783</v>
      </c>
      <c r="C2663" s="14" t="s">
        <v>13031</v>
      </c>
      <c r="D2663" s="15">
        <v>69.03</v>
      </c>
      <c r="E2663" s="16" t="s">
        <v>30</v>
      </c>
    </row>
    <row r="2664" spans="1:5" x14ac:dyDescent="0.25">
      <c r="A2664" s="14">
        <v>505609</v>
      </c>
      <c r="B2664" s="14" t="s">
        <v>2784</v>
      </c>
      <c r="C2664" s="14" t="s">
        <v>13031</v>
      </c>
      <c r="D2664" s="15">
        <v>21</v>
      </c>
      <c r="E2664" s="16" t="s">
        <v>20</v>
      </c>
    </row>
    <row r="2665" spans="1:5" x14ac:dyDescent="0.25">
      <c r="A2665" s="14">
        <v>505615</v>
      </c>
      <c r="B2665" s="14" t="s">
        <v>2785</v>
      </c>
      <c r="C2665" s="14" t="s">
        <v>13031</v>
      </c>
      <c r="D2665" s="15">
        <v>34</v>
      </c>
      <c r="E2665" s="16" t="s">
        <v>20</v>
      </c>
    </row>
    <row r="2666" spans="1:5" x14ac:dyDescent="0.25">
      <c r="A2666" s="14">
        <v>544673</v>
      </c>
      <c r="B2666" s="14" t="s">
        <v>2786</v>
      </c>
      <c r="C2666" s="14" t="s">
        <v>13030</v>
      </c>
      <c r="D2666" s="15">
        <v>23.7</v>
      </c>
      <c r="E2666" s="16" t="s">
        <v>30</v>
      </c>
    </row>
    <row r="2667" spans="1:5" x14ac:dyDescent="0.25">
      <c r="A2667" s="14">
        <v>544683</v>
      </c>
      <c r="B2667" s="14" t="s">
        <v>2787</v>
      </c>
      <c r="C2667" s="14" t="s">
        <v>13030</v>
      </c>
      <c r="D2667" s="15">
        <v>13.69</v>
      </c>
      <c r="E2667" s="14" t="s">
        <v>30</v>
      </c>
    </row>
    <row r="2668" spans="1:5" x14ac:dyDescent="0.25">
      <c r="A2668" s="14">
        <v>545308</v>
      </c>
      <c r="B2668" s="14" t="s">
        <v>2788</v>
      </c>
      <c r="C2668" s="14" t="s">
        <v>13033</v>
      </c>
      <c r="D2668" s="15">
        <v>1.1299999999999999</v>
      </c>
      <c r="E2668" s="16" t="s">
        <v>30</v>
      </c>
    </row>
    <row r="2669" spans="1:5" x14ac:dyDescent="0.25">
      <c r="A2669" s="14">
        <v>506514</v>
      </c>
      <c r="B2669" s="14" t="s">
        <v>2789</v>
      </c>
      <c r="C2669" s="14" t="s">
        <v>13031</v>
      </c>
      <c r="D2669" s="15">
        <v>10.35</v>
      </c>
      <c r="E2669" s="16" t="s">
        <v>20</v>
      </c>
    </row>
    <row r="2670" spans="1:5" x14ac:dyDescent="0.25">
      <c r="A2670" s="14">
        <v>545311</v>
      </c>
      <c r="B2670" s="14" t="s">
        <v>2790</v>
      </c>
      <c r="C2670" s="14" t="s">
        <v>13033</v>
      </c>
      <c r="D2670" s="15">
        <v>1.1299999999999999</v>
      </c>
      <c r="E2670" s="16" t="s">
        <v>30</v>
      </c>
    </row>
    <row r="2671" spans="1:5" x14ac:dyDescent="0.25">
      <c r="A2671" s="14">
        <v>545312</v>
      </c>
      <c r="B2671" s="14" t="s">
        <v>2791</v>
      </c>
      <c r="C2671" s="14" t="s">
        <v>13033</v>
      </c>
      <c r="D2671" s="15">
        <v>1.1299999999999999</v>
      </c>
      <c r="E2671" s="16" t="s">
        <v>30</v>
      </c>
    </row>
    <row r="2672" spans="1:5" x14ac:dyDescent="0.25">
      <c r="A2672" s="14">
        <v>545676</v>
      </c>
      <c r="B2672" s="14" t="s">
        <v>2792</v>
      </c>
      <c r="C2672" s="14" t="s">
        <v>13031</v>
      </c>
      <c r="D2672" s="15">
        <v>7.92</v>
      </c>
      <c r="E2672" s="16" t="s">
        <v>30</v>
      </c>
    </row>
    <row r="2673" spans="1:5" x14ac:dyDescent="0.25">
      <c r="A2673" s="14">
        <v>545678</v>
      </c>
      <c r="B2673" s="14" t="s">
        <v>2793</v>
      </c>
      <c r="C2673" s="14" t="s">
        <v>13031</v>
      </c>
      <c r="D2673" s="15">
        <v>26.03</v>
      </c>
      <c r="E2673" s="16" t="s">
        <v>30</v>
      </c>
    </row>
    <row r="2674" spans="1:5" x14ac:dyDescent="0.25">
      <c r="A2674" s="14">
        <v>545734</v>
      </c>
      <c r="B2674" s="14" t="s">
        <v>2794</v>
      </c>
      <c r="C2674" s="14" t="s">
        <v>13031</v>
      </c>
      <c r="D2674" s="15">
        <v>4.1900000000000004</v>
      </c>
      <c r="E2674" s="16" t="s">
        <v>30</v>
      </c>
    </row>
    <row r="2675" spans="1:5" x14ac:dyDescent="0.25">
      <c r="A2675" s="14">
        <v>545780</v>
      </c>
      <c r="B2675" s="14" t="s">
        <v>2795</v>
      </c>
      <c r="C2675" s="14" t="s">
        <v>13030</v>
      </c>
      <c r="D2675" s="15">
        <v>37.31</v>
      </c>
      <c r="E2675" s="16" t="s">
        <v>30</v>
      </c>
    </row>
    <row r="2676" spans="1:5" x14ac:dyDescent="0.25">
      <c r="A2676" s="14">
        <v>545793</v>
      </c>
      <c r="B2676" s="14" t="s">
        <v>2796</v>
      </c>
      <c r="C2676" s="14" t="s">
        <v>13036</v>
      </c>
      <c r="D2676" s="15">
        <v>19.07</v>
      </c>
      <c r="E2676" s="16" t="s">
        <v>30</v>
      </c>
    </row>
    <row r="2677" spans="1:5" x14ac:dyDescent="0.25">
      <c r="A2677" s="14">
        <v>545920</v>
      </c>
      <c r="B2677" s="14" t="s">
        <v>2797</v>
      </c>
      <c r="C2677" s="14" t="s">
        <v>13031</v>
      </c>
      <c r="D2677" s="15">
        <v>8.9600000000000009</v>
      </c>
      <c r="E2677" s="16" t="s">
        <v>30</v>
      </c>
    </row>
    <row r="2678" spans="1:5" x14ac:dyDescent="0.25">
      <c r="A2678" s="14">
        <v>546008</v>
      </c>
      <c r="B2678" s="14" t="s">
        <v>2798</v>
      </c>
      <c r="C2678" s="14" t="s">
        <v>13029</v>
      </c>
      <c r="D2678" s="15">
        <v>16.11</v>
      </c>
      <c r="E2678" s="16" t="s">
        <v>30</v>
      </c>
    </row>
    <row r="2679" spans="1:5" x14ac:dyDescent="0.25">
      <c r="A2679" s="14">
        <v>546075</v>
      </c>
      <c r="B2679" s="14" t="s">
        <v>2799</v>
      </c>
      <c r="C2679" s="14" t="s">
        <v>13031</v>
      </c>
      <c r="D2679" s="15">
        <v>9.43</v>
      </c>
      <c r="E2679" s="16" t="s">
        <v>30</v>
      </c>
    </row>
    <row r="2680" spans="1:5" x14ac:dyDescent="0.25">
      <c r="A2680" s="14">
        <v>546091</v>
      </c>
      <c r="B2680" s="14" t="s">
        <v>2800</v>
      </c>
      <c r="C2680" s="14" t="s">
        <v>13030</v>
      </c>
      <c r="D2680" s="15">
        <v>144</v>
      </c>
      <c r="E2680" s="16" t="s">
        <v>30</v>
      </c>
    </row>
    <row r="2681" spans="1:5" x14ac:dyDescent="0.25">
      <c r="A2681" s="14">
        <v>546165</v>
      </c>
      <c r="B2681" s="14" t="s">
        <v>2801</v>
      </c>
      <c r="C2681" s="14" t="s">
        <v>13031</v>
      </c>
      <c r="D2681" s="15">
        <v>15.96</v>
      </c>
      <c r="E2681" s="16" t="s">
        <v>30</v>
      </c>
    </row>
    <row r="2682" spans="1:5" x14ac:dyDescent="0.25">
      <c r="A2682" s="14">
        <v>546166</v>
      </c>
      <c r="B2682" s="14" t="s">
        <v>2802</v>
      </c>
      <c r="C2682" s="14" t="s">
        <v>13031</v>
      </c>
      <c r="D2682" s="15">
        <v>15.96</v>
      </c>
      <c r="E2682" s="16" t="s">
        <v>30</v>
      </c>
    </row>
    <row r="2683" spans="1:5" x14ac:dyDescent="0.25">
      <c r="A2683" s="14">
        <v>546167</v>
      </c>
      <c r="B2683" s="14" t="s">
        <v>2803</v>
      </c>
      <c r="C2683" s="14" t="s">
        <v>13031</v>
      </c>
      <c r="D2683" s="15">
        <v>18.829999999999998</v>
      </c>
      <c r="E2683" s="16" t="s">
        <v>30</v>
      </c>
    </row>
    <row r="2684" spans="1:5" x14ac:dyDescent="0.25">
      <c r="A2684" s="14">
        <v>546168</v>
      </c>
      <c r="B2684" s="14" t="s">
        <v>2804</v>
      </c>
      <c r="C2684" s="14" t="s">
        <v>13031</v>
      </c>
      <c r="D2684" s="15">
        <v>18.829999999999998</v>
      </c>
      <c r="E2684" s="16" t="s">
        <v>30</v>
      </c>
    </row>
    <row r="2685" spans="1:5" x14ac:dyDescent="0.25">
      <c r="A2685" s="14">
        <v>546169</v>
      </c>
      <c r="B2685" s="14" t="s">
        <v>2805</v>
      </c>
      <c r="C2685" s="14" t="s">
        <v>13031</v>
      </c>
      <c r="D2685" s="15">
        <v>18.829999999999998</v>
      </c>
      <c r="E2685" s="16" t="s">
        <v>30</v>
      </c>
    </row>
    <row r="2686" spans="1:5" x14ac:dyDescent="0.25">
      <c r="A2686" s="14">
        <v>546170</v>
      </c>
      <c r="B2686" s="14" t="s">
        <v>2806</v>
      </c>
      <c r="C2686" s="14" t="s">
        <v>13031</v>
      </c>
      <c r="D2686" s="15">
        <v>18.829999999999998</v>
      </c>
      <c r="E2686" s="16" t="s">
        <v>30</v>
      </c>
    </row>
    <row r="2687" spans="1:5" x14ac:dyDescent="0.25">
      <c r="A2687" s="14">
        <v>546217</v>
      </c>
      <c r="B2687" s="14" t="s">
        <v>2807</v>
      </c>
      <c r="C2687" s="14" t="s">
        <v>13029</v>
      </c>
      <c r="D2687" s="15">
        <v>34.94</v>
      </c>
      <c r="E2687" s="16" t="s">
        <v>30</v>
      </c>
    </row>
    <row r="2688" spans="1:5" x14ac:dyDescent="0.25">
      <c r="A2688" s="14">
        <v>546253</v>
      </c>
      <c r="B2688" s="14" t="s">
        <v>2808</v>
      </c>
      <c r="C2688" s="14" t="s">
        <v>13033</v>
      </c>
      <c r="D2688" s="15">
        <v>11.7</v>
      </c>
      <c r="E2688" s="16" t="s">
        <v>30</v>
      </c>
    </row>
    <row r="2689" spans="1:5" x14ac:dyDescent="0.25">
      <c r="A2689" s="14">
        <v>546255</v>
      </c>
      <c r="B2689" s="14" t="s">
        <v>2809</v>
      </c>
      <c r="C2689" s="14" t="s">
        <v>13033</v>
      </c>
      <c r="D2689" s="15">
        <v>11.7</v>
      </c>
      <c r="E2689" s="16" t="s">
        <v>30</v>
      </c>
    </row>
    <row r="2690" spans="1:5" x14ac:dyDescent="0.25">
      <c r="A2690" s="14">
        <v>546256</v>
      </c>
      <c r="B2690" s="14" t="s">
        <v>2810</v>
      </c>
      <c r="C2690" s="14" t="s">
        <v>13033</v>
      </c>
      <c r="D2690" s="15">
        <v>11.7</v>
      </c>
      <c r="E2690" s="16" t="s">
        <v>30</v>
      </c>
    </row>
    <row r="2691" spans="1:5" x14ac:dyDescent="0.25">
      <c r="A2691" s="14">
        <v>546260</v>
      </c>
      <c r="B2691" s="14" t="s">
        <v>2811</v>
      </c>
      <c r="C2691" s="14" t="s">
        <v>13033</v>
      </c>
      <c r="D2691" s="15">
        <v>9.98</v>
      </c>
      <c r="E2691" s="16" t="s">
        <v>30</v>
      </c>
    </row>
    <row r="2692" spans="1:5" x14ac:dyDescent="0.25">
      <c r="A2692" s="14">
        <v>546263</v>
      </c>
      <c r="B2692" s="14" t="s">
        <v>2812</v>
      </c>
      <c r="C2692" s="14" t="s">
        <v>13033</v>
      </c>
      <c r="D2692" s="15">
        <v>9.98</v>
      </c>
      <c r="E2692" s="16" t="s">
        <v>30</v>
      </c>
    </row>
    <row r="2693" spans="1:5" x14ac:dyDescent="0.25">
      <c r="A2693" s="14">
        <v>508126</v>
      </c>
      <c r="B2693" s="14" t="s">
        <v>2813</v>
      </c>
      <c r="C2693" s="14" t="s">
        <v>13031</v>
      </c>
      <c r="D2693" s="15">
        <v>14.58</v>
      </c>
      <c r="E2693" s="16" t="s">
        <v>20</v>
      </c>
    </row>
    <row r="2694" spans="1:5" x14ac:dyDescent="0.25">
      <c r="A2694" s="14">
        <v>508127</v>
      </c>
      <c r="B2694" s="14" t="s">
        <v>2814</v>
      </c>
      <c r="C2694" s="14" t="s">
        <v>13031</v>
      </c>
      <c r="D2694" s="15">
        <v>19.239999999999998</v>
      </c>
      <c r="E2694" s="16" t="s">
        <v>20</v>
      </c>
    </row>
    <row r="2695" spans="1:5" x14ac:dyDescent="0.25">
      <c r="A2695" s="14">
        <v>531493</v>
      </c>
      <c r="B2695" s="14" t="s">
        <v>2815</v>
      </c>
      <c r="C2695" s="14" t="s">
        <v>13030</v>
      </c>
      <c r="D2695" s="15">
        <v>71.739999999999995</v>
      </c>
      <c r="E2695" s="16" t="s">
        <v>20</v>
      </c>
    </row>
    <row r="2696" spans="1:5" x14ac:dyDescent="0.25">
      <c r="A2696" s="14">
        <v>531496</v>
      </c>
      <c r="B2696" s="14" t="s">
        <v>2816</v>
      </c>
      <c r="C2696" s="14" t="s">
        <v>13030</v>
      </c>
      <c r="D2696" s="15">
        <v>179.96</v>
      </c>
      <c r="E2696" s="16" t="s">
        <v>20</v>
      </c>
    </row>
    <row r="2697" spans="1:5" x14ac:dyDescent="0.25">
      <c r="A2697" s="14">
        <v>546333</v>
      </c>
      <c r="B2697" s="14" t="s">
        <v>2817</v>
      </c>
      <c r="C2697" s="14" t="s">
        <v>13031</v>
      </c>
      <c r="D2697" s="15">
        <v>6.82</v>
      </c>
      <c r="E2697" s="16" t="s">
        <v>30</v>
      </c>
    </row>
    <row r="2698" spans="1:5" x14ac:dyDescent="0.25">
      <c r="A2698" s="14">
        <v>546341</v>
      </c>
      <c r="B2698" s="14" t="s">
        <v>2818</v>
      </c>
      <c r="C2698" s="14" t="s">
        <v>13031</v>
      </c>
      <c r="D2698" s="15">
        <v>35.78</v>
      </c>
      <c r="E2698" s="16" t="s">
        <v>30</v>
      </c>
    </row>
    <row r="2699" spans="1:5" x14ac:dyDescent="0.25">
      <c r="A2699" s="14">
        <v>546404</v>
      </c>
      <c r="B2699" s="14" t="s">
        <v>2819</v>
      </c>
      <c r="C2699" s="14" t="s">
        <v>13031</v>
      </c>
      <c r="D2699" s="15">
        <v>6.71</v>
      </c>
      <c r="E2699" s="16" t="s">
        <v>30</v>
      </c>
    </row>
    <row r="2700" spans="1:5" x14ac:dyDescent="0.25">
      <c r="A2700" s="14">
        <v>546406</v>
      </c>
      <c r="B2700" s="14" t="s">
        <v>2820</v>
      </c>
      <c r="C2700" s="14" t="s">
        <v>13031</v>
      </c>
      <c r="D2700" s="15">
        <v>9.6</v>
      </c>
      <c r="E2700" s="16" t="s">
        <v>30</v>
      </c>
    </row>
    <row r="2701" spans="1:5" x14ac:dyDescent="0.25">
      <c r="A2701" s="14">
        <v>546419</v>
      </c>
      <c r="B2701" s="14" t="s">
        <v>2821</v>
      </c>
      <c r="C2701" s="14" t="s">
        <v>13031</v>
      </c>
      <c r="D2701" s="15">
        <v>33.299999999999997</v>
      </c>
      <c r="E2701" s="16" t="s">
        <v>30</v>
      </c>
    </row>
    <row r="2702" spans="1:5" x14ac:dyDescent="0.25">
      <c r="A2702" s="14">
        <v>546579</v>
      </c>
      <c r="B2702" s="14" t="s">
        <v>2822</v>
      </c>
      <c r="C2702" s="14" t="s">
        <v>13030</v>
      </c>
      <c r="D2702" s="15">
        <v>4.45</v>
      </c>
      <c r="E2702" s="14" t="s">
        <v>30</v>
      </c>
    </row>
    <row r="2703" spans="1:5" x14ac:dyDescent="0.25">
      <c r="A2703" s="14">
        <v>546580</v>
      </c>
      <c r="B2703" s="14" t="s">
        <v>2823</v>
      </c>
      <c r="C2703" s="14" t="s">
        <v>13030</v>
      </c>
      <c r="D2703" s="15">
        <v>26.69</v>
      </c>
      <c r="E2703" s="16" t="s">
        <v>30</v>
      </c>
    </row>
    <row r="2704" spans="1:5" x14ac:dyDescent="0.25">
      <c r="A2704" s="14">
        <v>546598</v>
      </c>
      <c r="B2704" s="14" t="s">
        <v>2824</v>
      </c>
      <c r="C2704" s="14" t="s">
        <v>13030</v>
      </c>
      <c r="D2704" s="15">
        <v>945.02</v>
      </c>
      <c r="E2704" s="16" t="s">
        <v>30</v>
      </c>
    </row>
    <row r="2705" spans="1:5" x14ac:dyDescent="0.25">
      <c r="A2705" s="14">
        <v>531497</v>
      </c>
      <c r="B2705" s="14" t="s">
        <v>2825</v>
      </c>
      <c r="C2705" s="14" t="s">
        <v>13030</v>
      </c>
      <c r="D2705" s="15">
        <v>71.760000000000005</v>
      </c>
      <c r="E2705" s="16" t="s">
        <v>20</v>
      </c>
    </row>
    <row r="2706" spans="1:5" x14ac:dyDescent="0.25">
      <c r="A2706" s="14">
        <v>532151</v>
      </c>
      <c r="B2706" s="14" t="s">
        <v>2826</v>
      </c>
      <c r="C2706" s="14" t="s">
        <v>13030</v>
      </c>
      <c r="D2706" s="15">
        <v>25.61</v>
      </c>
      <c r="E2706" s="16" t="s">
        <v>20</v>
      </c>
    </row>
    <row r="2707" spans="1:5" x14ac:dyDescent="0.25">
      <c r="A2707" s="14">
        <v>546600</v>
      </c>
      <c r="B2707" s="14" t="s">
        <v>2827</v>
      </c>
      <c r="C2707" s="14" t="s">
        <v>13029</v>
      </c>
      <c r="D2707" s="15">
        <v>35.549999999999997</v>
      </c>
      <c r="E2707" s="16" t="s">
        <v>30</v>
      </c>
    </row>
    <row r="2708" spans="1:5" x14ac:dyDescent="0.25">
      <c r="A2708" s="14">
        <v>546609</v>
      </c>
      <c r="B2708" s="14" t="s">
        <v>2828</v>
      </c>
      <c r="C2708" s="14" t="s">
        <v>13030</v>
      </c>
      <c r="D2708" s="15">
        <v>21.1</v>
      </c>
      <c r="E2708" s="16" t="s">
        <v>30</v>
      </c>
    </row>
    <row r="2709" spans="1:5" x14ac:dyDescent="0.25">
      <c r="A2709" s="14">
        <v>546617</v>
      </c>
      <c r="B2709" s="14" t="s">
        <v>2829</v>
      </c>
      <c r="C2709" s="14" t="s">
        <v>13031</v>
      </c>
      <c r="D2709" s="15">
        <v>7.65</v>
      </c>
      <c r="E2709" s="16" t="s">
        <v>30</v>
      </c>
    </row>
    <row r="2710" spans="1:5" x14ac:dyDescent="0.25">
      <c r="A2710" s="14">
        <v>546676</v>
      </c>
      <c r="B2710" s="14" t="s">
        <v>2830</v>
      </c>
      <c r="C2710" s="14" t="s">
        <v>13034</v>
      </c>
      <c r="D2710" s="15">
        <v>1.27</v>
      </c>
      <c r="E2710" s="16" t="s">
        <v>30</v>
      </c>
    </row>
    <row r="2711" spans="1:5" x14ac:dyDescent="0.25">
      <c r="A2711" s="14">
        <v>546677</v>
      </c>
      <c r="B2711" s="14" t="s">
        <v>2831</v>
      </c>
      <c r="C2711" s="14" t="s">
        <v>13033</v>
      </c>
      <c r="D2711" s="15">
        <v>2.64</v>
      </c>
      <c r="E2711" s="16" t="s">
        <v>30</v>
      </c>
    </row>
    <row r="2712" spans="1:5" x14ac:dyDescent="0.25">
      <c r="A2712" s="14">
        <v>546689</v>
      </c>
      <c r="B2712" s="14" t="s">
        <v>2832</v>
      </c>
      <c r="C2712" s="14" t="s">
        <v>13029</v>
      </c>
      <c r="D2712" s="15">
        <v>17.760000000000002</v>
      </c>
      <c r="E2712" s="16" t="s">
        <v>30</v>
      </c>
    </row>
    <row r="2713" spans="1:5" x14ac:dyDescent="0.25">
      <c r="A2713" s="14">
        <v>546860</v>
      </c>
      <c r="B2713" s="14" t="s">
        <v>2833</v>
      </c>
      <c r="C2713" s="14" t="s">
        <v>13030</v>
      </c>
      <c r="D2713" s="15">
        <v>85.36</v>
      </c>
      <c r="E2713" s="14" t="s">
        <v>30</v>
      </c>
    </row>
    <row r="2714" spans="1:5" x14ac:dyDescent="0.25">
      <c r="A2714" s="14">
        <v>532154</v>
      </c>
      <c r="B2714" s="14" t="s">
        <v>2834</v>
      </c>
      <c r="C2714" s="14" t="s">
        <v>13030</v>
      </c>
      <c r="D2714" s="15">
        <v>31.72</v>
      </c>
      <c r="E2714" s="16" t="s">
        <v>20</v>
      </c>
    </row>
    <row r="2715" spans="1:5" x14ac:dyDescent="0.25">
      <c r="A2715" s="14">
        <v>546867</v>
      </c>
      <c r="B2715" s="14" t="s">
        <v>2835</v>
      </c>
      <c r="C2715" s="14" t="s">
        <v>13030</v>
      </c>
      <c r="D2715" s="15">
        <v>63.56</v>
      </c>
      <c r="E2715" s="16" t="s">
        <v>30</v>
      </c>
    </row>
    <row r="2716" spans="1:5" x14ac:dyDescent="0.25">
      <c r="A2716" s="14">
        <v>546917</v>
      </c>
      <c r="B2716" s="14" t="s">
        <v>2836</v>
      </c>
      <c r="C2716" s="14" t="s">
        <v>13029</v>
      </c>
      <c r="D2716" s="15">
        <v>22.55</v>
      </c>
      <c r="E2716" s="16" t="s">
        <v>30</v>
      </c>
    </row>
    <row r="2717" spans="1:5" x14ac:dyDescent="0.25">
      <c r="A2717" s="14">
        <v>547261</v>
      </c>
      <c r="B2717" s="14" t="s">
        <v>2837</v>
      </c>
      <c r="C2717" s="14" t="s">
        <v>13031</v>
      </c>
      <c r="D2717" s="15">
        <v>51.86</v>
      </c>
      <c r="E2717" s="16" t="s">
        <v>30</v>
      </c>
    </row>
    <row r="2718" spans="1:5" x14ac:dyDescent="0.25">
      <c r="A2718" s="14">
        <v>547274</v>
      </c>
      <c r="B2718" s="14" t="s">
        <v>2838</v>
      </c>
      <c r="C2718" s="14" t="s">
        <v>13030</v>
      </c>
      <c r="D2718" s="15">
        <v>155.59</v>
      </c>
      <c r="E2718" s="16" t="s">
        <v>30</v>
      </c>
    </row>
    <row r="2719" spans="1:5" x14ac:dyDescent="0.25">
      <c r="A2719" s="14">
        <v>547305</v>
      </c>
      <c r="B2719" s="14" t="s">
        <v>2839</v>
      </c>
      <c r="C2719" s="14" t="s">
        <v>13031</v>
      </c>
      <c r="D2719" s="15">
        <v>27.82</v>
      </c>
      <c r="E2719" s="16" t="s">
        <v>30</v>
      </c>
    </row>
    <row r="2720" spans="1:5" x14ac:dyDescent="0.25">
      <c r="A2720" s="14">
        <v>547309</v>
      </c>
      <c r="B2720" s="14" t="s">
        <v>2840</v>
      </c>
      <c r="C2720" s="14" t="s">
        <v>13031</v>
      </c>
      <c r="D2720" s="15">
        <v>35.53</v>
      </c>
      <c r="E2720" s="16" t="s">
        <v>30</v>
      </c>
    </row>
    <row r="2721" spans="1:5" x14ac:dyDescent="0.25">
      <c r="A2721" s="14">
        <v>548274</v>
      </c>
      <c r="B2721" s="14" t="s">
        <v>2841</v>
      </c>
      <c r="C2721" s="14" t="s">
        <v>13030</v>
      </c>
      <c r="D2721" s="15">
        <v>15.37</v>
      </c>
      <c r="E2721" s="16" t="s">
        <v>30</v>
      </c>
    </row>
    <row r="2722" spans="1:5" x14ac:dyDescent="0.25">
      <c r="A2722" s="14">
        <v>532156</v>
      </c>
      <c r="B2722" s="14" t="s">
        <v>2842</v>
      </c>
      <c r="C2722" s="14" t="s">
        <v>13030</v>
      </c>
      <c r="D2722" s="15">
        <v>75.16</v>
      </c>
      <c r="E2722" s="16" t="s">
        <v>20</v>
      </c>
    </row>
    <row r="2723" spans="1:5" x14ac:dyDescent="0.25">
      <c r="A2723" s="14">
        <v>548426</v>
      </c>
      <c r="B2723" s="14" t="s">
        <v>2843</v>
      </c>
      <c r="C2723" s="14" t="s">
        <v>13030</v>
      </c>
      <c r="D2723" s="15">
        <v>348.08</v>
      </c>
      <c r="E2723" s="16" t="s">
        <v>30</v>
      </c>
    </row>
    <row r="2724" spans="1:5" x14ac:dyDescent="0.25">
      <c r="A2724" s="14">
        <v>548640</v>
      </c>
      <c r="B2724" s="14" t="s">
        <v>2844</v>
      </c>
      <c r="C2724" s="14" t="s">
        <v>13030</v>
      </c>
      <c r="D2724" s="15">
        <v>413.07</v>
      </c>
      <c r="E2724" s="16" t="s">
        <v>30</v>
      </c>
    </row>
    <row r="2725" spans="1:5" x14ac:dyDescent="0.25">
      <c r="A2725" s="14">
        <v>548641</v>
      </c>
      <c r="B2725" s="14" t="s">
        <v>2845</v>
      </c>
      <c r="C2725" s="14" t="s">
        <v>13030</v>
      </c>
      <c r="D2725" s="15">
        <v>64.760000000000005</v>
      </c>
      <c r="E2725" s="14" t="s">
        <v>30</v>
      </c>
    </row>
    <row r="2726" spans="1:5" x14ac:dyDescent="0.25">
      <c r="A2726" s="14">
        <v>548642</v>
      </c>
      <c r="B2726" s="14" t="s">
        <v>2846</v>
      </c>
      <c r="C2726" s="14" t="s">
        <v>13030</v>
      </c>
      <c r="D2726" s="15">
        <v>21.39</v>
      </c>
      <c r="E2726" s="14" t="s">
        <v>30</v>
      </c>
    </row>
    <row r="2727" spans="1:5" x14ac:dyDescent="0.25">
      <c r="A2727" s="14">
        <v>548851</v>
      </c>
      <c r="B2727" s="14" t="s">
        <v>2847</v>
      </c>
      <c r="C2727" s="14" t="s">
        <v>13031</v>
      </c>
      <c r="D2727" s="15">
        <v>7.05</v>
      </c>
      <c r="E2727" s="16" t="s">
        <v>30</v>
      </c>
    </row>
    <row r="2728" spans="1:5" x14ac:dyDescent="0.25">
      <c r="A2728" s="14">
        <v>548852</v>
      </c>
      <c r="B2728" s="14" t="s">
        <v>2848</v>
      </c>
      <c r="C2728" s="14" t="s">
        <v>13031</v>
      </c>
      <c r="D2728" s="15">
        <v>8.24</v>
      </c>
      <c r="E2728" s="16" t="s">
        <v>30</v>
      </c>
    </row>
    <row r="2729" spans="1:5" x14ac:dyDescent="0.25">
      <c r="A2729" s="14">
        <v>548853</v>
      </c>
      <c r="B2729" s="14" t="s">
        <v>2849</v>
      </c>
      <c r="C2729" s="14" t="s">
        <v>13031</v>
      </c>
      <c r="D2729" s="15">
        <v>7.65</v>
      </c>
      <c r="E2729" s="16" t="s">
        <v>30</v>
      </c>
    </row>
    <row r="2730" spans="1:5" x14ac:dyDescent="0.25">
      <c r="A2730" s="14">
        <v>548854</v>
      </c>
      <c r="B2730" s="14" t="s">
        <v>2850</v>
      </c>
      <c r="C2730" s="14" t="s">
        <v>13031</v>
      </c>
      <c r="D2730" s="15">
        <v>7.4</v>
      </c>
      <c r="E2730" s="16" t="s">
        <v>30</v>
      </c>
    </row>
    <row r="2731" spans="1:5" x14ac:dyDescent="0.25">
      <c r="A2731" s="14">
        <v>548861</v>
      </c>
      <c r="B2731" s="14" t="s">
        <v>2851</v>
      </c>
      <c r="C2731" s="14" t="s">
        <v>13030</v>
      </c>
      <c r="D2731" s="15">
        <v>23.7</v>
      </c>
      <c r="E2731" s="14" t="s">
        <v>30</v>
      </c>
    </row>
    <row r="2732" spans="1:5" x14ac:dyDescent="0.25">
      <c r="A2732" s="14">
        <v>548884</v>
      </c>
      <c r="B2732" s="14" t="s">
        <v>2852</v>
      </c>
      <c r="C2732" s="14" t="s">
        <v>13030</v>
      </c>
      <c r="D2732" s="15">
        <v>37.31</v>
      </c>
      <c r="E2732" s="16" t="s">
        <v>30</v>
      </c>
    </row>
    <row r="2733" spans="1:5" x14ac:dyDescent="0.25">
      <c r="A2733" s="14">
        <v>549255</v>
      </c>
      <c r="B2733" s="14" t="s">
        <v>2853</v>
      </c>
      <c r="C2733" s="14" t="s">
        <v>13031</v>
      </c>
      <c r="D2733" s="15">
        <v>6.82</v>
      </c>
      <c r="E2733" s="16" t="s">
        <v>30</v>
      </c>
    </row>
    <row r="2734" spans="1:5" x14ac:dyDescent="0.25">
      <c r="A2734" s="14">
        <v>549257</v>
      </c>
      <c r="B2734" s="14" t="s">
        <v>2854</v>
      </c>
      <c r="C2734" s="14" t="s">
        <v>13031</v>
      </c>
      <c r="D2734" s="15">
        <v>6.82</v>
      </c>
      <c r="E2734" s="16" t="s">
        <v>30</v>
      </c>
    </row>
    <row r="2735" spans="1:5" x14ac:dyDescent="0.25">
      <c r="A2735" s="14">
        <v>549258</v>
      </c>
      <c r="B2735" s="14" t="s">
        <v>2855</v>
      </c>
      <c r="C2735" s="14" t="s">
        <v>13031</v>
      </c>
      <c r="D2735" s="15">
        <v>5.13</v>
      </c>
      <c r="E2735" s="16" t="s">
        <v>30</v>
      </c>
    </row>
    <row r="2736" spans="1:5" x14ac:dyDescent="0.25">
      <c r="A2736" s="14">
        <v>549261</v>
      </c>
      <c r="B2736" s="14" t="s">
        <v>2856</v>
      </c>
      <c r="C2736" s="14" t="s">
        <v>13031</v>
      </c>
      <c r="D2736" s="15">
        <v>6.82</v>
      </c>
      <c r="E2736" s="16" t="s">
        <v>30</v>
      </c>
    </row>
    <row r="2737" spans="1:5" x14ac:dyDescent="0.25">
      <c r="A2737" s="14">
        <v>550114</v>
      </c>
      <c r="B2737" s="14" t="s">
        <v>2857</v>
      </c>
      <c r="C2737" s="14" t="s">
        <v>13031</v>
      </c>
      <c r="D2737" s="15">
        <v>2.85</v>
      </c>
      <c r="E2737" s="16" t="s">
        <v>30</v>
      </c>
    </row>
    <row r="2738" spans="1:5" x14ac:dyDescent="0.25">
      <c r="A2738" s="14">
        <v>550125</v>
      </c>
      <c r="B2738" s="14" t="s">
        <v>2858</v>
      </c>
      <c r="C2738" s="14" t="s">
        <v>13029</v>
      </c>
      <c r="D2738" s="15">
        <v>16.100000000000001</v>
      </c>
      <c r="E2738" s="16" t="s">
        <v>30</v>
      </c>
    </row>
    <row r="2739" spans="1:5" x14ac:dyDescent="0.25">
      <c r="A2739" s="14">
        <v>550638</v>
      </c>
      <c r="B2739" s="14" t="s">
        <v>2859</v>
      </c>
      <c r="C2739" s="14" t="s">
        <v>13031</v>
      </c>
      <c r="D2739" s="15">
        <v>13.65</v>
      </c>
      <c r="E2739" s="16" t="s">
        <v>30</v>
      </c>
    </row>
    <row r="2740" spans="1:5" x14ac:dyDescent="0.25">
      <c r="A2740" s="14">
        <v>550799</v>
      </c>
      <c r="B2740" s="14" t="s">
        <v>2860</v>
      </c>
      <c r="C2740" s="14" t="s">
        <v>13031</v>
      </c>
      <c r="D2740" s="15">
        <v>10</v>
      </c>
      <c r="E2740" s="16" t="s">
        <v>30</v>
      </c>
    </row>
    <row r="2741" spans="1:5" x14ac:dyDescent="0.25">
      <c r="A2741" s="14">
        <v>550836</v>
      </c>
      <c r="B2741" s="14" t="s">
        <v>2861</v>
      </c>
      <c r="C2741" s="14" t="s">
        <v>13031</v>
      </c>
      <c r="D2741" s="15">
        <v>11</v>
      </c>
      <c r="E2741" s="16" t="s">
        <v>30</v>
      </c>
    </row>
    <row r="2742" spans="1:5" x14ac:dyDescent="0.25">
      <c r="A2742" s="14">
        <v>550884</v>
      </c>
      <c r="B2742" s="14" t="s">
        <v>2862</v>
      </c>
      <c r="C2742" s="14" t="s">
        <v>13031</v>
      </c>
      <c r="D2742" s="15">
        <v>11</v>
      </c>
      <c r="E2742" s="16" t="s">
        <v>30</v>
      </c>
    </row>
    <row r="2743" spans="1:5" x14ac:dyDescent="0.25">
      <c r="A2743" s="14">
        <v>550885</v>
      </c>
      <c r="B2743" s="14" t="s">
        <v>2863</v>
      </c>
      <c r="C2743" s="14" t="s">
        <v>13031</v>
      </c>
      <c r="D2743" s="15">
        <v>11</v>
      </c>
      <c r="E2743" s="16" t="s">
        <v>30</v>
      </c>
    </row>
    <row r="2744" spans="1:5" x14ac:dyDescent="0.25">
      <c r="A2744" s="14">
        <v>550886</v>
      </c>
      <c r="B2744" s="14" t="s">
        <v>2864</v>
      </c>
      <c r="C2744" s="14" t="s">
        <v>13031</v>
      </c>
      <c r="D2744" s="15">
        <v>11.34</v>
      </c>
      <c r="E2744" s="16" t="s">
        <v>30</v>
      </c>
    </row>
    <row r="2745" spans="1:5" x14ac:dyDescent="0.25">
      <c r="A2745" s="14">
        <v>550888</v>
      </c>
      <c r="B2745" s="14" t="s">
        <v>2865</v>
      </c>
      <c r="C2745" s="14" t="s">
        <v>13031</v>
      </c>
      <c r="D2745" s="15">
        <v>11.34</v>
      </c>
      <c r="E2745" s="16" t="s">
        <v>30</v>
      </c>
    </row>
    <row r="2746" spans="1:5" x14ac:dyDescent="0.25">
      <c r="A2746" s="14">
        <v>550890</v>
      </c>
      <c r="B2746" s="14" t="s">
        <v>2866</v>
      </c>
      <c r="C2746" s="14" t="s">
        <v>13031</v>
      </c>
      <c r="D2746" s="15">
        <v>11</v>
      </c>
      <c r="E2746" s="16" t="s">
        <v>30</v>
      </c>
    </row>
    <row r="2747" spans="1:5" x14ac:dyDescent="0.25">
      <c r="A2747" s="14">
        <v>552318</v>
      </c>
      <c r="B2747" s="14" t="s">
        <v>2867</v>
      </c>
      <c r="C2747" s="14" t="s">
        <v>13029</v>
      </c>
      <c r="D2747" s="15">
        <v>10.78</v>
      </c>
      <c r="E2747" s="16" t="s">
        <v>30</v>
      </c>
    </row>
    <row r="2748" spans="1:5" x14ac:dyDescent="0.25">
      <c r="A2748" s="14">
        <v>552319</v>
      </c>
      <c r="B2748" s="14" t="s">
        <v>2868</v>
      </c>
      <c r="C2748" s="14" t="s">
        <v>13029</v>
      </c>
      <c r="D2748" s="15">
        <v>11.24</v>
      </c>
      <c r="E2748" s="16" t="s">
        <v>30</v>
      </c>
    </row>
    <row r="2749" spans="1:5" x14ac:dyDescent="0.25">
      <c r="A2749" s="14">
        <v>552394</v>
      </c>
      <c r="B2749" s="14" t="s">
        <v>2869</v>
      </c>
      <c r="C2749" s="14" t="s">
        <v>13029</v>
      </c>
      <c r="D2749" s="15">
        <v>9.14</v>
      </c>
      <c r="E2749" s="16" t="s">
        <v>30</v>
      </c>
    </row>
    <row r="2750" spans="1:5" x14ac:dyDescent="0.25">
      <c r="A2750" s="14">
        <v>552396</v>
      </c>
      <c r="B2750" s="14" t="s">
        <v>2870</v>
      </c>
      <c r="C2750" s="14" t="s">
        <v>13030</v>
      </c>
      <c r="D2750" s="15">
        <v>2.77</v>
      </c>
      <c r="E2750" s="16" t="s">
        <v>30</v>
      </c>
    </row>
    <row r="2751" spans="1:5" x14ac:dyDescent="0.25">
      <c r="A2751" s="14">
        <v>554624</v>
      </c>
      <c r="B2751" s="14" t="s">
        <v>2871</v>
      </c>
      <c r="C2751" s="14" t="s">
        <v>13031</v>
      </c>
      <c r="D2751" s="15">
        <v>12.66</v>
      </c>
      <c r="E2751" s="16" t="s">
        <v>30</v>
      </c>
    </row>
    <row r="2752" spans="1:5" x14ac:dyDescent="0.25">
      <c r="A2752" s="14">
        <v>531745</v>
      </c>
      <c r="B2752" s="14" t="s">
        <v>2872</v>
      </c>
      <c r="C2752" s="14" t="s">
        <v>13031</v>
      </c>
      <c r="D2752" s="15">
        <v>18.399999999999999</v>
      </c>
      <c r="E2752" s="16" t="s">
        <v>20</v>
      </c>
    </row>
    <row r="2753" spans="1:5" x14ac:dyDescent="0.25">
      <c r="A2753" s="14">
        <v>556587</v>
      </c>
      <c r="B2753" s="14" t="s">
        <v>2873</v>
      </c>
      <c r="C2753" s="14" t="s">
        <v>13029</v>
      </c>
      <c r="D2753" s="15">
        <v>34.11</v>
      </c>
      <c r="E2753" s="16" t="s">
        <v>30</v>
      </c>
    </row>
    <row r="2754" spans="1:5" x14ac:dyDescent="0.25">
      <c r="A2754" s="14">
        <v>556588</v>
      </c>
      <c r="B2754" s="14" t="s">
        <v>2874</v>
      </c>
      <c r="C2754" s="14" t="s">
        <v>13029</v>
      </c>
      <c r="D2754" s="15">
        <v>34.11</v>
      </c>
      <c r="E2754" s="16" t="s">
        <v>30</v>
      </c>
    </row>
    <row r="2755" spans="1:5" x14ac:dyDescent="0.25">
      <c r="A2755" s="14">
        <v>556591</v>
      </c>
      <c r="B2755" s="14" t="s">
        <v>2875</v>
      </c>
      <c r="C2755" s="14" t="s">
        <v>13031</v>
      </c>
      <c r="D2755" s="15">
        <v>3.72</v>
      </c>
      <c r="E2755" s="16" t="s">
        <v>30</v>
      </c>
    </row>
    <row r="2756" spans="1:5" x14ac:dyDescent="0.25">
      <c r="A2756" s="14">
        <v>556592</v>
      </c>
      <c r="B2756" s="14" t="s">
        <v>2876</v>
      </c>
      <c r="C2756" s="14" t="s">
        <v>13031</v>
      </c>
      <c r="D2756" s="15">
        <v>3.72</v>
      </c>
      <c r="E2756" s="16" t="s">
        <v>30</v>
      </c>
    </row>
    <row r="2757" spans="1:5" x14ac:dyDescent="0.25">
      <c r="A2757" s="14">
        <v>556593</v>
      </c>
      <c r="B2757" s="14" t="s">
        <v>2877</v>
      </c>
      <c r="C2757" s="14" t="s">
        <v>13031</v>
      </c>
      <c r="D2757" s="15">
        <v>3.72</v>
      </c>
      <c r="E2757" s="16" t="s">
        <v>30</v>
      </c>
    </row>
    <row r="2758" spans="1:5" x14ac:dyDescent="0.25">
      <c r="A2758" s="14">
        <v>556594</v>
      </c>
      <c r="B2758" s="14" t="s">
        <v>2878</v>
      </c>
      <c r="C2758" s="14" t="s">
        <v>13031</v>
      </c>
      <c r="D2758" s="15">
        <v>3.72</v>
      </c>
      <c r="E2758" s="16" t="s">
        <v>30</v>
      </c>
    </row>
    <row r="2759" spans="1:5" x14ac:dyDescent="0.25">
      <c r="A2759" s="14">
        <v>556595</v>
      </c>
      <c r="B2759" s="14" t="s">
        <v>2879</v>
      </c>
      <c r="C2759" s="14" t="s">
        <v>13031</v>
      </c>
      <c r="D2759" s="15">
        <v>3.72</v>
      </c>
      <c r="E2759" s="16" t="s">
        <v>30</v>
      </c>
    </row>
    <row r="2760" spans="1:5" x14ac:dyDescent="0.25">
      <c r="A2760" s="14">
        <v>556596</v>
      </c>
      <c r="B2760" s="14" t="s">
        <v>2880</v>
      </c>
      <c r="C2760" s="14" t="s">
        <v>13031</v>
      </c>
      <c r="D2760" s="15">
        <v>5.25</v>
      </c>
      <c r="E2760" s="16" t="s">
        <v>30</v>
      </c>
    </row>
    <row r="2761" spans="1:5" x14ac:dyDescent="0.25">
      <c r="A2761" s="14">
        <v>556597</v>
      </c>
      <c r="B2761" s="14" t="s">
        <v>2881</v>
      </c>
      <c r="C2761" s="14" t="s">
        <v>13031</v>
      </c>
      <c r="D2761" s="15">
        <v>3.72</v>
      </c>
      <c r="E2761" s="16" t="s">
        <v>30</v>
      </c>
    </row>
    <row r="2762" spans="1:5" x14ac:dyDescent="0.25">
      <c r="A2762" s="14">
        <v>556598</v>
      </c>
      <c r="B2762" s="14" t="s">
        <v>2882</v>
      </c>
      <c r="C2762" s="14" t="s">
        <v>13031</v>
      </c>
      <c r="D2762" s="15">
        <v>5.5</v>
      </c>
      <c r="E2762" s="16" t="s">
        <v>30</v>
      </c>
    </row>
    <row r="2763" spans="1:5" x14ac:dyDescent="0.25">
      <c r="A2763" s="14">
        <v>556599</v>
      </c>
      <c r="B2763" s="14" t="s">
        <v>2883</v>
      </c>
      <c r="C2763" s="14" t="s">
        <v>13031</v>
      </c>
      <c r="D2763" s="15">
        <v>3.72</v>
      </c>
      <c r="E2763" s="16" t="s">
        <v>30</v>
      </c>
    </row>
    <row r="2764" spans="1:5" x14ac:dyDescent="0.25">
      <c r="A2764" s="14">
        <v>556600</v>
      </c>
      <c r="B2764" s="14" t="s">
        <v>2884</v>
      </c>
      <c r="C2764" s="14" t="s">
        <v>13031</v>
      </c>
      <c r="D2764" s="15">
        <v>5.55</v>
      </c>
      <c r="E2764" s="16" t="s">
        <v>30</v>
      </c>
    </row>
    <row r="2765" spans="1:5" x14ac:dyDescent="0.25">
      <c r="A2765" s="14">
        <v>557024</v>
      </c>
      <c r="B2765" s="14" t="s">
        <v>2885</v>
      </c>
      <c r="C2765" s="14" t="s">
        <v>13029</v>
      </c>
      <c r="D2765" s="15">
        <v>1.58</v>
      </c>
      <c r="E2765" s="16" t="s">
        <v>30</v>
      </c>
    </row>
    <row r="2766" spans="1:5" x14ac:dyDescent="0.25">
      <c r="A2766" s="14">
        <v>557025</v>
      </c>
      <c r="B2766" s="14" t="s">
        <v>2886</v>
      </c>
      <c r="C2766" s="14" t="s">
        <v>13029</v>
      </c>
      <c r="D2766" s="15">
        <v>13.07</v>
      </c>
      <c r="E2766" s="16" t="s">
        <v>30</v>
      </c>
    </row>
    <row r="2767" spans="1:5" x14ac:dyDescent="0.25">
      <c r="A2767" s="14">
        <v>557026</v>
      </c>
      <c r="B2767" s="14" t="s">
        <v>2887</v>
      </c>
      <c r="C2767" s="14" t="s">
        <v>13029</v>
      </c>
      <c r="D2767" s="15">
        <v>24.5</v>
      </c>
      <c r="E2767" s="16" t="s">
        <v>30</v>
      </c>
    </row>
    <row r="2768" spans="1:5" x14ac:dyDescent="0.25">
      <c r="A2768" s="14">
        <v>557071</v>
      </c>
      <c r="B2768" s="14" t="s">
        <v>2888</v>
      </c>
      <c r="C2768" s="14" t="s">
        <v>13030</v>
      </c>
      <c r="D2768" s="15">
        <v>70.260000000000005</v>
      </c>
      <c r="E2768" s="16" t="s">
        <v>30</v>
      </c>
    </row>
    <row r="2769" spans="1:5" x14ac:dyDescent="0.25">
      <c r="A2769" s="14">
        <v>557393</v>
      </c>
      <c r="B2769" s="14" t="s">
        <v>2889</v>
      </c>
      <c r="C2769" s="14" t="s">
        <v>13030</v>
      </c>
      <c r="D2769" s="15">
        <v>32.22</v>
      </c>
      <c r="E2769" s="16" t="s">
        <v>30</v>
      </c>
    </row>
    <row r="2770" spans="1:5" x14ac:dyDescent="0.25">
      <c r="A2770" s="14">
        <v>557456</v>
      </c>
      <c r="B2770" s="14" t="s">
        <v>2890</v>
      </c>
      <c r="C2770" s="14" t="s">
        <v>13030</v>
      </c>
      <c r="D2770" s="15">
        <v>32.22</v>
      </c>
      <c r="E2770" s="16" t="s">
        <v>30</v>
      </c>
    </row>
    <row r="2771" spans="1:5" x14ac:dyDescent="0.25">
      <c r="A2771" s="14">
        <v>557489</v>
      </c>
      <c r="B2771" s="14" t="s">
        <v>2891</v>
      </c>
      <c r="C2771" s="14" t="s">
        <v>13029</v>
      </c>
      <c r="D2771" s="15">
        <v>26.57</v>
      </c>
      <c r="E2771" s="16" t="s">
        <v>30</v>
      </c>
    </row>
    <row r="2772" spans="1:5" x14ac:dyDescent="0.25">
      <c r="A2772" s="14">
        <v>531747</v>
      </c>
      <c r="B2772" s="14" t="s">
        <v>2892</v>
      </c>
      <c r="C2772" s="14" t="s">
        <v>13031</v>
      </c>
      <c r="D2772" s="15">
        <v>7.92</v>
      </c>
      <c r="E2772" s="16" t="s">
        <v>20</v>
      </c>
    </row>
    <row r="2773" spans="1:5" x14ac:dyDescent="0.25">
      <c r="A2773" s="14">
        <v>531748</v>
      </c>
      <c r="B2773" s="14" t="s">
        <v>2893</v>
      </c>
      <c r="C2773" s="14" t="s">
        <v>13031</v>
      </c>
      <c r="D2773" s="15">
        <v>4.5</v>
      </c>
      <c r="E2773" s="16" t="s">
        <v>20</v>
      </c>
    </row>
    <row r="2774" spans="1:5" x14ac:dyDescent="0.25">
      <c r="A2774" s="14">
        <v>531749</v>
      </c>
      <c r="B2774" s="14" t="s">
        <v>2894</v>
      </c>
      <c r="C2774" s="14" t="s">
        <v>13031</v>
      </c>
      <c r="D2774" s="15">
        <v>7.7</v>
      </c>
      <c r="E2774" s="16" t="s">
        <v>20</v>
      </c>
    </row>
    <row r="2775" spans="1:5" x14ac:dyDescent="0.25">
      <c r="A2775" s="14">
        <v>531943</v>
      </c>
      <c r="B2775" s="14" t="s">
        <v>2895</v>
      </c>
      <c r="C2775" s="14" t="s">
        <v>13031</v>
      </c>
      <c r="D2775" s="15">
        <v>9.9499999999999993</v>
      </c>
      <c r="E2775" s="16" t="s">
        <v>20</v>
      </c>
    </row>
    <row r="2776" spans="1:5" x14ac:dyDescent="0.25">
      <c r="A2776" s="14">
        <v>557680</v>
      </c>
      <c r="B2776" s="14" t="s">
        <v>2896</v>
      </c>
      <c r="C2776" s="14" t="s">
        <v>13029</v>
      </c>
      <c r="D2776" s="15">
        <v>4.68</v>
      </c>
      <c r="E2776" s="16" t="s">
        <v>30</v>
      </c>
    </row>
    <row r="2777" spans="1:5" x14ac:dyDescent="0.25">
      <c r="A2777" s="14">
        <v>557681</v>
      </c>
      <c r="B2777" s="14" t="s">
        <v>2897</v>
      </c>
      <c r="C2777" s="14" t="s">
        <v>13029</v>
      </c>
      <c r="D2777" s="15">
        <v>4.26</v>
      </c>
      <c r="E2777" s="16" t="s">
        <v>30</v>
      </c>
    </row>
    <row r="2778" spans="1:5" x14ac:dyDescent="0.25">
      <c r="A2778" s="14">
        <v>557799</v>
      </c>
      <c r="B2778" s="14" t="s">
        <v>2898</v>
      </c>
      <c r="C2778" s="14" t="s">
        <v>13031</v>
      </c>
      <c r="D2778" s="15">
        <v>4.3499999999999996</v>
      </c>
      <c r="E2778" s="16" t="s">
        <v>30</v>
      </c>
    </row>
    <row r="2779" spans="1:5" x14ac:dyDescent="0.25">
      <c r="A2779" s="14">
        <v>557800</v>
      </c>
      <c r="B2779" s="14" t="s">
        <v>2899</v>
      </c>
      <c r="C2779" s="14" t="s">
        <v>13031</v>
      </c>
      <c r="D2779" s="15">
        <v>4.3499999999999996</v>
      </c>
      <c r="E2779" s="16" t="s">
        <v>30</v>
      </c>
    </row>
    <row r="2780" spans="1:5" x14ac:dyDescent="0.25">
      <c r="A2780" s="14">
        <v>557846</v>
      </c>
      <c r="B2780" s="14" t="s">
        <v>2900</v>
      </c>
      <c r="C2780" s="14" t="s">
        <v>13031</v>
      </c>
      <c r="D2780" s="15">
        <v>2.2999999999999998</v>
      </c>
      <c r="E2780" s="16" t="s">
        <v>30</v>
      </c>
    </row>
    <row r="2781" spans="1:5" x14ac:dyDescent="0.25">
      <c r="A2781" s="14">
        <v>557872</v>
      </c>
      <c r="B2781" s="14" t="s">
        <v>2901</v>
      </c>
      <c r="C2781" s="14" t="s">
        <v>13029</v>
      </c>
      <c r="D2781" s="15">
        <v>25</v>
      </c>
      <c r="E2781" s="16" t="s">
        <v>30</v>
      </c>
    </row>
    <row r="2782" spans="1:5" x14ac:dyDescent="0.25">
      <c r="A2782" s="14">
        <v>557873</v>
      </c>
      <c r="B2782" s="14" t="s">
        <v>2902</v>
      </c>
      <c r="C2782" s="14" t="s">
        <v>13029</v>
      </c>
      <c r="D2782" s="15">
        <v>19.45</v>
      </c>
      <c r="E2782" s="16" t="s">
        <v>30</v>
      </c>
    </row>
    <row r="2783" spans="1:5" x14ac:dyDescent="0.25">
      <c r="A2783" s="14">
        <v>557874</v>
      </c>
      <c r="B2783" s="14" t="s">
        <v>2903</v>
      </c>
      <c r="C2783" s="14" t="s">
        <v>13029</v>
      </c>
      <c r="D2783" s="15">
        <v>14.37</v>
      </c>
      <c r="E2783" s="16" t="s">
        <v>30</v>
      </c>
    </row>
    <row r="2784" spans="1:5" x14ac:dyDescent="0.25">
      <c r="A2784" s="14">
        <v>558089</v>
      </c>
      <c r="B2784" s="14" t="s">
        <v>2904</v>
      </c>
      <c r="C2784" s="14" t="s">
        <v>13031</v>
      </c>
      <c r="D2784" s="15">
        <v>10.62</v>
      </c>
      <c r="E2784" s="16" t="s">
        <v>30</v>
      </c>
    </row>
    <row r="2785" spans="1:5" x14ac:dyDescent="0.25">
      <c r="A2785" s="14">
        <v>558487</v>
      </c>
      <c r="B2785" s="14" t="s">
        <v>2905</v>
      </c>
      <c r="C2785" s="14" t="s">
        <v>13035</v>
      </c>
      <c r="D2785" s="15">
        <v>11.07</v>
      </c>
      <c r="E2785" s="16" t="s">
        <v>30</v>
      </c>
    </row>
    <row r="2786" spans="1:5" x14ac:dyDescent="0.25">
      <c r="A2786" s="14">
        <v>558488</v>
      </c>
      <c r="B2786" s="14" t="s">
        <v>2906</v>
      </c>
      <c r="C2786" s="14" t="s">
        <v>13035</v>
      </c>
      <c r="D2786" s="15">
        <v>11.07</v>
      </c>
      <c r="E2786" s="16" t="s">
        <v>30</v>
      </c>
    </row>
    <row r="2787" spans="1:5" x14ac:dyDescent="0.25">
      <c r="A2787" s="14">
        <v>558489</v>
      </c>
      <c r="B2787" s="14" t="s">
        <v>2907</v>
      </c>
      <c r="C2787" s="14" t="s">
        <v>13035</v>
      </c>
      <c r="D2787" s="15">
        <v>10.58</v>
      </c>
      <c r="E2787" s="16" t="s">
        <v>30</v>
      </c>
    </row>
    <row r="2788" spans="1:5" x14ac:dyDescent="0.25">
      <c r="A2788" s="14">
        <v>558490</v>
      </c>
      <c r="B2788" s="14" t="s">
        <v>2908</v>
      </c>
      <c r="C2788" s="14" t="s">
        <v>13035</v>
      </c>
      <c r="D2788" s="15">
        <v>10.58</v>
      </c>
      <c r="E2788" s="16" t="s">
        <v>30</v>
      </c>
    </row>
    <row r="2789" spans="1:5" x14ac:dyDescent="0.25">
      <c r="A2789" s="14">
        <v>558594</v>
      </c>
      <c r="B2789" s="14" t="s">
        <v>2909</v>
      </c>
      <c r="C2789" s="14" t="s">
        <v>13029</v>
      </c>
      <c r="D2789" s="15">
        <v>15.72</v>
      </c>
      <c r="E2789" s="16" t="s">
        <v>30</v>
      </c>
    </row>
    <row r="2790" spans="1:5" x14ac:dyDescent="0.25">
      <c r="A2790" s="14">
        <v>558595</v>
      </c>
      <c r="B2790" s="14" t="s">
        <v>2910</v>
      </c>
      <c r="C2790" s="14" t="s">
        <v>13029</v>
      </c>
      <c r="D2790" s="15">
        <v>14.83</v>
      </c>
      <c r="E2790" s="16" t="s">
        <v>30</v>
      </c>
    </row>
    <row r="2791" spans="1:5" x14ac:dyDescent="0.25">
      <c r="A2791" s="14">
        <v>558596</v>
      </c>
      <c r="B2791" s="14" t="s">
        <v>2911</v>
      </c>
      <c r="C2791" s="14" t="s">
        <v>13029</v>
      </c>
      <c r="D2791" s="15">
        <v>15.42</v>
      </c>
      <c r="E2791" s="16" t="s">
        <v>30</v>
      </c>
    </row>
    <row r="2792" spans="1:5" x14ac:dyDescent="0.25">
      <c r="A2792" s="14">
        <v>558597</v>
      </c>
      <c r="B2792" s="14" t="s">
        <v>2912</v>
      </c>
      <c r="C2792" s="14" t="s">
        <v>13029</v>
      </c>
      <c r="D2792" s="15">
        <v>15.72</v>
      </c>
      <c r="E2792" s="16" t="s">
        <v>30</v>
      </c>
    </row>
    <row r="2793" spans="1:5" x14ac:dyDescent="0.25">
      <c r="A2793" s="14">
        <v>558598</v>
      </c>
      <c r="B2793" s="14" t="s">
        <v>2913</v>
      </c>
      <c r="C2793" s="14" t="s">
        <v>13029</v>
      </c>
      <c r="D2793" s="15">
        <v>9.43</v>
      </c>
      <c r="E2793" s="16" t="s">
        <v>30</v>
      </c>
    </row>
    <row r="2794" spans="1:5" x14ac:dyDescent="0.25">
      <c r="A2794" s="14">
        <v>558601</v>
      </c>
      <c r="B2794" s="14" t="s">
        <v>2914</v>
      </c>
      <c r="C2794" s="14" t="s">
        <v>13029</v>
      </c>
      <c r="D2794" s="15">
        <v>9.43</v>
      </c>
      <c r="E2794" s="16" t="s">
        <v>30</v>
      </c>
    </row>
    <row r="2795" spans="1:5" x14ac:dyDescent="0.25">
      <c r="A2795" s="14">
        <v>558602</v>
      </c>
      <c r="B2795" s="14" t="s">
        <v>2915</v>
      </c>
      <c r="C2795" s="14" t="s">
        <v>13029</v>
      </c>
      <c r="D2795" s="15">
        <v>8.84</v>
      </c>
      <c r="E2795" s="16" t="s">
        <v>30</v>
      </c>
    </row>
    <row r="2796" spans="1:5" x14ac:dyDescent="0.25">
      <c r="A2796" s="14">
        <v>558603</v>
      </c>
      <c r="B2796" s="14" t="s">
        <v>2916</v>
      </c>
      <c r="C2796" s="14" t="s">
        <v>13029</v>
      </c>
      <c r="D2796" s="15">
        <v>9.43</v>
      </c>
      <c r="E2796" s="16" t="s">
        <v>30</v>
      </c>
    </row>
    <row r="2797" spans="1:5" x14ac:dyDescent="0.25">
      <c r="A2797" s="14">
        <v>558604</v>
      </c>
      <c r="B2797" s="14" t="s">
        <v>2917</v>
      </c>
      <c r="C2797" s="14" t="s">
        <v>13029</v>
      </c>
      <c r="D2797" s="15">
        <v>8.84</v>
      </c>
      <c r="E2797" s="16" t="s">
        <v>30</v>
      </c>
    </row>
    <row r="2798" spans="1:5" x14ac:dyDescent="0.25">
      <c r="A2798" s="14">
        <v>531946</v>
      </c>
      <c r="B2798" s="14" t="s">
        <v>2918</v>
      </c>
      <c r="C2798" s="14" t="s">
        <v>13031</v>
      </c>
      <c r="D2798" s="15">
        <v>8.89</v>
      </c>
      <c r="E2798" s="16" t="s">
        <v>20</v>
      </c>
    </row>
    <row r="2799" spans="1:5" x14ac:dyDescent="0.25">
      <c r="A2799" s="14">
        <v>531947</v>
      </c>
      <c r="B2799" s="14" t="s">
        <v>2919</v>
      </c>
      <c r="C2799" s="14" t="s">
        <v>13031</v>
      </c>
      <c r="D2799" s="15">
        <v>10.99</v>
      </c>
      <c r="E2799" s="16" t="s">
        <v>20</v>
      </c>
    </row>
    <row r="2800" spans="1:5" x14ac:dyDescent="0.25">
      <c r="A2800" s="14">
        <v>558605</v>
      </c>
      <c r="B2800" s="14" t="s">
        <v>2920</v>
      </c>
      <c r="C2800" s="14" t="s">
        <v>13029</v>
      </c>
      <c r="D2800" s="15">
        <v>15.72</v>
      </c>
      <c r="E2800" s="16" t="s">
        <v>30</v>
      </c>
    </row>
    <row r="2801" spans="1:5" x14ac:dyDescent="0.25">
      <c r="A2801" s="14">
        <v>558607</v>
      </c>
      <c r="B2801" s="14" t="s">
        <v>2921</v>
      </c>
      <c r="C2801" s="14" t="s">
        <v>13029</v>
      </c>
      <c r="D2801" s="15">
        <v>9.43</v>
      </c>
      <c r="E2801" s="16" t="s">
        <v>30</v>
      </c>
    </row>
    <row r="2802" spans="1:5" x14ac:dyDescent="0.25">
      <c r="A2802" s="14">
        <v>558608</v>
      </c>
      <c r="B2802" s="14" t="s">
        <v>2922</v>
      </c>
      <c r="C2802" s="14" t="s">
        <v>13029</v>
      </c>
      <c r="D2802" s="15">
        <v>16.61</v>
      </c>
      <c r="E2802" s="16" t="s">
        <v>30</v>
      </c>
    </row>
    <row r="2803" spans="1:5" x14ac:dyDescent="0.25">
      <c r="A2803" s="14">
        <v>558668</v>
      </c>
      <c r="B2803" s="14" t="s">
        <v>2923</v>
      </c>
      <c r="C2803" s="14" t="s">
        <v>13029</v>
      </c>
      <c r="D2803" s="15">
        <v>26.66</v>
      </c>
      <c r="E2803" s="16" t="s">
        <v>30</v>
      </c>
    </row>
    <row r="2804" spans="1:5" x14ac:dyDescent="0.25">
      <c r="A2804" s="14">
        <v>558673</v>
      </c>
      <c r="B2804" s="14" t="s">
        <v>2924</v>
      </c>
      <c r="C2804" s="14" t="s">
        <v>13030</v>
      </c>
      <c r="D2804" s="15">
        <v>42.16</v>
      </c>
      <c r="E2804" s="16" t="s">
        <v>30</v>
      </c>
    </row>
    <row r="2805" spans="1:5" x14ac:dyDescent="0.25">
      <c r="A2805" s="14">
        <v>558714</v>
      </c>
      <c r="B2805" s="14" t="s">
        <v>2925</v>
      </c>
      <c r="C2805" s="14" t="s">
        <v>13030</v>
      </c>
      <c r="D2805" s="15">
        <v>14.49</v>
      </c>
      <c r="E2805" s="16" t="s">
        <v>30</v>
      </c>
    </row>
    <row r="2806" spans="1:5" x14ac:dyDescent="0.25">
      <c r="A2806" s="14">
        <v>558776</v>
      </c>
      <c r="B2806" s="14" t="s">
        <v>2926</v>
      </c>
      <c r="C2806" s="14" t="s">
        <v>13031</v>
      </c>
      <c r="D2806" s="15">
        <v>27.38</v>
      </c>
      <c r="E2806" s="16" t="s">
        <v>30</v>
      </c>
    </row>
    <row r="2807" spans="1:5" x14ac:dyDescent="0.25">
      <c r="A2807" s="14">
        <v>558777</v>
      </c>
      <c r="B2807" s="14" t="s">
        <v>2927</v>
      </c>
      <c r="C2807" s="14" t="s">
        <v>13031</v>
      </c>
      <c r="D2807" s="15">
        <v>0.38</v>
      </c>
      <c r="E2807" s="16" t="s">
        <v>30</v>
      </c>
    </row>
    <row r="2808" spans="1:5" x14ac:dyDescent="0.25">
      <c r="A2808" s="14">
        <v>558780</v>
      </c>
      <c r="B2808" s="14" t="s">
        <v>2928</v>
      </c>
      <c r="C2808" s="14" t="s">
        <v>13031</v>
      </c>
      <c r="D2808" s="15">
        <v>3.81</v>
      </c>
      <c r="E2808" s="16" t="s">
        <v>30</v>
      </c>
    </row>
    <row r="2809" spans="1:5" x14ac:dyDescent="0.25">
      <c r="A2809" s="14">
        <v>558781</v>
      </c>
      <c r="B2809" s="14" t="s">
        <v>2929</v>
      </c>
      <c r="C2809" s="14" t="s">
        <v>13030</v>
      </c>
      <c r="D2809" s="15">
        <v>24.34</v>
      </c>
      <c r="E2809" s="16" t="s">
        <v>30</v>
      </c>
    </row>
    <row r="2810" spans="1:5" x14ac:dyDescent="0.25">
      <c r="A2810" s="14">
        <v>558900</v>
      </c>
      <c r="B2810" s="14" t="s">
        <v>2930</v>
      </c>
      <c r="C2810" s="14" t="s">
        <v>13029</v>
      </c>
      <c r="D2810" s="15">
        <v>10.1</v>
      </c>
      <c r="E2810" s="16" t="s">
        <v>30</v>
      </c>
    </row>
    <row r="2811" spans="1:5" x14ac:dyDescent="0.25">
      <c r="A2811" s="14">
        <v>558902</v>
      </c>
      <c r="B2811" s="14" t="s">
        <v>2931</v>
      </c>
      <c r="C2811" s="14" t="s">
        <v>13029</v>
      </c>
      <c r="D2811" s="15">
        <v>6.71</v>
      </c>
      <c r="E2811" s="16" t="s">
        <v>30</v>
      </c>
    </row>
    <row r="2812" spans="1:5" x14ac:dyDescent="0.25">
      <c r="A2812" s="14">
        <v>558987</v>
      </c>
      <c r="B2812" s="14" t="s">
        <v>2932</v>
      </c>
      <c r="C2812" s="14" t="s">
        <v>13033</v>
      </c>
      <c r="D2812" s="15">
        <v>2.14</v>
      </c>
      <c r="E2812" s="16" t="s">
        <v>30</v>
      </c>
    </row>
    <row r="2813" spans="1:5" x14ac:dyDescent="0.25">
      <c r="A2813" s="14">
        <v>559212</v>
      </c>
      <c r="B2813" s="14" t="s">
        <v>2933</v>
      </c>
      <c r="C2813" s="14" t="s">
        <v>13029</v>
      </c>
      <c r="D2813" s="15">
        <v>11.69</v>
      </c>
      <c r="E2813" s="16" t="s">
        <v>30</v>
      </c>
    </row>
    <row r="2814" spans="1:5" x14ac:dyDescent="0.25">
      <c r="A2814" s="14">
        <v>559219</v>
      </c>
      <c r="B2814" s="14" t="s">
        <v>2934</v>
      </c>
      <c r="C2814" s="14" t="s">
        <v>13029</v>
      </c>
      <c r="D2814" s="15">
        <v>11.69</v>
      </c>
      <c r="E2814" s="16" t="s">
        <v>30</v>
      </c>
    </row>
    <row r="2815" spans="1:5" x14ac:dyDescent="0.25">
      <c r="A2815" s="14">
        <v>559234</v>
      </c>
      <c r="B2815" s="14" t="s">
        <v>2935</v>
      </c>
      <c r="C2815" s="14" t="s">
        <v>13029</v>
      </c>
      <c r="D2815" s="15">
        <v>14.73</v>
      </c>
      <c r="E2815" s="16" t="s">
        <v>30</v>
      </c>
    </row>
    <row r="2816" spans="1:5" x14ac:dyDescent="0.25">
      <c r="A2816" s="14">
        <v>559566</v>
      </c>
      <c r="B2816" s="14" t="s">
        <v>2936</v>
      </c>
      <c r="C2816" s="14" t="s">
        <v>13030</v>
      </c>
      <c r="D2816" s="15">
        <v>49.92</v>
      </c>
      <c r="E2816" s="16" t="s">
        <v>30</v>
      </c>
    </row>
    <row r="2817" spans="1:5" x14ac:dyDescent="0.25">
      <c r="A2817" s="14">
        <v>559567</v>
      </c>
      <c r="B2817" s="14" t="s">
        <v>2937</v>
      </c>
      <c r="C2817" s="14" t="s">
        <v>13030</v>
      </c>
      <c r="D2817" s="15">
        <v>34.799999999999997</v>
      </c>
      <c r="E2817" s="16" t="s">
        <v>30</v>
      </c>
    </row>
    <row r="2818" spans="1:5" x14ac:dyDescent="0.25">
      <c r="A2818" s="14">
        <v>560189</v>
      </c>
      <c r="B2818" s="14" t="s">
        <v>2938</v>
      </c>
      <c r="C2818" s="14" t="s">
        <v>13030</v>
      </c>
      <c r="D2818" s="15">
        <v>28.12</v>
      </c>
      <c r="E2818" s="14" t="s">
        <v>30</v>
      </c>
    </row>
    <row r="2819" spans="1:5" x14ac:dyDescent="0.25">
      <c r="A2819" s="14">
        <v>560331</v>
      </c>
      <c r="B2819" s="14" t="s">
        <v>2939</v>
      </c>
      <c r="C2819" s="14" t="s">
        <v>13029</v>
      </c>
      <c r="D2819" s="15">
        <v>20.76</v>
      </c>
      <c r="E2819" s="16" t="s">
        <v>30</v>
      </c>
    </row>
    <row r="2820" spans="1:5" x14ac:dyDescent="0.25">
      <c r="A2820" s="14">
        <v>560332</v>
      </c>
      <c r="B2820" s="14" t="s">
        <v>2940</v>
      </c>
      <c r="C2820" s="14" t="s">
        <v>13029</v>
      </c>
      <c r="D2820" s="15">
        <v>17.14</v>
      </c>
      <c r="E2820" s="16" t="s">
        <v>30</v>
      </c>
    </row>
    <row r="2821" spans="1:5" x14ac:dyDescent="0.25">
      <c r="A2821" s="14">
        <v>560333</v>
      </c>
      <c r="B2821" s="14" t="s">
        <v>2941</v>
      </c>
      <c r="C2821" s="14" t="s">
        <v>13029</v>
      </c>
      <c r="D2821" s="15">
        <v>17.14</v>
      </c>
      <c r="E2821" s="16" t="s">
        <v>30</v>
      </c>
    </row>
    <row r="2822" spans="1:5" x14ac:dyDescent="0.25">
      <c r="A2822" s="14">
        <v>560334</v>
      </c>
      <c r="B2822" s="14" t="s">
        <v>2942</v>
      </c>
      <c r="C2822" s="14" t="s">
        <v>13029</v>
      </c>
      <c r="D2822" s="15">
        <v>26.1</v>
      </c>
      <c r="E2822" s="16" t="s">
        <v>30</v>
      </c>
    </row>
    <row r="2823" spans="1:5" x14ac:dyDescent="0.25">
      <c r="A2823" s="14">
        <v>560455</v>
      </c>
      <c r="B2823" s="14" t="s">
        <v>2943</v>
      </c>
      <c r="C2823" s="14" t="s">
        <v>13030</v>
      </c>
      <c r="D2823" s="15">
        <v>14.53</v>
      </c>
      <c r="E2823" s="16" t="s">
        <v>30</v>
      </c>
    </row>
    <row r="2824" spans="1:5" x14ac:dyDescent="0.25">
      <c r="A2824" s="14">
        <v>560456</v>
      </c>
      <c r="B2824" s="14" t="s">
        <v>2944</v>
      </c>
      <c r="C2824" s="14" t="s">
        <v>13030</v>
      </c>
      <c r="D2824" s="15">
        <v>14.53</v>
      </c>
      <c r="E2824" s="16" t="s">
        <v>30</v>
      </c>
    </row>
    <row r="2825" spans="1:5" x14ac:dyDescent="0.25">
      <c r="A2825" s="14">
        <v>560652</v>
      </c>
      <c r="B2825" s="14" t="s">
        <v>2945</v>
      </c>
      <c r="C2825" s="14" t="s">
        <v>13030</v>
      </c>
      <c r="D2825" s="15">
        <v>24.66</v>
      </c>
      <c r="E2825" s="16" t="s">
        <v>30</v>
      </c>
    </row>
    <row r="2826" spans="1:5" x14ac:dyDescent="0.25">
      <c r="A2826" s="14">
        <v>560653</v>
      </c>
      <c r="B2826" s="14" t="s">
        <v>2946</v>
      </c>
      <c r="C2826" s="14" t="s">
        <v>13030</v>
      </c>
      <c r="D2826" s="15">
        <v>39.15</v>
      </c>
      <c r="E2826" s="16" t="s">
        <v>30</v>
      </c>
    </row>
    <row r="2827" spans="1:5" x14ac:dyDescent="0.25">
      <c r="A2827" s="14">
        <v>560656</v>
      </c>
      <c r="B2827" s="14" t="s">
        <v>2947</v>
      </c>
      <c r="C2827" s="14" t="s">
        <v>13030</v>
      </c>
      <c r="D2827" s="15">
        <v>72.7</v>
      </c>
      <c r="E2827" s="16" t="s">
        <v>30</v>
      </c>
    </row>
    <row r="2828" spans="1:5" x14ac:dyDescent="0.25">
      <c r="A2828" s="14">
        <v>560658</v>
      </c>
      <c r="B2828" s="14" t="s">
        <v>2948</v>
      </c>
      <c r="C2828" s="14" t="s">
        <v>13030</v>
      </c>
      <c r="D2828" s="15">
        <v>58.13</v>
      </c>
      <c r="E2828" s="16" t="s">
        <v>30</v>
      </c>
    </row>
    <row r="2829" spans="1:5" x14ac:dyDescent="0.25">
      <c r="A2829" s="14">
        <v>560659</v>
      </c>
      <c r="B2829" s="14" t="s">
        <v>2949</v>
      </c>
      <c r="C2829" s="14" t="s">
        <v>13030</v>
      </c>
      <c r="D2829" s="15">
        <v>58.13</v>
      </c>
      <c r="E2829" s="16" t="s">
        <v>30</v>
      </c>
    </row>
    <row r="2830" spans="1:5" x14ac:dyDescent="0.25">
      <c r="A2830" s="14">
        <v>560660</v>
      </c>
      <c r="B2830" s="14" t="s">
        <v>2950</v>
      </c>
      <c r="C2830" s="14" t="s">
        <v>13030</v>
      </c>
      <c r="D2830" s="15">
        <v>58.13</v>
      </c>
      <c r="E2830" s="16" t="s">
        <v>30</v>
      </c>
    </row>
    <row r="2831" spans="1:5" x14ac:dyDescent="0.25">
      <c r="A2831" s="14">
        <v>560725</v>
      </c>
      <c r="B2831" s="14" t="s">
        <v>2951</v>
      </c>
      <c r="C2831" s="14" t="s">
        <v>13031</v>
      </c>
      <c r="D2831" s="15">
        <v>14.96</v>
      </c>
      <c r="E2831" s="16" t="s">
        <v>30</v>
      </c>
    </row>
    <row r="2832" spans="1:5" x14ac:dyDescent="0.25">
      <c r="A2832" s="14">
        <v>560729</v>
      </c>
      <c r="B2832" s="14" t="s">
        <v>2952</v>
      </c>
      <c r="C2832" s="14" t="s">
        <v>13036</v>
      </c>
      <c r="D2832" s="15">
        <v>3.69</v>
      </c>
      <c r="E2832" s="16" t="s">
        <v>30</v>
      </c>
    </row>
    <row r="2833" spans="1:5" x14ac:dyDescent="0.25">
      <c r="A2833" s="14">
        <v>560741</v>
      </c>
      <c r="B2833" s="14" t="s">
        <v>2953</v>
      </c>
      <c r="C2833" s="14" t="s">
        <v>13029</v>
      </c>
      <c r="D2833" s="15">
        <v>8.6</v>
      </c>
      <c r="E2833" s="16" t="s">
        <v>30</v>
      </c>
    </row>
    <row r="2834" spans="1:5" x14ac:dyDescent="0.25">
      <c r="A2834" s="14">
        <v>560862</v>
      </c>
      <c r="B2834" s="14" t="s">
        <v>2954</v>
      </c>
      <c r="C2834" s="14" t="s">
        <v>13030</v>
      </c>
      <c r="D2834" s="15">
        <v>52.05</v>
      </c>
      <c r="E2834" s="16" t="s">
        <v>30</v>
      </c>
    </row>
    <row r="2835" spans="1:5" x14ac:dyDescent="0.25">
      <c r="A2835" s="14">
        <v>560913</v>
      </c>
      <c r="B2835" s="14" t="s">
        <v>72</v>
      </c>
      <c r="C2835" s="14" t="s">
        <v>13030</v>
      </c>
      <c r="D2835" s="15">
        <v>25.14</v>
      </c>
      <c r="E2835" s="16" t="s">
        <v>30</v>
      </c>
    </row>
    <row r="2836" spans="1:5" x14ac:dyDescent="0.25">
      <c r="A2836" s="14">
        <v>560962</v>
      </c>
      <c r="B2836" s="14" t="s">
        <v>2955</v>
      </c>
      <c r="C2836" s="14" t="s">
        <v>13029</v>
      </c>
      <c r="D2836" s="15">
        <v>13.62</v>
      </c>
      <c r="E2836" s="16" t="s">
        <v>30</v>
      </c>
    </row>
    <row r="2837" spans="1:5" x14ac:dyDescent="0.25">
      <c r="A2837" s="14">
        <v>561043</v>
      </c>
      <c r="B2837" s="14" t="s">
        <v>2956</v>
      </c>
      <c r="C2837" s="14" t="s">
        <v>13033</v>
      </c>
      <c r="D2837" s="15">
        <v>1.39</v>
      </c>
      <c r="E2837" s="16" t="s">
        <v>30</v>
      </c>
    </row>
    <row r="2838" spans="1:5" x14ac:dyDescent="0.25">
      <c r="A2838" s="14">
        <v>561047</v>
      </c>
      <c r="B2838" s="14" t="s">
        <v>2957</v>
      </c>
      <c r="C2838" s="14" t="s">
        <v>13033</v>
      </c>
      <c r="D2838" s="15">
        <v>1.39</v>
      </c>
      <c r="E2838" s="16" t="s">
        <v>30</v>
      </c>
    </row>
    <row r="2839" spans="1:5" x14ac:dyDescent="0.25">
      <c r="A2839" s="14">
        <v>561049</v>
      </c>
      <c r="B2839" s="14" t="s">
        <v>2958</v>
      </c>
      <c r="C2839" s="14" t="s">
        <v>13033</v>
      </c>
      <c r="D2839" s="15">
        <v>1.39</v>
      </c>
      <c r="E2839" s="16" t="s">
        <v>30</v>
      </c>
    </row>
    <row r="2840" spans="1:5" x14ac:dyDescent="0.25">
      <c r="A2840" s="14">
        <v>561051</v>
      </c>
      <c r="B2840" s="14" t="s">
        <v>2959</v>
      </c>
      <c r="C2840" s="14" t="s">
        <v>13033</v>
      </c>
      <c r="D2840" s="15">
        <v>1.39</v>
      </c>
      <c r="E2840" s="16" t="s">
        <v>30</v>
      </c>
    </row>
    <row r="2841" spans="1:5" x14ac:dyDescent="0.25">
      <c r="A2841" s="14">
        <v>561313</v>
      </c>
      <c r="B2841" s="14" t="s">
        <v>2960</v>
      </c>
      <c r="C2841" s="14" t="s">
        <v>13031</v>
      </c>
      <c r="D2841" s="15">
        <v>16.66</v>
      </c>
      <c r="E2841" s="16" t="s">
        <v>30</v>
      </c>
    </row>
    <row r="2842" spans="1:5" x14ac:dyDescent="0.25">
      <c r="A2842" s="14">
        <v>561316</v>
      </c>
      <c r="B2842" s="14" t="s">
        <v>2961</v>
      </c>
      <c r="C2842" s="14" t="s">
        <v>13029</v>
      </c>
      <c r="D2842" s="15">
        <v>2.31</v>
      </c>
      <c r="E2842" s="16" t="s">
        <v>30</v>
      </c>
    </row>
    <row r="2843" spans="1:5" x14ac:dyDescent="0.25">
      <c r="A2843" s="14">
        <v>561317</v>
      </c>
      <c r="B2843" s="14" t="s">
        <v>2962</v>
      </c>
      <c r="C2843" s="14" t="s">
        <v>13029</v>
      </c>
      <c r="D2843" s="15">
        <v>3.69</v>
      </c>
      <c r="E2843" s="16" t="s">
        <v>30</v>
      </c>
    </row>
    <row r="2844" spans="1:5" x14ac:dyDescent="0.25">
      <c r="A2844" s="14">
        <v>561318</v>
      </c>
      <c r="B2844" s="14" t="s">
        <v>2963</v>
      </c>
      <c r="C2844" s="14" t="s">
        <v>13029</v>
      </c>
      <c r="D2844" s="15">
        <v>12.6</v>
      </c>
      <c r="E2844" s="16" t="s">
        <v>30</v>
      </c>
    </row>
    <row r="2845" spans="1:5" x14ac:dyDescent="0.25">
      <c r="A2845" s="14">
        <v>562302</v>
      </c>
      <c r="B2845" s="14" t="s">
        <v>2964</v>
      </c>
      <c r="C2845" s="14" t="s">
        <v>13029</v>
      </c>
      <c r="D2845" s="15">
        <v>3.8</v>
      </c>
      <c r="E2845" s="16" t="s">
        <v>30</v>
      </c>
    </row>
    <row r="2846" spans="1:5" x14ac:dyDescent="0.25">
      <c r="A2846" s="14">
        <v>531948</v>
      </c>
      <c r="B2846" s="14" t="s">
        <v>2965</v>
      </c>
      <c r="C2846" s="14" t="s">
        <v>13031</v>
      </c>
      <c r="D2846" s="15">
        <v>10.31</v>
      </c>
      <c r="E2846" s="16" t="s">
        <v>20</v>
      </c>
    </row>
    <row r="2847" spans="1:5" x14ac:dyDescent="0.25">
      <c r="A2847" s="14">
        <v>531949</v>
      </c>
      <c r="B2847" s="14" t="s">
        <v>2966</v>
      </c>
      <c r="C2847" s="14" t="s">
        <v>13031</v>
      </c>
      <c r="D2847" s="15">
        <v>10.1</v>
      </c>
      <c r="E2847" s="16" t="s">
        <v>20</v>
      </c>
    </row>
    <row r="2848" spans="1:5" x14ac:dyDescent="0.25">
      <c r="A2848" s="14">
        <v>562303</v>
      </c>
      <c r="B2848" s="14" t="s">
        <v>2967</v>
      </c>
      <c r="C2848" s="14" t="s">
        <v>13029</v>
      </c>
      <c r="D2848" s="15">
        <v>7.35</v>
      </c>
      <c r="E2848" s="16" t="s">
        <v>30</v>
      </c>
    </row>
    <row r="2849" spans="1:5" x14ac:dyDescent="0.25">
      <c r="A2849" s="14">
        <v>535952</v>
      </c>
      <c r="B2849" s="14" t="s">
        <v>2968</v>
      </c>
      <c r="C2849" s="14" t="s">
        <v>13031</v>
      </c>
      <c r="D2849" s="15">
        <v>6.25</v>
      </c>
      <c r="E2849" s="16" t="s">
        <v>20</v>
      </c>
    </row>
    <row r="2850" spans="1:5" x14ac:dyDescent="0.25">
      <c r="A2850" s="14">
        <v>562304</v>
      </c>
      <c r="B2850" s="14" t="s">
        <v>2969</v>
      </c>
      <c r="C2850" s="14" t="s">
        <v>13029</v>
      </c>
      <c r="D2850" s="15">
        <v>5.95</v>
      </c>
      <c r="E2850" s="16" t="s">
        <v>30</v>
      </c>
    </row>
    <row r="2851" spans="1:5" x14ac:dyDescent="0.25">
      <c r="A2851" s="14">
        <v>562305</v>
      </c>
      <c r="B2851" s="14" t="s">
        <v>2970</v>
      </c>
      <c r="C2851" s="14" t="s">
        <v>13029</v>
      </c>
      <c r="D2851" s="15">
        <v>3.95</v>
      </c>
      <c r="E2851" s="16" t="s">
        <v>30</v>
      </c>
    </row>
    <row r="2852" spans="1:5" x14ac:dyDescent="0.25">
      <c r="A2852" s="14">
        <v>536866</v>
      </c>
      <c r="B2852" s="14" t="s">
        <v>2971</v>
      </c>
      <c r="C2852" s="14" t="s">
        <v>13031</v>
      </c>
      <c r="D2852" s="15">
        <v>3.05</v>
      </c>
      <c r="E2852" s="16" t="s">
        <v>20</v>
      </c>
    </row>
    <row r="2853" spans="1:5" x14ac:dyDescent="0.25">
      <c r="A2853" s="14">
        <v>562306</v>
      </c>
      <c r="B2853" s="14" t="s">
        <v>2972</v>
      </c>
      <c r="C2853" s="14" t="s">
        <v>13029</v>
      </c>
      <c r="D2853" s="15">
        <v>4.3499999999999996</v>
      </c>
      <c r="E2853" s="16" t="s">
        <v>30</v>
      </c>
    </row>
    <row r="2854" spans="1:5" x14ac:dyDescent="0.25">
      <c r="A2854" s="14">
        <v>562307</v>
      </c>
      <c r="B2854" s="14" t="s">
        <v>2973</v>
      </c>
      <c r="C2854" s="14" t="s">
        <v>13029</v>
      </c>
      <c r="D2854" s="15">
        <v>8.75</v>
      </c>
      <c r="E2854" s="16" t="s">
        <v>30</v>
      </c>
    </row>
    <row r="2855" spans="1:5" x14ac:dyDescent="0.25">
      <c r="A2855" s="14">
        <v>562308</v>
      </c>
      <c r="B2855" s="14" t="s">
        <v>2974</v>
      </c>
      <c r="C2855" s="14" t="s">
        <v>13029</v>
      </c>
      <c r="D2855" s="15">
        <v>5.0999999999999996</v>
      </c>
      <c r="E2855" s="16" t="s">
        <v>30</v>
      </c>
    </row>
    <row r="2856" spans="1:5" x14ac:dyDescent="0.25">
      <c r="A2856" s="14">
        <v>562470</v>
      </c>
      <c r="B2856" s="14" t="s">
        <v>2975</v>
      </c>
      <c r="C2856" s="14" t="s">
        <v>13030</v>
      </c>
      <c r="D2856" s="15">
        <v>110.17</v>
      </c>
      <c r="E2856" s="16" t="s">
        <v>30</v>
      </c>
    </row>
    <row r="2857" spans="1:5" x14ac:dyDescent="0.25">
      <c r="A2857" s="14">
        <v>562471</v>
      </c>
      <c r="B2857" s="14" t="s">
        <v>2976</v>
      </c>
      <c r="C2857" s="14" t="s">
        <v>13030</v>
      </c>
      <c r="D2857" s="15">
        <v>262.70999999999998</v>
      </c>
      <c r="E2857" s="16" t="s">
        <v>30</v>
      </c>
    </row>
    <row r="2858" spans="1:5" x14ac:dyDescent="0.25">
      <c r="A2858" s="14">
        <v>562587</v>
      </c>
      <c r="B2858" s="14" t="s">
        <v>2977</v>
      </c>
      <c r="C2858" s="14" t="s">
        <v>13029</v>
      </c>
      <c r="D2858" s="15">
        <v>29.86</v>
      </c>
      <c r="E2858" s="16" t="s">
        <v>30</v>
      </c>
    </row>
    <row r="2859" spans="1:5" x14ac:dyDescent="0.25">
      <c r="A2859" s="14">
        <v>562588</v>
      </c>
      <c r="B2859" s="14" t="s">
        <v>2978</v>
      </c>
      <c r="C2859" s="14" t="s">
        <v>13029</v>
      </c>
      <c r="D2859" s="15">
        <v>33.270000000000003</v>
      </c>
      <c r="E2859" s="16" t="s">
        <v>30</v>
      </c>
    </row>
    <row r="2860" spans="1:5" x14ac:dyDescent="0.25">
      <c r="A2860" s="14">
        <v>562882</v>
      </c>
      <c r="B2860" s="14" t="s">
        <v>2979</v>
      </c>
      <c r="C2860" s="14" t="s">
        <v>13030</v>
      </c>
      <c r="D2860" s="15">
        <v>1.36</v>
      </c>
      <c r="E2860" s="16" t="s">
        <v>30</v>
      </c>
    </row>
    <row r="2861" spans="1:5" x14ac:dyDescent="0.25">
      <c r="A2861" s="14">
        <v>562898</v>
      </c>
      <c r="B2861" s="14" t="s">
        <v>2980</v>
      </c>
      <c r="C2861" s="14" t="s">
        <v>13029</v>
      </c>
      <c r="D2861" s="15">
        <v>20.88</v>
      </c>
      <c r="E2861" s="16" t="s">
        <v>30</v>
      </c>
    </row>
    <row r="2862" spans="1:5" x14ac:dyDescent="0.25">
      <c r="A2862" s="14">
        <v>562900</v>
      </c>
      <c r="B2862" s="14" t="s">
        <v>2981</v>
      </c>
      <c r="C2862" s="14" t="s">
        <v>13031</v>
      </c>
      <c r="D2862" s="15">
        <v>21.89</v>
      </c>
      <c r="E2862" s="16" t="s">
        <v>30</v>
      </c>
    </row>
    <row r="2863" spans="1:5" x14ac:dyDescent="0.25">
      <c r="A2863" s="14">
        <v>563177</v>
      </c>
      <c r="B2863" s="14" t="s">
        <v>2982</v>
      </c>
      <c r="C2863" s="14" t="s">
        <v>13029</v>
      </c>
      <c r="D2863" s="15">
        <v>7.02</v>
      </c>
      <c r="E2863" s="16" t="s">
        <v>30</v>
      </c>
    </row>
    <row r="2864" spans="1:5" x14ac:dyDescent="0.25">
      <c r="A2864" s="14">
        <v>563180</v>
      </c>
      <c r="B2864" s="14" t="s">
        <v>2983</v>
      </c>
      <c r="C2864" s="14" t="s">
        <v>13031</v>
      </c>
      <c r="D2864" s="15">
        <v>9.27</v>
      </c>
      <c r="E2864" s="16" t="s">
        <v>30</v>
      </c>
    </row>
    <row r="2865" spans="1:5" x14ac:dyDescent="0.25">
      <c r="A2865" s="14">
        <v>563181</v>
      </c>
      <c r="B2865" s="14" t="s">
        <v>2984</v>
      </c>
      <c r="C2865" s="14" t="s">
        <v>13031</v>
      </c>
      <c r="D2865" s="15">
        <v>9.59</v>
      </c>
      <c r="E2865" s="16" t="s">
        <v>30</v>
      </c>
    </row>
    <row r="2866" spans="1:5" x14ac:dyDescent="0.25">
      <c r="A2866" s="14">
        <v>563182</v>
      </c>
      <c r="B2866" s="14" t="s">
        <v>2985</v>
      </c>
      <c r="C2866" s="14" t="s">
        <v>13031</v>
      </c>
      <c r="D2866" s="15">
        <v>9.27</v>
      </c>
      <c r="E2866" s="16" t="s">
        <v>30</v>
      </c>
    </row>
    <row r="2867" spans="1:5" x14ac:dyDescent="0.25">
      <c r="A2867" s="14">
        <v>563184</v>
      </c>
      <c r="B2867" s="14" t="s">
        <v>2986</v>
      </c>
      <c r="C2867" s="14" t="s">
        <v>13031</v>
      </c>
      <c r="D2867" s="15">
        <v>9.23</v>
      </c>
      <c r="E2867" s="16" t="s">
        <v>30</v>
      </c>
    </row>
    <row r="2868" spans="1:5" x14ac:dyDescent="0.25">
      <c r="A2868" s="14">
        <v>563431</v>
      </c>
      <c r="B2868" s="14" t="s">
        <v>2987</v>
      </c>
      <c r="C2868" s="14" t="s">
        <v>13030</v>
      </c>
      <c r="D2868" s="15">
        <v>79.83</v>
      </c>
      <c r="E2868" s="16" t="s">
        <v>30</v>
      </c>
    </row>
    <row r="2869" spans="1:5" x14ac:dyDescent="0.25">
      <c r="A2869" s="14">
        <v>564126</v>
      </c>
      <c r="B2869" s="14" t="s">
        <v>2988</v>
      </c>
      <c r="C2869" s="14" t="s">
        <v>13031</v>
      </c>
      <c r="D2869" s="15">
        <v>23.02</v>
      </c>
      <c r="E2869" s="16" t="s">
        <v>30</v>
      </c>
    </row>
    <row r="2870" spans="1:5" x14ac:dyDescent="0.25">
      <c r="A2870" s="14">
        <v>564339</v>
      </c>
      <c r="B2870" s="14" t="s">
        <v>2989</v>
      </c>
      <c r="C2870" s="14" t="s">
        <v>13029</v>
      </c>
      <c r="D2870" s="15">
        <v>7.58</v>
      </c>
      <c r="E2870" s="16" t="s">
        <v>30</v>
      </c>
    </row>
    <row r="2871" spans="1:5" x14ac:dyDescent="0.25">
      <c r="A2871" s="14">
        <v>564340</v>
      </c>
      <c r="B2871" s="14" t="s">
        <v>2990</v>
      </c>
      <c r="C2871" s="14" t="s">
        <v>13029</v>
      </c>
      <c r="D2871" s="15">
        <v>11.6</v>
      </c>
      <c r="E2871" s="16" t="s">
        <v>30</v>
      </c>
    </row>
    <row r="2872" spans="1:5" x14ac:dyDescent="0.25">
      <c r="A2872" s="14">
        <v>564341</v>
      </c>
      <c r="B2872" s="14" t="s">
        <v>2991</v>
      </c>
      <c r="C2872" s="14" t="s">
        <v>13029</v>
      </c>
      <c r="D2872" s="15">
        <v>4.32</v>
      </c>
      <c r="E2872" s="16" t="s">
        <v>30</v>
      </c>
    </row>
    <row r="2873" spans="1:5" x14ac:dyDescent="0.25">
      <c r="A2873" s="14">
        <v>564342</v>
      </c>
      <c r="B2873" s="14" t="s">
        <v>2992</v>
      </c>
      <c r="C2873" s="14" t="s">
        <v>13029</v>
      </c>
      <c r="D2873" s="15">
        <v>7.57</v>
      </c>
      <c r="E2873" s="16" t="s">
        <v>30</v>
      </c>
    </row>
    <row r="2874" spans="1:5" x14ac:dyDescent="0.25">
      <c r="A2874" s="14">
        <v>564356</v>
      </c>
      <c r="B2874" s="14" t="s">
        <v>2993</v>
      </c>
      <c r="C2874" s="14" t="s">
        <v>13031</v>
      </c>
      <c r="D2874" s="15">
        <v>2.77</v>
      </c>
      <c r="E2874" s="16" t="s">
        <v>30</v>
      </c>
    </row>
    <row r="2875" spans="1:5" x14ac:dyDescent="0.25">
      <c r="A2875" s="14">
        <v>564357</v>
      </c>
      <c r="B2875" s="14" t="s">
        <v>2994</v>
      </c>
      <c r="C2875" s="14" t="s">
        <v>13031</v>
      </c>
      <c r="D2875" s="15">
        <v>4.0199999999999996</v>
      </c>
      <c r="E2875" s="16" t="s">
        <v>30</v>
      </c>
    </row>
    <row r="2876" spans="1:5" x14ac:dyDescent="0.25">
      <c r="A2876" s="14">
        <v>564358</v>
      </c>
      <c r="B2876" s="14" t="s">
        <v>2995</v>
      </c>
      <c r="C2876" s="14" t="s">
        <v>13031</v>
      </c>
      <c r="D2876" s="15">
        <v>6.43</v>
      </c>
      <c r="E2876" s="16" t="s">
        <v>30</v>
      </c>
    </row>
    <row r="2877" spans="1:5" x14ac:dyDescent="0.25">
      <c r="A2877" s="14">
        <v>564359</v>
      </c>
      <c r="B2877" s="14" t="s">
        <v>2996</v>
      </c>
      <c r="C2877" s="14" t="s">
        <v>13031</v>
      </c>
      <c r="D2877" s="15">
        <v>6.2</v>
      </c>
      <c r="E2877" s="16" t="s">
        <v>30</v>
      </c>
    </row>
    <row r="2878" spans="1:5" x14ac:dyDescent="0.25">
      <c r="A2878" s="14">
        <v>564361</v>
      </c>
      <c r="B2878" s="14" t="s">
        <v>2997</v>
      </c>
      <c r="C2878" s="14" t="s">
        <v>13031</v>
      </c>
      <c r="D2878" s="15">
        <v>4.3499999999999996</v>
      </c>
      <c r="E2878" s="16" t="s">
        <v>30</v>
      </c>
    </row>
    <row r="2879" spans="1:5" x14ac:dyDescent="0.25">
      <c r="A2879" s="14">
        <v>536867</v>
      </c>
      <c r="B2879" s="14" t="s">
        <v>2998</v>
      </c>
      <c r="C2879" s="14" t="s">
        <v>13031</v>
      </c>
      <c r="D2879" s="15">
        <v>3.05</v>
      </c>
      <c r="E2879" s="16" t="s">
        <v>20</v>
      </c>
    </row>
    <row r="2880" spans="1:5" x14ac:dyDescent="0.25">
      <c r="A2880" s="14">
        <v>564363</v>
      </c>
      <c r="B2880" s="14" t="s">
        <v>2999</v>
      </c>
      <c r="C2880" s="14" t="s">
        <v>13031</v>
      </c>
      <c r="D2880" s="15">
        <v>8.92</v>
      </c>
      <c r="E2880" s="16" t="s">
        <v>30</v>
      </c>
    </row>
    <row r="2881" spans="1:5" x14ac:dyDescent="0.25">
      <c r="A2881" s="14">
        <v>564435</v>
      </c>
      <c r="B2881" s="14" t="s">
        <v>3000</v>
      </c>
      <c r="C2881" s="14" t="s">
        <v>13030</v>
      </c>
      <c r="D2881" s="15">
        <v>34.51</v>
      </c>
      <c r="E2881" s="16" t="s">
        <v>30</v>
      </c>
    </row>
    <row r="2882" spans="1:5" x14ac:dyDescent="0.25">
      <c r="A2882" s="14">
        <v>564526</v>
      </c>
      <c r="B2882" s="14" t="s">
        <v>3001</v>
      </c>
      <c r="C2882" s="14" t="s">
        <v>13031</v>
      </c>
      <c r="D2882" s="15">
        <v>142.9</v>
      </c>
      <c r="E2882" s="16" t="s">
        <v>30</v>
      </c>
    </row>
    <row r="2883" spans="1:5" x14ac:dyDescent="0.25">
      <c r="A2883" s="14">
        <v>564527</v>
      </c>
      <c r="B2883" s="14" t="s">
        <v>3002</v>
      </c>
      <c r="C2883" s="14" t="s">
        <v>13031</v>
      </c>
      <c r="D2883" s="15">
        <v>141.46</v>
      </c>
      <c r="E2883" s="16" t="s">
        <v>30</v>
      </c>
    </row>
    <row r="2884" spans="1:5" x14ac:dyDescent="0.25">
      <c r="A2884" s="14">
        <v>564528</v>
      </c>
      <c r="B2884" s="14" t="s">
        <v>3003</v>
      </c>
      <c r="C2884" s="14" t="s">
        <v>13031</v>
      </c>
      <c r="D2884" s="15">
        <v>83.23</v>
      </c>
      <c r="E2884" s="16" t="s">
        <v>30</v>
      </c>
    </row>
    <row r="2885" spans="1:5" x14ac:dyDescent="0.25">
      <c r="A2885" s="14">
        <v>564659</v>
      </c>
      <c r="B2885" s="14" t="s">
        <v>3004</v>
      </c>
      <c r="C2885" s="14" t="s">
        <v>13031</v>
      </c>
      <c r="D2885" s="15">
        <v>1.56</v>
      </c>
      <c r="E2885" s="16" t="s">
        <v>30</v>
      </c>
    </row>
    <row r="2886" spans="1:5" x14ac:dyDescent="0.25">
      <c r="A2886" s="14">
        <v>564674</v>
      </c>
      <c r="B2886" s="14" t="s">
        <v>3005</v>
      </c>
      <c r="C2886" s="14" t="s">
        <v>13035</v>
      </c>
      <c r="D2886" s="15">
        <v>10.1</v>
      </c>
      <c r="E2886" s="16" t="s">
        <v>30</v>
      </c>
    </row>
    <row r="2887" spans="1:5" x14ac:dyDescent="0.25">
      <c r="A2887" s="14">
        <v>564675</v>
      </c>
      <c r="B2887" s="14" t="s">
        <v>3006</v>
      </c>
      <c r="C2887" s="14" t="s">
        <v>13035</v>
      </c>
      <c r="D2887" s="15">
        <v>7.89</v>
      </c>
      <c r="E2887" s="16" t="s">
        <v>30</v>
      </c>
    </row>
    <row r="2888" spans="1:5" x14ac:dyDescent="0.25">
      <c r="A2888" s="14">
        <v>564686</v>
      </c>
      <c r="B2888" s="14" t="s">
        <v>3007</v>
      </c>
      <c r="C2888" s="14" t="s">
        <v>13030</v>
      </c>
      <c r="D2888" s="15">
        <v>149.05000000000001</v>
      </c>
      <c r="E2888" s="16" t="s">
        <v>30</v>
      </c>
    </row>
    <row r="2889" spans="1:5" x14ac:dyDescent="0.25">
      <c r="A2889" s="14">
        <v>564687</v>
      </c>
      <c r="B2889" s="14" t="s">
        <v>3008</v>
      </c>
      <c r="C2889" s="14" t="s">
        <v>13030</v>
      </c>
      <c r="D2889" s="15">
        <v>21.98</v>
      </c>
      <c r="E2889" s="16" t="s">
        <v>30</v>
      </c>
    </row>
    <row r="2890" spans="1:5" x14ac:dyDescent="0.25">
      <c r="A2890" s="14">
        <v>564772</v>
      </c>
      <c r="B2890" s="14" t="s">
        <v>3009</v>
      </c>
      <c r="C2890" s="14" t="s">
        <v>13030</v>
      </c>
      <c r="D2890" s="15">
        <v>12.9</v>
      </c>
      <c r="E2890" s="14" t="s">
        <v>30</v>
      </c>
    </row>
    <row r="2891" spans="1:5" x14ac:dyDescent="0.25">
      <c r="A2891" s="14">
        <v>564773</v>
      </c>
      <c r="B2891" s="14" t="s">
        <v>3010</v>
      </c>
      <c r="C2891" s="14" t="s">
        <v>13030</v>
      </c>
      <c r="D2891" s="15">
        <v>12.9</v>
      </c>
      <c r="E2891" s="14" t="s">
        <v>30</v>
      </c>
    </row>
    <row r="2892" spans="1:5" x14ac:dyDescent="0.25">
      <c r="A2892" s="14">
        <v>564850</v>
      </c>
      <c r="B2892" s="14" t="s">
        <v>3011</v>
      </c>
      <c r="C2892" s="14" t="s">
        <v>13031</v>
      </c>
      <c r="D2892" s="15">
        <v>3.44</v>
      </c>
      <c r="E2892" s="16" t="s">
        <v>30</v>
      </c>
    </row>
    <row r="2893" spans="1:5" x14ac:dyDescent="0.25">
      <c r="A2893" s="14">
        <v>564851</v>
      </c>
      <c r="B2893" s="14" t="s">
        <v>3012</v>
      </c>
      <c r="C2893" s="14" t="s">
        <v>13030</v>
      </c>
      <c r="D2893" s="15">
        <v>118.64</v>
      </c>
      <c r="E2893" s="16" t="s">
        <v>30</v>
      </c>
    </row>
    <row r="2894" spans="1:5" x14ac:dyDescent="0.25">
      <c r="A2894" s="14">
        <v>543104</v>
      </c>
      <c r="B2894" s="14" t="s">
        <v>3013</v>
      </c>
      <c r="C2894" s="14" t="s">
        <v>13031</v>
      </c>
      <c r="D2894" s="15">
        <v>13.68</v>
      </c>
      <c r="E2894" s="16" t="s">
        <v>20</v>
      </c>
    </row>
    <row r="2895" spans="1:5" x14ac:dyDescent="0.25">
      <c r="A2895" s="14">
        <v>543105</v>
      </c>
      <c r="B2895" s="14" t="s">
        <v>3014</v>
      </c>
      <c r="C2895" s="14" t="s">
        <v>13031</v>
      </c>
      <c r="D2895" s="15">
        <v>10.5</v>
      </c>
      <c r="E2895" s="16" t="s">
        <v>20</v>
      </c>
    </row>
    <row r="2896" spans="1:5" x14ac:dyDescent="0.25">
      <c r="A2896" s="14">
        <v>549446</v>
      </c>
      <c r="B2896" s="14" t="s">
        <v>3015</v>
      </c>
      <c r="C2896" s="14" t="s">
        <v>13030</v>
      </c>
      <c r="D2896" s="15">
        <v>77.56</v>
      </c>
      <c r="E2896" s="16" t="s">
        <v>20</v>
      </c>
    </row>
    <row r="2897" spans="1:5" x14ac:dyDescent="0.25">
      <c r="A2897" s="14">
        <v>549450</v>
      </c>
      <c r="B2897" s="14" t="s">
        <v>3016</v>
      </c>
      <c r="C2897" s="14" t="s">
        <v>13030</v>
      </c>
      <c r="D2897" s="15">
        <v>82.11</v>
      </c>
      <c r="E2897" s="16" t="s">
        <v>20</v>
      </c>
    </row>
    <row r="2898" spans="1:5" x14ac:dyDescent="0.25">
      <c r="A2898" s="14">
        <v>545902</v>
      </c>
      <c r="B2898" s="14" t="s">
        <v>3017</v>
      </c>
      <c r="C2898" s="14" t="s">
        <v>13030</v>
      </c>
      <c r="D2898" s="15">
        <v>145.63999999999999</v>
      </c>
      <c r="E2898" s="16" t="s">
        <v>20</v>
      </c>
    </row>
    <row r="2899" spans="1:5" x14ac:dyDescent="0.25">
      <c r="A2899" s="14">
        <v>543522</v>
      </c>
      <c r="B2899" s="14" t="s">
        <v>3018</v>
      </c>
      <c r="C2899" s="14" t="s">
        <v>13031</v>
      </c>
      <c r="D2899" s="15">
        <v>8.5299999999999994</v>
      </c>
      <c r="E2899" s="16" t="s">
        <v>20</v>
      </c>
    </row>
    <row r="2900" spans="1:5" x14ac:dyDescent="0.25">
      <c r="A2900" s="14">
        <v>565111</v>
      </c>
      <c r="B2900" s="14" t="s">
        <v>3019</v>
      </c>
      <c r="C2900" s="14" t="s">
        <v>13029</v>
      </c>
      <c r="D2900" s="15">
        <v>5.36</v>
      </c>
      <c r="E2900" s="16" t="s">
        <v>30</v>
      </c>
    </row>
    <row r="2901" spans="1:5" x14ac:dyDescent="0.25">
      <c r="A2901" s="14">
        <v>565112</v>
      </c>
      <c r="B2901" s="14" t="s">
        <v>3020</v>
      </c>
      <c r="C2901" s="14" t="s">
        <v>13029</v>
      </c>
      <c r="D2901" s="15">
        <v>6.71</v>
      </c>
      <c r="E2901" s="16" t="s">
        <v>30</v>
      </c>
    </row>
    <row r="2902" spans="1:5" x14ac:dyDescent="0.25">
      <c r="A2902" s="14">
        <v>565158</v>
      </c>
      <c r="B2902" s="14" t="s">
        <v>3021</v>
      </c>
      <c r="C2902" s="14" t="s">
        <v>13033</v>
      </c>
      <c r="D2902" s="15">
        <v>3.15</v>
      </c>
      <c r="E2902" s="16" t="s">
        <v>30</v>
      </c>
    </row>
    <row r="2903" spans="1:5" x14ac:dyDescent="0.25">
      <c r="A2903" s="14">
        <v>565679</v>
      </c>
      <c r="B2903" s="14" t="s">
        <v>3022</v>
      </c>
      <c r="C2903" s="14" t="s">
        <v>13030</v>
      </c>
      <c r="D2903" s="15">
        <v>53.01</v>
      </c>
      <c r="E2903" s="16" t="s">
        <v>30</v>
      </c>
    </row>
    <row r="2904" spans="1:5" x14ac:dyDescent="0.25">
      <c r="A2904" s="14">
        <v>565765</v>
      </c>
      <c r="B2904" s="14" t="s">
        <v>3023</v>
      </c>
      <c r="C2904" s="14" t="s">
        <v>13029</v>
      </c>
      <c r="D2904" s="15">
        <v>14.66</v>
      </c>
      <c r="E2904" s="16" t="s">
        <v>30</v>
      </c>
    </row>
    <row r="2905" spans="1:5" x14ac:dyDescent="0.25">
      <c r="A2905" s="14">
        <v>565768</v>
      </c>
      <c r="B2905" s="14" t="s">
        <v>3024</v>
      </c>
      <c r="C2905" s="14" t="s">
        <v>13029</v>
      </c>
      <c r="D2905" s="15">
        <v>12.15</v>
      </c>
      <c r="E2905" s="16" t="s">
        <v>30</v>
      </c>
    </row>
    <row r="2906" spans="1:5" x14ac:dyDescent="0.25">
      <c r="A2906" s="14">
        <v>565801</v>
      </c>
      <c r="B2906" s="14" t="s">
        <v>3025</v>
      </c>
      <c r="C2906" s="14" t="s">
        <v>13031</v>
      </c>
      <c r="D2906" s="15">
        <v>17.11</v>
      </c>
      <c r="E2906" s="16" t="s">
        <v>30</v>
      </c>
    </row>
    <row r="2907" spans="1:5" x14ac:dyDescent="0.25">
      <c r="A2907" s="14">
        <v>565802</v>
      </c>
      <c r="B2907" s="14" t="s">
        <v>3026</v>
      </c>
      <c r="C2907" s="14" t="s">
        <v>13031</v>
      </c>
      <c r="D2907" s="15">
        <v>18.899999999999999</v>
      </c>
      <c r="E2907" s="16" t="s">
        <v>30</v>
      </c>
    </row>
    <row r="2908" spans="1:5" x14ac:dyDescent="0.25">
      <c r="A2908" s="14">
        <v>565812</v>
      </c>
      <c r="B2908" s="14" t="s">
        <v>3027</v>
      </c>
      <c r="C2908" s="14" t="s">
        <v>13029</v>
      </c>
      <c r="D2908" s="15">
        <v>19.36</v>
      </c>
      <c r="E2908" s="16" t="s">
        <v>30</v>
      </c>
    </row>
    <row r="2909" spans="1:5" x14ac:dyDescent="0.25">
      <c r="A2909" s="14">
        <v>565813</v>
      </c>
      <c r="B2909" s="14" t="s">
        <v>3028</v>
      </c>
      <c r="C2909" s="14" t="s">
        <v>13029</v>
      </c>
      <c r="D2909" s="15">
        <v>19.36</v>
      </c>
      <c r="E2909" s="16" t="s">
        <v>30</v>
      </c>
    </row>
    <row r="2910" spans="1:5" x14ac:dyDescent="0.25">
      <c r="A2910" s="14">
        <v>565844</v>
      </c>
      <c r="B2910" s="14" t="s">
        <v>3029</v>
      </c>
      <c r="C2910" s="14" t="s">
        <v>13029</v>
      </c>
      <c r="D2910" s="15">
        <v>50.96</v>
      </c>
      <c r="E2910" s="14" t="s">
        <v>30</v>
      </c>
    </row>
    <row r="2911" spans="1:5" x14ac:dyDescent="0.25">
      <c r="A2911" s="14">
        <v>565845</v>
      </c>
      <c r="B2911" s="14" t="s">
        <v>3030</v>
      </c>
      <c r="C2911" s="14" t="s">
        <v>13029</v>
      </c>
      <c r="D2911" s="15">
        <v>50.96</v>
      </c>
      <c r="E2911" s="14" t="s">
        <v>30</v>
      </c>
    </row>
    <row r="2912" spans="1:5" x14ac:dyDescent="0.25">
      <c r="A2912" s="14">
        <v>565847</v>
      </c>
      <c r="B2912" s="14" t="s">
        <v>3031</v>
      </c>
      <c r="C2912" s="14" t="s">
        <v>13029</v>
      </c>
      <c r="D2912" s="15">
        <v>10.52</v>
      </c>
      <c r="E2912" s="16" t="s">
        <v>30</v>
      </c>
    </row>
    <row r="2913" spans="1:5" x14ac:dyDescent="0.25">
      <c r="A2913" s="14">
        <v>565848</v>
      </c>
      <c r="B2913" s="14" t="s">
        <v>3032</v>
      </c>
      <c r="C2913" s="14" t="s">
        <v>13029</v>
      </c>
      <c r="D2913" s="15">
        <v>10.52</v>
      </c>
      <c r="E2913" s="16" t="s">
        <v>30</v>
      </c>
    </row>
    <row r="2914" spans="1:5" x14ac:dyDescent="0.25">
      <c r="A2914" s="14">
        <v>565911</v>
      </c>
      <c r="B2914" s="14" t="s">
        <v>3033</v>
      </c>
      <c r="C2914" s="14" t="s">
        <v>13029</v>
      </c>
      <c r="D2914" s="15">
        <v>7.5</v>
      </c>
      <c r="E2914" s="16" t="s">
        <v>30</v>
      </c>
    </row>
    <row r="2915" spans="1:5" x14ac:dyDescent="0.25">
      <c r="A2915" s="14">
        <v>565916</v>
      </c>
      <c r="B2915" s="14" t="s">
        <v>3034</v>
      </c>
      <c r="C2915" s="14" t="s">
        <v>13030</v>
      </c>
      <c r="D2915" s="15">
        <v>82.38</v>
      </c>
      <c r="E2915" s="16" t="s">
        <v>30</v>
      </c>
    </row>
    <row r="2916" spans="1:5" x14ac:dyDescent="0.25">
      <c r="A2916" s="14">
        <v>566325</v>
      </c>
      <c r="B2916" s="14" t="s">
        <v>3035</v>
      </c>
      <c r="C2916" s="14" t="s">
        <v>13029</v>
      </c>
      <c r="D2916" s="15">
        <v>6.79</v>
      </c>
      <c r="E2916" s="16" t="s">
        <v>30</v>
      </c>
    </row>
    <row r="2917" spans="1:5" x14ac:dyDescent="0.25">
      <c r="A2917" s="14">
        <v>566326</v>
      </c>
      <c r="B2917" s="14" t="s">
        <v>3036</v>
      </c>
      <c r="C2917" s="14" t="s">
        <v>13031</v>
      </c>
      <c r="D2917" s="15">
        <v>6.45</v>
      </c>
      <c r="E2917" s="16" t="s">
        <v>30</v>
      </c>
    </row>
    <row r="2918" spans="1:5" x14ac:dyDescent="0.25">
      <c r="A2918" s="14">
        <v>566328</v>
      </c>
      <c r="B2918" s="14" t="s">
        <v>3037</v>
      </c>
      <c r="C2918" s="14" t="s">
        <v>13031</v>
      </c>
      <c r="D2918" s="15">
        <v>6.45</v>
      </c>
      <c r="E2918" s="16" t="s">
        <v>30</v>
      </c>
    </row>
    <row r="2919" spans="1:5" x14ac:dyDescent="0.25">
      <c r="A2919" s="14">
        <v>566329</v>
      </c>
      <c r="B2919" s="14" t="s">
        <v>3038</v>
      </c>
      <c r="C2919" s="14" t="s">
        <v>13031</v>
      </c>
      <c r="D2919" s="15">
        <v>6.45</v>
      </c>
      <c r="E2919" s="16" t="s">
        <v>30</v>
      </c>
    </row>
    <row r="2920" spans="1:5" x14ac:dyDescent="0.25">
      <c r="A2920" s="14">
        <v>566335</v>
      </c>
      <c r="B2920" s="14" t="s">
        <v>3039</v>
      </c>
      <c r="C2920" s="14" t="s">
        <v>13030</v>
      </c>
      <c r="D2920" s="15">
        <v>111.14</v>
      </c>
      <c r="E2920" s="16" t="s">
        <v>30</v>
      </c>
    </row>
    <row r="2921" spans="1:5" x14ac:dyDescent="0.25">
      <c r="A2921" s="14">
        <v>567153</v>
      </c>
      <c r="B2921" s="14" t="s">
        <v>3042</v>
      </c>
      <c r="C2921" s="14" t="s">
        <v>13031</v>
      </c>
      <c r="D2921" s="15">
        <v>7.96</v>
      </c>
      <c r="E2921" s="16" t="s">
        <v>30</v>
      </c>
    </row>
    <row r="2922" spans="1:5" x14ac:dyDescent="0.25">
      <c r="A2922" s="14">
        <v>567157</v>
      </c>
      <c r="B2922" s="14" t="s">
        <v>3043</v>
      </c>
      <c r="C2922" s="14" t="s">
        <v>13031</v>
      </c>
      <c r="D2922" s="15">
        <v>7.96</v>
      </c>
      <c r="E2922" s="16" t="s">
        <v>30</v>
      </c>
    </row>
    <row r="2923" spans="1:5" x14ac:dyDescent="0.25">
      <c r="A2923" s="14">
        <v>567304</v>
      </c>
      <c r="B2923" s="14" t="s">
        <v>3044</v>
      </c>
      <c r="C2923" s="14" t="s">
        <v>13031</v>
      </c>
      <c r="D2923" s="15">
        <v>20.25</v>
      </c>
      <c r="E2923" s="16" t="s">
        <v>30</v>
      </c>
    </row>
    <row r="2924" spans="1:5" x14ac:dyDescent="0.25">
      <c r="A2924" s="14">
        <v>567306</v>
      </c>
      <c r="B2924" s="14" t="s">
        <v>3045</v>
      </c>
      <c r="C2924" s="14" t="s">
        <v>13031</v>
      </c>
      <c r="D2924" s="15">
        <v>17</v>
      </c>
      <c r="E2924" s="16" t="s">
        <v>30</v>
      </c>
    </row>
    <row r="2925" spans="1:5" x14ac:dyDescent="0.25">
      <c r="A2925" s="14">
        <v>567309</v>
      </c>
      <c r="B2925" s="14" t="s">
        <v>3046</v>
      </c>
      <c r="C2925" s="14" t="s">
        <v>13031</v>
      </c>
      <c r="D2925" s="15">
        <v>11.9</v>
      </c>
      <c r="E2925" s="16" t="s">
        <v>30</v>
      </c>
    </row>
    <row r="2926" spans="1:5" x14ac:dyDescent="0.25">
      <c r="A2926" s="14">
        <v>567415</v>
      </c>
      <c r="B2926" s="14" t="s">
        <v>3047</v>
      </c>
      <c r="C2926" s="14" t="s">
        <v>13030</v>
      </c>
      <c r="D2926" s="15">
        <v>27.11</v>
      </c>
      <c r="E2926" s="16" t="s">
        <v>30</v>
      </c>
    </row>
    <row r="2927" spans="1:5" x14ac:dyDescent="0.25">
      <c r="A2927" s="14">
        <v>567446</v>
      </c>
      <c r="B2927" s="14" t="s">
        <v>3048</v>
      </c>
      <c r="C2927" s="14" t="s">
        <v>13030</v>
      </c>
      <c r="D2927" s="15">
        <v>15.05</v>
      </c>
      <c r="E2927" s="16" t="s">
        <v>30</v>
      </c>
    </row>
    <row r="2928" spans="1:5" x14ac:dyDescent="0.25">
      <c r="A2928" s="14">
        <v>567600</v>
      </c>
      <c r="B2928" s="14" t="s">
        <v>3049</v>
      </c>
      <c r="C2928" s="14" t="s">
        <v>13029</v>
      </c>
      <c r="D2928" s="15">
        <v>4.99</v>
      </c>
      <c r="E2928" s="16" t="s">
        <v>30</v>
      </c>
    </row>
    <row r="2929" spans="1:5" x14ac:dyDescent="0.25">
      <c r="A2929" s="14">
        <v>567789</v>
      </c>
      <c r="B2929" s="14" t="s">
        <v>3050</v>
      </c>
      <c r="C2929" s="14" t="s">
        <v>13029</v>
      </c>
      <c r="D2929" s="15">
        <v>5</v>
      </c>
      <c r="E2929" s="16" t="s">
        <v>30</v>
      </c>
    </row>
    <row r="2930" spans="1:5" x14ac:dyDescent="0.25">
      <c r="A2930" s="14">
        <v>567800</v>
      </c>
      <c r="B2930" s="14" t="s">
        <v>3051</v>
      </c>
      <c r="C2930" s="14" t="s">
        <v>13029</v>
      </c>
      <c r="D2930" s="15">
        <v>76.27</v>
      </c>
      <c r="E2930" s="16" t="s">
        <v>30</v>
      </c>
    </row>
    <row r="2931" spans="1:5" x14ac:dyDescent="0.25">
      <c r="A2931" s="14">
        <v>567807</v>
      </c>
      <c r="B2931" s="14" t="s">
        <v>3052</v>
      </c>
      <c r="C2931" s="14" t="s">
        <v>13029</v>
      </c>
      <c r="D2931" s="15">
        <v>14.01</v>
      </c>
      <c r="E2931" s="14" t="s">
        <v>30</v>
      </c>
    </row>
    <row r="2932" spans="1:5" x14ac:dyDescent="0.25">
      <c r="A2932" s="14">
        <v>567945</v>
      </c>
      <c r="B2932" s="14" t="s">
        <v>3053</v>
      </c>
      <c r="C2932" s="14" t="s">
        <v>13030</v>
      </c>
      <c r="D2932" s="15">
        <v>65.39</v>
      </c>
      <c r="E2932" s="16" t="s">
        <v>30</v>
      </c>
    </row>
    <row r="2933" spans="1:5" x14ac:dyDescent="0.25">
      <c r="A2933" s="14">
        <v>568089</v>
      </c>
      <c r="B2933" s="14" t="s">
        <v>3054</v>
      </c>
      <c r="C2933" s="14" t="s">
        <v>13031</v>
      </c>
      <c r="D2933" s="15">
        <v>12.71</v>
      </c>
      <c r="E2933" s="16" t="s">
        <v>30</v>
      </c>
    </row>
    <row r="2934" spans="1:5" x14ac:dyDescent="0.25">
      <c r="A2934" s="14">
        <v>568090</v>
      </c>
      <c r="B2934" s="14" t="s">
        <v>3055</v>
      </c>
      <c r="C2934" s="14" t="s">
        <v>13031</v>
      </c>
      <c r="D2934" s="15">
        <v>12.71</v>
      </c>
      <c r="E2934" s="16" t="s">
        <v>30</v>
      </c>
    </row>
    <row r="2935" spans="1:5" x14ac:dyDescent="0.25">
      <c r="A2935" s="14">
        <v>568091</v>
      </c>
      <c r="B2935" s="14" t="s">
        <v>3056</v>
      </c>
      <c r="C2935" s="14" t="s">
        <v>13031</v>
      </c>
      <c r="D2935" s="15">
        <v>12.71</v>
      </c>
      <c r="E2935" s="16" t="s">
        <v>30</v>
      </c>
    </row>
    <row r="2936" spans="1:5" x14ac:dyDescent="0.25">
      <c r="A2936" s="14">
        <v>568092</v>
      </c>
      <c r="B2936" s="14" t="s">
        <v>3057</v>
      </c>
      <c r="C2936" s="14" t="s">
        <v>13031</v>
      </c>
      <c r="D2936" s="15">
        <v>12.71</v>
      </c>
      <c r="E2936" s="16" t="s">
        <v>30</v>
      </c>
    </row>
    <row r="2937" spans="1:5" x14ac:dyDescent="0.25">
      <c r="A2937" s="14">
        <v>568093</v>
      </c>
      <c r="B2937" s="14" t="s">
        <v>3058</v>
      </c>
      <c r="C2937" s="14" t="s">
        <v>13031</v>
      </c>
      <c r="D2937" s="15">
        <v>12.71</v>
      </c>
      <c r="E2937" s="16" t="s">
        <v>30</v>
      </c>
    </row>
    <row r="2938" spans="1:5" x14ac:dyDescent="0.25">
      <c r="A2938" s="14">
        <v>568190</v>
      </c>
      <c r="B2938" s="14" t="s">
        <v>3059</v>
      </c>
      <c r="C2938" s="14" t="s">
        <v>13029</v>
      </c>
      <c r="D2938" s="15">
        <v>16.45</v>
      </c>
      <c r="E2938" s="16" t="s">
        <v>30</v>
      </c>
    </row>
    <row r="2939" spans="1:5" x14ac:dyDescent="0.25">
      <c r="A2939" s="14">
        <v>568209</v>
      </c>
      <c r="B2939" s="14" t="s">
        <v>3060</v>
      </c>
      <c r="C2939" s="14" t="s">
        <v>13029</v>
      </c>
      <c r="D2939" s="15">
        <v>7.63</v>
      </c>
      <c r="E2939" s="16" t="s">
        <v>30</v>
      </c>
    </row>
    <row r="2940" spans="1:5" x14ac:dyDescent="0.25">
      <c r="A2940" s="14">
        <v>543525</v>
      </c>
      <c r="B2940" s="14" t="s">
        <v>3061</v>
      </c>
      <c r="C2940" s="14" t="s">
        <v>13031</v>
      </c>
      <c r="D2940" s="15">
        <v>8.92</v>
      </c>
      <c r="E2940" s="16" t="s">
        <v>20</v>
      </c>
    </row>
    <row r="2941" spans="1:5" x14ac:dyDescent="0.25">
      <c r="A2941" s="14">
        <v>568210</v>
      </c>
      <c r="B2941" s="14" t="s">
        <v>3062</v>
      </c>
      <c r="C2941" s="14" t="s">
        <v>13029</v>
      </c>
      <c r="D2941" s="15">
        <v>26.58</v>
      </c>
      <c r="E2941" s="16" t="s">
        <v>30</v>
      </c>
    </row>
    <row r="2942" spans="1:5" x14ac:dyDescent="0.25">
      <c r="A2942" s="14">
        <v>568241</v>
      </c>
      <c r="B2942" s="14" t="s">
        <v>3063</v>
      </c>
      <c r="C2942" s="14" t="s">
        <v>13029</v>
      </c>
      <c r="D2942" s="15">
        <v>1.65</v>
      </c>
      <c r="E2942" s="16" t="s">
        <v>30</v>
      </c>
    </row>
    <row r="2943" spans="1:5" x14ac:dyDescent="0.25">
      <c r="A2943" s="14">
        <v>568257</v>
      </c>
      <c r="B2943" s="14" t="s">
        <v>3064</v>
      </c>
      <c r="C2943" s="14" t="s">
        <v>13029</v>
      </c>
      <c r="D2943" s="15">
        <v>7.13</v>
      </c>
      <c r="E2943" s="16" t="s">
        <v>30</v>
      </c>
    </row>
    <row r="2944" spans="1:5" x14ac:dyDescent="0.25">
      <c r="A2944" s="14">
        <v>568258</v>
      </c>
      <c r="B2944" s="14" t="s">
        <v>3065</v>
      </c>
      <c r="C2944" s="14" t="s">
        <v>13029</v>
      </c>
      <c r="D2944" s="15">
        <v>4.99</v>
      </c>
      <c r="E2944" s="16" t="s">
        <v>30</v>
      </c>
    </row>
    <row r="2945" spans="1:5" x14ac:dyDescent="0.25">
      <c r="A2945" s="14">
        <v>568259</v>
      </c>
      <c r="B2945" s="14" t="s">
        <v>3066</v>
      </c>
      <c r="C2945" s="14" t="s">
        <v>13029</v>
      </c>
      <c r="D2945" s="15">
        <v>4.99</v>
      </c>
      <c r="E2945" s="16" t="s">
        <v>30</v>
      </c>
    </row>
    <row r="2946" spans="1:5" x14ac:dyDescent="0.25">
      <c r="A2946" s="14">
        <v>568268</v>
      </c>
      <c r="B2946" s="14" t="s">
        <v>3067</v>
      </c>
      <c r="C2946" s="14" t="s">
        <v>13029</v>
      </c>
      <c r="D2946" s="15">
        <v>3.18</v>
      </c>
      <c r="E2946" s="16" t="s">
        <v>30</v>
      </c>
    </row>
    <row r="2947" spans="1:5" x14ac:dyDescent="0.25">
      <c r="A2947" s="14">
        <v>569348</v>
      </c>
      <c r="B2947" s="14" t="s">
        <v>3068</v>
      </c>
      <c r="C2947" s="14" t="s">
        <v>13031</v>
      </c>
      <c r="D2947" s="15">
        <v>11.68</v>
      </c>
      <c r="E2947" s="16" t="s">
        <v>30</v>
      </c>
    </row>
    <row r="2948" spans="1:5" x14ac:dyDescent="0.25">
      <c r="A2948" s="14">
        <v>569459</v>
      </c>
      <c r="B2948" s="14" t="s">
        <v>3069</v>
      </c>
      <c r="C2948" s="14" t="s">
        <v>13031</v>
      </c>
      <c r="D2948" s="15">
        <v>92.4</v>
      </c>
      <c r="E2948" s="16" t="s">
        <v>30</v>
      </c>
    </row>
    <row r="2949" spans="1:5" x14ac:dyDescent="0.25">
      <c r="A2949" s="14">
        <v>569460</v>
      </c>
      <c r="B2949" s="14" t="s">
        <v>3070</v>
      </c>
      <c r="C2949" s="14" t="s">
        <v>13031</v>
      </c>
      <c r="D2949" s="15">
        <v>90</v>
      </c>
      <c r="E2949" s="16" t="s">
        <v>30</v>
      </c>
    </row>
    <row r="2950" spans="1:5" x14ac:dyDescent="0.25">
      <c r="A2950" s="14">
        <v>543526</v>
      </c>
      <c r="B2950" s="14" t="s">
        <v>3071</v>
      </c>
      <c r="C2950" s="14" t="s">
        <v>13031</v>
      </c>
      <c r="D2950" s="15">
        <v>9.4499999999999993</v>
      </c>
      <c r="E2950" s="16" t="s">
        <v>20</v>
      </c>
    </row>
    <row r="2951" spans="1:5" x14ac:dyDescent="0.25">
      <c r="A2951" s="14">
        <v>569461</v>
      </c>
      <c r="B2951" s="14" t="s">
        <v>3072</v>
      </c>
      <c r="C2951" s="14" t="s">
        <v>13031</v>
      </c>
      <c r="D2951" s="15">
        <v>31.68</v>
      </c>
      <c r="E2951" s="16" t="s">
        <v>30</v>
      </c>
    </row>
    <row r="2952" spans="1:5" x14ac:dyDescent="0.25">
      <c r="A2952" s="14">
        <v>569620</v>
      </c>
      <c r="B2952" s="14" t="s">
        <v>3073</v>
      </c>
      <c r="C2952" s="14" t="s">
        <v>13029</v>
      </c>
      <c r="D2952" s="15">
        <v>10.23</v>
      </c>
      <c r="E2952" s="16" t="s">
        <v>30</v>
      </c>
    </row>
    <row r="2953" spans="1:5" x14ac:dyDescent="0.25">
      <c r="A2953" s="14">
        <v>569621</v>
      </c>
      <c r="B2953" s="14" t="s">
        <v>3074</v>
      </c>
      <c r="C2953" s="14" t="s">
        <v>13029</v>
      </c>
      <c r="D2953" s="15">
        <v>4.17</v>
      </c>
      <c r="E2953" s="16" t="s">
        <v>30</v>
      </c>
    </row>
    <row r="2954" spans="1:5" x14ac:dyDescent="0.25">
      <c r="A2954" s="14">
        <v>569622</v>
      </c>
      <c r="B2954" s="14" t="s">
        <v>3075</v>
      </c>
      <c r="C2954" s="14" t="s">
        <v>13029</v>
      </c>
      <c r="D2954" s="15">
        <v>5.87</v>
      </c>
      <c r="E2954" s="16" t="s">
        <v>30</v>
      </c>
    </row>
    <row r="2955" spans="1:5" x14ac:dyDescent="0.25">
      <c r="A2955" s="14">
        <v>569623</v>
      </c>
      <c r="B2955" s="14" t="s">
        <v>3076</v>
      </c>
      <c r="C2955" s="14" t="s">
        <v>13029</v>
      </c>
      <c r="D2955" s="15">
        <v>6.79</v>
      </c>
      <c r="E2955" s="16" t="s">
        <v>30</v>
      </c>
    </row>
    <row r="2956" spans="1:5" x14ac:dyDescent="0.25">
      <c r="A2956" s="14">
        <v>569624</v>
      </c>
      <c r="B2956" s="14" t="s">
        <v>3077</v>
      </c>
      <c r="C2956" s="14" t="s">
        <v>13029</v>
      </c>
      <c r="D2956" s="15">
        <v>6.63</v>
      </c>
      <c r="E2956" s="16" t="s">
        <v>30</v>
      </c>
    </row>
    <row r="2957" spans="1:5" x14ac:dyDescent="0.25">
      <c r="A2957" s="14">
        <v>569625</v>
      </c>
      <c r="B2957" s="14" t="s">
        <v>3078</v>
      </c>
      <c r="C2957" s="14" t="s">
        <v>13029</v>
      </c>
      <c r="D2957" s="15">
        <v>4.96</v>
      </c>
      <c r="E2957" s="16" t="s">
        <v>30</v>
      </c>
    </row>
    <row r="2958" spans="1:5" x14ac:dyDescent="0.25">
      <c r="A2958" s="14">
        <v>569626</v>
      </c>
      <c r="B2958" s="14" t="s">
        <v>3079</v>
      </c>
      <c r="C2958" s="14" t="s">
        <v>13029</v>
      </c>
      <c r="D2958" s="15">
        <v>3.1</v>
      </c>
      <c r="E2958" s="16" t="s">
        <v>30</v>
      </c>
    </row>
    <row r="2959" spans="1:5" x14ac:dyDescent="0.25">
      <c r="A2959" s="14">
        <v>569629</v>
      </c>
      <c r="B2959" s="14" t="s">
        <v>3080</v>
      </c>
      <c r="C2959" s="14" t="s">
        <v>13029</v>
      </c>
      <c r="D2959" s="15">
        <v>1.86</v>
      </c>
      <c r="E2959" s="16" t="s">
        <v>30</v>
      </c>
    </row>
    <row r="2960" spans="1:5" x14ac:dyDescent="0.25">
      <c r="A2960" s="14">
        <v>569630</v>
      </c>
      <c r="B2960" s="14" t="s">
        <v>3081</v>
      </c>
      <c r="C2960" s="14" t="s">
        <v>13029</v>
      </c>
      <c r="D2960" s="15">
        <v>7.68</v>
      </c>
      <c r="E2960" s="16" t="s">
        <v>30</v>
      </c>
    </row>
    <row r="2961" spans="1:5" x14ac:dyDescent="0.25">
      <c r="A2961" s="14">
        <v>569631</v>
      </c>
      <c r="B2961" s="14" t="s">
        <v>3082</v>
      </c>
      <c r="C2961" s="14" t="s">
        <v>13029</v>
      </c>
      <c r="D2961" s="15">
        <v>5.45</v>
      </c>
      <c r="E2961" s="16" t="s">
        <v>30</v>
      </c>
    </row>
    <row r="2962" spans="1:5" x14ac:dyDescent="0.25">
      <c r="A2962" s="14">
        <v>569633</v>
      </c>
      <c r="B2962" s="14" t="s">
        <v>3083</v>
      </c>
      <c r="C2962" s="14" t="s">
        <v>13029</v>
      </c>
      <c r="D2962" s="15">
        <v>6.7</v>
      </c>
      <c r="E2962" s="16" t="s">
        <v>30</v>
      </c>
    </row>
    <row r="2963" spans="1:5" x14ac:dyDescent="0.25">
      <c r="A2963" s="14">
        <v>569634</v>
      </c>
      <c r="B2963" s="14" t="s">
        <v>3084</v>
      </c>
      <c r="C2963" s="14" t="s">
        <v>13029</v>
      </c>
      <c r="D2963" s="15">
        <v>9.48</v>
      </c>
      <c r="E2963" s="16" t="s">
        <v>30</v>
      </c>
    </row>
    <row r="2964" spans="1:5" x14ac:dyDescent="0.25">
      <c r="A2964" s="14">
        <v>569652</v>
      </c>
      <c r="B2964" s="14" t="s">
        <v>3085</v>
      </c>
      <c r="C2964" s="14" t="s">
        <v>13029</v>
      </c>
      <c r="D2964" s="15">
        <v>14.83</v>
      </c>
      <c r="E2964" s="16" t="s">
        <v>30</v>
      </c>
    </row>
    <row r="2965" spans="1:5" x14ac:dyDescent="0.25">
      <c r="A2965" s="14">
        <v>569659</v>
      </c>
      <c r="B2965" s="14" t="s">
        <v>3086</v>
      </c>
      <c r="C2965" s="14" t="s">
        <v>13029</v>
      </c>
      <c r="D2965" s="15">
        <v>24.67</v>
      </c>
      <c r="E2965" s="16" t="s">
        <v>30</v>
      </c>
    </row>
    <row r="2966" spans="1:5" x14ac:dyDescent="0.25">
      <c r="A2966" s="14">
        <v>569964</v>
      </c>
      <c r="B2966" s="14" t="s">
        <v>3087</v>
      </c>
      <c r="C2966" s="14" t="s">
        <v>13029</v>
      </c>
      <c r="D2966" s="15">
        <v>3.5</v>
      </c>
      <c r="E2966" s="16" t="s">
        <v>30</v>
      </c>
    </row>
    <row r="2967" spans="1:5" x14ac:dyDescent="0.25">
      <c r="A2967" s="14">
        <v>570611</v>
      </c>
      <c r="B2967" s="14" t="s">
        <v>3088</v>
      </c>
      <c r="C2967" s="14" t="s">
        <v>13031</v>
      </c>
      <c r="D2967" s="15">
        <v>2.5299999999999998</v>
      </c>
      <c r="E2967" s="16" t="s">
        <v>30</v>
      </c>
    </row>
    <row r="2968" spans="1:5" x14ac:dyDescent="0.25">
      <c r="A2968" s="14">
        <v>570737</v>
      </c>
      <c r="B2968" s="14" t="s">
        <v>3089</v>
      </c>
      <c r="C2968" s="14" t="s">
        <v>13031</v>
      </c>
      <c r="D2968" s="15">
        <v>7.09</v>
      </c>
      <c r="E2968" s="16" t="s">
        <v>30</v>
      </c>
    </row>
    <row r="2969" spans="1:5" x14ac:dyDescent="0.25">
      <c r="A2969" s="14">
        <v>573345</v>
      </c>
      <c r="B2969" s="14" t="s">
        <v>3090</v>
      </c>
      <c r="C2969" s="14" t="s">
        <v>13030</v>
      </c>
      <c r="D2969" s="15">
        <v>18.670000000000002</v>
      </c>
      <c r="E2969" s="14" t="s">
        <v>30</v>
      </c>
    </row>
    <row r="2970" spans="1:5" x14ac:dyDescent="0.25">
      <c r="A2970" s="14">
        <v>573923</v>
      </c>
      <c r="B2970" s="14" t="s">
        <v>3091</v>
      </c>
      <c r="C2970" s="14" t="s">
        <v>13031</v>
      </c>
      <c r="D2970" s="15">
        <v>2.21</v>
      </c>
      <c r="E2970" s="16" t="s">
        <v>30</v>
      </c>
    </row>
    <row r="2971" spans="1:5" x14ac:dyDescent="0.25">
      <c r="A2971" s="14">
        <v>574383</v>
      </c>
      <c r="B2971" s="14" t="s">
        <v>3092</v>
      </c>
      <c r="C2971" s="14" t="s">
        <v>13031</v>
      </c>
      <c r="D2971" s="15">
        <v>6.08</v>
      </c>
      <c r="E2971" s="16" t="s">
        <v>30</v>
      </c>
    </row>
    <row r="2972" spans="1:5" x14ac:dyDescent="0.25">
      <c r="A2972" s="14">
        <v>574651</v>
      </c>
      <c r="B2972" s="14" t="s">
        <v>3093</v>
      </c>
      <c r="C2972" s="14" t="s">
        <v>13029</v>
      </c>
      <c r="D2972" s="15">
        <v>21.08</v>
      </c>
      <c r="E2972" s="16" t="s">
        <v>30</v>
      </c>
    </row>
    <row r="2973" spans="1:5" x14ac:dyDescent="0.25">
      <c r="A2973" s="14">
        <v>574657</v>
      </c>
      <c r="B2973" s="14" t="s">
        <v>3094</v>
      </c>
      <c r="C2973" s="14" t="s">
        <v>13031</v>
      </c>
      <c r="D2973" s="15">
        <v>0.9</v>
      </c>
      <c r="E2973" s="16" t="s">
        <v>30</v>
      </c>
    </row>
    <row r="2974" spans="1:5" x14ac:dyDescent="0.25">
      <c r="A2974" s="14">
        <v>574660</v>
      </c>
      <c r="B2974" s="14" t="s">
        <v>3095</v>
      </c>
      <c r="C2974" s="14" t="s">
        <v>13031</v>
      </c>
      <c r="D2974" s="15">
        <v>2.97</v>
      </c>
      <c r="E2974" s="16" t="s">
        <v>30</v>
      </c>
    </row>
    <row r="2975" spans="1:5" x14ac:dyDescent="0.25">
      <c r="A2975" s="14">
        <v>574664</v>
      </c>
      <c r="B2975" s="14" t="s">
        <v>3096</v>
      </c>
      <c r="C2975" s="14" t="s">
        <v>13031</v>
      </c>
      <c r="D2975" s="15">
        <v>5.89</v>
      </c>
      <c r="E2975" s="16" t="s">
        <v>30</v>
      </c>
    </row>
    <row r="2976" spans="1:5" x14ac:dyDescent="0.25">
      <c r="A2976" s="14">
        <v>574665</v>
      </c>
      <c r="B2976" s="14" t="s">
        <v>3097</v>
      </c>
      <c r="C2976" s="14" t="s">
        <v>13031</v>
      </c>
      <c r="D2976" s="15">
        <v>6.12</v>
      </c>
      <c r="E2976" s="16" t="s">
        <v>30</v>
      </c>
    </row>
    <row r="2977" spans="1:5" x14ac:dyDescent="0.25">
      <c r="A2977" s="14">
        <v>574666</v>
      </c>
      <c r="B2977" s="14" t="s">
        <v>3098</v>
      </c>
      <c r="C2977" s="14" t="s">
        <v>13031</v>
      </c>
      <c r="D2977" s="15">
        <v>15.84</v>
      </c>
      <c r="E2977" s="16" t="s">
        <v>30</v>
      </c>
    </row>
    <row r="2978" spans="1:5" x14ac:dyDescent="0.25">
      <c r="A2978" s="14">
        <v>574668</v>
      </c>
      <c r="B2978" s="14" t="s">
        <v>3099</v>
      </c>
      <c r="C2978" s="14" t="s">
        <v>13029</v>
      </c>
      <c r="D2978" s="15">
        <v>34.770000000000003</v>
      </c>
      <c r="E2978" s="16" t="s">
        <v>30</v>
      </c>
    </row>
    <row r="2979" spans="1:5" x14ac:dyDescent="0.25">
      <c r="A2979" s="14">
        <v>574669</v>
      </c>
      <c r="B2979" s="14" t="s">
        <v>3100</v>
      </c>
      <c r="C2979" s="14" t="s">
        <v>13031</v>
      </c>
      <c r="D2979" s="15">
        <v>5.33</v>
      </c>
      <c r="E2979" s="16" t="s">
        <v>30</v>
      </c>
    </row>
    <row r="2980" spans="1:5" x14ac:dyDescent="0.25">
      <c r="A2980" s="14">
        <v>574670</v>
      </c>
      <c r="B2980" s="14" t="s">
        <v>3101</v>
      </c>
      <c r="C2980" s="14" t="s">
        <v>13031</v>
      </c>
      <c r="D2980" s="15">
        <v>8.9</v>
      </c>
      <c r="E2980" s="16" t="s">
        <v>30</v>
      </c>
    </row>
    <row r="2981" spans="1:5" x14ac:dyDescent="0.25">
      <c r="A2981" s="14">
        <v>574671</v>
      </c>
      <c r="B2981" s="14" t="s">
        <v>3102</v>
      </c>
      <c r="C2981" s="14" t="s">
        <v>13031</v>
      </c>
      <c r="D2981" s="15">
        <v>10.15</v>
      </c>
      <c r="E2981" s="16" t="s">
        <v>30</v>
      </c>
    </row>
    <row r="2982" spans="1:5" x14ac:dyDescent="0.25">
      <c r="A2982" s="14">
        <v>574897</v>
      </c>
      <c r="B2982" s="14" t="s">
        <v>3103</v>
      </c>
      <c r="C2982" s="14" t="s">
        <v>13029</v>
      </c>
      <c r="D2982" s="15">
        <v>5.28</v>
      </c>
      <c r="E2982" s="16" t="s">
        <v>30</v>
      </c>
    </row>
    <row r="2983" spans="1:5" x14ac:dyDescent="0.25">
      <c r="A2983" s="14">
        <v>574898</v>
      </c>
      <c r="B2983" s="14" t="s">
        <v>3104</v>
      </c>
      <c r="C2983" s="14" t="s">
        <v>13029</v>
      </c>
      <c r="D2983" s="15">
        <v>11.81</v>
      </c>
      <c r="E2983" s="16" t="s">
        <v>30</v>
      </c>
    </row>
    <row r="2984" spans="1:5" x14ac:dyDescent="0.25">
      <c r="A2984" s="14">
        <v>574914</v>
      </c>
      <c r="B2984" s="14" t="s">
        <v>3105</v>
      </c>
      <c r="C2984" s="14" t="s">
        <v>13029</v>
      </c>
      <c r="D2984" s="15">
        <v>13.37</v>
      </c>
      <c r="E2984" s="14" t="s">
        <v>30</v>
      </c>
    </row>
    <row r="2985" spans="1:5" x14ac:dyDescent="0.25">
      <c r="A2985" s="14">
        <v>574919</v>
      </c>
      <c r="B2985" s="14" t="s">
        <v>3106</v>
      </c>
      <c r="C2985" s="14" t="s">
        <v>13029</v>
      </c>
      <c r="D2985" s="15">
        <v>11.8</v>
      </c>
      <c r="E2985" s="16" t="s">
        <v>30</v>
      </c>
    </row>
    <row r="2986" spans="1:5" x14ac:dyDescent="0.25">
      <c r="A2986" s="14">
        <v>575370</v>
      </c>
      <c r="B2986" s="14" t="s">
        <v>3107</v>
      </c>
      <c r="C2986" s="14" t="s">
        <v>13029</v>
      </c>
      <c r="D2986" s="15">
        <v>8.75</v>
      </c>
      <c r="E2986" s="16" t="s">
        <v>30</v>
      </c>
    </row>
    <row r="2987" spans="1:5" x14ac:dyDescent="0.25">
      <c r="A2987" s="14">
        <v>575382</v>
      </c>
      <c r="B2987" s="14" t="s">
        <v>3108</v>
      </c>
      <c r="C2987" s="14" t="s">
        <v>13029</v>
      </c>
      <c r="D2987" s="15">
        <v>23.51</v>
      </c>
      <c r="E2987" s="16" t="s">
        <v>30</v>
      </c>
    </row>
    <row r="2988" spans="1:5" x14ac:dyDescent="0.25">
      <c r="A2988" s="14">
        <v>575383</v>
      </c>
      <c r="B2988" s="14" t="s">
        <v>3109</v>
      </c>
      <c r="C2988" s="14" t="s">
        <v>13029</v>
      </c>
      <c r="D2988" s="15">
        <v>29.6</v>
      </c>
      <c r="E2988" s="16" t="s">
        <v>30</v>
      </c>
    </row>
    <row r="2989" spans="1:5" x14ac:dyDescent="0.25">
      <c r="A2989" s="14">
        <v>575410</v>
      </c>
      <c r="B2989" s="14" t="s">
        <v>3110</v>
      </c>
      <c r="C2989" s="14" t="s">
        <v>13029</v>
      </c>
      <c r="D2989" s="15">
        <v>7.01</v>
      </c>
      <c r="E2989" s="16" t="s">
        <v>30</v>
      </c>
    </row>
    <row r="2990" spans="1:5" x14ac:dyDescent="0.25">
      <c r="A2990" s="14">
        <v>575482</v>
      </c>
      <c r="B2990" s="14" t="s">
        <v>3111</v>
      </c>
      <c r="C2990" s="14" t="s">
        <v>13029</v>
      </c>
      <c r="D2990" s="15">
        <v>4.83</v>
      </c>
      <c r="E2990" s="16" t="s">
        <v>30</v>
      </c>
    </row>
    <row r="2991" spans="1:5" x14ac:dyDescent="0.25">
      <c r="A2991" s="14">
        <v>575509</v>
      </c>
      <c r="B2991" s="14" t="s">
        <v>3112</v>
      </c>
      <c r="C2991" s="14" t="s">
        <v>13029</v>
      </c>
      <c r="D2991" s="15">
        <v>12.18</v>
      </c>
      <c r="E2991" s="16" t="s">
        <v>30</v>
      </c>
    </row>
    <row r="2992" spans="1:5" x14ac:dyDescent="0.25">
      <c r="A2992" s="14">
        <v>575764</v>
      </c>
      <c r="B2992" s="14" t="s">
        <v>3113</v>
      </c>
      <c r="C2992" s="14" t="s">
        <v>13030</v>
      </c>
      <c r="D2992" s="15">
        <v>80.150000000000006</v>
      </c>
      <c r="E2992" s="16" t="s">
        <v>30</v>
      </c>
    </row>
    <row r="2993" spans="1:5" x14ac:dyDescent="0.25">
      <c r="A2993" s="14">
        <v>575935</v>
      </c>
      <c r="B2993" s="14" t="s">
        <v>3114</v>
      </c>
      <c r="C2993" s="14" t="s">
        <v>13029</v>
      </c>
      <c r="D2993" s="15">
        <v>13.17</v>
      </c>
      <c r="E2993" s="16" t="s">
        <v>30</v>
      </c>
    </row>
    <row r="2994" spans="1:5" x14ac:dyDescent="0.25">
      <c r="A2994" s="14">
        <v>576117</v>
      </c>
      <c r="B2994" s="14" t="s">
        <v>3115</v>
      </c>
      <c r="C2994" s="14" t="s">
        <v>13030</v>
      </c>
      <c r="D2994" s="15">
        <v>27.18</v>
      </c>
      <c r="E2994" s="16" t="s">
        <v>30</v>
      </c>
    </row>
    <row r="2995" spans="1:5" x14ac:dyDescent="0.25">
      <c r="A2995" s="14">
        <v>576118</v>
      </c>
      <c r="B2995" s="14" t="s">
        <v>3116</v>
      </c>
      <c r="C2995" s="14" t="s">
        <v>13030</v>
      </c>
      <c r="D2995" s="15">
        <v>18.170000000000002</v>
      </c>
      <c r="E2995" s="16" t="s">
        <v>30</v>
      </c>
    </row>
    <row r="2996" spans="1:5" x14ac:dyDescent="0.25">
      <c r="A2996" s="14">
        <v>576323</v>
      </c>
      <c r="B2996" s="14" t="s">
        <v>3117</v>
      </c>
      <c r="C2996" s="14" t="s">
        <v>13031</v>
      </c>
      <c r="D2996" s="15">
        <v>4.95</v>
      </c>
      <c r="E2996" s="16" t="s">
        <v>30</v>
      </c>
    </row>
    <row r="2997" spans="1:5" x14ac:dyDescent="0.25">
      <c r="A2997" s="14">
        <v>576336</v>
      </c>
      <c r="B2997" s="14" t="s">
        <v>3118</v>
      </c>
      <c r="C2997" s="14" t="s">
        <v>13031</v>
      </c>
      <c r="D2997" s="15">
        <v>5.2</v>
      </c>
      <c r="E2997" s="16" t="s">
        <v>30</v>
      </c>
    </row>
    <row r="2998" spans="1:5" x14ac:dyDescent="0.25">
      <c r="A2998" s="14">
        <v>543529</v>
      </c>
      <c r="B2998" s="14" t="s">
        <v>3119</v>
      </c>
      <c r="C2998" s="14" t="s">
        <v>13031</v>
      </c>
      <c r="D2998" s="15">
        <v>11.48</v>
      </c>
      <c r="E2998" s="16" t="s">
        <v>20</v>
      </c>
    </row>
    <row r="2999" spans="1:5" x14ac:dyDescent="0.25">
      <c r="A2999" s="14">
        <v>576405</v>
      </c>
      <c r="B2999" s="14" t="s">
        <v>3120</v>
      </c>
      <c r="C2999" s="14" t="s">
        <v>13031</v>
      </c>
      <c r="D2999" s="15">
        <v>10.64</v>
      </c>
      <c r="E2999" s="16" t="s">
        <v>30</v>
      </c>
    </row>
    <row r="3000" spans="1:5" x14ac:dyDescent="0.25">
      <c r="A3000" s="14">
        <v>576485</v>
      </c>
      <c r="B3000" s="14" t="s">
        <v>3121</v>
      </c>
      <c r="C3000" s="14" t="s">
        <v>13031</v>
      </c>
      <c r="D3000" s="15">
        <v>2.63</v>
      </c>
      <c r="E3000" s="16" t="s">
        <v>30</v>
      </c>
    </row>
    <row r="3001" spans="1:5" x14ac:dyDescent="0.25">
      <c r="A3001" s="14">
        <v>576488</v>
      </c>
      <c r="B3001" s="14" t="s">
        <v>3122</v>
      </c>
      <c r="C3001" s="14" t="s">
        <v>13031</v>
      </c>
      <c r="D3001" s="15">
        <v>15.34</v>
      </c>
      <c r="E3001" s="16" t="s">
        <v>30</v>
      </c>
    </row>
    <row r="3002" spans="1:5" x14ac:dyDescent="0.25">
      <c r="A3002" s="14">
        <v>576489</v>
      </c>
      <c r="B3002" s="14" t="s">
        <v>3123</v>
      </c>
      <c r="C3002" s="14" t="s">
        <v>13031</v>
      </c>
      <c r="D3002" s="15">
        <v>15.34</v>
      </c>
      <c r="E3002" s="16" t="s">
        <v>30</v>
      </c>
    </row>
    <row r="3003" spans="1:5" x14ac:dyDescent="0.25">
      <c r="A3003" s="14">
        <v>576496</v>
      </c>
      <c r="B3003" s="14" t="s">
        <v>3124</v>
      </c>
      <c r="C3003" s="14" t="s">
        <v>13031</v>
      </c>
      <c r="D3003" s="15">
        <v>6.53</v>
      </c>
      <c r="E3003" s="16" t="s">
        <v>30</v>
      </c>
    </row>
    <row r="3004" spans="1:5" x14ac:dyDescent="0.25">
      <c r="A3004" s="14">
        <v>543531</v>
      </c>
      <c r="B3004" s="14" t="s">
        <v>3125</v>
      </c>
      <c r="C3004" s="14" t="s">
        <v>13031</v>
      </c>
      <c r="D3004" s="15">
        <v>11.88</v>
      </c>
      <c r="E3004" s="16" t="s">
        <v>20</v>
      </c>
    </row>
    <row r="3005" spans="1:5" x14ac:dyDescent="0.25">
      <c r="A3005" s="14">
        <v>576686</v>
      </c>
      <c r="B3005" s="14" t="s">
        <v>3126</v>
      </c>
      <c r="C3005" s="14" t="s">
        <v>13036</v>
      </c>
      <c r="D3005" s="15">
        <v>3.45</v>
      </c>
      <c r="E3005" s="16" t="s">
        <v>30</v>
      </c>
    </row>
    <row r="3006" spans="1:5" x14ac:dyDescent="0.25">
      <c r="A3006" s="14">
        <v>577077</v>
      </c>
      <c r="B3006" s="14" t="s">
        <v>3127</v>
      </c>
      <c r="C3006" s="14" t="s">
        <v>13030</v>
      </c>
      <c r="D3006" s="15">
        <v>319.58999999999997</v>
      </c>
      <c r="E3006" s="16" t="s">
        <v>30</v>
      </c>
    </row>
    <row r="3007" spans="1:5" x14ac:dyDescent="0.25">
      <c r="A3007" s="14">
        <v>577082</v>
      </c>
      <c r="B3007" s="14" t="s">
        <v>3128</v>
      </c>
      <c r="C3007" s="14" t="s">
        <v>13031</v>
      </c>
      <c r="D3007" s="15">
        <v>13.64</v>
      </c>
      <c r="E3007" s="16" t="s">
        <v>30</v>
      </c>
    </row>
    <row r="3008" spans="1:5" x14ac:dyDescent="0.25">
      <c r="A3008" s="14">
        <v>577084</v>
      </c>
      <c r="B3008" s="14" t="s">
        <v>3129</v>
      </c>
      <c r="C3008" s="14" t="s">
        <v>13031</v>
      </c>
      <c r="D3008" s="15">
        <v>13.64</v>
      </c>
      <c r="E3008" s="16" t="s">
        <v>30</v>
      </c>
    </row>
    <row r="3009" spans="1:5" x14ac:dyDescent="0.25">
      <c r="A3009" s="14">
        <v>577086</v>
      </c>
      <c r="B3009" s="14" t="s">
        <v>3130</v>
      </c>
      <c r="C3009" s="14" t="s">
        <v>13031</v>
      </c>
      <c r="D3009" s="15">
        <v>13.64</v>
      </c>
      <c r="E3009" s="16" t="s">
        <v>30</v>
      </c>
    </row>
    <row r="3010" spans="1:5" x14ac:dyDescent="0.25">
      <c r="A3010" s="14">
        <v>577088</v>
      </c>
      <c r="B3010" s="14" t="s">
        <v>3131</v>
      </c>
      <c r="C3010" s="14" t="s">
        <v>13031</v>
      </c>
      <c r="D3010" s="15">
        <v>11.86</v>
      </c>
      <c r="E3010" s="16" t="s">
        <v>30</v>
      </c>
    </row>
    <row r="3011" spans="1:5" x14ac:dyDescent="0.25">
      <c r="A3011" s="14">
        <v>577090</v>
      </c>
      <c r="B3011" s="14" t="s">
        <v>3132</v>
      </c>
      <c r="C3011" s="14" t="s">
        <v>13031</v>
      </c>
      <c r="D3011" s="15">
        <v>142.37</v>
      </c>
      <c r="E3011" s="16" t="s">
        <v>30</v>
      </c>
    </row>
    <row r="3012" spans="1:5" x14ac:dyDescent="0.25">
      <c r="A3012" s="14">
        <v>577091</v>
      </c>
      <c r="B3012" s="14" t="s">
        <v>3133</v>
      </c>
      <c r="C3012" s="14" t="s">
        <v>13031</v>
      </c>
      <c r="D3012" s="15">
        <v>13.64</v>
      </c>
      <c r="E3012" s="16" t="s">
        <v>30</v>
      </c>
    </row>
    <row r="3013" spans="1:5" x14ac:dyDescent="0.25">
      <c r="A3013" s="14">
        <v>577138</v>
      </c>
      <c r="B3013" s="14" t="s">
        <v>3134</v>
      </c>
      <c r="C3013" s="14" t="s">
        <v>13030</v>
      </c>
      <c r="D3013" s="15">
        <v>55.52</v>
      </c>
      <c r="E3013" s="16" t="s">
        <v>30</v>
      </c>
    </row>
    <row r="3014" spans="1:5" x14ac:dyDescent="0.25">
      <c r="A3014" s="14">
        <v>543532</v>
      </c>
      <c r="B3014" s="14" t="s">
        <v>3135</v>
      </c>
      <c r="C3014" s="14" t="s">
        <v>13031</v>
      </c>
      <c r="D3014" s="15">
        <v>8.7100000000000009</v>
      </c>
      <c r="E3014" s="16" t="s">
        <v>20</v>
      </c>
    </row>
    <row r="3015" spans="1:5" x14ac:dyDescent="0.25">
      <c r="A3015" s="14">
        <v>577182</v>
      </c>
      <c r="B3015" s="14" t="s">
        <v>3136</v>
      </c>
      <c r="C3015" s="14" t="s">
        <v>13029</v>
      </c>
      <c r="D3015" s="15">
        <v>18.559999999999999</v>
      </c>
      <c r="E3015" s="16" t="s">
        <v>30</v>
      </c>
    </row>
    <row r="3016" spans="1:5" x14ac:dyDescent="0.25">
      <c r="A3016" s="14">
        <v>577236</v>
      </c>
      <c r="B3016" s="14" t="s">
        <v>3137</v>
      </c>
      <c r="C3016" s="14" t="s">
        <v>13030</v>
      </c>
      <c r="D3016" s="15">
        <v>90.93</v>
      </c>
      <c r="E3016" s="16" t="s">
        <v>30</v>
      </c>
    </row>
    <row r="3017" spans="1:5" x14ac:dyDescent="0.25">
      <c r="A3017" s="14">
        <v>577519</v>
      </c>
      <c r="B3017" s="14" t="s">
        <v>3138</v>
      </c>
      <c r="C3017" s="14" t="s">
        <v>13029</v>
      </c>
      <c r="D3017" s="15">
        <v>37.31</v>
      </c>
      <c r="E3017" s="16" t="s">
        <v>30</v>
      </c>
    </row>
    <row r="3018" spans="1:5" x14ac:dyDescent="0.25">
      <c r="A3018" s="14">
        <v>700000</v>
      </c>
      <c r="B3018" s="14" t="s">
        <v>3139</v>
      </c>
      <c r="C3018" s="14" t="s">
        <v>13030</v>
      </c>
      <c r="D3018" s="15">
        <v>35.1</v>
      </c>
      <c r="E3018" s="16" t="s">
        <v>30</v>
      </c>
    </row>
    <row r="3019" spans="1:5" x14ac:dyDescent="0.25">
      <c r="A3019" s="14">
        <v>700001</v>
      </c>
      <c r="B3019" s="14" t="s">
        <v>3140</v>
      </c>
      <c r="C3019" s="14" t="s">
        <v>13030</v>
      </c>
      <c r="D3019" s="15">
        <v>40.299999999999997</v>
      </c>
      <c r="E3019" s="16" t="s">
        <v>30</v>
      </c>
    </row>
    <row r="3020" spans="1:5" x14ac:dyDescent="0.25">
      <c r="A3020" s="14">
        <v>700002</v>
      </c>
      <c r="B3020" s="14" t="s">
        <v>3141</v>
      </c>
      <c r="C3020" s="14" t="s">
        <v>13030</v>
      </c>
      <c r="D3020" s="15">
        <v>35.549999999999997</v>
      </c>
      <c r="E3020" s="16" t="s">
        <v>30</v>
      </c>
    </row>
    <row r="3021" spans="1:5" x14ac:dyDescent="0.25">
      <c r="A3021" s="14">
        <v>556795</v>
      </c>
      <c r="B3021" s="14" t="s">
        <v>3142</v>
      </c>
      <c r="C3021" s="14" t="s">
        <v>13030</v>
      </c>
      <c r="D3021" s="15">
        <v>29.03</v>
      </c>
      <c r="E3021" s="16" t="s">
        <v>20</v>
      </c>
    </row>
    <row r="3022" spans="1:5" x14ac:dyDescent="0.25">
      <c r="A3022" s="14">
        <v>700003</v>
      </c>
      <c r="B3022" s="14" t="s">
        <v>3143</v>
      </c>
      <c r="C3022" s="14" t="s">
        <v>13030</v>
      </c>
      <c r="D3022" s="15">
        <v>28.06</v>
      </c>
      <c r="E3022" s="16" t="s">
        <v>30</v>
      </c>
    </row>
    <row r="3023" spans="1:5" x14ac:dyDescent="0.25">
      <c r="A3023" s="14">
        <v>700004</v>
      </c>
      <c r="B3023" s="14" t="s">
        <v>3144</v>
      </c>
      <c r="C3023" s="14" t="s">
        <v>13030</v>
      </c>
      <c r="D3023" s="15">
        <v>39.549999999999997</v>
      </c>
      <c r="E3023" s="16" t="s">
        <v>30</v>
      </c>
    </row>
    <row r="3024" spans="1:5" x14ac:dyDescent="0.25">
      <c r="A3024" s="14">
        <v>700005</v>
      </c>
      <c r="B3024" s="14" t="s">
        <v>3145</v>
      </c>
      <c r="C3024" s="14" t="s">
        <v>13030</v>
      </c>
      <c r="D3024" s="15">
        <v>45.91</v>
      </c>
      <c r="E3024" s="16" t="s">
        <v>30</v>
      </c>
    </row>
    <row r="3025" spans="1:5" x14ac:dyDescent="0.25">
      <c r="A3025" s="14">
        <v>558891</v>
      </c>
      <c r="B3025" s="14" t="s">
        <v>3146</v>
      </c>
      <c r="C3025" s="14" t="s">
        <v>13031</v>
      </c>
      <c r="D3025" s="15">
        <v>20.57</v>
      </c>
      <c r="E3025" s="16" t="s">
        <v>20</v>
      </c>
    </row>
    <row r="3026" spans="1:5" x14ac:dyDescent="0.25">
      <c r="A3026" s="14">
        <v>558892</v>
      </c>
      <c r="B3026" s="14" t="s">
        <v>3147</v>
      </c>
      <c r="C3026" s="14" t="s">
        <v>13031</v>
      </c>
      <c r="D3026" s="15">
        <v>11.56</v>
      </c>
      <c r="E3026" s="16" t="s">
        <v>20</v>
      </c>
    </row>
    <row r="3027" spans="1:5" x14ac:dyDescent="0.25">
      <c r="A3027" s="14">
        <v>700006</v>
      </c>
      <c r="B3027" s="14" t="s">
        <v>3148</v>
      </c>
      <c r="C3027" s="14" t="s">
        <v>13030</v>
      </c>
      <c r="D3027" s="15">
        <v>32.340000000000003</v>
      </c>
      <c r="E3027" s="16" t="s">
        <v>30</v>
      </c>
    </row>
    <row r="3028" spans="1:5" x14ac:dyDescent="0.25">
      <c r="A3028" s="14">
        <v>700007</v>
      </c>
      <c r="B3028" s="14" t="s">
        <v>3149</v>
      </c>
      <c r="C3028" s="14" t="s">
        <v>13030</v>
      </c>
      <c r="D3028" s="15">
        <v>46.68</v>
      </c>
      <c r="E3028" s="16" t="s">
        <v>30</v>
      </c>
    </row>
    <row r="3029" spans="1:5" x14ac:dyDescent="0.25">
      <c r="A3029" s="14">
        <v>700008</v>
      </c>
      <c r="B3029" s="14" t="s">
        <v>3150</v>
      </c>
      <c r="C3029" s="14" t="s">
        <v>13030</v>
      </c>
      <c r="D3029" s="15">
        <v>46.75</v>
      </c>
      <c r="E3029" s="16" t="s">
        <v>30</v>
      </c>
    </row>
    <row r="3030" spans="1:5" x14ac:dyDescent="0.25">
      <c r="A3030" s="14">
        <v>558894</v>
      </c>
      <c r="B3030" s="14" t="s">
        <v>3151</v>
      </c>
      <c r="C3030" s="14" t="s">
        <v>13031</v>
      </c>
      <c r="D3030" s="15">
        <v>40.700000000000003</v>
      </c>
      <c r="E3030" s="16" t="s">
        <v>20</v>
      </c>
    </row>
    <row r="3031" spans="1:5" x14ac:dyDescent="0.25">
      <c r="A3031" s="14">
        <v>700009</v>
      </c>
      <c r="B3031" s="14" t="s">
        <v>3152</v>
      </c>
      <c r="C3031" s="14" t="s">
        <v>13030</v>
      </c>
      <c r="D3031" s="15">
        <v>64.709999999999994</v>
      </c>
      <c r="E3031" s="16" t="s">
        <v>30</v>
      </c>
    </row>
    <row r="3032" spans="1:5" x14ac:dyDescent="0.25">
      <c r="A3032" s="14">
        <v>700017</v>
      </c>
      <c r="B3032" s="14" t="s">
        <v>3153</v>
      </c>
      <c r="C3032" s="14" t="s">
        <v>13030</v>
      </c>
      <c r="D3032" s="15">
        <v>41.62</v>
      </c>
      <c r="E3032" s="16" t="s">
        <v>30</v>
      </c>
    </row>
    <row r="3033" spans="1:5" x14ac:dyDescent="0.25">
      <c r="A3033" s="14">
        <v>700018</v>
      </c>
      <c r="B3033" s="14" t="s">
        <v>3154</v>
      </c>
      <c r="C3033" s="14" t="s">
        <v>13030</v>
      </c>
      <c r="D3033" s="15">
        <v>41.62</v>
      </c>
      <c r="E3033" s="16" t="s">
        <v>30</v>
      </c>
    </row>
    <row r="3034" spans="1:5" x14ac:dyDescent="0.25">
      <c r="A3034" s="14">
        <v>700390</v>
      </c>
      <c r="B3034" s="14" t="s">
        <v>3155</v>
      </c>
      <c r="C3034" s="14" t="s">
        <v>13029</v>
      </c>
      <c r="D3034" s="15">
        <v>13.27</v>
      </c>
      <c r="E3034" s="16" t="s">
        <v>30</v>
      </c>
    </row>
    <row r="3035" spans="1:5" x14ac:dyDescent="0.25">
      <c r="A3035" s="14">
        <v>700391</v>
      </c>
      <c r="B3035" s="14" t="s">
        <v>3156</v>
      </c>
      <c r="C3035" s="14" t="s">
        <v>13029</v>
      </c>
      <c r="D3035" s="15">
        <v>14.66</v>
      </c>
      <c r="E3035" s="16" t="s">
        <v>30</v>
      </c>
    </row>
    <row r="3036" spans="1:5" x14ac:dyDescent="0.25">
      <c r="A3036" s="14">
        <v>700477</v>
      </c>
      <c r="B3036" s="14" t="s">
        <v>3157</v>
      </c>
      <c r="C3036" s="14" t="s">
        <v>13035</v>
      </c>
      <c r="D3036" s="15">
        <v>7.66</v>
      </c>
      <c r="E3036" s="16" t="s">
        <v>30</v>
      </c>
    </row>
    <row r="3037" spans="1:5" x14ac:dyDescent="0.25">
      <c r="A3037" s="14">
        <v>700478</v>
      </c>
      <c r="B3037" s="14" t="s">
        <v>3158</v>
      </c>
      <c r="C3037" s="14" t="s">
        <v>13035</v>
      </c>
      <c r="D3037" s="15">
        <v>7.66</v>
      </c>
      <c r="E3037" s="16" t="s">
        <v>30</v>
      </c>
    </row>
    <row r="3038" spans="1:5" x14ac:dyDescent="0.25">
      <c r="A3038" s="14">
        <v>700479</v>
      </c>
      <c r="B3038" s="14" t="s">
        <v>3159</v>
      </c>
      <c r="C3038" s="14" t="s">
        <v>13035</v>
      </c>
      <c r="D3038" s="15">
        <v>7.68</v>
      </c>
      <c r="E3038" s="16" t="s">
        <v>30</v>
      </c>
    </row>
    <row r="3039" spans="1:5" x14ac:dyDescent="0.25">
      <c r="A3039" s="14">
        <v>700480</v>
      </c>
      <c r="B3039" s="14" t="s">
        <v>3160</v>
      </c>
      <c r="C3039" s="14" t="s">
        <v>13035</v>
      </c>
      <c r="D3039" s="15">
        <v>7.68</v>
      </c>
      <c r="E3039" s="16" t="s">
        <v>30</v>
      </c>
    </row>
    <row r="3040" spans="1:5" x14ac:dyDescent="0.25">
      <c r="A3040" s="14">
        <v>700795</v>
      </c>
      <c r="B3040" s="14" t="s">
        <v>3161</v>
      </c>
      <c r="C3040" s="14" t="s">
        <v>13031</v>
      </c>
      <c r="D3040" s="15">
        <v>17.29</v>
      </c>
      <c r="E3040" s="16" t="s">
        <v>30</v>
      </c>
    </row>
    <row r="3041" spans="1:5" x14ac:dyDescent="0.25">
      <c r="A3041" s="14">
        <v>700858</v>
      </c>
      <c r="B3041" s="14" t="s">
        <v>3162</v>
      </c>
      <c r="C3041" s="14" t="s">
        <v>13031</v>
      </c>
      <c r="D3041" s="15">
        <v>2.23</v>
      </c>
      <c r="E3041" s="16" t="s">
        <v>30</v>
      </c>
    </row>
    <row r="3042" spans="1:5" x14ac:dyDescent="0.25">
      <c r="A3042" s="14">
        <v>700892</v>
      </c>
      <c r="B3042" s="14" t="s">
        <v>3163</v>
      </c>
      <c r="C3042" s="14" t="s">
        <v>13031</v>
      </c>
      <c r="D3042" s="15">
        <v>5.4</v>
      </c>
      <c r="E3042" s="16" t="s">
        <v>30</v>
      </c>
    </row>
    <row r="3043" spans="1:5" x14ac:dyDescent="0.25">
      <c r="A3043" s="14">
        <v>700895</v>
      </c>
      <c r="B3043" s="14" t="s">
        <v>3164</v>
      </c>
      <c r="C3043" s="14" t="s">
        <v>13031</v>
      </c>
      <c r="D3043" s="15">
        <v>8.25</v>
      </c>
      <c r="E3043" s="16" t="s">
        <v>30</v>
      </c>
    </row>
    <row r="3044" spans="1:5" x14ac:dyDescent="0.25">
      <c r="A3044" s="14">
        <v>700896</v>
      </c>
      <c r="B3044" s="14" t="s">
        <v>3165</v>
      </c>
      <c r="C3044" s="14" t="s">
        <v>13031</v>
      </c>
      <c r="D3044" s="15">
        <v>6.25</v>
      </c>
      <c r="E3044" s="16" t="s">
        <v>30</v>
      </c>
    </row>
    <row r="3045" spans="1:5" x14ac:dyDescent="0.25">
      <c r="A3045" s="14">
        <v>700899</v>
      </c>
      <c r="B3045" s="14" t="s">
        <v>3166</v>
      </c>
      <c r="C3045" s="14" t="s">
        <v>13031</v>
      </c>
      <c r="D3045" s="15">
        <v>4.5</v>
      </c>
      <c r="E3045" s="16" t="s">
        <v>30</v>
      </c>
    </row>
    <row r="3046" spans="1:5" x14ac:dyDescent="0.25">
      <c r="A3046" s="14">
        <v>701002</v>
      </c>
      <c r="B3046" s="14" t="s">
        <v>3167</v>
      </c>
      <c r="C3046" s="14" t="s">
        <v>13029</v>
      </c>
      <c r="D3046" s="15">
        <v>10.78</v>
      </c>
      <c r="E3046" s="16" t="s">
        <v>30</v>
      </c>
    </row>
    <row r="3047" spans="1:5" x14ac:dyDescent="0.25">
      <c r="A3047" s="14">
        <v>701076</v>
      </c>
      <c r="B3047" s="14" t="s">
        <v>3168</v>
      </c>
      <c r="C3047" s="14" t="s">
        <v>13030</v>
      </c>
      <c r="D3047" s="15">
        <v>14.77</v>
      </c>
      <c r="E3047" s="16" t="s">
        <v>30</v>
      </c>
    </row>
    <row r="3048" spans="1:5" x14ac:dyDescent="0.25">
      <c r="A3048" s="14">
        <v>701117</v>
      </c>
      <c r="B3048" s="14" t="s">
        <v>3169</v>
      </c>
      <c r="C3048" s="14" t="s">
        <v>13031</v>
      </c>
      <c r="D3048" s="15">
        <v>16.27</v>
      </c>
      <c r="E3048" s="16" t="s">
        <v>30</v>
      </c>
    </row>
    <row r="3049" spans="1:5" x14ac:dyDescent="0.25">
      <c r="A3049" s="14">
        <v>701118</v>
      </c>
      <c r="B3049" s="14" t="s">
        <v>3170</v>
      </c>
      <c r="C3049" s="14" t="s">
        <v>13031</v>
      </c>
      <c r="D3049" s="15">
        <v>7.6</v>
      </c>
      <c r="E3049" s="16" t="s">
        <v>30</v>
      </c>
    </row>
    <row r="3050" spans="1:5" x14ac:dyDescent="0.25">
      <c r="A3050" s="14">
        <v>701428</v>
      </c>
      <c r="B3050" s="14" t="s">
        <v>3171</v>
      </c>
      <c r="C3050" s="14" t="s">
        <v>13031</v>
      </c>
      <c r="D3050" s="15">
        <v>7.06</v>
      </c>
      <c r="E3050" s="16" t="s">
        <v>30</v>
      </c>
    </row>
    <row r="3051" spans="1:5" x14ac:dyDescent="0.25">
      <c r="A3051" s="14">
        <v>701431</v>
      </c>
      <c r="B3051" s="14" t="s">
        <v>3172</v>
      </c>
      <c r="C3051" s="14" t="s">
        <v>13031</v>
      </c>
      <c r="D3051" s="15">
        <v>6.95</v>
      </c>
      <c r="E3051" s="16" t="s">
        <v>30</v>
      </c>
    </row>
    <row r="3052" spans="1:5" x14ac:dyDescent="0.25">
      <c r="A3052" s="14">
        <v>701434</v>
      </c>
      <c r="B3052" s="14" t="s">
        <v>3173</v>
      </c>
      <c r="C3052" s="14" t="s">
        <v>13031</v>
      </c>
      <c r="D3052" s="15">
        <v>4.6500000000000004</v>
      </c>
      <c r="E3052" s="16" t="s">
        <v>30</v>
      </c>
    </row>
    <row r="3053" spans="1:5" x14ac:dyDescent="0.25">
      <c r="A3053" s="14">
        <v>701435</v>
      </c>
      <c r="B3053" s="14" t="s">
        <v>3174</v>
      </c>
      <c r="C3053" s="14" t="s">
        <v>13031</v>
      </c>
      <c r="D3053" s="15">
        <v>5.5</v>
      </c>
      <c r="E3053" s="16" t="s">
        <v>30</v>
      </c>
    </row>
    <row r="3054" spans="1:5" x14ac:dyDescent="0.25">
      <c r="A3054" s="14">
        <v>701436</v>
      </c>
      <c r="B3054" s="14" t="s">
        <v>3175</v>
      </c>
      <c r="C3054" s="14" t="s">
        <v>13031</v>
      </c>
      <c r="D3054" s="15">
        <v>5.6</v>
      </c>
      <c r="E3054" s="16" t="s">
        <v>30</v>
      </c>
    </row>
    <row r="3055" spans="1:5" x14ac:dyDescent="0.25">
      <c r="A3055" s="14">
        <v>701439</v>
      </c>
      <c r="B3055" s="14" t="s">
        <v>3176</v>
      </c>
      <c r="C3055" s="14" t="s">
        <v>13031</v>
      </c>
      <c r="D3055" s="15">
        <v>4.45</v>
      </c>
      <c r="E3055" s="16" t="s">
        <v>30</v>
      </c>
    </row>
    <row r="3056" spans="1:5" x14ac:dyDescent="0.25">
      <c r="A3056" s="14">
        <v>701440</v>
      </c>
      <c r="B3056" s="14" t="s">
        <v>3177</v>
      </c>
      <c r="C3056" s="14" t="s">
        <v>13031</v>
      </c>
      <c r="D3056" s="15">
        <v>5.35</v>
      </c>
      <c r="E3056" s="16" t="s">
        <v>30</v>
      </c>
    </row>
    <row r="3057" spans="1:5" x14ac:dyDescent="0.25">
      <c r="A3057" s="14">
        <v>701456</v>
      </c>
      <c r="B3057" s="14" t="s">
        <v>3178</v>
      </c>
      <c r="C3057" s="14" t="s">
        <v>13031</v>
      </c>
      <c r="D3057" s="15">
        <v>12.99</v>
      </c>
      <c r="E3057" s="16" t="s">
        <v>30</v>
      </c>
    </row>
    <row r="3058" spans="1:5" x14ac:dyDescent="0.25">
      <c r="A3058" s="14">
        <v>701457</v>
      </c>
      <c r="B3058" s="14" t="s">
        <v>3179</v>
      </c>
      <c r="C3058" s="14" t="s">
        <v>13031</v>
      </c>
      <c r="D3058" s="15">
        <v>12.99</v>
      </c>
      <c r="E3058" s="16" t="s">
        <v>30</v>
      </c>
    </row>
    <row r="3059" spans="1:5" x14ac:dyDescent="0.25">
      <c r="A3059" s="14">
        <v>701459</v>
      </c>
      <c r="B3059" s="14" t="s">
        <v>3180</v>
      </c>
      <c r="C3059" s="14" t="s">
        <v>13031</v>
      </c>
      <c r="D3059" s="15">
        <v>13.64</v>
      </c>
      <c r="E3059" s="16" t="s">
        <v>30</v>
      </c>
    </row>
    <row r="3060" spans="1:5" x14ac:dyDescent="0.25">
      <c r="A3060" s="14">
        <v>701460</v>
      </c>
      <c r="B3060" s="14" t="s">
        <v>3181</v>
      </c>
      <c r="C3060" s="14" t="s">
        <v>13031</v>
      </c>
      <c r="D3060" s="15">
        <v>13.64</v>
      </c>
      <c r="E3060" s="16" t="s">
        <v>30</v>
      </c>
    </row>
    <row r="3061" spans="1:5" x14ac:dyDescent="0.25">
      <c r="A3061" s="14">
        <v>701462</v>
      </c>
      <c r="B3061" s="14" t="s">
        <v>3182</v>
      </c>
      <c r="C3061" s="14" t="s">
        <v>13031</v>
      </c>
      <c r="D3061" s="15">
        <v>13.64</v>
      </c>
      <c r="E3061" s="16" t="s">
        <v>30</v>
      </c>
    </row>
    <row r="3062" spans="1:5" x14ac:dyDescent="0.25">
      <c r="A3062" s="14">
        <v>701463</v>
      </c>
      <c r="B3062" s="14" t="s">
        <v>3183</v>
      </c>
      <c r="C3062" s="14" t="s">
        <v>13031</v>
      </c>
      <c r="D3062" s="15">
        <v>3.81</v>
      </c>
      <c r="E3062" s="16" t="s">
        <v>30</v>
      </c>
    </row>
    <row r="3063" spans="1:5" x14ac:dyDescent="0.25">
      <c r="A3063" s="14">
        <v>701464</v>
      </c>
      <c r="B3063" s="14" t="s">
        <v>3184</v>
      </c>
      <c r="C3063" s="14" t="s">
        <v>13031</v>
      </c>
      <c r="D3063" s="15">
        <v>3.81</v>
      </c>
      <c r="E3063" s="16" t="s">
        <v>30</v>
      </c>
    </row>
    <row r="3064" spans="1:5" x14ac:dyDescent="0.25">
      <c r="A3064" s="14">
        <v>701465</v>
      </c>
      <c r="B3064" s="14" t="s">
        <v>3185</v>
      </c>
      <c r="C3064" s="14" t="s">
        <v>13031</v>
      </c>
      <c r="D3064" s="15">
        <v>3.81</v>
      </c>
      <c r="E3064" s="16" t="s">
        <v>30</v>
      </c>
    </row>
    <row r="3065" spans="1:5" x14ac:dyDescent="0.25">
      <c r="A3065" s="14">
        <v>701479</v>
      </c>
      <c r="B3065" s="14" t="s">
        <v>3186</v>
      </c>
      <c r="C3065" s="14" t="s">
        <v>13030</v>
      </c>
      <c r="D3065" s="15">
        <v>60.95</v>
      </c>
      <c r="E3065" s="14" t="s">
        <v>30</v>
      </c>
    </row>
    <row r="3066" spans="1:5" x14ac:dyDescent="0.25">
      <c r="A3066" s="14">
        <v>701480</v>
      </c>
      <c r="B3066" s="14" t="s">
        <v>3187</v>
      </c>
      <c r="C3066" s="14" t="s">
        <v>13030</v>
      </c>
      <c r="D3066" s="15">
        <v>18.690000000000001</v>
      </c>
      <c r="E3066" s="16" t="s">
        <v>30</v>
      </c>
    </row>
    <row r="3067" spans="1:5" x14ac:dyDescent="0.25">
      <c r="A3067" s="14">
        <v>702035</v>
      </c>
      <c r="B3067" s="14" t="s">
        <v>3188</v>
      </c>
      <c r="C3067" s="14" t="s">
        <v>13029</v>
      </c>
      <c r="D3067" s="15">
        <v>23.58</v>
      </c>
      <c r="E3067" s="16" t="s">
        <v>30</v>
      </c>
    </row>
    <row r="3068" spans="1:5" x14ac:dyDescent="0.25">
      <c r="A3068" s="14">
        <v>702145</v>
      </c>
      <c r="B3068" s="14" t="s">
        <v>3189</v>
      </c>
      <c r="C3068" s="14" t="s">
        <v>13030</v>
      </c>
      <c r="D3068" s="15">
        <v>101.69</v>
      </c>
      <c r="E3068" s="16" t="s">
        <v>30</v>
      </c>
    </row>
    <row r="3069" spans="1:5" x14ac:dyDescent="0.25">
      <c r="A3069" s="14">
        <v>702323</v>
      </c>
      <c r="B3069" s="14" t="s">
        <v>3190</v>
      </c>
      <c r="C3069" s="14" t="s">
        <v>13030</v>
      </c>
      <c r="D3069" s="15">
        <v>39.54</v>
      </c>
      <c r="E3069" s="16" t="s">
        <v>30</v>
      </c>
    </row>
    <row r="3070" spans="1:5" x14ac:dyDescent="0.25">
      <c r="A3070" s="14">
        <v>702362</v>
      </c>
      <c r="B3070" s="14" t="s">
        <v>3191</v>
      </c>
      <c r="C3070" s="14" t="s">
        <v>13030</v>
      </c>
      <c r="D3070" s="15">
        <v>45.54</v>
      </c>
      <c r="E3070" s="16" t="s">
        <v>30</v>
      </c>
    </row>
    <row r="3071" spans="1:5" x14ac:dyDescent="0.25">
      <c r="A3071" s="14">
        <v>702369</v>
      </c>
      <c r="B3071" s="14" t="s">
        <v>3192</v>
      </c>
      <c r="C3071" s="14" t="s">
        <v>13030</v>
      </c>
      <c r="D3071" s="15">
        <v>19.95</v>
      </c>
      <c r="E3071" s="16" t="s">
        <v>30</v>
      </c>
    </row>
    <row r="3072" spans="1:5" x14ac:dyDescent="0.25">
      <c r="A3072" s="14">
        <v>702370</v>
      </c>
      <c r="B3072" s="14" t="s">
        <v>3193</v>
      </c>
      <c r="C3072" s="14" t="s">
        <v>13030</v>
      </c>
      <c r="D3072" s="15">
        <v>19.95</v>
      </c>
      <c r="E3072" s="16" t="s">
        <v>30</v>
      </c>
    </row>
    <row r="3073" spans="1:5" x14ac:dyDescent="0.25">
      <c r="A3073" s="14">
        <v>702374</v>
      </c>
      <c r="B3073" s="14" t="s">
        <v>3194</v>
      </c>
      <c r="C3073" s="14" t="s">
        <v>13030</v>
      </c>
      <c r="D3073" s="15">
        <v>39.82</v>
      </c>
      <c r="E3073" s="16" t="s">
        <v>30</v>
      </c>
    </row>
    <row r="3074" spans="1:5" x14ac:dyDescent="0.25">
      <c r="A3074" s="14">
        <v>702667</v>
      </c>
      <c r="B3074" s="14" t="s">
        <v>3195</v>
      </c>
      <c r="C3074" s="14" t="s">
        <v>13031</v>
      </c>
      <c r="D3074" s="15">
        <v>10.38</v>
      </c>
      <c r="E3074" s="16" t="s">
        <v>30</v>
      </c>
    </row>
    <row r="3075" spans="1:5" x14ac:dyDescent="0.25">
      <c r="A3075" s="14">
        <v>702668</v>
      </c>
      <c r="B3075" s="14" t="s">
        <v>3196</v>
      </c>
      <c r="C3075" s="14" t="s">
        <v>13031</v>
      </c>
      <c r="D3075" s="15">
        <v>10.62</v>
      </c>
      <c r="E3075" s="16" t="s">
        <v>30</v>
      </c>
    </row>
    <row r="3076" spans="1:5" x14ac:dyDescent="0.25">
      <c r="A3076" s="14">
        <v>702669</v>
      </c>
      <c r="B3076" s="14" t="s">
        <v>3197</v>
      </c>
      <c r="C3076" s="14" t="s">
        <v>13031</v>
      </c>
      <c r="D3076" s="15">
        <v>11.21</v>
      </c>
      <c r="E3076" s="16" t="s">
        <v>30</v>
      </c>
    </row>
    <row r="3077" spans="1:5" x14ac:dyDescent="0.25">
      <c r="A3077" s="14">
        <v>558895</v>
      </c>
      <c r="B3077" s="14" t="s">
        <v>3198</v>
      </c>
      <c r="C3077" s="14" t="s">
        <v>13031</v>
      </c>
      <c r="D3077" s="15">
        <v>11.56</v>
      </c>
      <c r="E3077" s="16" t="s">
        <v>20</v>
      </c>
    </row>
    <row r="3078" spans="1:5" x14ac:dyDescent="0.25">
      <c r="A3078" s="14">
        <v>702736</v>
      </c>
      <c r="B3078" s="14" t="s">
        <v>3199</v>
      </c>
      <c r="C3078" s="14" t="s">
        <v>13030</v>
      </c>
      <c r="D3078" s="15">
        <v>59.28</v>
      </c>
      <c r="E3078" s="16" t="s">
        <v>30</v>
      </c>
    </row>
    <row r="3079" spans="1:5" x14ac:dyDescent="0.25">
      <c r="A3079" s="14">
        <v>702747</v>
      </c>
      <c r="B3079" s="14" t="s">
        <v>3200</v>
      </c>
      <c r="C3079" s="14" t="s">
        <v>13031</v>
      </c>
      <c r="D3079" s="15">
        <v>5.17</v>
      </c>
      <c r="E3079" s="16" t="s">
        <v>30</v>
      </c>
    </row>
    <row r="3080" spans="1:5" x14ac:dyDescent="0.25">
      <c r="A3080" s="14">
        <v>702748</v>
      </c>
      <c r="B3080" s="14" t="s">
        <v>3201</v>
      </c>
      <c r="C3080" s="14" t="s">
        <v>13031</v>
      </c>
      <c r="D3080" s="15">
        <v>5.17</v>
      </c>
      <c r="E3080" s="14" t="s">
        <v>30</v>
      </c>
    </row>
    <row r="3081" spans="1:5" x14ac:dyDescent="0.25">
      <c r="A3081" s="14">
        <v>702749</v>
      </c>
      <c r="B3081" s="14" t="s">
        <v>3202</v>
      </c>
      <c r="C3081" s="14" t="s">
        <v>13031</v>
      </c>
      <c r="D3081" s="15">
        <v>5.17</v>
      </c>
      <c r="E3081" s="16" t="s">
        <v>30</v>
      </c>
    </row>
    <row r="3082" spans="1:5" x14ac:dyDescent="0.25">
      <c r="A3082" s="14">
        <v>565917</v>
      </c>
      <c r="B3082" s="14" t="s">
        <v>3203</v>
      </c>
      <c r="C3082" s="14" t="s">
        <v>13030</v>
      </c>
      <c r="D3082" s="15">
        <v>47.85</v>
      </c>
      <c r="E3082" s="16" t="s">
        <v>20</v>
      </c>
    </row>
    <row r="3083" spans="1:5" x14ac:dyDescent="0.25">
      <c r="A3083" s="14">
        <v>565919</v>
      </c>
      <c r="B3083" s="14" t="s">
        <v>3204</v>
      </c>
      <c r="C3083" s="14" t="s">
        <v>13030</v>
      </c>
      <c r="D3083" s="15">
        <v>58.14</v>
      </c>
      <c r="E3083" s="16" t="s">
        <v>20</v>
      </c>
    </row>
    <row r="3084" spans="1:5" x14ac:dyDescent="0.25">
      <c r="A3084" s="14">
        <v>702750</v>
      </c>
      <c r="B3084" s="14" t="s">
        <v>3205</v>
      </c>
      <c r="C3084" s="14" t="s">
        <v>13031</v>
      </c>
      <c r="D3084" s="15">
        <v>5.17</v>
      </c>
      <c r="E3084" s="16" t="s">
        <v>30</v>
      </c>
    </row>
    <row r="3085" spans="1:5" x14ac:dyDescent="0.25">
      <c r="A3085" s="14">
        <v>702752</v>
      </c>
      <c r="B3085" s="14" t="s">
        <v>3206</v>
      </c>
      <c r="C3085" s="14" t="s">
        <v>13031</v>
      </c>
      <c r="D3085" s="15">
        <v>5.17</v>
      </c>
      <c r="E3085" s="16" t="s">
        <v>30</v>
      </c>
    </row>
    <row r="3086" spans="1:5" x14ac:dyDescent="0.25">
      <c r="A3086" s="14">
        <v>702818</v>
      </c>
      <c r="B3086" s="14" t="s">
        <v>3207</v>
      </c>
      <c r="C3086" s="14" t="s">
        <v>13029</v>
      </c>
      <c r="D3086" s="15">
        <v>13.6</v>
      </c>
      <c r="E3086" s="16" t="s">
        <v>30</v>
      </c>
    </row>
    <row r="3087" spans="1:5" x14ac:dyDescent="0.25">
      <c r="A3087" s="14">
        <v>702820</v>
      </c>
      <c r="B3087" s="14" t="s">
        <v>3208</v>
      </c>
      <c r="C3087" s="14" t="s">
        <v>13029</v>
      </c>
      <c r="D3087" s="15">
        <v>13.6</v>
      </c>
      <c r="E3087" s="16" t="s">
        <v>30</v>
      </c>
    </row>
    <row r="3088" spans="1:5" x14ac:dyDescent="0.25">
      <c r="A3088" s="14">
        <v>703020</v>
      </c>
      <c r="B3088" s="14" t="s">
        <v>3209</v>
      </c>
      <c r="C3088" s="14" t="s">
        <v>13031</v>
      </c>
      <c r="D3088" s="15">
        <v>3.2</v>
      </c>
      <c r="E3088" s="16" t="s">
        <v>30</v>
      </c>
    </row>
    <row r="3089" spans="1:5" x14ac:dyDescent="0.25">
      <c r="A3089" s="14">
        <v>703021</v>
      </c>
      <c r="B3089" s="14" t="s">
        <v>3210</v>
      </c>
      <c r="C3089" s="14" t="s">
        <v>13031</v>
      </c>
      <c r="D3089" s="15">
        <v>3.2</v>
      </c>
      <c r="E3089" s="16" t="s">
        <v>30</v>
      </c>
    </row>
    <row r="3090" spans="1:5" x14ac:dyDescent="0.25">
      <c r="A3090" s="14">
        <v>703022</v>
      </c>
      <c r="B3090" s="14" t="s">
        <v>3211</v>
      </c>
      <c r="C3090" s="14" t="s">
        <v>13031</v>
      </c>
      <c r="D3090" s="15">
        <v>3.2</v>
      </c>
      <c r="E3090" s="16" t="s">
        <v>30</v>
      </c>
    </row>
    <row r="3091" spans="1:5" x14ac:dyDescent="0.25">
      <c r="A3091" s="14">
        <v>703023</v>
      </c>
      <c r="B3091" s="14" t="s">
        <v>3212</v>
      </c>
      <c r="C3091" s="14" t="s">
        <v>13031</v>
      </c>
      <c r="D3091" s="15">
        <v>4</v>
      </c>
      <c r="E3091" s="16" t="s">
        <v>30</v>
      </c>
    </row>
    <row r="3092" spans="1:5" x14ac:dyDescent="0.25">
      <c r="A3092" s="14">
        <v>703033</v>
      </c>
      <c r="B3092" s="14" t="s">
        <v>3213</v>
      </c>
      <c r="C3092" s="14" t="s">
        <v>13031</v>
      </c>
      <c r="D3092" s="15">
        <v>15.3</v>
      </c>
      <c r="E3092" s="16" t="s">
        <v>30</v>
      </c>
    </row>
    <row r="3093" spans="1:5" x14ac:dyDescent="0.25">
      <c r="A3093" s="14">
        <v>703047</v>
      </c>
      <c r="B3093" s="14" t="s">
        <v>3214</v>
      </c>
      <c r="C3093" s="14" t="s">
        <v>13031</v>
      </c>
      <c r="D3093" s="15">
        <v>11</v>
      </c>
      <c r="E3093" s="16" t="s">
        <v>30</v>
      </c>
    </row>
    <row r="3094" spans="1:5" x14ac:dyDescent="0.25">
      <c r="A3094" s="14">
        <v>703087</v>
      </c>
      <c r="B3094" s="14" t="s">
        <v>3215</v>
      </c>
      <c r="C3094" s="14" t="s">
        <v>13031</v>
      </c>
      <c r="D3094" s="15">
        <v>7.3</v>
      </c>
      <c r="E3094" s="16" t="s">
        <v>30</v>
      </c>
    </row>
    <row r="3095" spans="1:5" x14ac:dyDescent="0.25">
      <c r="A3095" s="14">
        <v>703088</v>
      </c>
      <c r="B3095" s="14" t="s">
        <v>3216</v>
      </c>
      <c r="C3095" s="14" t="s">
        <v>13031</v>
      </c>
      <c r="D3095" s="15">
        <v>7.5</v>
      </c>
      <c r="E3095" s="16" t="s">
        <v>30</v>
      </c>
    </row>
    <row r="3096" spans="1:5" x14ac:dyDescent="0.25">
      <c r="A3096" s="14">
        <v>703099</v>
      </c>
      <c r="B3096" s="14" t="s">
        <v>3217</v>
      </c>
      <c r="C3096" s="14" t="s">
        <v>13030</v>
      </c>
      <c r="D3096" s="15">
        <v>28.03</v>
      </c>
      <c r="E3096" s="14" t="s">
        <v>30</v>
      </c>
    </row>
    <row r="3097" spans="1:5" x14ac:dyDescent="0.25">
      <c r="A3097" s="14">
        <v>703732</v>
      </c>
      <c r="B3097" s="14" t="s">
        <v>3218</v>
      </c>
      <c r="C3097" s="14" t="s">
        <v>13030</v>
      </c>
      <c r="D3097" s="15">
        <v>41.63</v>
      </c>
      <c r="E3097" s="16" t="s">
        <v>30</v>
      </c>
    </row>
    <row r="3098" spans="1:5" x14ac:dyDescent="0.25">
      <c r="A3098" s="14">
        <v>703733</v>
      </c>
      <c r="B3098" s="14" t="s">
        <v>3219</v>
      </c>
      <c r="C3098" s="14" t="s">
        <v>13030</v>
      </c>
      <c r="D3098" s="15">
        <v>41.63</v>
      </c>
      <c r="E3098" s="16" t="s">
        <v>30</v>
      </c>
    </row>
    <row r="3099" spans="1:5" x14ac:dyDescent="0.25">
      <c r="A3099" s="14">
        <v>703736</v>
      </c>
      <c r="B3099" s="14" t="s">
        <v>3220</v>
      </c>
      <c r="C3099" s="14" t="s">
        <v>13030</v>
      </c>
      <c r="D3099" s="15">
        <v>20.77</v>
      </c>
      <c r="E3099" s="16" t="s">
        <v>30</v>
      </c>
    </row>
    <row r="3100" spans="1:5" x14ac:dyDescent="0.25">
      <c r="A3100" s="14">
        <v>703737</v>
      </c>
      <c r="B3100" s="14" t="s">
        <v>3221</v>
      </c>
      <c r="C3100" s="14" t="s">
        <v>13030</v>
      </c>
      <c r="D3100" s="15">
        <v>20.78</v>
      </c>
      <c r="E3100" s="16" t="s">
        <v>30</v>
      </c>
    </row>
    <row r="3101" spans="1:5" x14ac:dyDescent="0.25">
      <c r="A3101" s="14">
        <v>703738</v>
      </c>
      <c r="B3101" s="14" t="s">
        <v>3222</v>
      </c>
      <c r="C3101" s="14" t="s">
        <v>13030</v>
      </c>
      <c r="D3101" s="15">
        <v>20.78</v>
      </c>
      <c r="E3101" s="16" t="s">
        <v>30</v>
      </c>
    </row>
    <row r="3102" spans="1:5" x14ac:dyDescent="0.25">
      <c r="A3102" s="14">
        <v>701643</v>
      </c>
      <c r="B3102" s="14" t="s">
        <v>3223</v>
      </c>
      <c r="C3102" s="14" t="s">
        <v>13030</v>
      </c>
      <c r="D3102" s="15">
        <v>81.33</v>
      </c>
      <c r="E3102" s="16" t="s">
        <v>30</v>
      </c>
    </row>
    <row r="3103" spans="1:5" x14ac:dyDescent="0.25">
      <c r="A3103" s="14">
        <v>703740</v>
      </c>
      <c r="B3103" s="14" t="s">
        <v>3224</v>
      </c>
      <c r="C3103" s="14" t="s">
        <v>13030</v>
      </c>
      <c r="D3103" s="15">
        <v>37.28</v>
      </c>
      <c r="E3103" s="16" t="s">
        <v>30</v>
      </c>
    </row>
    <row r="3104" spans="1:5" x14ac:dyDescent="0.25">
      <c r="A3104" s="14">
        <v>565920</v>
      </c>
      <c r="B3104" s="14" t="s">
        <v>3225</v>
      </c>
      <c r="C3104" s="14" t="s">
        <v>13030</v>
      </c>
      <c r="D3104" s="15">
        <v>70.930000000000007</v>
      </c>
      <c r="E3104" s="16" t="s">
        <v>20</v>
      </c>
    </row>
    <row r="3105" spans="1:5" x14ac:dyDescent="0.25">
      <c r="A3105" s="14">
        <v>565921</v>
      </c>
      <c r="B3105" s="14" t="s">
        <v>3226</v>
      </c>
      <c r="C3105" s="14" t="s">
        <v>13030</v>
      </c>
      <c r="D3105" s="15">
        <v>46.61</v>
      </c>
      <c r="E3105" s="16" t="s">
        <v>20</v>
      </c>
    </row>
    <row r="3106" spans="1:5" x14ac:dyDescent="0.25">
      <c r="A3106" s="14">
        <v>559072</v>
      </c>
      <c r="B3106" s="14" t="s">
        <v>3227</v>
      </c>
      <c r="C3106" s="14" t="s">
        <v>13031</v>
      </c>
      <c r="D3106" s="15">
        <v>20.149999999999999</v>
      </c>
      <c r="E3106" s="16" t="s">
        <v>20</v>
      </c>
    </row>
    <row r="3107" spans="1:5" x14ac:dyDescent="0.25">
      <c r="A3107" s="14">
        <v>703779</v>
      </c>
      <c r="B3107" s="14" t="s">
        <v>3228</v>
      </c>
      <c r="C3107" s="14" t="s">
        <v>13030</v>
      </c>
      <c r="D3107" s="15">
        <v>20.88</v>
      </c>
      <c r="E3107" s="16" t="s">
        <v>30</v>
      </c>
    </row>
    <row r="3108" spans="1:5" x14ac:dyDescent="0.25">
      <c r="A3108" s="14">
        <v>704075</v>
      </c>
      <c r="B3108" s="14" t="s">
        <v>3229</v>
      </c>
      <c r="C3108" s="14" t="s">
        <v>13031</v>
      </c>
      <c r="D3108" s="15">
        <v>6.21</v>
      </c>
      <c r="E3108" s="16" t="s">
        <v>30</v>
      </c>
    </row>
    <row r="3109" spans="1:5" x14ac:dyDescent="0.25">
      <c r="A3109" s="14">
        <v>704076</v>
      </c>
      <c r="B3109" s="14" t="s">
        <v>3230</v>
      </c>
      <c r="C3109" s="14" t="s">
        <v>13031</v>
      </c>
      <c r="D3109" s="15">
        <v>5.51</v>
      </c>
      <c r="E3109" s="16" t="s">
        <v>30</v>
      </c>
    </row>
    <row r="3110" spans="1:5" x14ac:dyDescent="0.25">
      <c r="A3110" s="14">
        <v>704077</v>
      </c>
      <c r="B3110" s="14" t="s">
        <v>3231</v>
      </c>
      <c r="C3110" s="14" t="s">
        <v>13031</v>
      </c>
      <c r="D3110" s="15">
        <v>4.45</v>
      </c>
      <c r="E3110" s="16" t="s">
        <v>30</v>
      </c>
    </row>
    <row r="3111" spans="1:5" x14ac:dyDescent="0.25">
      <c r="A3111" s="14">
        <v>704078</v>
      </c>
      <c r="B3111" s="14" t="s">
        <v>3232</v>
      </c>
      <c r="C3111" s="14" t="s">
        <v>13031</v>
      </c>
      <c r="D3111" s="15">
        <v>4.53</v>
      </c>
      <c r="E3111" s="16" t="s">
        <v>30</v>
      </c>
    </row>
    <row r="3112" spans="1:5" x14ac:dyDescent="0.25">
      <c r="A3112" s="14">
        <v>704080</v>
      </c>
      <c r="B3112" s="14" t="s">
        <v>3233</v>
      </c>
      <c r="C3112" s="14" t="s">
        <v>13031</v>
      </c>
      <c r="D3112" s="15">
        <v>10.38</v>
      </c>
      <c r="E3112" s="16" t="s">
        <v>30</v>
      </c>
    </row>
    <row r="3113" spans="1:5" x14ac:dyDescent="0.25">
      <c r="A3113" s="14">
        <v>704081</v>
      </c>
      <c r="B3113" s="14" t="s">
        <v>3234</v>
      </c>
      <c r="C3113" s="14" t="s">
        <v>13031</v>
      </c>
      <c r="D3113" s="15">
        <v>15.37</v>
      </c>
      <c r="E3113" s="16" t="s">
        <v>30</v>
      </c>
    </row>
    <row r="3114" spans="1:5" x14ac:dyDescent="0.25">
      <c r="A3114" s="14">
        <v>704082</v>
      </c>
      <c r="B3114" s="14" t="s">
        <v>3235</v>
      </c>
      <c r="C3114" s="14" t="s">
        <v>13031</v>
      </c>
      <c r="D3114" s="15">
        <v>7.64</v>
      </c>
      <c r="E3114" s="16" t="s">
        <v>30</v>
      </c>
    </row>
    <row r="3115" spans="1:5" x14ac:dyDescent="0.25">
      <c r="A3115" s="14">
        <v>704138</v>
      </c>
      <c r="B3115" s="14" t="s">
        <v>3236</v>
      </c>
      <c r="C3115" s="14" t="s">
        <v>13029</v>
      </c>
      <c r="D3115" s="15">
        <v>8.85</v>
      </c>
      <c r="E3115" s="16" t="s">
        <v>30</v>
      </c>
    </row>
    <row r="3116" spans="1:5" x14ac:dyDescent="0.25">
      <c r="A3116" s="14">
        <v>704139</v>
      </c>
      <c r="B3116" s="14" t="s">
        <v>3237</v>
      </c>
      <c r="C3116" s="14" t="s">
        <v>13029</v>
      </c>
      <c r="D3116" s="15">
        <v>8.5299999999999994</v>
      </c>
      <c r="E3116" s="16" t="s">
        <v>30</v>
      </c>
    </row>
    <row r="3117" spans="1:5" x14ac:dyDescent="0.25">
      <c r="A3117" s="14">
        <v>704160</v>
      </c>
      <c r="B3117" s="14" t="s">
        <v>3238</v>
      </c>
      <c r="C3117" s="14" t="s">
        <v>13031</v>
      </c>
      <c r="D3117" s="15">
        <v>26.1</v>
      </c>
      <c r="E3117" s="16" t="s">
        <v>30</v>
      </c>
    </row>
    <row r="3118" spans="1:5" x14ac:dyDescent="0.25">
      <c r="A3118" s="14">
        <v>704405</v>
      </c>
      <c r="B3118" s="14" t="s">
        <v>3239</v>
      </c>
      <c r="C3118" s="14" t="s">
        <v>13029</v>
      </c>
      <c r="D3118" s="15">
        <v>10.62</v>
      </c>
      <c r="E3118" s="16" t="s">
        <v>30</v>
      </c>
    </row>
    <row r="3119" spans="1:5" x14ac:dyDescent="0.25">
      <c r="A3119" s="14">
        <v>704406</v>
      </c>
      <c r="B3119" s="14" t="s">
        <v>3240</v>
      </c>
      <c r="C3119" s="14" t="s">
        <v>13029</v>
      </c>
      <c r="D3119" s="15">
        <v>5.45</v>
      </c>
      <c r="E3119" s="16" t="s">
        <v>30</v>
      </c>
    </row>
    <row r="3120" spans="1:5" x14ac:dyDescent="0.25">
      <c r="A3120" s="14">
        <v>704407</v>
      </c>
      <c r="B3120" s="14" t="s">
        <v>3241</v>
      </c>
      <c r="C3120" s="14" t="s">
        <v>13029</v>
      </c>
      <c r="D3120" s="15">
        <v>17.739999999999998</v>
      </c>
      <c r="E3120" s="16" t="s">
        <v>30</v>
      </c>
    </row>
    <row r="3121" spans="1:5" x14ac:dyDescent="0.25">
      <c r="A3121" s="14">
        <v>704408</v>
      </c>
      <c r="B3121" s="14" t="s">
        <v>3242</v>
      </c>
      <c r="C3121" s="14" t="s">
        <v>13029</v>
      </c>
      <c r="D3121" s="15">
        <v>6.5</v>
      </c>
      <c r="E3121" s="16" t="s">
        <v>30</v>
      </c>
    </row>
    <row r="3122" spans="1:5" x14ac:dyDescent="0.25">
      <c r="A3122" s="14">
        <v>704409</v>
      </c>
      <c r="B3122" s="14" t="s">
        <v>3243</v>
      </c>
      <c r="C3122" s="14" t="s">
        <v>13029</v>
      </c>
      <c r="D3122" s="15">
        <v>7.7</v>
      </c>
      <c r="E3122" s="16" t="s">
        <v>30</v>
      </c>
    </row>
    <row r="3123" spans="1:5" x14ac:dyDescent="0.25">
      <c r="A3123" s="14">
        <v>704410</v>
      </c>
      <c r="B3123" s="14" t="s">
        <v>3244</v>
      </c>
      <c r="C3123" s="14" t="s">
        <v>13029</v>
      </c>
      <c r="D3123" s="15">
        <v>13.5</v>
      </c>
      <c r="E3123" s="16" t="s">
        <v>30</v>
      </c>
    </row>
    <row r="3124" spans="1:5" x14ac:dyDescent="0.25">
      <c r="A3124" s="14">
        <v>704411</v>
      </c>
      <c r="B3124" s="14" t="s">
        <v>3245</v>
      </c>
      <c r="C3124" s="14" t="s">
        <v>13029</v>
      </c>
      <c r="D3124" s="15">
        <v>17.739999999999998</v>
      </c>
      <c r="E3124" s="16" t="s">
        <v>30</v>
      </c>
    </row>
    <row r="3125" spans="1:5" x14ac:dyDescent="0.25">
      <c r="A3125" s="14">
        <v>704412</v>
      </c>
      <c r="B3125" s="14" t="s">
        <v>3246</v>
      </c>
      <c r="C3125" s="14" t="s">
        <v>13029</v>
      </c>
      <c r="D3125" s="15">
        <v>8.3000000000000007</v>
      </c>
      <c r="E3125" s="16" t="s">
        <v>30</v>
      </c>
    </row>
    <row r="3126" spans="1:5" x14ac:dyDescent="0.25">
      <c r="A3126" s="14">
        <v>704434</v>
      </c>
      <c r="B3126" s="14" t="s">
        <v>3247</v>
      </c>
      <c r="C3126" s="14" t="s">
        <v>13029</v>
      </c>
      <c r="D3126" s="15">
        <v>10.99</v>
      </c>
      <c r="E3126" s="16" t="s">
        <v>30</v>
      </c>
    </row>
    <row r="3127" spans="1:5" x14ac:dyDescent="0.25">
      <c r="A3127" s="14">
        <v>704435</v>
      </c>
      <c r="B3127" s="14" t="s">
        <v>3248</v>
      </c>
      <c r="C3127" s="14" t="s">
        <v>13029</v>
      </c>
      <c r="D3127" s="15">
        <v>7.18</v>
      </c>
      <c r="E3127" s="16" t="s">
        <v>30</v>
      </c>
    </row>
    <row r="3128" spans="1:5" x14ac:dyDescent="0.25">
      <c r="A3128" s="14">
        <v>704494</v>
      </c>
      <c r="B3128" s="14" t="s">
        <v>3249</v>
      </c>
      <c r="C3128" s="14" t="s">
        <v>13030</v>
      </c>
      <c r="D3128" s="15">
        <v>97.22</v>
      </c>
      <c r="E3128" s="16" t="s">
        <v>30</v>
      </c>
    </row>
    <row r="3129" spans="1:5" x14ac:dyDescent="0.25">
      <c r="A3129" s="14">
        <v>704547</v>
      </c>
      <c r="B3129" s="14" t="s">
        <v>3250</v>
      </c>
      <c r="C3129" s="14" t="s">
        <v>13029</v>
      </c>
      <c r="D3129" s="15">
        <v>14.59</v>
      </c>
      <c r="E3129" s="14" t="s">
        <v>30</v>
      </c>
    </row>
    <row r="3130" spans="1:5" x14ac:dyDescent="0.25">
      <c r="A3130" s="14">
        <v>704628</v>
      </c>
      <c r="B3130" s="14" t="s">
        <v>3251</v>
      </c>
      <c r="C3130" s="14" t="s">
        <v>13030</v>
      </c>
      <c r="D3130" s="15">
        <v>90.27</v>
      </c>
      <c r="E3130" s="16" t="s">
        <v>30</v>
      </c>
    </row>
    <row r="3131" spans="1:5" x14ac:dyDescent="0.25">
      <c r="A3131" s="14">
        <v>704629</v>
      </c>
      <c r="B3131" s="14" t="s">
        <v>3252</v>
      </c>
      <c r="C3131" s="14" t="s">
        <v>13030</v>
      </c>
      <c r="D3131" s="15">
        <v>131.96</v>
      </c>
      <c r="E3131" s="16" t="s">
        <v>30</v>
      </c>
    </row>
    <row r="3132" spans="1:5" x14ac:dyDescent="0.25">
      <c r="A3132" s="14">
        <v>704630</v>
      </c>
      <c r="B3132" s="14" t="s">
        <v>3253</v>
      </c>
      <c r="C3132" s="14" t="s">
        <v>13030</v>
      </c>
      <c r="D3132" s="15">
        <v>211.88</v>
      </c>
      <c r="E3132" s="16" t="s">
        <v>30</v>
      </c>
    </row>
    <row r="3133" spans="1:5" x14ac:dyDescent="0.25">
      <c r="A3133" s="14">
        <v>704631</v>
      </c>
      <c r="B3133" s="14" t="s">
        <v>3254</v>
      </c>
      <c r="C3133" s="14" t="s">
        <v>13030</v>
      </c>
      <c r="D3133" s="15">
        <v>167.72</v>
      </c>
      <c r="E3133" s="16" t="s">
        <v>30</v>
      </c>
    </row>
    <row r="3134" spans="1:5" x14ac:dyDescent="0.25">
      <c r="A3134" s="14">
        <v>704632</v>
      </c>
      <c r="B3134" s="14" t="s">
        <v>3255</v>
      </c>
      <c r="C3134" s="14" t="s">
        <v>13029</v>
      </c>
      <c r="D3134" s="15">
        <v>7.32</v>
      </c>
      <c r="E3134" s="16" t="s">
        <v>30</v>
      </c>
    </row>
    <row r="3135" spans="1:5" x14ac:dyDescent="0.25">
      <c r="A3135" s="14">
        <v>704633</v>
      </c>
      <c r="B3135" s="14" t="s">
        <v>3256</v>
      </c>
      <c r="C3135" s="14" t="s">
        <v>13029</v>
      </c>
      <c r="D3135" s="15">
        <v>10.78</v>
      </c>
      <c r="E3135" s="16" t="s">
        <v>30</v>
      </c>
    </row>
    <row r="3136" spans="1:5" x14ac:dyDescent="0.25">
      <c r="A3136" s="14">
        <v>704634</v>
      </c>
      <c r="B3136" s="14" t="s">
        <v>3257</v>
      </c>
      <c r="C3136" s="14" t="s">
        <v>13029</v>
      </c>
      <c r="D3136" s="15">
        <v>8.07</v>
      </c>
      <c r="E3136" s="16" t="s">
        <v>30</v>
      </c>
    </row>
    <row r="3137" spans="1:5" x14ac:dyDescent="0.25">
      <c r="A3137" s="14">
        <v>704785</v>
      </c>
      <c r="B3137" s="14" t="s">
        <v>3258</v>
      </c>
      <c r="C3137" s="14" t="s">
        <v>13030</v>
      </c>
      <c r="D3137" s="15">
        <v>32.590000000000003</v>
      </c>
      <c r="E3137" s="16" t="s">
        <v>30</v>
      </c>
    </row>
    <row r="3138" spans="1:5" x14ac:dyDescent="0.25">
      <c r="A3138" s="14">
        <v>704786</v>
      </c>
      <c r="B3138" s="14" t="s">
        <v>3259</v>
      </c>
      <c r="C3138" s="14" t="s">
        <v>13030</v>
      </c>
      <c r="D3138" s="15">
        <v>32.590000000000003</v>
      </c>
      <c r="E3138" s="16" t="s">
        <v>30</v>
      </c>
    </row>
    <row r="3139" spans="1:5" x14ac:dyDescent="0.25">
      <c r="A3139" s="14">
        <v>704787</v>
      </c>
      <c r="B3139" s="14" t="s">
        <v>3260</v>
      </c>
      <c r="C3139" s="14" t="s">
        <v>13030</v>
      </c>
      <c r="D3139" s="15">
        <v>31.25</v>
      </c>
      <c r="E3139" s="16" t="s">
        <v>30</v>
      </c>
    </row>
    <row r="3140" spans="1:5" x14ac:dyDescent="0.25">
      <c r="A3140" s="14">
        <v>704788</v>
      </c>
      <c r="B3140" s="14" t="s">
        <v>3261</v>
      </c>
      <c r="C3140" s="14" t="s">
        <v>13030</v>
      </c>
      <c r="D3140" s="15">
        <v>41.45</v>
      </c>
      <c r="E3140" s="16" t="s">
        <v>30</v>
      </c>
    </row>
    <row r="3141" spans="1:5" x14ac:dyDescent="0.25">
      <c r="A3141" s="14">
        <v>704789</v>
      </c>
      <c r="B3141" s="14" t="s">
        <v>3262</v>
      </c>
      <c r="C3141" s="14" t="s">
        <v>13030</v>
      </c>
      <c r="D3141" s="15">
        <v>41.75</v>
      </c>
      <c r="E3141" s="16" t="s">
        <v>30</v>
      </c>
    </row>
    <row r="3142" spans="1:5" x14ac:dyDescent="0.25">
      <c r="A3142" s="14">
        <v>704790</v>
      </c>
      <c r="B3142" s="14" t="s">
        <v>3263</v>
      </c>
      <c r="C3142" s="14" t="s">
        <v>13030</v>
      </c>
      <c r="D3142" s="15">
        <v>41.63</v>
      </c>
      <c r="E3142" s="16" t="s">
        <v>30</v>
      </c>
    </row>
    <row r="3143" spans="1:5" x14ac:dyDescent="0.25">
      <c r="A3143" s="14">
        <v>704791</v>
      </c>
      <c r="B3143" s="14" t="s">
        <v>3264</v>
      </c>
      <c r="C3143" s="14" t="s">
        <v>13031</v>
      </c>
      <c r="D3143" s="15">
        <v>11.55</v>
      </c>
      <c r="E3143" s="16" t="s">
        <v>30</v>
      </c>
    </row>
    <row r="3144" spans="1:5" x14ac:dyDescent="0.25">
      <c r="A3144" s="14">
        <v>704792</v>
      </c>
      <c r="B3144" s="14" t="s">
        <v>3265</v>
      </c>
      <c r="C3144" s="14" t="s">
        <v>13031</v>
      </c>
      <c r="D3144" s="15">
        <v>14.71</v>
      </c>
      <c r="E3144" s="16" t="s">
        <v>30</v>
      </c>
    </row>
    <row r="3145" spans="1:5" x14ac:dyDescent="0.25">
      <c r="A3145" s="14">
        <v>560871</v>
      </c>
      <c r="B3145" s="14" t="s">
        <v>3266</v>
      </c>
      <c r="C3145" s="14" t="s">
        <v>13031</v>
      </c>
      <c r="D3145" s="15">
        <v>20.57</v>
      </c>
      <c r="E3145" s="16" t="s">
        <v>20</v>
      </c>
    </row>
    <row r="3146" spans="1:5" x14ac:dyDescent="0.25">
      <c r="A3146" s="14">
        <v>704793</v>
      </c>
      <c r="B3146" s="14" t="s">
        <v>3267</v>
      </c>
      <c r="C3146" s="14" t="s">
        <v>13031</v>
      </c>
      <c r="D3146" s="15">
        <v>14.71</v>
      </c>
      <c r="E3146" s="16" t="s">
        <v>30</v>
      </c>
    </row>
    <row r="3147" spans="1:5" x14ac:dyDescent="0.25">
      <c r="A3147" s="14">
        <v>704794</v>
      </c>
      <c r="B3147" s="14" t="s">
        <v>3268</v>
      </c>
      <c r="C3147" s="14" t="s">
        <v>13031</v>
      </c>
      <c r="D3147" s="15">
        <v>14.71</v>
      </c>
      <c r="E3147" s="16" t="s">
        <v>30</v>
      </c>
    </row>
    <row r="3148" spans="1:5" x14ac:dyDescent="0.25">
      <c r="A3148" s="14">
        <v>704800</v>
      </c>
      <c r="B3148" s="14" t="s">
        <v>3269</v>
      </c>
      <c r="C3148" s="14" t="s">
        <v>13030</v>
      </c>
      <c r="D3148" s="15">
        <v>56.44</v>
      </c>
      <c r="E3148" s="16" t="s">
        <v>30</v>
      </c>
    </row>
    <row r="3149" spans="1:5" x14ac:dyDescent="0.25">
      <c r="A3149" s="14">
        <v>704921</v>
      </c>
      <c r="B3149" s="14" t="s">
        <v>3270</v>
      </c>
      <c r="C3149" s="14" t="s">
        <v>13029</v>
      </c>
      <c r="D3149" s="15">
        <v>50.13</v>
      </c>
      <c r="E3149" s="16" t="s">
        <v>30</v>
      </c>
    </row>
    <row r="3150" spans="1:5" x14ac:dyDescent="0.25">
      <c r="A3150" s="14">
        <v>705214</v>
      </c>
      <c r="B3150" s="14" t="s">
        <v>3271</v>
      </c>
      <c r="C3150" s="14" t="s">
        <v>13030</v>
      </c>
      <c r="D3150" s="15">
        <v>54.57</v>
      </c>
      <c r="E3150" s="16" t="s">
        <v>30</v>
      </c>
    </row>
    <row r="3151" spans="1:5" x14ac:dyDescent="0.25">
      <c r="A3151" s="14">
        <v>705246</v>
      </c>
      <c r="B3151" s="14" t="s">
        <v>3272</v>
      </c>
      <c r="C3151" s="14" t="s">
        <v>13031</v>
      </c>
      <c r="D3151" s="15">
        <v>48.87</v>
      </c>
      <c r="E3151" s="14" t="s">
        <v>30</v>
      </c>
    </row>
    <row r="3152" spans="1:5" x14ac:dyDescent="0.25">
      <c r="A3152" s="14">
        <v>705247</v>
      </c>
      <c r="B3152" s="14" t="s">
        <v>3273</v>
      </c>
      <c r="C3152" s="14" t="s">
        <v>13031</v>
      </c>
      <c r="D3152" s="15">
        <v>48.87</v>
      </c>
      <c r="E3152" s="14" t="s">
        <v>30</v>
      </c>
    </row>
    <row r="3153" spans="1:5" x14ac:dyDescent="0.25">
      <c r="A3153" s="14">
        <v>705248</v>
      </c>
      <c r="B3153" s="14" t="s">
        <v>3274</v>
      </c>
      <c r="C3153" s="14" t="s">
        <v>13031</v>
      </c>
      <c r="D3153" s="15">
        <v>48.87</v>
      </c>
      <c r="E3153" s="16" t="s">
        <v>30</v>
      </c>
    </row>
    <row r="3154" spans="1:5" x14ac:dyDescent="0.25">
      <c r="A3154" s="14">
        <v>705249</v>
      </c>
      <c r="B3154" s="14" t="s">
        <v>3275</v>
      </c>
      <c r="C3154" s="14" t="s">
        <v>13031</v>
      </c>
      <c r="D3154" s="15">
        <v>48.87</v>
      </c>
      <c r="E3154" s="16" t="s">
        <v>30</v>
      </c>
    </row>
    <row r="3155" spans="1:5" x14ac:dyDescent="0.25">
      <c r="A3155" s="14">
        <v>705257</v>
      </c>
      <c r="B3155" s="14" t="s">
        <v>3276</v>
      </c>
      <c r="C3155" s="14" t="s">
        <v>13031</v>
      </c>
      <c r="D3155" s="15">
        <v>11.68</v>
      </c>
      <c r="E3155" s="16" t="s">
        <v>30</v>
      </c>
    </row>
    <row r="3156" spans="1:5" x14ac:dyDescent="0.25">
      <c r="A3156" s="14">
        <v>705258</v>
      </c>
      <c r="B3156" s="14" t="s">
        <v>3277</v>
      </c>
      <c r="C3156" s="14" t="s">
        <v>13031</v>
      </c>
      <c r="D3156" s="15">
        <v>11.91</v>
      </c>
      <c r="E3156" s="16" t="s">
        <v>30</v>
      </c>
    </row>
    <row r="3157" spans="1:5" x14ac:dyDescent="0.25">
      <c r="A3157" s="14">
        <v>705284</v>
      </c>
      <c r="B3157" s="14" t="s">
        <v>3278</v>
      </c>
      <c r="C3157" s="14" t="s">
        <v>13030</v>
      </c>
      <c r="D3157" s="15">
        <v>80.5</v>
      </c>
      <c r="E3157" s="16" t="s">
        <v>30</v>
      </c>
    </row>
    <row r="3158" spans="1:5" x14ac:dyDescent="0.25">
      <c r="A3158" s="14">
        <v>705360</v>
      </c>
      <c r="B3158" s="14" t="s">
        <v>3279</v>
      </c>
      <c r="C3158" s="14" t="s">
        <v>13029</v>
      </c>
      <c r="D3158" s="15">
        <v>12.07</v>
      </c>
      <c r="E3158" s="16" t="s">
        <v>30</v>
      </c>
    </row>
    <row r="3159" spans="1:5" x14ac:dyDescent="0.25">
      <c r="A3159" s="14">
        <v>709046</v>
      </c>
      <c r="B3159" s="14" t="s">
        <v>3280</v>
      </c>
      <c r="C3159" s="14" t="s">
        <v>13029</v>
      </c>
      <c r="D3159" s="15">
        <v>10</v>
      </c>
      <c r="E3159" s="16" t="s">
        <v>30</v>
      </c>
    </row>
    <row r="3160" spans="1:5" x14ac:dyDescent="0.25">
      <c r="A3160" s="14">
        <v>709047</v>
      </c>
      <c r="B3160" s="14" t="s">
        <v>3281</v>
      </c>
      <c r="C3160" s="14" t="s">
        <v>13029</v>
      </c>
      <c r="D3160" s="15">
        <v>10</v>
      </c>
      <c r="E3160" s="16" t="s">
        <v>30</v>
      </c>
    </row>
    <row r="3161" spans="1:5" x14ac:dyDescent="0.25">
      <c r="A3161" s="14">
        <v>709604</v>
      </c>
      <c r="B3161" s="14" t="s">
        <v>3282</v>
      </c>
      <c r="C3161" s="14" t="s">
        <v>13032</v>
      </c>
      <c r="D3161" s="15">
        <v>53</v>
      </c>
      <c r="E3161" s="16" t="s">
        <v>30</v>
      </c>
    </row>
    <row r="3162" spans="1:5" x14ac:dyDescent="0.25">
      <c r="A3162" s="14">
        <v>709821</v>
      </c>
      <c r="B3162" s="14" t="s">
        <v>3283</v>
      </c>
      <c r="C3162" s="14" t="s">
        <v>13031</v>
      </c>
      <c r="D3162" s="15">
        <v>7.89</v>
      </c>
      <c r="E3162" s="16" t="s">
        <v>30</v>
      </c>
    </row>
    <row r="3163" spans="1:5" x14ac:dyDescent="0.25">
      <c r="A3163" s="14">
        <v>709822</v>
      </c>
      <c r="B3163" s="14" t="s">
        <v>3284</v>
      </c>
      <c r="C3163" s="14" t="s">
        <v>13031</v>
      </c>
      <c r="D3163" s="15">
        <v>11.87</v>
      </c>
      <c r="E3163" s="16" t="s">
        <v>30</v>
      </c>
    </row>
    <row r="3164" spans="1:5" x14ac:dyDescent="0.25">
      <c r="A3164" s="14">
        <v>710165</v>
      </c>
      <c r="B3164" s="14" t="s">
        <v>3285</v>
      </c>
      <c r="C3164" s="14" t="s">
        <v>13031</v>
      </c>
      <c r="D3164" s="15">
        <v>7.4</v>
      </c>
      <c r="E3164" s="16" t="s">
        <v>30</v>
      </c>
    </row>
    <row r="3165" spans="1:5" x14ac:dyDescent="0.25">
      <c r="A3165" s="14">
        <v>710167</v>
      </c>
      <c r="B3165" s="14" t="s">
        <v>3286</v>
      </c>
      <c r="C3165" s="14" t="s">
        <v>13031</v>
      </c>
      <c r="D3165" s="15">
        <v>8.5</v>
      </c>
      <c r="E3165" s="16" t="s">
        <v>30</v>
      </c>
    </row>
    <row r="3166" spans="1:5" x14ac:dyDescent="0.25">
      <c r="A3166" s="14">
        <v>560877</v>
      </c>
      <c r="B3166" s="14" t="s">
        <v>3287</v>
      </c>
      <c r="C3166" s="14" t="s">
        <v>13031</v>
      </c>
      <c r="D3166" s="15">
        <v>29.62</v>
      </c>
      <c r="E3166" s="16" t="s">
        <v>20</v>
      </c>
    </row>
    <row r="3167" spans="1:5" x14ac:dyDescent="0.25">
      <c r="A3167" s="14">
        <v>710168</v>
      </c>
      <c r="B3167" s="14" t="s">
        <v>3288</v>
      </c>
      <c r="C3167" s="14" t="s">
        <v>13031</v>
      </c>
      <c r="D3167" s="15">
        <v>8.5</v>
      </c>
      <c r="E3167" s="16" t="s">
        <v>30</v>
      </c>
    </row>
    <row r="3168" spans="1:5" x14ac:dyDescent="0.25">
      <c r="A3168" s="14">
        <v>561819</v>
      </c>
      <c r="B3168" s="14" t="s">
        <v>3289</v>
      </c>
      <c r="C3168" s="14" t="s">
        <v>13031</v>
      </c>
      <c r="D3168" s="15">
        <v>20.57</v>
      </c>
      <c r="E3168" s="16" t="s">
        <v>20</v>
      </c>
    </row>
    <row r="3169" spans="1:5" x14ac:dyDescent="0.25">
      <c r="A3169" s="14">
        <v>710169</v>
      </c>
      <c r="B3169" s="14" t="s">
        <v>3290</v>
      </c>
      <c r="C3169" s="14" t="s">
        <v>13031</v>
      </c>
      <c r="D3169" s="15">
        <v>5.2</v>
      </c>
      <c r="E3169" s="16" t="s">
        <v>30</v>
      </c>
    </row>
    <row r="3170" spans="1:5" x14ac:dyDescent="0.25">
      <c r="A3170" s="14">
        <v>710215</v>
      </c>
      <c r="B3170" s="14" t="s">
        <v>3291</v>
      </c>
      <c r="C3170" s="14" t="s">
        <v>13031</v>
      </c>
      <c r="D3170" s="15">
        <v>12.71</v>
      </c>
      <c r="E3170" s="16" t="s">
        <v>30</v>
      </c>
    </row>
    <row r="3171" spans="1:5" x14ac:dyDescent="0.25">
      <c r="A3171" s="14">
        <v>710216</v>
      </c>
      <c r="B3171" s="14" t="s">
        <v>3292</v>
      </c>
      <c r="C3171" s="14" t="s">
        <v>13031</v>
      </c>
      <c r="D3171" s="15">
        <v>12.71</v>
      </c>
      <c r="E3171" s="16" t="s">
        <v>30</v>
      </c>
    </row>
    <row r="3172" spans="1:5" x14ac:dyDescent="0.25">
      <c r="A3172" s="14">
        <v>710217</v>
      </c>
      <c r="B3172" s="14" t="s">
        <v>3293</v>
      </c>
      <c r="C3172" s="14" t="s">
        <v>13031</v>
      </c>
      <c r="D3172" s="15">
        <v>12.71</v>
      </c>
      <c r="E3172" s="16" t="s">
        <v>30</v>
      </c>
    </row>
    <row r="3173" spans="1:5" x14ac:dyDescent="0.25">
      <c r="A3173" s="14">
        <v>710218</v>
      </c>
      <c r="B3173" s="14" t="s">
        <v>3294</v>
      </c>
      <c r="C3173" s="14" t="s">
        <v>13031</v>
      </c>
      <c r="D3173" s="15">
        <v>12.71</v>
      </c>
      <c r="E3173" s="16" t="s">
        <v>30</v>
      </c>
    </row>
    <row r="3174" spans="1:5" x14ac:dyDescent="0.25">
      <c r="A3174" s="14">
        <v>710506</v>
      </c>
      <c r="B3174" s="14" t="s">
        <v>3295</v>
      </c>
      <c r="C3174" s="14" t="s">
        <v>13031</v>
      </c>
      <c r="D3174" s="15">
        <v>11.5</v>
      </c>
      <c r="E3174" s="16" t="s">
        <v>30</v>
      </c>
    </row>
    <row r="3175" spans="1:5" x14ac:dyDescent="0.25">
      <c r="A3175" s="14">
        <v>710507</v>
      </c>
      <c r="B3175" s="14" t="s">
        <v>3296</v>
      </c>
      <c r="C3175" s="14" t="s">
        <v>13031</v>
      </c>
      <c r="D3175" s="15">
        <v>8.75</v>
      </c>
      <c r="E3175" s="16" t="s">
        <v>30</v>
      </c>
    </row>
    <row r="3176" spans="1:5" x14ac:dyDescent="0.25">
      <c r="A3176" s="14">
        <v>710583</v>
      </c>
      <c r="B3176" s="14" t="s">
        <v>3297</v>
      </c>
      <c r="C3176" s="14" t="s">
        <v>13030</v>
      </c>
      <c r="D3176" s="15">
        <v>53.01</v>
      </c>
      <c r="E3176" s="16" t="s">
        <v>30</v>
      </c>
    </row>
    <row r="3177" spans="1:5" x14ac:dyDescent="0.25">
      <c r="A3177" s="14">
        <v>710593</v>
      </c>
      <c r="B3177" s="14" t="s">
        <v>3298</v>
      </c>
      <c r="C3177" s="14" t="s">
        <v>13031</v>
      </c>
      <c r="D3177" s="15">
        <v>9.43</v>
      </c>
      <c r="E3177" s="16" t="s">
        <v>30</v>
      </c>
    </row>
    <row r="3178" spans="1:5" x14ac:dyDescent="0.25">
      <c r="A3178" s="14">
        <v>710594</v>
      </c>
      <c r="B3178" s="14" t="s">
        <v>3299</v>
      </c>
      <c r="C3178" s="14" t="s">
        <v>13031</v>
      </c>
      <c r="D3178" s="15">
        <v>7.06</v>
      </c>
      <c r="E3178" s="16" t="s">
        <v>30</v>
      </c>
    </row>
    <row r="3179" spans="1:5" x14ac:dyDescent="0.25">
      <c r="A3179" s="14">
        <v>710595</v>
      </c>
      <c r="B3179" s="14" t="s">
        <v>3300</v>
      </c>
      <c r="C3179" s="14" t="s">
        <v>13031</v>
      </c>
      <c r="D3179" s="15">
        <v>7.06</v>
      </c>
      <c r="E3179" s="16" t="s">
        <v>30</v>
      </c>
    </row>
    <row r="3180" spans="1:5" x14ac:dyDescent="0.25">
      <c r="A3180" s="14">
        <v>710596</v>
      </c>
      <c r="B3180" s="14" t="s">
        <v>3301</v>
      </c>
      <c r="C3180" s="14" t="s">
        <v>13031</v>
      </c>
      <c r="D3180" s="15">
        <v>7.06</v>
      </c>
      <c r="E3180" s="16" t="s">
        <v>30</v>
      </c>
    </row>
    <row r="3181" spans="1:5" x14ac:dyDescent="0.25">
      <c r="A3181" s="14">
        <v>710599</v>
      </c>
      <c r="B3181" s="14" t="s">
        <v>3302</v>
      </c>
      <c r="C3181" s="14" t="s">
        <v>13031</v>
      </c>
      <c r="D3181" s="15">
        <v>20.7</v>
      </c>
      <c r="E3181" s="16" t="s">
        <v>30</v>
      </c>
    </row>
    <row r="3182" spans="1:5" x14ac:dyDescent="0.25">
      <c r="A3182" s="14">
        <v>710993</v>
      </c>
      <c r="B3182" s="14" t="s">
        <v>3303</v>
      </c>
      <c r="C3182" s="14" t="s">
        <v>13029</v>
      </c>
      <c r="D3182" s="15">
        <v>7.66</v>
      </c>
      <c r="E3182" s="16" t="s">
        <v>30</v>
      </c>
    </row>
    <row r="3183" spans="1:5" x14ac:dyDescent="0.25">
      <c r="A3183" s="14">
        <v>711113</v>
      </c>
      <c r="B3183" s="14" t="s">
        <v>3304</v>
      </c>
      <c r="C3183" s="14" t="s">
        <v>13031</v>
      </c>
      <c r="D3183" s="15">
        <v>6.55</v>
      </c>
      <c r="E3183" s="16" t="s">
        <v>30</v>
      </c>
    </row>
    <row r="3184" spans="1:5" x14ac:dyDescent="0.25">
      <c r="A3184" s="14">
        <v>711115</v>
      </c>
      <c r="B3184" s="14" t="s">
        <v>3305</v>
      </c>
      <c r="C3184" s="14" t="s">
        <v>13031</v>
      </c>
      <c r="D3184" s="15">
        <v>10.82</v>
      </c>
      <c r="E3184" s="16" t="s">
        <v>30</v>
      </c>
    </row>
    <row r="3185" spans="1:5" x14ac:dyDescent="0.25">
      <c r="A3185" s="14">
        <v>711966</v>
      </c>
      <c r="B3185" s="14" t="s">
        <v>3306</v>
      </c>
      <c r="C3185" s="14" t="s">
        <v>13030</v>
      </c>
      <c r="D3185" s="15">
        <v>92.48</v>
      </c>
      <c r="E3185" s="16" t="s">
        <v>30</v>
      </c>
    </row>
    <row r="3186" spans="1:5" x14ac:dyDescent="0.25">
      <c r="A3186" s="14">
        <v>711967</v>
      </c>
      <c r="B3186" s="14" t="s">
        <v>3307</v>
      </c>
      <c r="C3186" s="14" t="s">
        <v>13030</v>
      </c>
      <c r="D3186" s="15">
        <v>92.48</v>
      </c>
      <c r="E3186" s="16" t="s">
        <v>30</v>
      </c>
    </row>
    <row r="3187" spans="1:5" x14ac:dyDescent="0.25">
      <c r="A3187" s="14">
        <v>712122</v>
      </c>
      <c r="B3187" s="14" t="s">
        <v>3308</v>
      </c>
      <c r="C3187" s="14" t="s">
        <v>13031</v>
      </c>
      <c r="D3187" s="15">
        <v>16.440000000000001</v>
      </c>
      <c r="E3187" s="16" t="s">
        <v>30</v>
      </c>
    </row>
    <row r="3188" spans="1:5" x14ac:dyDescent="0.25">
      <c r="A3188" s="14">
        <v>712164</v>
      </c>
      <c r="B3188" s="14" t="s">
        <v>3309</v>
      </c>
      <c r="C3188" s="14" t="s">
        <v>13030</v>
      </c>
      <c r="D3188" s="15">
        <v>14.5</v>
      </c>
      <c r="E3188" s="16" t="s">
        <v>30</v>
      </c>
    </row>
    <row r="3189" spans="1:5" x14ac:dyDescent="0.25">
      <c r="A3189" s="14">
        <v>712184</v>
      </c>
      <c r="B3189" s="14" t="s">
        <v>3310</v>
      </c>
      <c r="C3189" s="14" t="s">
        <v>13029</v>
      </c>
      <c r="D3189" s="15">
        <v>6.99</v>
      </c>
      <c r="E3189" s="16" t="s">
        <v>30</v>
      </c>
    </row>
    <row r="3190" spans="1:5" x14ac:dyDescent="0.25">
      <c r="A3190" s="14">
        <v>712362</v>
      </c>
      <c r="B3190" s="14" t="s">
        <v>3311</v>
      </c>
      <c r="C3190" s="14" t="s">
        <v>13031</v>
      </c>
      <c r="D3190" s="15">
        <v>125.25</v>
      </c>
      <c r="E3190" s="16" t="s">
        <v>30</v>
      </c>
    </row>
    <row r="3191" spans="1:5" x14ac:dyDescent="0.25">
      <c r="A3191" s="14">
        <v>712363</v>
      </c>
      <c r="B3191" s="14" t="s">
        <v>3312</v>
      </c>
      <c r="C3191" s="14" t="s">
        <v>13031</v>
      </c>
      <c r="D3191" s="15">
        <v>104.61</v>
      </c>
      <c r="E3191" s="16" t="s">
        <v>30</v>
      </c>
    </row>
    <row r="3192" spans="1:5" x14ac:dyDescent="0.25">
      <c r="A3192" s="14">
        <v>712364</v>
      </c>
      <c r="B3192" s="14" t="s">
        <v>3313</v>
      </c>
      <c r="C3192" s="14" t="s">
        <v>13031</v>
      </c>
      <c r="D3192" s="15">
        <v>104.61</v>
      </c>
      <c r="E3192" s="16" t="s">
        <v>30</v>
      </c>
    </row>
    <row r="3193" spans="1:5" x14ac:dyDescent="0.25">
      <c r="A3193" s="14">
        <v>712425</v>
      </c>
      <c r="B3193" s="14" t="s">
        <v>3314</v>
      </c>
      <c r="C3193" s="14" t="s">
        <v>13031</v>
      </c>
      <c r="D3193" s="15">
        <v>1.72</v>
      </c>
      <c r="E3193" s="16" t="s">
        <v>30</v>
      </c>
    </row>
    <row r="3194" spans="1:5" x14ac:dyDescent="0.25">
      <c r="A3194" s="14">
        <v>712449</v>
      </c>
      <c r="B3194" s="14" t="s">
        <v>3315</v>
      </c>
      <c r="C3194" s="14" t="s">
        <v>13031</v>
      </c>
      <c r="D3194" s="15">
        <v>2.75</v>
      </c>
      <c r="E3194" s="16" t="s">
        <v>30</v>
      </c>
    </row>
    <row r="3195" spans="1:5" x14ac:dyDescent="0.25">
      <c r="A3195" s="14">
        <v>712450</v>
      </c>
      <c r="B3195" s="14" t="s">
        <v>3316</v>
      </c>
      <c r="C3195" s="14" t="s">
        <v>13031</v>
      </c>
      <c r="D3195" s="15">
        <v>2.75</v>
      </c>
      <c r="E3195" s="16" t="s">
        <v>30</v>
      </c>
    </row>
    <row r="3196" spans="1:5" x14ac:dyDescent="0.25">
      <c r="A3196" s="14">
        <v>712452</v>
      </c>
      <c r="B3196" s="14" t="s">
        <v>3317</v>
      </c>
      <c r="C3196" s="14" t="s">
        <v>13031</v>
      </c>
      <c r="D3196" s="15">
        <v>137.37</v>
      </c>
      <c r="E3196" s="16" t="s">
        <v>30</v>
      </c>
    </row>
    <row r="3197" spans="1:5" x14ac:dyDescent="0.25">
      <c r="A3197" s="14">
        <v>712453</v>
      </c>
      <c r="B3197" s="14" t="s">
        <v>3318</v>
      </c>
      <c r="C3197" s="14" t="s">
        <v>13031</v>
      </c>
      <c r="D3197" s="15">
        <v>133.71</v>
      </c>
      <c r="E3197" s="16" t="s">
        <v>30</v>
      </c>
    </row>
    <row r="3198" spans="1:5" x14ac:dyDescent="0.25">
      <c r="A3198" s="14">
        <v>712455</v>
      </c>
      <c r="B3198" s="14" t="s">
        <v>3319</v>
      </c>
      <c r="C3198" s="14" t="s">
        <v>13030</v>
      </c>
      <c r="D3198" s="15">
        <v>31.21</v>
      </c>
      <c r="E3198" s="16" t="s">
        <v>30</v>
      </c>
    </row>
    <row r="3199" spans="1:5" x14ac:dyDescent="0.25">
      <c r="A3199" s="14">
        <v>712474</v>
      </c>
      <c r="B3199" s="14" t="s">
        <v>3320</v>
      </c>
      <c r="C3199" s="14" t="s">
        <v>13030</v>
      </c>
      <c r="D3199" s="15">
        <v>15.05</v>
      </c>
      <c r="E3199" s="16" t="s">
        <v>30</v>
      </c>
    </row>
    <row r="3200" spans="1:5" x14ac:dyDescent="0.25">
      <c r="A3200" s="14">
        <v>712761</v>
      </c>
      <c r="B3200" s="14" t="s">
        <v>3321</v>
      </c>
      <c r="C3200" s="14" t="s">
        <v>13030</v>
      </c>
      <c r="D3200" s="15">
        <v>47.5</v>
      </c>
      <c r="E3200" s="16" t="s">
        <v>30</v>
      </c>
    </row>
    <row r="3201" spans="1:5" x14ac:dyDescent="0.25">
      <c r="A3201" s="14">
        <v>712766</v>
      </c>
      <c r="B3201" s="14" t="s">
        <v>3322</v>
      </c>
      <c r="C3201" s="14" t="s">
        <v>13031</v>
      </c>
      <c r="D3201" s="15">
        <v>7</v>
      </c>
      <c r="E3201" s="16" t="s">
        <v>30</v>
      </c>
    </row>
    <row r="3202" spans="1:5" x14ac:dyDescent="0.25">
      <c r="A3202" s="14">
        <v>712883</v>
      </c>
      <c r="B3202" s="14" t="s">
        <v>3323</v>
      </c>
      <c r="C3202" s="14" t="s">
        <v>13029</v>
      </c>
      <c r="D3202" s="15">
        <v>3.9</v>
      </c>
      <c r="E3202" s="16" t="s">
        <v>30</v>
      </c>
    </row>
    <row r="3203" spans="1:5" x14ac:dyDescent="0.25">
      <c r="A3203" s="14">
        <v>712884</v>
      </c>
      <c r="B3203" s="14" t="s">
        <v>3324</v>
      </c>
      <c r="C3203" s="14" t="s">
        <v>13029</v>
      </c>
      <c r="D3203" s="15">
        <v>1.78</v>
      </c>
      <c r="E3203" s="16" t="s">
        <v>30</v>
      </c>
    </row>
    <row r="3204" spans="1:5" x14ac:dyDescent="0.25">
      <c r="A3204" s="14">
        <v>712885</v>
      </c>
      <c r="B3204" s="14" t="s">
        <v>3325</v>
      </c>
      <c r="C3204" s="14" t="s">
        <v>13029</v>
      </c>
      <c r="D3204" s="15">
        <v>6.8</v>
      </c>
      <c r="E3204" s="16" t="s">
        <v>30</v>
      </c>
    </row>
    <row r="3205" spans="1:5" x14ac:dyDescent="0.25">
      <c r="A3205" s="14">
        <v>712887</v>
      </c>
      <c r="B3205" s="14" t="s">
        <v>3326</v>
      </c>
      <c r="C3205" s="14" t="s">
        <v>13031</v>
      </c>
      <c r="D3205" s="15">
        <v>6.61</v>
      </c>
      <c r="E3205" s="16" t="s">
        <v>30</v>
      </c>
    </row>
    <row r="3206" spans="1:5" x14ac:dyDescent="0.25">
      <c r="A3206" s="14">
        <v>712888</v>
      </c>
      <c r="B3206" s="14" t="s">
        <v>3327</v>
      </c>
      <c r="C3206" s="14" t="s">
        <v>13031</v>
      </c>
      <c r="D3206" s="15">
        <v>9.42</v>
      </c>
      <c r="E3206" s="16" t="s">
        <v>30</v>
      </c>
    </row>
    <row r="3207" spans="1:5" x14ac:dyDescent="0.25">
      <c r="A3207" s="14">
        <v>712889</v>
      </c>
      <c r="B3207" s="14" t="s">
        <v>3328</v>
      </c>
      <c r="C3207" s="14" t="s">
        <v>13031</v>
      </c>
      <c r="D3207" s="15">
        <v>6.61</v>
      </c>
      <c r="E3207" s="16" t="s">
        <v>30</v>
      </c>
    </row>
    <row r="3208" spans="1:5" x14ac:dyDescent="0.25">
      <c r="A3208" s="14">
        <v>712892</v>
      </c>
      <c r="B3208" s="14" t="s">
        <v>3329</v>
      </c>
      <c r="C3208" s="14" t="s">
        <v>13031</v>
      </c>
      <c r="D3208" s="15">
        <v>22.46</v>
      </c>
      <c r="E3208" s="16" t="s">
        <v>30</v>
      </c>
    </row>
    <row r="3209" spans="1:5" x14ac:dyDescent="0.25">
      <c r="A3209" s="14">
        <v>712996</v>
      </c>
      <c r="B3209" s="14" t="s">
        <v>3330</v>
      </c>
      <c r="C3209" s="14" t="s">
        <v>13030</v>
      </c>
      <c r="D3209" s="15">
        <v>101.41</v>
      </c>
      <c r="E3209" s="16" t="s">
        <v>30</v>
      </c>
    </row>
    <row r="3210" spans="1:5" x14ac:dyDescent="0.25">
      <c r="A3210" s="14">
        <v>566422</v>
      </c>
      <c r="B3210" s="14" t="s">
        <v>3331</v>
      </c>
      <c r="C3210" s="14" t="s">
        <v>13030</v>
      </c>
      <c r="D3210" s="15">
        <v>92.48</v>
      </c>
      <c r="E3210" s="16" t="s">
        <v>20</v>
      </c>
    </row>
    <row r="3211" spans="1:5" x14ac:dyDescent="0.25">
      <c r="A3211" s="14">
        <v>712997</v>
      </c>
      <c r="B3211" s="14" t="s">
        <v>3332</v>
      </c>
      <c r="C3211" s="14" t="s">
        <v>13030</v>
      </c>
      <c r="D3211" s="15">
        <v>38.29</v>
      </c>
      <c r="E3211" s="16" t="s">
        <v>30</v>
      </c>
    </row>
    <row r="3212" spans="1:5" x14ac:dyDescent="0.25">
      <c r="A3212" s="14">
        <v>712998</v>
      </c>
      <c r="B3212" s="14" t="s">
        <v>3333</v>
      </c>
      <c r="C3212" s="14" t="s">
        <v>13030</v>
      </c>
      <c r="D3212" s="15">
        <v>82.54</v>
      </c>
      <c r="E3212" s="16" t="s">
        <v>30</v>
      </c>
    </row>
    <row r="3213" spans="1:5" x14ac:dyDescent="0.25">
      <c r="A3213" s="14">
        <v>713010</v>
      </c>
      <c r="B3213" s="14" t="s">
        <v>3334</v>
      </c>
      <c r="C3213" s="14" t="s">
        <v>13029</v>
      </c>
      <c r="D3213" s="15">
        <v>16.86</v>
      </c>
      <c r="E3213" s="16" t="s">
        <v>30</v>
      </c>
    </row>
    <row r="3214" spans="1:5" x14ac:dyDescent="0.25">
      <c r="A3214" s="14">
        <v>713190</v>
      </c>
      <c r="B3214" s="14" t="s">
        <v>3335</v>
      </c>
      <c r="C3214" s="14" t="s">
        <v>13029</v>
      </c>
      <c r="D3214" s="15">
        <v>37.97</v>
      </c>
      <c r="E3214" s="16" t="s">
        <v>30</v>
      </c>
    </row>
    <row r="3215" spans="1:5" x14ac:dyDescent="0.25">
      <c r="A3215" s="14">
        <v>713191</v>
      </c>
      <c r="B3215" s="14" t="s">
        <v>3336</v>
      </c>
      <c r="C3215" s="14" t="s">
        <v>13029</v>
      </c>
      <c r="D3215" s="15">
        <v>23.91</v>
      </c>
      <c r="E3215" s="16" t="s">
        <v>30</v>
      </c>
    </row>
    <row r="3216" spans="1:5" x14ac:dyDescent="0.25">
      <c r="A3216" s="14">
        <v>713376</v>
      </c>
      <c r="B3216" s="14" t="s">
        <v>3337</v>
      </c>
      <c r="C3216" s="14" t="s">
        <v>13030</v>
      </c>
      <c r="D3216" s="15">
        <v>44.24</v>
      </c>
      <c r="E3216" s="16" t="s">
        <v>30</v>
      </c>
    </row>
    <row r="3217" spans="1:5" x14ac:dyDescent="0.25">
      <c r="A3217" s="14">
        <v>713870</v>
      </c>
      <c r="B3217" s="14" t="s">
        <v>3338</v>
      </c>
      <c r="C3217" s="14" t="s">
        <v>13031</v>
      </c>
      <c r="D3217" s="15">
        <v>9.1</v>
      </c>
      <c r="E3217" s="16" t="s">
        <v>30</v>
      </c>
    </row>
    <row r="3218" spans="1:5" x14ac:dyDescent="0.25">
      <c r="A3218" s="14">
        <v>714025</v>
      </c>
      <c r="B3218" s="14" t="s">
        <v>3339</v>
      </c>
      <c r="C3218" s="14" t="s">
        <v>13029</v>
      </c>
      <c r="D3218" s="15">
        <v>24.83</v>
      </c>
      <c r="E3218" s="16" t="s">
        <v>30</v>
      </c>
    </row>
    <row r="3219" spans="1:5" x14ac:dyDescent="0.25">
      <c r="A3219" s="14">
        <v>714164</v>
      </c>
      <c r="B3219" s="14" t="s">
        <v>3340</v>
      </c>
      <c r="C3219" s="14" t="s">
        <v>13030</v>
      </c>
      <c r="D3219" s="15">
        <v>52.74</v>
      </c>
      <c r="E3219" s="16" t="s">
        <v>30</v>
      </c>
    </row>
    <row r="3220" spans="1:5" x14ac:dyDescent="0.25">
      <c r="A3220" s="14">
        <v>714165</v>
      </c>
      <c r="B3220" s="14" t="s">
        <v>3341</v>
      </c>
      <c r="C3220" s="14" t="s">
        <v>13030</v>
      </c>
      <c r="D3220" s="15">
        <v>100.78</v>
      </c>
      <c r="E3220" s="16" t="s">
        <v>30</v>
      </c>
    </row>
    <row r="3221" spans="1:5" x14ac:dyDescent="0.25">
      <c r="A3221" s="14">
        <v>714166</v>
      </c>
      <c r="B3221" s="14" t="s">
        <v>3342</v>
      </c>
      <c r="C3221" s="14" t="s">
        <v>13030</v>
      </c>
      <c r="D3221" s="15">
        <v>58.73</v>
      </c>
      <c r="E3221" s="16" t="s">
        <v>30</v>
      </c>
    </row>
    <row r="3222" spans="1:5" x14ac:dyDescent="0.25">
      <c r="A3222" s="14">
        <v>566892</v>
      </c>
      <c r="B3222" s="14" t="s">
        <v>3343</v>
      </c>
      <c r="C3222" s="14" t="s">
        <v>13030</v>
      </c>
      <c r="D3222" s="15">
        <v>112.87</v>
      </c>
      <c r="E3222" s="16" t="s">
        <v>20</v>
      </c>
    </row>
    <row r="3223" spans="1:5" x14ac:dyDescent="0.25">
      <c r="A3223" s="14">
        <v>714167</v>
      </c>
      <c r="B3223" s="14" t="s">
        <v>3344</v>
      </c>
      <c r="C3223" s="14" t="s">
        <v>13030</v>
      </c>
      <c r="D3223" s="15">
        <v>53.12</v>
      </c>
      <c r="E3223" s="16" t="s">
        <v>30</v>
      </c>
    </row>
    <row r="3224" spans="1:5" x14ac:dyDescent="0.25">
      <c r="A3224" s="14">
        <v>714198</v>
      </c>
      <c r="B3224" s="14" t="s">
        <v>3345</v>
      </c>
      <c r="C3224" s="14" t="s">
        <v>13029</v>
      </c>
      <c r="D3224" s="15">
        <v>11.45</v>
      </c>
      <c r="E3224" s="16" t="s">
        <v>30</v>
      </c>
    </row>
    <row r="3225" spans="1:5" x14ac:dyDescent="0.25">
      <c r="A3225" s="14">
        <v>714688</v>
      </c>
      <c r="B3225" s="14" t="s">
        <v>3346</v>
      </c>
      <c r="C3225" s="14" t="s">
        <v>13031</v>
      </c>
      <c r="D3225" s="15">
        <v>31.84</v>
      </c>
      <c r="E3225" s="16" t="s">
        <v>30</v>
      </c>
    </row>
    <row r="3226" spans="1:5" x14ac:dyDescent="0.25">
      <c r="A3226" s="14">
        <v>714689</v>
      </c>
      <c r="B3226" s="14" t="s">
        <v>3347</v>
      </c>
      <c r="C3226" s="14" t="s">
        <v>13031</v>
      </c>
      <c r="D3226" s="15">
        <v>50.71</v>
      </c>
      <c r="E3226" s="16" t="s">
        <v>30</v>
      </c>
    </row>
    <row r="3227" spans="1:5" x14ac:dyDescent="0.25">
      <c r="A3227" s="14">
        <v>714690</v>
      </c>
      <c r="B3227" s="14" t="s">
        <v>3348</v>
      </c>
      <c r="C3227" s="14" t="s">
        <v>13031</v>
      </c>
      <c r="D3227" s="15">
        <v>30.01</v>
      </c>
      <c r="E3227" s="16" t="s">
        <v>30</v>
      </c>
    </row>
    <row r="3228" spans="1:5" x14ac:dyDescent="0.25">
      <c r="A3228" s="14">
        <v>714691</v>
      </c>
      <c r="B3228" s="14" t="s">
        <v>3349</v>
      </c>
      <c r="C3228" s="14" t="s">
        <v>13031</v>
      </c>
      <c r="D3228" s="15">
        <v>8.35</v>
      </c>
      <c r="E3228" s="16" t="s">
        <v>30</v>
      </c>
    </row>
    <row r="3229" spans="1:5" x14ac:dyDescent="0.25">
      <c r="A3229" s="14">
        <v>714786</v>
      </c>
      <c r="B3229" s="14" t="s">
        <v>3350</v>
      </c>
      <c r="C3229" s="14" t="s">
        <v>13029</v>
      </c>
      <c r="D3229" s="15">
        <v>18.920000000000002</v>
      </c>
      <c r="E3229" s="16" t="s">
        <v>30</v>
      </c>
    </row>
    <row r="3230" spans="1:5" x14ac:dyDescent="0.25">
      <c r="A3230" s="14">
        <v>714787</v>
      </c>
      <c r="B3230" s="14" t="s">
        <v>3351</v>
      </c>
      <c r="C3230" s="14" t="s">
        <v>13029</v>
      </c>
      <c r="D3230" s="15">
        <v>21.3</v>
      </c>
      <c r="E3230" s="16" t="s">
        <v>30</v>
      </c>
    </row>
    <row r="3231" spans="1:5" x14ac:dyDescent="0.25">
      <c r="A3231" s="14">
        <v>714877</v>
      </c>
      <c r="B3231" s="14" t="s">
        <v>3352</v>
      </c>
      <c r="C3231" s="14" t="s">
        <v>13029</v>
      </c>
      <c r="D3231" s="15">
        <v>5.45</v>
      </c>
      <c r="E3231" s="16" t="s">
        <v>30</v>
      </c>
    </row>
    <row r="3232" spans="1:5" x14ac:dyDescent="0.25">
      <c r="A3232" s="14">
        <v>715029</v>
      </c>
      <c r="B3232" s="14" t="s">
        <v>3353</v>
      </c>
      <c r="C3232" s="14" t="s">
        <v>13031</v>
      </c>
      <c r="D3232" s="15">
        <v>7.06</v>
      </c>
      <c r="E3232" s="16" t="s">
        <v>30</v>
      </c>
    </row>
    <row r="3233" spans="1:5" x14ac:dyDescent="0.25">
      <c r="A3233" s="14">
        <v>716177</v>
      </c>
      <c r="B3233" s="14" t="s">
        <v>3354</v>
      </c>
      <c r="C3233" s="14" t="s">
        <v>13029</v>
      </c>
      <c r="D3233" s="15">
        <v>19.22</v>
      </c>
      <c r="E3233" s="16" t="s">
        <v>30</v>
      </c>
    </row>
    <row r="3234" spans="1:5" x14ac:dyDescent="0.25">
      <c r="A3234" s="14">
        <v>716316</v>
      </c>
      <c r="B3234" s="14" t="s">
        <v>3355</v>
      </c>
      <c r="C3234" s="14" t="s">
        <v>13030</v>
      </c>
      <c r="D3234" s="15">
        <v>6.64</v>
      </c>
      <c r="E3234" s="16" t="s">
        <v>30</v>
      </c>
    </row>
    <row r="3235" spans="1:5" x14ac:dyDescent="0.25">
      <c r="A3235" s="14">
        <v>716372</v>
      </c>
      <c r="B3235" s="14" t="s">
        <v>3356</v>
      </c>
      <c r="C3235" s="14" t="s">
        <v>13029</v>
      </c>
      <c r="D3235" s="15">
        <v>13.37</v>
      </c>
      <c r="E3235" s="14" t="s">
        <v>30</v>
      </c>
    </row>
    <row r="3236" spans="1:5" x14ac:dyDescent="0.25">
      <c r="A3236" s="14">
        <v>716732</v>
      </c>
      <c r="B3236" s="14" t="s">
        <v>3357</v>
      </c>
      <c r="C3236" s="14" t="s">
        <v>13030</v>
      </c>
      <c r="D3236" s="15">
        <v>30.79</v>
      </c>
      <c r="E3236" s="16" t="s">
        <v>30</v>
      </c>
    </row>
    <row r="3237" spans="1:5" x14ac:dyDescent="0.25">
      <c r="A3237" s="14">
        <v>716874</v>
      </c>
      <c r="B3237" s="14" t="s">
        <v>3358</v>
      </c>
      <c r="C3237" s="14" t="s">
        <v>13029</v>
      </c>
      <c r="D3237" s="15">
        <v>7.56</v>
      </c>
      <c r="E3237" s="16" t="s">
        <v>30</v>
      </c>
    </row>
    <row r="3238" spans="1:5" x14ac:dyDescent="0.25">
      <c r="A3238" s="14">
        <v>716875</v>
      </c>
      <c r="B3238" s="14" t="s">
        <v>3359</v>
      </c>
      <c r="C3238" s="14" t="s">
        <v>13029</v>
      </c>
      <c r="D3238" s="15">
        <v>13.1</v>
      </c>
      <c r="E3238" s="16" t="s">
        <v>30</v>
      </c>
    </row>
    <row r="3239" spans="1:5" x14ac:dyDescent="0.25">
      <c r="A3239" s="14">
        <v>716999</v>
      </c>
      <c r="B3239" s="14" t="s">
        <v>3360</v>
      </c>
      <c r="C3239" s="14" t="s">
        <v>13031</v>
      </c>
      <c r="D3239" s="15">
        <v>6.18</v>
      </c>
      <c r="E3239" s="16" t="s">
        <v>30</v>
      </c>
    </row>
    <row r="3240" spans="1:5" x14ac:dyDescent="0.25">
      <c r="A3240" s="14">
        <v>562742</v>
      </c>
      <c r="B3240" s="14" t="s">
        <v>3361</v>
      </c>
      <c r="C3240" s="14" t="s">
        <v>13031</v>
      </c>
      <c r="D3240" s="15">
        <v>6.67</v>
      </c>
      <c r="E3240" s="16" t="s">
        <v>20</v>
      </c>
    </row>
    <row r="3241" spans="1:5" x14ac:dyDescent="0.25">
      <c r="A3241" s="14">
        <v>717097</v>
      </c>
      <c r="B3241" s="14" t="s">
        <v>3362</v>
      </c>
      <c r="C3241" s="14" t="s">
        <v>13031</v>
      </c>
      <c r="D3241" s="15">
        <v>23.67</v>
      </c>
      <c r="E3241" s="16" t="s">
        <v>30</v>
      </c>
    </row>
    <row r="3242" spans="1:5" x14ac:dyDescent="0.25">
      <c r="A3242" s="14">
        <v>717098</v>
      </c>
      <c r="B3242" s="14" t="s">
        <v>3363</v>
      </c>
      <c r="C3242" s="14" t="s">
        <v>13031</v>
      </c>
      <c r="D3242" s="15">
        <v>23.67</v>
      </c>
      <c r="E3242" s="16" t="s">
        <v>30</v>
      </c>
    </row>
    <row r="3243" spans="1:5" x14ac:dyDescent="0.25">
      <c r="A3243" s="14">
        <v>718004</v>
      </c>
      <c r="B3243" s="14" t="s">
        <v>3364</v>
      </c>
      <c r="C3243" s="14" t="s">
        <v>13031</v>
      </c>
      <c r="D3243" s="15">
        <v>11.1</v>
      </c>
      <c r="E3243" s="16" t="s">
        <v>30</v>
      </c>
    </row>
    <row r="3244" spans="1:5" x14ac:dyDescent="0.25">
      <c r="A3244" s="14">
        <v>718013</v>
      </c>
      <c r="B3244" s="14" t="s">
        <v>3365</v>
      </c>
      <c r="C3244" s="14" t="s">
        <v>13031</v>
      </c>
      <c r="D3244" s="15">
        <v>13.1</v>
      </c>
      <c r="E3244" s="16" t="s">
        <v>30</v>
      </c>
    </row>
    <row r="3245" spans="1:5" x14ac:dyDescent="0.25">
      <c r="A3245" s="14">
        <v>718014</v>
      </c>
      <c r="B3245" s="14" t="s">
        <v>3366</v>
      </c>
      <c r="C3245" s="14" t="s">
        <v>13031</v>
      </c>
      <c r="D3245" s="15">
        <v>13.1</v>
      </c>
      <c r="E3245" s="16" t="s">
        <v>30</v>
      </c>
    </row>
    <row r="3246" spans="1:5" x14ac:dyDescent="0.25">
      <c r="A3246" s="14">
        <v>718109</v>
      </c>
      <c r="B3246" s="14" t="s">
        <v>3367</v>
      </c>
      <c r="C3246" s="14" t="s">
        <v>13029</v>
      </c>
      <c r="D3246" s="15">
        <v>15.09</v>
      </c>
      <c r="E3246" s="16" t="s">
        <v>30</v>
      </c>
    </row>
    <row r="3247" spans="1:5" x14ac:dyDescent="0.25">
      <c r="A3247" s="14">
        <v>718282</v>
      </c>
      <c r="B3247" s="14" t="s">
        <v>3368</v>
      </c>
      <c r="C3247" s="14" t="s">
        <v>13030</v>
      </c>
      <c r="D3247" s="15">
        <v>65.55</v>
      </c>
      <c r="E3247" s="16" t="s">
        <v>30</v>
      </c>
    </row>
    <row r="3248" spans="1:5" x14ac:dyDescent="0.25">
      <c r="A3248" s="14">
        <v>718375</v>
      </c>
      <c r="B3248" s="14" t="s">
        <v>3369</v>
      </c>
      <c r="C3248" s="14" t="s">
        <v>13031</v>
      </c>
      <c r="D3248" s="15">
        <v>4.6900000000000004</v>
      </c>
      <c r="E3248" s="16" t="s">
        <v>30</v>
      </c>
    </row>
    <row r="3249" spans="1:5" x14ac:dyDescent="0.25">
      <c r="A3249" s="14">
        <v>718376</v>
      </c>
      <c r="B3249" s="14" t="s">
        <v>3370</v>
      </c>
      <c r="C3249" s="14" t="s">
        <v>13031</v>
      </c>
      <c r="D3249" s="15">
        <v>4.6900000000000004</v>
      </c>
      <c r="E3249" s="16" t="s">
        <v>30</v>
      </c>
    </row>
    <row r="3250" spans="1:5" x14ac:dyDescent="0.25">
      <c r="A3250" s="14">
        <v>718378</v>
      </c>
      <c r="B3250" s="14" t="s">
        <v>3371</v>
      </c>
      <c r="C3250" s="14" t="s">
        <v>13031</v>
      </c>
      <c r="D3250" s="15">
        <v>1.72</v>
      </c>
      <c r="E3250" s="16" t="s">
        <v>30</v>
      </c>
    </row>
    <row r="3251" spans="1:5" x14ac:dyDescent="0.25">
      <c r="A3251" s="14">
        <v>718785</v>
      </c>
      <c r="B3251" s="14" t="s">
        <v>3372</v>
      </c>
      <c r="C3251" s="14" t="s">
        <v>13031</v>
      </c>
      <c r="D3251" s="15">
        <v>12.2</v>
      </c>
      <c r="E3251" s="16" t="s">
        <v>30</v>
      </c>
    </row>
    <row r="3252" spans="1:5" x14ac:dyDescent="0.25">
      <c r="A3252" s="14">
        <v>718786</v>
      </c>
      <c r="B3252" s="14" t="s">
        <v>3373</v>
      </c>
      <c r="C3252" s="14" t="s">
        <v>13031</v>
      </c>
      <c r="D3252" s="15">
        <v>12.2</v>
      </c>
      <c r="E3252" s="16" t="s">
        <v>30</v>
      </c>
    </row>
    <row r="3253" spans="1:5" x14ac:dyDescent="0.25">
      <c r="A3253" s="14">
        <v>718787</v>
      </c>
      <c r="B3253" s="14" t="s">
        <v>3374</v>
      </c>
      <c r="C3253" s="14" t="s">
        <v>13031</v>
      </c>
      <c r="D3253" s="15">
        <v>9.19</v>
      </c>
      <c r="E3253" s="16" t="s">
        <v>30</v>
      </c>
    </row>
    <row r="3254" spans="1:5" x14ac:dyDescent="0.25">
      <c r="A3254" s="14">
        <v>718788</v>
      </c>
      <c r="B3254" s="14" t="s">
        <v>3375</v>
      </c>
      <c r="C3254" s="14" t="s">
        <v>13031</v>
      </c>
      <c r="D3254" s="15">
        <v>12.4</v>
      </c>
      <c r="E3254" s="16" t="s">
        <v>30</v>
      </c>
    </row>
    <row r="3255" spans="1:5" x14ac:dyDescent="0.25">
      <c r="A3255" s="14">
        <v>718789</v>
      </c>
      <c r="B3255" s="14" t="s">
        <v>3376</v>
      </c>
      <c r="C3255" s="14" t="s">
        <v>13031</v>
      </c>
      <c r="D3255" s="15">
        <v>13.35</v>
      </c>
      <c r="E3255" s="16" t="s">
        <v>30</v>
      </c>
    </row>
    <row r="3256" spans="1:5" x14ac:dyDescent="0.25">
      <c r="A3256" s="14">
        <v>700032</v>
      </c>
      <c r="B3256" s="14" t="s">
        <v>3377</v>
      </c>
      <c r="C3256" s="14" t="s">
        <v>13030</v>
      </c>
      <c r="D3256" s="15">
        <v>93</v>
      </c>
      <c r="E3256" s="16" t="s">
        <v>20</v>
      </c>
    </row>
    <row r="3257" spans="1:5" x14ac:dyDescent="0.25">
      <c r="A3257" s="14">
        <v>718813</v>
      </c>
      <c r="B3257" s="14" t="s">
        <v>3378</v>
      </c>
      <c r="C3257" s="14" t="s">
        <v>13029</v>
      </c>
      <c r="D3257" s="15">
        <v>12.94</v>
      </c>
      <c r="E3257" s="16" t="s">
        <v>30</v>
      </c>
    </row>
    <row r="3258" spans="1:5" x14ac:dyDescent="0.25">
      <c r="A3258" s="14">
        <v>718877</v>
      </c>
      <c r="B3258" s="14" t="s">
        <v>3379</v>
      </c>
      <c r="C3258" s="14" t="s">
        <v>13031</v>
      </c>
      <c r="D3258" s="15">
        <v>16.2</v>
      </c>
      <c r="E3258" s="16" t="s">
        <v>30</v>
      </c>
    </row>
    <row r="3259" spans="1:5" x14ac:dyDescent="0.25">
      <c r="A3259" s="14">
        <v>718878</v>
      </c>
      <c r="B3259" s="14" t="s">
        <v>3380</v>
      </c>
      <c r="C3259" s="14" t="s">
        <v>13031</v>
      </c>
      <c r="D3259" s="15">
        <v>9.1999999999999993</v>
      </c>
      <c r="E3259" s="16" t="s">
        <v>30</v>
      </c>
    </row>
    <row r="3260" spans="1:5" x14ac:dyDescent="0.25">
      <c r="A3260" s="14">
        <v>718879</v>
      </c>
      <c r="B3260" s="14" t="s">
        <v>3381</v>
      </c>
      <c r="C3260" s="14" t="s">
        <v>13031</v>
      </c>
      <c r="D3260" s="15">
        <v>9.1999999999999993</v>
      </c>
      <c r="E3260" s="16" t="s">
        <v>30</v>
      </c>
    </row>
    <row r="3261" spans="1:5" x14ac:dyDescent="0.25">
      <c r="A3261" s="14">
        <v>718880</v>
      </c>
      <c r="B3261" s="14" t="s">
        <v>3382</v>
      </c>
      <c r="C3261" s="14" t="s">
        <v>13031</v>
      </c>
      <c r="D3261" s="15">
        <v>21.5</v>
      </c>
      <c r="E3261" s="16" t="s">
        <v>30</v>
      </c>
    </row>
    <row r="3262" spans="1:5" x14ac:dyDescent="0.25">
      <c r="A3262" s="14">
        <v>718882</v>
      </c>
      <c r="B3262" s="14" t="s">
        <v>3383</v>
      </c>
      <c r="C3262" s="14" t="s">
        <v>13031</v>
      </c>
      <c r="D3262" s="15">
        <v>19.600000000000001</v>
      </c>
      <c r="E3262" s="16" t="s">
        <v>30</v>
      </c>
    </row>
    <row r="3263" spans="1:5" x14ac:dyDescent="0.25">
      <c r="A3263" s="14">
        <v>718883</v>
      </c>
      <c r="B3263" s="14" t="s">
        <v>3384</v>
      </c>
      <c r="C3263" s="14" t="s">
        <v>13031</v>
      </c>
      <c r="D3263" s="15">
        <v>14.8</v>
      </c>
      <c r="E3263" s="16" t="s">
        <v>30</v>
      </c>
    </row>
    <row r="3264" spans="1:5" x14ac:dyDescent="0.25">
      <c r="A3264" s="14">
        <v>718884</v>
      </c>
      <c r="B3264" s="14" t="s">
        <v>3385</v>
      </c>
      <c r="C3264" s="14" t="s">
        <v>13031</v>
      </c>
      <c r="D3264" s="15">
        <v>14.8</v>
      </c>
      <c r="E3264" s="16" t="s">
        <v>30</v>
      </c>
    </row>
    <row r="3265" spans="1:5" x14ac:dyDescent="0.25">
      <c r="A3265" s="14">
        <v>718885</v>
      </c>
      <c r="B3265" s="14" t="s">
        <v>3386</v>
      </c>
      <c r="C3265" s="14" t="s">
        <v>13031</v>
      </c>
      <c r="D3265" s="15">
        <v>15.8</v>
      </c>
      <c r="E3265" s="16" t="s">
        <v>30</v>
      </c>
    </row>
    <row r="3266" spans="1:5" x14ac:dyDescent="0.25">
      <c r="A3266" s="14">
        <v>718886</v>
      </c>
      <c r="B3266" s="14" t="s">
        <v>3387</v>
      </c>
      <c r="C3266" s="14" t="s">
        <v>13031</v>
      </c>
      <c r="D3266" s="15">
        <v>10.4</v>
      </c>
      <c r="E3266" s="16" t="s">
        <v>30</v>
      </c>
    </row>
    <row r="3267" spans="1:5" x14ac:dyDescent="0.25">
      <c r="A3267" s="14">
        <v>718888</v>
      </c>
      <c r="B3267" s="14" t="s">
        <v>3388</v>
      </c>
      <c r="C3267" s="14" t="s">
        <v>13031</v>
      </c>
      <c r="D3267" s="15">
        <v>15</v>
      </c>
      <c r="E3267" s="16" t="s">
        <v>30</v>
      </c>
    </row>
    <row r="3268" spans="1:5" x14ac:dyDescent="0.25">
      <c r="A3268" s="14">
        <v>719177</v>
      </c>
      <c r="B3268" s="14" t="s">
        <v>3389</v>
      </c>
      <c r="C3268" s="14" t="s">
        <v>13031</v>
      </c>
      <c r="D3268" s="15">
        <v>5.93</v>
      </c>
      <c r="E3268" s="16" t="s">
        <v>30</v>
      </c>
    </row>
    <row r="3269" spans="1:5" x14ac:dyDescent="0.25">
      <c r="A3269" s="14">
        <v>719178</v>
      </c>
      <c r="B3269" s="14" t="s">
        <v>3390</v>
      </c>
      <c r="C3269" s="14" t="s">
        <v>13031</v>
      </c>
      <c r="D3269" s="15">
        <v>5.93</v>
      </c>
      <c r="E3269" s="16" t="s">
        <v>30</v>
      </c>
    </row>
    <row r="3270" spans="1:5" x14ac:dyDescent="0.25">
      <c r="A3270" s="14">
        <v>719179</v>
      </c>
      <c r="B3270" s="14" t="s">
        <v>3391</v>
      </c>
      <c r="C3270" s="14" t="s">
        <v>13031</v>
      </c>
      <c r="D3270" s="15">
        <v>5.93</v>
      </c>
      <c r="E3270" s="16" t="s">
        <v>30</v>
      </c>
    </row>
    <row r="3271" spans="1:5" x14ac:dyDescent="0.25">
      <c r="A3271" s="14">
        <v>719535</v>
      </c>
      <c r="B3271" s="14" t="s">
        <v>3392</v>
      </c>
      <c r="C3271" s="14" t="s">
        <v>13031</v>
      </c>
      <c r="D3271" s="15">
        <v>9.43</v>
      </c>
      <c r="E3271" s="16" t="s">
        <v>30</v>
      </c>
    </row>
    <row r="3272" spans="1:5" x14ac:dyDescent="0.25">
      <c r="A3272" s="14">
        <v>719536</v>
      </c>
      <c r="B3272" s="14" t="s">
        <v>3393</v>
      </c>
      <c r="C3272" s="14" t="s">
        <v>13031</v>
      </c>
      <c r="D3272" s="15">
        <v>9.43</v>
      </c>
      <c r="E3272" s="16" t="s">
        <v>30</v>
      </c>
    </row>
    <row r="3273" spans="1:5" x14ac:dyDescent="0.25">
      <c r="A3273" s="14">
        <v>719566</v>
      </c>
      <c r="B3273" s="14" t="s">
        <v>3394</v>
      </c>
      <c r="C3273" s="14" t="s">
        <v>13030</v>
      </c>
      <c r="D3273" s="15">
        <v>5.04</v>
      </c>
      <c r="E3273" s="16" t="s">
        <v>30</v>
      </c>
    </row>
    <row r="3274" spans="1:5" x14ac:dyDescent="0.25">
      <c r="A3274" s="14">
        <v>719650</v>
      </c>
      <c r="B3274" s="14" t="s">
        <v>3395</v>
      </c>
      <c r="C3274" s="14" t="s">
        <v>13029</v>
      </c>
      <c r="D3274" s="15">
        <v>5.94</v>
      </c>
      <c r="E3274" s="16" t="s">
        <v>30</v>
      </c>
    </row>
    <row r="3275" spans="1:5" x14ac:dyDescent="0.25">
      <c r="A3275" s="14">
        <v>719653</v>
      </c>
      <c r="B3275" s="14" t="s">
        <v>3396</v>
      </c>
      <c r="C3275" s="14" t="s">
        <v>13029</v>
      </c>
      <c r="D3275" s="15">
        <v>8.1999999999999993</v>
      </c>
      <c r="E3275" s="16" t="s">
        <v>30</v>
      </c>
    </row>
    <row r="3276" spans="1:5" x14ac:dyDescent="0.25">
      <c r="A3276" s="14">
        <v>719658</v>
      </c>
      <c r="B3276" s="14" t="s">
        <v>3397</v>
      </c>
      <c r="C3276" s="14" t="s">
        <v>13029</v>
      </c>
      <c r="D3276" s="15">
        <v>7.66</v>
      </c>
      <c r="E3276" s="16" t="s">
        <v>30</v>
      </c>
    </row>
    <row r="3277" spans="1:5" x14ac:dyDescent="0.25">
      <c r="A3277" s="14">
        <v>719659</v>
      </c>
      <c r="B3277" s="14" t="s">
        <v>3398</v>
      </c>
      <c r="C3277" s="14" t="s">
        <v>13029</v>
      </c>
      <c r="D3277" s="15">
        <v>0.7</v>
      </c>
      <c r="E3277" s="16" t="s">
        <v>30</v>
      </c>
    </row>
    <row r="3278" spans="1:5" x14ac:dyDescent="0.25">
      <c r="A3278" s="14">
        <v>719660</v>
      </c>
      <c r="B3278" s="14" t="s">
        <v>3399</v>
      </c>
      <c r="C3278" s="14" t="s">
        <v>13029</v>
      </c>
      <c r="D3278" s="15">
        <v>1.86</v>
      </c>
      <c r="E3278" s="16" t="s">
        <v>30</v>
      </c>
    </row>
    <row r="3279" spans="1:5" x14ac:dyDescent="0.25">
      <c r="A3279" s="14">
        <v>719856</v>
      </c>
      <c r="B3279" s="14" t="s">
        <v>3400</v>
      </c>
      <c r="C3279" s="14" t="s">
        <v>13030</v>
      </c>
      <c r="D3279" s="15">
        <v>102.58</v>
      </c>
      <c r="E3279" s="16" t="s">
        <v>30</v>
      </c>
    </row>
    <row r="3280" spans="1:5" x14ac:dyDescent="0.25">
      <c r="A3280" s="14">
        <v>719857</v>
      </c>
      <c r="B3280" s="14" t="s">
        <v>3401</v>
      </c>
      <c r="C3280" s="14" t="s">
        <v>13030</v>
      </c>
      <c r="D3280" s="15">
        <v>65.709999999999994</v>
      </c>
      <c r="E3280" s="16" t="s">
        <v>30</v>
      </c>
    </row>
    <row r="3281" spans="1:5" x14ac:dyDescent="0.25">
      <c r="A3281" s="14">
        <v>719858</v>
      </c>
      <c r="B3281" s="14" t="s">
        <v>3402</v>
      </c>
      <c r="C3281" s="14" t="s">
        <v>13030</v>
      </c>
      <c r="D3281" s="15">
        <v>64.760000000000005</v>
      </c>
      <c r="E3281" s="16" t="s">
        <v>30</v>
      </c>
    </row>
    <row r="3282" spans="1:5" x14ac:dyDescent="0.25">
      <c r="A3282" s="14">
        <v>719896</v>
      </c>
      <c r="B3282" s="14" t="s">
        <v>3403</v>
      </c>
      <c r="C3282" s="14" t="s">
        <v>13030</v>
      </c>
      <c r="D3282" s="15">
        <v>38.15</v>
      </c>
      <c r="E3282" s="16" t="s">
        <v>30</v>
      </c>
    </row>
    <row r="3283" spans="1:5" x14ac:dyDescent="0.25">
      <c r="A3283" s="14">
        <v>719898</v>
      </c>
      <c r="B3283" s="14" t="s">
        <v>3404</v>
      </c>
      <c r="C3283" s="14" t="s">
        <v>13030</v>
      </c>
      <c r="D3283" s="15">
        <v>46.44</v>
      </c>
      <c r="E3283" s="16" t="s">
        <v>30</v>
      </c>
    </row>
    <row r="3284" spans="1:5" x14ac:dyDescent="0.25">
      <c r="A3284" s="14">
        <v>719899</v>
      </c>
      <c r="B3284" s="14" t="s">
        <v>3405</v>
      </c>
      <c r="C3284" s="14" t="s">
        <v>13030</v>
      </c>
      <c r="D3284" s="15">
        <v>45.31</v>
      </c>
      <c r="E3284" s="16" t="s">
        <v>30</v>
      </c>
    </row>
    <row r="3285" spans="1:5" x14ac:dyDescent="0.25">
      <c r="A3285" s="14">
        <v>720015</v>
      </c>
      <c r="B3285" s="14" t="s">
        <v>3406</v>
      </c>
      <c r="C3285" s="14" t="s">
        <v>13029</v>
      </c>
      <c r="D3285" s="15">
        <v>15.92</v>
      </c>
      <c r="E3285" s="16" t="s">
        <v>30</v>
      </c>
    </row>
    <row r="3286" spans="1:5" x14ac:dyDescent="0.25">
      <c r="A3286" s="14">
        <v>720037</v>
      </c>
      <c r="B3286" s="14" t="s">
        <v>3407</v>
      </c>
      <c r="C3286" s="14" t="s">
        <v>13031</v>
      </c>
      <c r="D3286" s="15">
        <v>8.56</v>
      </c>
      <c r="E3286" s="16" t="s">
        <v>30</v>
      </c>
    </row>
    <row r="3287" spans="1:5" x14ac:dyDescent="0.25">
      <c r="A3287" s="14">
        <v>720058</v>
      </c>
      <c r="B3287" s="14" t="s">
        <v>3408</v>
      </c>
      <c r="C3287" s="14" t="s">
        <v>13029</v>
      </c>
      <c r="D3287" s="15">
        <v>4.6100000000000003</v>
      </c>
      <c r="E3287" s="16" t="s">
        <v>30</v>
      </c>
    </row>
    <row r="3288" spans="1:5" x14ac:dyDescent="0.25">
      <c r="A3288" s="14">
        <v>720060</v>
      </c>
      <c r="B3288" s="14" t="s">
        <v>3409</v>
      </c>
      <c r="C3288" s="14" t="s">
        <v>13029</v>
      </c>
      <c r="D3288" s="15">
        <v>11.18</v>
      </c>
      <c r="E3288" s="16" t="s">
        <v>30</v>
      </c>
    </row>
    <row r="3289" spans="1:5" x14ac:dyDescent="0.25">
      <c r="A3289" s="14">
        <v>720061</v>
      </c>
      <c r="B3289" s="14" t="s">
        <v>3410</v>
      </c>
      <c r="C3289" s="14" t="s">
        <v>13029</v>
      </c>
      <c r="D3289" s="15">
        <v>12.31</v>
      </c>
      <c r="E3289" s="16" t="s">
        <v>30</v>
      </c>
    </row>
    <row r="3290" spans="1:5" x14ac:dyDescent="0.25">
      <c r="A3290" s="14">
        <v>720264</v>
      </c>
      <c r="B3290" s="14" t="s">
        <v>3411</v>
      </c>
      <c r="C3290" s="14" t="s">
        <v>13031</v>
      </c>
      <c r="D3290" s="15">
        <v>4.6500000000000004</v>
      </c>
      <c r="E3290" s="16" t="s">
        <v>30</v>
      </c>
    </row>
    <row r="3291" spans="1:5" x14ac:dyDescent="0.25">
      <c r="A3291" s="14">
        <v>720281</v>
      </c>
      <c r="B3291" s="14" t="s">
        <v>3412</v>
      </c>
      <c r="C3291" s="14" t="s">
        <v>13030</v>
      </c>
      <c r="D3291" s="15">
        <v>44.91</v>
      </c>
      <c r="E3291" s="16" t="s">
        <v>30</v>
      </c>
    </row>
    <row r="3292" spans="1:5" x14ac:dyDescent="0.25">
      <c r="A3292" s="14">
        <v>720282</v>
      </c>
      <c r="B3292" s="14" t="s">
        <v>3413</v>
      </c>
      <c r="C3292" s="14" t="s">
        <v>13030</v>
      </c>
      <c r="D3292" s="15">
        <v>44.91</v>
      </c>
      <c r="E3292" s="16" t="s">
        <v>30</v>
      </c>
    </row>
    <row r="3293" spans="1:5" x14ac:dyDescent="0.25">
      <c r="A3293" s="14">
        <v>720283</v>
      </c>
      <c r="B3293" s="14" t="s">
        <v>3414</v>
      </c>
      <c r="C3293" s="14" t="s">
        <v>13030</v>
      </c>
      <c r="D3293" s="15">
        <v>31.03</v>
      </c>
      <c r="E3293" s="16" t="s">
        <v>30</v>
      </c>
    </row>
    <row r="3294" spans="1:5" x14ac:dyDescent="0.25">
      <c r="A3294" s="14">
        <v>720284</v>
      </c>
      <c r="B3294" s="14" t="s">
        <v>3415</v>
      </c>
      <c r="C3294" s="14" t="s">
        <v>13030</v>
      </c>
      <c r="D3294" s="15">
        <v>31.03</v>
      </c>
      <c r="E3294" s="16" t="s">
        <v>30</v>
      </c>
    </row>
    <row r="3295" spans="1:5" x14ac:dyDescent="0.25">
      <c r="A3295" s="14">
        <v>720285</v>
      </c>
      <c r="B3295" s="14" t="s">
        <v>3416</v>
      </c>
      <c r="C3295" s="14" t="s">
        <v>13030</v>
      </c>
      <c r="D3295" s="15">
        <v>31.03</v>
      </c>
      <c r="E3295" s="16" t="s">
        <v>30</v>
      </c>
    </row>
    <row r="3296" spans="1:5" x14ac:dyDescent="0.25">
      <c r="A3296" s="14">
        <v>720286</v>
      </c>
      <c r="B3296" s="14" t="s">
        <v>3417</v>
      </c>
      <c r="C3296" s="14" t="s">
        <v>13030</v>
      </c>
      <c r="D3296" s="15">
        <v>31.03</v>
      </c>
      <c r="E3296" s="16" t="s">
        <v>30</v>
      </c>
    </row>
    <row r="3297" spans="1:5" x14ac:dyDescent="0.25">
      <c r="A3297" s="14">
        <v>720330</v>
      </c>
      <c r="B3297" s="14" t="s">
        <v>3418</v>
      </c>
      <c r="C3297" s="14" t="s">
        <v>13029</v>
      </c>
      <c r="D3297" s="15">
        <v>13.15</v>
      </c>
      <c r="E3297" s="14" t="s">
        <v>30</v>
      </c>
    </row>
    <row r="3298" spans="1:5" x14ac:dyDescent="0.25">
      <c r="A3298" s="14">
        <v>720332</v>
      </c>
      <c r="B3298" s="14" t="s">
        <v>3419</v>
      </c>
      <c r="C3298" s="14" t="s">
        <v>13029</v>
      </c>
      <c r="D3298" s="15">
        <v>13.37</v>
      </c>
      <c r="E3298" s="14" t="s">
        <v>30</v>
      </c>
    </row>
    <row r="3299" spans="1:5" x14ac:dyDescent="0.25">
      <c r="A3299" s="14">
        <v>720333</v>
      </c>
      <c r="B3299" s="14" t="s">
        <v>3420</v>
      </c>
      <c r="C3299" s="14" t="s">
        <v>13029</v>
      </c>
      <c r="D3299" s="15">
        <v>13.37</v>
      </c>
      <c r="E3299" s="14" t="s">
        <v>30</v>
      </c>
    </row>
    <row r="3300" spans="1:5" x14ac:dyDescent="0.25">
      <c r="A3300" s="14">
        <v>720334</v>
      </c>
      <c r="B3300" s="14" t="s">
        <v>3421</v>
      </c>
      <c r="C3300" s="14" t="s">
        <v>13029</v>
      </c>
      <c r="D3300" s="15">
        <v>13.37</v>
      </c>
      <c r="E3300" s="14" t="s">
        <v>30</v>
      </c>
    </row>
    <row r="3301" spans="1:5" x14ac:dyDescent="0.25">
      <c r="A3301" s="14">
        <v>720433</v>
      </c>
      <c r="B3301" s="14" t="s">
        <v>3422</v>
      </c>
      <c r="C3301" s="14" t="s">
        <v>13030</v>
      </c>
      <c r="D3301" s="15">
        <v>115.18</v>
      </c>
      <c r="E3301" s="16" t="s">
        <v>30</v>
      </c>
    </row>
    <row r="3302" spans="1:5" x14ac:dyDescent="0.25">
      <c r="A3302" s="14">
        <v>720434</v>
      </c>
      <c r="B3302" s="14" t="s">
        <v>3423</v>
      </c>
      <c r="C3302" s="14" t="s">
        <v>13030</v>
      </c>
      <c r="D3302" s="15">
        <v>207.78</v>
      </c>
      <c r="E3302" s="16" t="s">
        <v>30</v>
      </c>
    </row>
    <row r="3303" spans="1:5" x14ac:dyDescent="0.25">
      <c r="A3303" s="14">
        <v>720502</v>
      </c>
      <c r="B3303" s="14" t="s">
        <v>3424</v>
      </c>
      <c r="C3303" s="14" t="s">
        <v>13029</v>
      </c>
      <c r="D3303" s="15">
        <v>10.86</v>
      </c>
      <c r="E3303" s="16" t="s">
        <v>30</v>
      </c>
    </row>
    <row r="3304" spans="1:5" x14ac:dyDescent="0.25">
      <c r="A3304" s="14">
        <v>720505</v>
      </c>
      <c r="B3304" s="14" t="s">
        <v>3425</v>
      </c>
      <c r="C3304" s="14" t="s">
        <v>13029</v>
      </c>
      <c r="D3304" s="15">
        <v>8.67</v>
      </c>
      <c r="E3304" s="16" t="s">
        <v>30</v>
      </c>
    </row>
    <row r="3305" spans="1:5" x14ac:dyDescent="0.25">
      <c r="A3305" s="14">
        <v>720510</v>
      </c>
      <c r="B3305" s="14" t="s">
        <v>3426</v>
      </c>
      <c r="C3305" s="14" t="s">
        <v>13029</v>
      </c>
      <c r="D3305" s="15">
        <v>45.84</v>
      </c>
      <c r="E3305" s="16" t="s">
        <v>30</v>
      </c>
    </row>
    <row r="3306" spans="1:5" x14ac:dyDescent="0.25">
      <c r="A3306" s="14">
        <v>720511</v>
      </c>
      <c r="B3306" s="14" t="s">
        <v>3427</v>
      </c>
      <c r="C3306" s="14" t="s">
        <v>13029</v>
      </c>
      <c r="D3306" s="15">
        <v>32.72</v>
      </c>
      <c r="E3306" s="16" t="s">
        <v>30</v>
      </c>
    </row>
    <row r="3307" spans="1:5" x14ac:dyDescent="0.25">
      <c r="A3307" s="14">
        <v>720512</v>
      </c>
      <c r="B3307" s="14" t="s">
        <v>3428</v>
      </c>
      <c r="C3307" s="14" t="s">
        <v>13029</v>
      </c>
      <c r="D3307" s="15">
        <v>29.08</v>
      </c>
      <c r="E3307" s="16" t="s">
        <v>30</v>
      </c>
    </row>
    <row r="3308" spans="1:5" x14ac:dyDescent="0.25">
      <c r="A3308" s="14">
        <v>720513</v>
      </c>
      <c r="B3308" s="14" t="s">
        <v>3429</v>
      </c>
      <c r="C3308" s="14" t="s">
        <v>13029</v>
      </c>
      <c r="D3308" s="15">
        <v>58.23</v>
      </c>
      <c r="E3308" s="16" t="s">
        <v>30</v>
      </c>
    </row>
    <row r="3309" spans="1:5" x14ac:dyDescent="0.25">
      <c r="A3309" s="14">
        <v>720515</v>
      </c>
      <c r="B3309" s="14" t="s">
        <v>3430</v>
      </c>
      <c r="C3309" s="14" t="s">
        <v>13029</v>
      </c>
      <c r="D3309" s="15">
        <v>26.16</v>
      </c>
      <c r="E3309" s="16" t="s">
        <v>30</v>
      </c>
    </row>
    <row r="3310" spans="1:5" x14ac:dyDescent="0.25">
      <c r="A3310" s="14">
        <v>720516</v>
      </c>
      <c r="B3310" s="14" t="s">
        <v>3431</v>
      </c>
      <c r="C3310" s="14" t="s">
        <v>13029</v>
      </c>
      <c r="D3310" s="15">
        <v>29.08</v>
      </c>
      <c r="E3310" s="16" t="s">
        <v>30</v>
      </c>
    </row>
    <row r="3311" spans="1:5" x14ac:dyDescent="0.25">
      <c r="A3311" s="14">
        <v>720607</v>
      </c>
      <c r="B3311" s="14" t="s">
        <v>3432</v>
      </c>
      <c r="C3311" s="14" t="s">
        <v>13029</v>
      </c>
      <c r="D3311" s="15">
        <v>21.79</v>
      </c>
      <c r="E3311" s="16" t="s">
        <v>30</v>
      </c>
    </row>
    <row r="3312" spans="1:5" x14ac:dyDescent="0.25">
      <c r="A3312" s="14">
        <v>720608</v>
      </c>
      <c r="B3312" s="14" t="s">
        <v>3433</v>
      </c>
      <c r="C3312" s="14" t="s">
        <v>13029</v>
      </c>
      <c r="D3312" s="15">
        <v>21.79</v>
      </c>
      <c r="E3312" s="16" t="s">
        <v>30</v>
      </c>
    </row>
    <row r="3313" spans="1:5" x14ac:dyDescent="0.25">
      <c r="A3313" s="14">
        <v>720609</v>
      </c>
      <c r="B3313" s="14" t="s">
        <v>3434</v>
      </c>
      <c r="C3313" s="14" t="s">
        <v>13029</v>
      </c>
      <c r="D3313" s="15">
        <v>21.79</v>
      </c>
      <c r="E3313" s="16" t="s">
        <v>30</v>
      </c>
    </row>
    <row r="3314" spans="1:5" x14ac:dyDescent="0.25">
      <c r="A3314" s="14">
        <v>720610</v>
      </c>
      <c r="B3314" s="14" t="s">
        <v>3435</v>
      </c>
      <c r="C3314" s="14" t="s">
        <v>13029</v>
      </c>
      <c r="D3314" s="15">
        <v>21.79</v>
      </c>
      <c r="E3314" s="16" t="s">
        <v>30</v>
      </c>
    </row>
    <row r="3315" spans="1:5" x14ac:dyDescent="0.25">
      <c r="A3315" s="14">
        <v>720611</v>
      </c>
      <c r="B3315" s="14" t="s">
        <v>3436</v>
      </c>
      <c r="C3315" s="14" t="s">
        <v>13029</v>
      </c>
      <c r="D3315" s="15">
        <v>21.79</v>
      </c>
      <c r="E3315" s="16" t="s">
        <v>30</v>
      </c>
    </row>
    <row r="3316" spans="1:5" x14ac:dyDescent="0.25">
      <c r="A3316" s="14">
        <v>720612</v>
      </c>
      <c r="B3316" s="14" t="s">
        <v>3437</v>
      </c>
      <c r="C3316" s="14" t="s">
        <v>13029</v>
      </c>
      <c r="D3316" s="15">
        <v>21.79</v>
      </c>
      <c r="E3316" s="16" t="s">
        <v>30</v>
      </c>
    </row>
    <row r="3317" spans="1:5" x14ac:dyDescent="0.25">
      <c r="A3317" s="14">
        <v>720613</v>
      </c>
      <c r="B3317" s="14" t="s">
        <v>3438</v>
      </c>
      <c r="C3317" s="14" t="s">
        <v>13029</v>
      </c>
      <c r="D3317" s="15">
        <v>20.329999999999998</v>
      </c>
      <c r="E3317" s="16" t="s">
        <v>30</v>
      </c>
    </row>
    <row r="3318" spans="1:5" x14ac:dyDescent="0.25">
      <c r="A3318" s="14">
        <v>720653</v>
      </c>
      <c r="B3318" s="14" t="s">
        <v>3439</v>
      </c>
      <c r="C3318" s="14" t="s">
        <v>13030</v>
      </c>
      <c r="D3318" s="15">
        <v>9.1300000000000008</v>
      </c>
      <c r="E3318" s="16" t="s">
        <v>30</v>
      </c>
    </row>
    <row r="3319" spans="1:5" x14ac:dyDescent="0.25">
      <c r="A3319" s="14">
        <v>700033</v>
      </c>
      <c r="B3319" s="14" t="s">
        <v>3440</v>
      </c>
      <c r="C3319" s="14" t="s">
        <v>13030</v>
      </c>
      <c r="D3319" s="15">
        <v>80</v>
      </c>
      <c r="E3319" s="16" t="s">
        <v>20</v>
      </c>
    </row>
    <row r="3320" spans="1:5" x14ac:dyDescent="0.25">
      <c r="A3320" s="14">
        <v>720662</v>
      </c>
      <c r="B3320" s="14" t="s">
        <v>3441</v>
      </c>
      <c r="C3320" s="14" t="s">
        <v>13029</v>
      </c>
      <c r="D3320" s="15">
        <v>12.39</v>
      </c>
      <c r="E3320" s="16" t="s">
        <v>30</v>
      </c>
    </row>
    <row r="3321" spans="1:5" x14ac:dyDescent="0.25">
      <c r="A3321" s="14">
        <v>720663</v>
      </c>
      <c r="B3321" s="14" t="s">
        <v>3442</v>
      </c>
      <c r="C3321" s="14" t="s">
        <v>13029</v>
      </c>
      <c r="D3321" s="15">
        <v>11.37</v>
      </c>
      <c r="E3321" s="16" t="s">
        <v>30</v>
      </c>
    </row>
    <row r="3322" spans="1:5" x14ac:dyDescent="0.25">
      <c r="A3322" s="14">
        <v>720664</v>
      </c>
      <c r="B3322" s="14" t="s">
        <v>3443</v>
      </c>
      <c r="C3322" s="14" t="s">
        <v>13029</v>
      </c>
      <c r="D3322" s="15">
        <v>13.77</v>
      </c>
      <c r="E3322" s="16" t="s">
        <v>30</v>
      </c>
    </row>
    <row r="3323" spans="1:5" x14ac:dyDescent="0.25">
      <c r="A3323" s="14">
        <v>720694</v>
      </c>
      <c r="B3323" s="14" t="s">
        <v>3444</v>
      </c>
      <c r="C3323" s="14" t="s">
        <v>13031</v>
      </c>
      <c r="D3323" s="15">
        <v>6.82</v>
      </c>
      <c r="E3323" s="16" t="s">
        <v>30</v>
      </c>
    </row>
    <row r="3324" spans="1:5" x14ac:dyDescent="0.25">
      <c r="A3324" s="14">
        <v>720695</v>
      </c>
      <c r="B3324" s="14" t="s">
        <v>3445</v>
      </c>
      <c r="C3324" s="14" t="s">
        <v>13031</v>
      </c>
      <c r="D3324" s="15">
        <v>4.45</v>
      </c>
      <c r="E3324" s="16" t="s">
        <v>30</v>
      </c>
    </row>
    <row r="3325" spans="1:5" x14ac:dyDescent="0.25">
      <c r="A3325" s="14">
        <v>720932</v>
      </c>
      <c r="B3325" s="14" t="s">
        <v>3446</v>
      </c>
      <c r="C3325" s="14" t="s">
        <v>13031</v>
      </c>
      <c r="D3325" s="15">
        <v>9.75</v>
      </c>
      <c r="E3325" s="16" t="s">
        <v>30</v>
      </c>
    </row>
    <row r="3326" spans="1:5" x14ac:dyDescent="0.25">
      <c r="A3326" s="14">
        <v>720933</v>
      </c>
      <c r="B3326" s="14" t="s">
        <v>3447</v>
      </c>
      <c r="C3326" s="14" t="s">
        <v>13031</v>
      </c>
      <c r="D3326" s="15">
        <v>6.5</v>
      </c>
      <c r="E3326" s="16" t="s">
        <v>30</v>
      </c>
    </row>
    <row r="3327" spans="1:5" x14ac:dyDescent="0.25">
      <c r="A3327" s="14">
        <v>721350</v>
      </c>
      <c r="B3327" s="14" t="s">
        <v>3448</v>
      </c>
      <c r="C3327" s="14" t="s">
        <v>13031</v>
      </c>
      <c r="D3327" s="15">
        <v>5.12</v>
      </c>
      <c r="E3327" s="16" t="s">
        <v>30</v>
      </c>
    </row>
    <row r="3328" spans="1:5" x14ac:dyDescent="0.25">
      <c r="A3328" s="14">
        <v>722058</v>
      </c>
      <c r="B3328" s="14" t="s">
        <v>3449</v>
      </c>
      <c r="C3328" s="14" t="s">
        <v>13031</v>
      </c>
      <c r="D3328" s="15">
        <v>13.04</v>
      </c>
      <c r="E3328" s="16" t="s">
        <v>30</v>
      </c>
    </row>
    <row r="3329" spans="1:5" x14ac:dyDescent="0.25">
      <c r="A3329" s="14">
        <v>722059</v>
      </c>
      <c r="B3329" s="14" t="s">
        <v>3450</v>
      </c>
      <c r="C3329" s="14" t="s">
        <v>13031</v>
      </c>
      <c r="D3329" s="15">
        <v>13.04</v>
      </c>
      <c r="E3329" s="16" t="s">
        <v>30</v>
      </c>
    </row>
    <row r="3330" spans="1:5" x14ac:dyDescent="0.25">
      <c r="A3330" s="14">
        <v>722060</v>
      </c>
      <c r="B3330" s="14" t="s">
        <v>3451</v>
      </c>
      <c r="C3330" s="14" t="s">
        <v>13031</v>
      </c>
      <c r="D3330" s="15">
        <v>15.96</v>
      </c>
      <c r="E3330" s="16" t="s">
        <v>30</v>
      </c>
    </row>
    <row r="3331" spans="1:5" x14ac:dyDescent="0.25">
      <c r="A3331" s="14">
        <v>722199</v>
      </c>
      <c r="B3331" s="14" t="s">
        <v>3452</v>
      </c>
      <c r="C3331" s="14" t="s">
        <v>13029</v>
      </c>
      <c r="D3331" s="15">
        <v>11.9</v>
      </c>
      <c r="E3331" s="16" t="s">
        <v>30</v>
      </c>
    </row>
    <row r="3332" spans="1:5" x14ac:dyDescent="0.25">
      <c r="A3332" s="14">
        <v>722200</v>
      </c>
      <c r="B3332" s="14" t="s">
        <v>3453</v>
      </c>
      <c r="C3332" s="14" t="s">
        <v>13029</v>
      </c>
      <c r="D3332" s="15">
        <v>9.59</v>
      </c>
      <c r="E3332" s="16" t="s">
        <v>30</v>
      </c>
    </row>
    <row r="3333" spans="1:5" x14ac:dyDescent="0.25">
      <c r="A3333" s="14">
        <v>722563</v>
      </c>
      <c r="B3333" s="14" t="s">
        <v>3454</v>
      </c>
      <c r="C3333" s="14" t="s">
        <v>13029</v>
      </c>
      <c r="D3333" s="15">
        <v>20.170000000000002</v>
      </c>
      <c r="E3333" s="16" t="s">
        <v>30</v>
      </c>
    </row>
    <row r="3334" spans="1:5" x14ac:dyDescent="0.25">
      <c r="A3334" s="14">
        <v>722587</v>
      </c>
      <c r="B3334" s="14" t="s">
        <v>3455</v>
      </c>
      <c r="C3334" s="14" t="s">
        <v>13030</v>
      </c>
      <c r="D3334" s="15">
        <v>4.37</v>
      </c>
      <c r="E3334" s="16" t="s">
        <v>30</v>
      </c>
    </row>
    <row r="3335" spans="1:5" x14ac:dyDescent="0.25">
      <c r="A3335" s="14">
        <v>722914</v>
      </c>
      <c r="B3335" s="14" t="s">
        <v>3456</v>
      </c>
      <c r="C3335" s="14" t="s">
        <v>13030</v>
      </c>
      <c r="D3335" s="15">
        <v>11.44</v>
      </c>
      <c r="E3335" s="16" t="s">
        <v>30</v>
      </c>
    </row>
    <row r="3336" spans="1:5" x14ac:dyDescent="0.25">
      <c r="A3336" s="14">
        <v>722917</v>
      </c>
      <c r="B3336" s="14" t="s">
        <v>3457</v>
      </c>
      <c r="C3336" s="14" t="s">
        <v>13030</v>
      </c>
      <c r="D3336" s="15">
        <v>12.54</v>
      </c>
      <c r="E3336" s="16" t="s">
        <v>30</v>
      </c>
    </row>
    <row r="3337" spans="1:5" x14ac:dyDescent="0.25">
      <c r="A3337" s="14">
        <v>722918</v>
      </c>
      <c r="B3337" s="14" t="s">
        <v>3458</v>
      </c>
      <c r="C3337" s="14" t="s">
        <v>13030</v>
      </c>
      <c r="D3337" s="15">
        <v>12.29</v>
      </c>
      <c r="E3337" s="16" t="s">
        <v>30</v>
      </c>
    </row>
    <row r="3338" spans="1:5" x14ac:dyDescent="0.25">
      <c r="A3338" s="14">
        <v>722919</v>
      </c>
      <c r="B3338" s="14" t="s">
        <v>3459</v>
      </c>
      <c r="C3338" s="14" t="s">
        <v>13030</v>
      </c>
      <c r="D3338" s="15">
        <v>11.53</v>
      </c>
      <c r="E3338" s="16" t="s">
        <v>30</v>
      </c>
    </row>
    <row r="3339" spans="1:5" x14ac:dyDescent="0.25">
      <c r="A3339" s="14">
        <v>722920</v>
      </c>
      <c r="B3339" s="14" t="s">
        <v>3460</v>
      </c>
      <c r="C3339" s="14" t="s">
        <v>13030</v>
      </c>
      <c r="D3339" s="15">
        <v>11.53</v>
      </c>
      <c r="E3339" s="16" t="s">
        <v>30</v>
      </c>
    </row>
    <row r="3340" spans="1:5" x14ac:dyDescent="0.25">
      <c r="A3340" s="14">
        <v>723010</v>
      </c>
      <c r="B3340" s="14" t="s">
        <v>3461</v>
      </c>
      <c r="C3340" s="14" t="s">
        <v>13031</v>
      </c>
      <c r="D3340" s="15">
        <v>1.96</v>
      </c>
      <c r="E3340" s="16" t="s">
        <v>30</v>
      </c>
    </row>
    <row r="3341" spans="1:5" x14ac:dyDescent="0.25">
      <c r="A3341" s="14">
        <v>723309</v>
      </c>
      <c r="B3341" s="14" t="s">
        <v>3462</v>
      </c>
      <c r="C3341" s="14" t="s">
        <v>13029</v>
      </c>
      <c r="D3341" s="15">
        <v>35.56</v>
      </c>
      <c r="E3341" s="16" t="s">
        <v>30</v>
      </c>
    </row>
    <row r="3342" spans="1:5" x14ac:dyDescent="0.25">
      <c r="A3342" s="14">
        <v>723310</v>
      </c>
      <c r="B3342" s="14" t="s">
        <v>3463</v>
      </c>
      <c r="C3342" s="14" t="s">
        <v>13029</v>
      </c>
      <c r="D3342" s="15">
        <v>35.56</v>
      </c>
      <c r="E3342" s="16" t="s">
        <v>30</v>
      </c>
    </row>
    <row r="3343" spans="1:5" x14ac:dyDescent="0.25">
      <c r="A3343" s="14">
        <v>723359</v>
      </c>
      <c r="B3343" s="14" t="s">
        <v>3464</v>
      </c>
      <c r="C3343" s="14" t="s">
        <v>13031</v>
      </c>
      <c r="D3343" s="15">
        <v>26.2</v>
      </c>
      <c r="E3343" s="16" t="s">
        <v>30</v>
      </c>
    </row>
    <row r="3344" spans="1:5" x14ac:dyDescent="0.25">
      <c r="A3344" s="14">
        <v>723360</v>
      </c>
      <c r="B3344" s="14" t="s">
        <v>3465</v>
      </c>
      <c r="C3344" s="14" t="s">
        <v>13031</v>
      </c>
      <c r="D3344" s="15">
        <v>26.2</v>
      </c>
      <c r="E3344" s="16" t="s">
        <v>30</v>
      </c>
    </row>
    <row r="3345" spans="1:5" x14ac:dyDescent="0.25">
      <c r="A3345" s="14">
        <v>723361</v>
      </c>
      <c r="B3345" s="14" t="s">
        <v>3466</v>
      </c>
      <c r="C3345" s="14" t="s">
        <v>13031</v>
      </c>
      <c r="D3345" s="15">
        <v>26.2</v>
      </c>
      <c r="E3345" s="16" t="s">
        <v>30</v>
      </c>
    </row>
    <row r="3346" spans="1:5" x14ac:dyDescent="0.25">
      <c r="A3346" s="14">
        <v>723490</v>
      </c>
      <c r="B3346" s="14" t="s">
        <v>3467</v>
      </c>
      <c r="C3346" s="14" t="s">
        <v>13031</v>
      </c>
      <c r="D3346" s="15">
        <v>10.61</v>
      </c>
      <c r="E3346" s="16" t="s">
        <v>30</v>
      </c>
    </row>
    <row r="3347" spans="1:5" x14ac:dyDescent="0.25">
      <c r="A3347" s="14">
        <v>723491</v>
      </c>
      <c r="B3347" s="14" t="s">
        <v>3468</v>
      </c>
      <c r="C3347" s="14" t="s">
        <v>13031</v>
      </c>
      <c r="D3347" s="15">
        <v>5.0999999999999996</v>
      </c>
      <c r="E3347" s="16" t="s">
        <v>30</v>
      </c>
    </row>
    <row r="3348" spans="1:5" x14ac:dyDescent="0.25">
      <c r="A3348" s="14">
        <v>723493</v>
      </c>
      <c r="B3348" s="14" t="s">
        <v>3469</v>
      </c>
      <c r="C3348" s="14" t="s">
        <v>13031</v>
      </c>
      <c r="D3348" s="15">
        <v>17.739999999999998</v>
      </c>
      <c r="E3348" s="16" t="s">
        <v>30</v>
      </c>
    </row>
    <row r="3349" spans="1:5" x14ac:dyDescent="0.25">
      <c r="A3349" s="14">
        <v>723494</v>
      </c>
      <c r="B3349" s="14" t="s">
        <v>3470</v>
      </c>
      <c r="C3349" s="14" t="s">
        <v>13031</v>
      </c>
      <c r="D3349" s="15">
        <v>29.58</v>
      </c>
      <c r="E3349" s="16" t="s">
        <v>30</v>
      </c>
    </row>
    <row r="3350" spans="1:5" x14ac:dyDescent="0.25">
      <c r="A3350" s="14">
        <v>723495</v>
      </c>
      <c r="B3350" s="14" t="s">
        <v>3471</v>
      </c>
      <c r="C3350" s="14" t="s">
        <v>13031</v>
      </c>
      <c r="D3350" s="15">
        <v>25.34</v>
      </c>
      <c r="E3350" s="16" t="s">
        <v>30</v>
      </c>
    </row>
    <row r="3351" spans="1:5" x14ac:dyDescent="0.25">
      <c r="A3351" s="14">
        <v>724011</v>
      </c>
      <c r="B3351" s="14" t="s">
        <v>3472</v>
      </c>
      <c r="C3351" s="14" t="s">
        <v>13029</v>
      </c>
      <c r="D3351" s="15">
        <v>11</v>
      </c>
      <c r="E3351" s="16" t="s">
        <v>30</v>
      </c>
    </row>
    <row r="3352" spans="1:5" x14ac:dyDescent="0.25">
      <c r="A3352" s="14">
        <v>724289</v>
      </c>
      <c r="B3352" s="14" t="s">
        <v>3473</v>
      </c>
      <c r="C3352" s="14" t="s">
        <v>13030</v>
      </c>
      <c r="D3352" s="15">
        <v>6</v>
      </c>
      <c r="E3352" s="16" t="s">
        <v>30</v>
      </c>
    </row>
    <row r="3353" spans="1:5" x14ac:dyDescent="0.25">
      <c r="A3353" s="14">
        <v>724347</v>
      </c>
      <c r="B3353" s="14" t="s">
        <v>3474</v>
      </c>
      <c r="C3353" s="14" t="s">
        <v>13031</v>
      </c>
      <c r="D3353" s="15">
        <v>7.52</v>
      </c>
      <c r="E3353" s="16" t="s">
        <v>30</v>
      </c>
    </row>
    <row r="3354" spans="1:5" x14ac:dyDescent="0.25">
      <c r="A3354" s="14">
        <v>724350</v>
      </c>
      <c r="B3354" s="14" t="s">
        <v>3475</v>
      </c>
      <c r="C3354" s="14" t="s">
        <v>13029</v>
      </c>
      <c r="D3354" s="15">
        <v>16.07</v>
      </c>
      <c r="E3354" s="16" t="s">
        <v>30</v>
      </c>
    </row>
    <row r="3355" spans="1:5" x14ac:dyDescent="0.25">
      <c r="A3355" s="14">
        <v>724354</v>
      </c>
      <c r="B3355" s="14" t="s">
        <v>3476</v>
      </c>
      <c r="C3355" s="14" t="s">
        <v>13029</v>
      </c>
      <c r="D3355" s="15">
        <v>6.62</v>
      </c>
      <c r="E3355" s="16" t="s">
        <v>30</v>
      </c>
    </row>
    <row r="3356" spans="1:5" x14ac:dyDescent="0.25">
      <c r="A3356" s="14">
        <v>724411</v>
      </c>
      <c r="B3356" s="14" t="s">
        <v>3477</v>
      </c>
      <c r="C3356" s="14" t="s">
        <v>13031</v>
      </c>
      <c r="D3356" s="15">
        <v>9.56</v>
      </c>
      <c r="E3356" s="16" t="s">
        <v>30</v>
      </c>
    </row>
    <row r="3357" spans="1:5" x14ac:dyDescent="0.25">
      <c r="A3357" s="14">
        <v>724412</v>
      </c>
      <c r="B3357" s="14" t="s">
        <v>3478</v>
      </c>
      <c r="C3357" s="14" t="s">
        <v>13031</v>
      </c>
      <c r="D3357" s="15">
        <v>15.92</v>
      </c>
      <c r="E3357" s="16" t="s">
        <v>30</v>
      </c>
    </row>
    <row r="3358" spans="1:5" x14ac:dyDescent="0.25">
      <c r="A3358" s="14">
        <v>724432</v>
      </c>
      <c r="B3358" s="14" t="s">
        <v>3479</v>
      </c>
      <c r="C3358" s="14" t="s">
        <v>13031</v>
      </c>
      <c r="D3358" s="15">
        <v>11.03</v>
      </c>
      <c r="E3358" s="16" t="s">
        <v>30</v>
      </c>
    </row>
    <row r="3359" spans="1:5" x14ac:dyDescent="0.25">
      <c r="A3359" s="14">
        <v>724471</v>
      </c>
      <c r="B3359" s="14" t="s">
        <v>3480</v>
      </c>
      <c r="C3359" s="14" t="s">
        <v>13029</v>
      </c>
      <c r="D3359" s="15">
        <v>29.84</v>
      </c>
      <c r="E3359" s="16" t="s">
        <v>30</v>
      </c>
    </row>
    <row r="3360" spans="1:5" x14ac:dyDescent="0.25">
      <c r="A3360" s="14">
        <v>724472</v>
      </c>
      <c r="B3360" s="14" t="s">
        <v>3481</v>
      </c>
      <c r="C3360" s="14" t="s">
        <v>13029</v>
      </c>
      <c r="D3360" s="15">
        <v>29.84</v>
      </c>
      <c r="E3360" s="16" t="s">
        <v>30</v>
      </c>
    </row>
    <row r="3361" spans="1:5" x14ac:dyDescent="0.25">
      <c r="A3361" s="14">
        <v>724473</v>
      </c>
      <c r="B3361" s="14" t="s">
        <v>3482</v>
      </c>
      <c r="C3361" s="14" t="s">
        <v>13029</v>
      </c>
      <c r="D3361" s="15">
        <v>34.11</v>
      </c>
      <c r="E3361" s="16" t="s">
        <v>30</v>
      </c>
    </row>
    <row r="3362" spans="1:5" x14ac:dyDescent="0.25">
      <c r="A3362" s="14">
        <v>724479</v>
      </c>
      <c r="B3362" s="14" t="s">
        <v>3483</v>
      </c>
      <c r="C3362" s="14" t="s">
        <v>13029</v>
      </c>
      <c r="D3362" s="15">
        <v>10.1</v>
      </c>
      <c r="E3362" s="16" t="s">
        <v>30</v>
      </c>
    </row>
    <row r="3363" spans="1:5" x14ac:dyDescent="0.25">
      <c r="A3363" s="14">
        <v>725085</v>
      </c>
      <c r="B3363" s="14" t="s">
        <v>3484</v>
      </c>
      <c r="C3363" s="14" t="s">
        <v>13029</v>
      </c>
      <c r="D3363" s="15">
        <v>7.29</v>
      </c>
      <c r="E3363" s="14" t="s">
        <v>30</v>
      </c>
    </row>
    <row r="3364" spans="1:5" x14ac:dyDescent="0.25">
      <c r="A3364" s="14">
        <v>727298</v>
      </c>
      <c r="B3364" s="14" t="s">
        <v>3485</v>
      </c>
      <c r="C3364" s="14" t="s">
        <v>13034</v>
      </c>
      <c r="D3364" s="15">
        <v>8.9</v>
      </c>
      <c r="E3364" s="16" t="s">
        <v>30</v>
      </c>
    </row>
    <row r="3365" spans="1:5" x14ac:dyDescent="0.25">
      <c r="A3365" s="14">
        <v>727299</v>
      </c>
      <c r="B3365" s="14" t="s">
        <v>3486</v>
      </c>
      <c r="C3365" s="14" t="s">
        <v>13034</v>
      </c>
      <c r="D3365" s="15">
        <v>8.9</v>
      </c>
      <c r="E3365" s="16" t="s">
        <v>30</v>
      </c>
    </row>
    <row r="3366" spans="1:5" x14ac:dyDescent="0.25">
      <c r="A3366" s="14">
        <v>700034</v>
      </c>
      <c r="B3366" s="14" t="s">
        <v>3487</v>
      </c>
      <c r="C3366" s="14" t="s">
        <v>13030</v>
      </c>
      <c r="D3366" s="15">
        <v>40.35</v>
      </c>
      <c r="E3366" s="16" t="s">
        <v>20</v>
      </c>
    </row>
    <row r="3367" spans="1:5" x14ac:dyDescent="0.25">
      <c r="A3367" s="14">
        <v>700035</v>
      </c>
      <c r="B3367" s="14" t="s">
        <v>3488</v>
      </c>
      <c r="C3367" s="14" t="s">
        <v>13030</v>
      </c>
      <c r="D3367" s="15">
        <v>40.42</v>
      </c>
      <c r="E3367" s="16" t="s">
        <v>20</v>
      </c>
    </row>
    <row r="3368" spans="1:5" x14ac:dyDescent="0.25">
      <c r="A3368" s="14">
        <v>700036</v>
      </c>
      <c r="B3368" s="14" t="s">
        <v>3489</v>
      </c>
      <c r="C3368" s="14" t="s">
        <v>13030</v>
      </c>
      <c r="D3368" s="15">
        <v>40.65</v>
      </c>
      <c r="E3368" s="16" t="s">
        <v>20</v>
      </c>
    </row>
    <row r="3369" spans="1:5" x14ac:dyDescent="0.25">
      <c r="A3369" s="14">
        <v>700052</v>
      </c>
      <c r="B3369" s="14" t="s">
        <v>3490</v>
      </c>
      <c r="C3369" s="14" t="s">
        <v>13030</v>
      </c>
      <c r="D3369" s="15">
        <v>44.83</v>
      </c>
      <c r="E3369" s="16" t="s">
        <v>20</v>
      </c>
    </row>
    <row r="3370" spans="1:5" x14ac:dyDescent="0.25">
      <c r="A3370" s="14">
        <v>566559</v>
      </c>
      <c r="B3370" s="14" t="s">
        <v>3491</v>
      </c>
      <c r="C3370" s="14" t="s">
        <v>13031</v>
      </c>
      <c r="D3370" s="15">
        <v>8.69</v>
      </c>
      <c r="E3370" s="16" t="s">
        <v>20</v>
      </c>
    </row>
    <row r="3371" spans="1:5" x14ac:dyDescent="0.25">
      <c r="A3371" s="14">
        <v>727576</v>
      </c>
      <c r="B3371" s="14" t="s">
        <v>3492</v>
      </c>
      <c r="C3371" s="14" t="s">
        <v>13029</v>
      </c>
      <c r="D3371" s="15">
        <v>13.79</v>
      </c>
      <c r="E3371" s="16" t="s">
        <v>30</v>
      </c>
    </row>
    <row r="3372" spans="1:5" x14ac:dyDescent="0.25">
      <c r="A3372" s="14">
        <v>727577</v>
      </c>
      <c r="B3372" s="14" t="s">
        <v>3493</v>
      </c>
      <c r="C3372" s="14" t="s">
        <v>13029</v>
      </c>
      <c r="D3372" s="15">
        <v>13.55</v>
      </c>
      <c r="E3372" s="16" t="s">
        <v>30</v>
      </c>
    </row>
    <row r="3373" spans="1:5" x14ac:dyDescent="0.25">
      <c r="A3373" s="14">
        <v>727578</v>
      </c>
      <c r="B3373" s="14" t="s">
        <v>3494</v>
      </c>
      <c r="C3373" s="14" t="s">
        <v>13029</v>
      </c>
      <c r="D3373" s="15">
        <v>12.6</v>
      </c>
      <c r="E3373" s="16" t="s">
        <v>30</v>
      </c>
    </row>
    <row r="3374" spans="1:5" x14ac:dyDescent="0.25">
      <c r="A3374" s="14">
        <v>727579</v>
      </c>
      <c r="B3374" s="14" t="s">
        <v>3495</v>
      </c>
      <c r="C3374" s="14" t="s">
        <v>13029</v>
      </c>
      <c r="D3374" s="15">
        <v>14.65</v>
      </c>
      <c r="E3374" s="16" t="s">
        <v>30</v>
      </c>
    </row>
    <row r="3375" spans="1:5" x14ac:dyDescent="0.25">
      <c r="A3375" s="14">
        <v>727580</v>
      </c>
      <c r="B3375" s="14" t="s">
        <v>3496</v>
      </c>
      <c r="C3375" s="14" t="s">
        <v>13029</v>
      </c>
      <c r="D3375" s="15">
        <v>11</v>
      </c>
      <c r="E3375" s="16" t="s">
        <v>30</v>
      </c>
    </row>
    <row r="3376" spans="1:5" x14ac:dyDescent="0.25">
      <c r="A3376" s="14">
        <v>727587</v>
      </c>
      <c r="B3376" s="14" t="s">
        <v>3497</v>
      </c>
      <c r="C3376" s="14" t="s">
        <v>13031</v>
      </c>
      <c r="D3376" s="15">
        <v>12.4</v>
      </c>
      <c r="E3376" s="16" t="s">
        <v>30</v>
      </c>
    </row>
    <row r="3377" spans="1:5" x14ac:dyDescent="0.25">
      <c r="A3377" s="14">
        <v>727594</v>
      </c>
      <c r="B3377" s="14" t="s">
        <v>3498</v>
      </c>
      <c r="C3377" s="14" t="s">
        <v>13030</v>
      </c>
      <c r="D3377" s="15">
        <v>28.13</v>
      </c>
      <c r="E3377" s="16" t="s">
        <v>30</v>
      </c>
    </row>
    <row r="3378" spans="1:5" x14ac:dyDescent="0.25">
      <c r="A3378" s="14">
        <v>727595</v>
      </c>
      <c r="B3378" s="14" t="s">
        <v>3499</v>
      </c>
      <c r="C3378" s="14" t="s">
        <v>13030</v>
      </c>
      <c r="D3378" s="15">
        <v>6.44</v>
      </c>
      <c r="E3378" s="16" t="s">
        <v>30</v>
      </c>
    </row>
    <row r="3379" spans="1:5" x14ac:dyDescent="0.25">
      <c r="A3379" s="14">
        <v>727596</v>
      </c>
      <c r="B3379" s="14" t="s">
        <v>3500</v>
      </c>
      <c r="C3379" s="14" t="s">
        <v>13030</v>
      </c>
      <c r="D3379" s="15">
        <v>8.84</v>
      </c>
      <c r="E3379" s="16" t="s">
        <v>30</v>
      </c>
    </row>
    <row r="3380" spans="1:5" x14ac:dyDescent="0.25">
      <c r="A3380" s="14">
        <v>727597</v>
      </c>
      <c r="B3380" s="14" t="s">
        <v>3501</v>
      </c>
      <c r="C3380" s="14" t="s">
        <v>13030</v>
      </c>
      <c r="D3380" s="15">
        <v>8.84</v>
      </c>
      <c r="E3380" s="16" t="s">
        <v>30</v>
      </c>
    </row>
    <row r="3381" spans="1:5" x14ac:dyDescent="0.25">
      <c r="A3381" s="14">
        <v>727598</v>
      </c>
      <c r="B3381" s="14" t="s">
        <v>3502</v>
      </c>
      <c r="C3381" s="14" t="s">
        <v>13030</v>
      </c>
      <c r="D3381" s="15">
        <v>8.84</v>
      </c>
      <c r="E3381" s="16" t="s">
        <v>30</v>
      </c>
    </row>
    <row r="3382" spans="1:5" x14ac:dyDescent="0.25">
      <c r="A3382" s="14">
        <v>727600</v>
      </c>
      <c r="B3382" s="14" t="s">
        <v>3503</v>
      </c>
      <c r="C3382" s="14" t="s">
        <v>13030</v>
      </c>
      <c r="D3382" s="15">
        <v>22.43</v>
      </c>
      <c r="E3382" s="16" t="s">
        <v>30</v>
      </c>
    </row>
    <row r="3383" spans="1:5" x14ac:dyDescent="0.25">
      <c r="A3383" s="14">
        <v>727601</v>
      </c>
      <c r="B3383" s="14" t="s">
        <v>3504</v>
      </c>
      <c r="C3383" s="14" t="s">
        <v>13030</v>
      </c>
      <c r="D3383" s="15">
        <v>6.53</v>
      </c>
      <c r="E3383" s="16" t="s">
        <v>30</v>
      </c>
    </row>
    <row r="3384" spans="1:5" x14ac:dyDescent="0.25">
      <c r="A3384" s="14">
        <v>727603</v>
      </c>
      <c r="B3384" s="14" t="s">
        <v>3505</v>
      </c>
      <c r="C3384" s="14" t="s">
        <v>13030</v>
      </c>
      <c r="D3384" s="15">
        <v>129.41</v>
      </c>
      <c r="E3384" s="16" t="s">
        <v>30</v>
      </c>
    </row>
    <row r="3385" spans="1:5" x14ac:dyDescent="0.25">
      <c r="A3385" s="14">
        <v>727699</v>
      </c>
      <c r="B3385" s="14" t="s">
        <v>3506</v>
      </c>
      <c r="C3385" s="14" t="s">
        <v>13030</v>
      </c>
      <c r="D3385" s="15">
        <v>3.1</v>
      </c>
      <c r="E3385" s="16" t="s">
        <v>30</v>
      </c>
    </row>
    <row r="3386" spans="1:5" x14ac:dyDescent="0.25">
      <c r="A3386" s="14">
        <v>727700</v>
      </c>
      <c r="B3386" s="14" t="s">
        <v>3507</v>
      </c>
      <c r="C3386" s="14" t="s">
        <v>13030</v>
      </c>
      <c r="D3386" s="15">
        <v>23.56</v>
      </c>
      <c r="E3386" s="16" t="s">
        <v>30</v>
      </c>
    </row>
    <row r="3387" spans="1:5" x14ac:dyDescent="0.25">
      <c r="A3387" s="14">
        <v>727725</v>
      </c>
      <c r="B3387" s="14" t="s">
        <v>3508</v>
      </c>
      <c r="C3387" s="14" t="s">
        <v>13030</v>
      </c>
      <c r="D3387" s="15">
        <v>55.52</v>
      </c>
      <c r="E3387" s="16" t="s">
        <v>30</v>
      </c>
    </row>
    <row r="3388" spans="1:5" x14ac:dyDescent="0.25">
      <c r="A3388" s="14">
        <v>567790</v>
      </c>
      <c r="B3388" s="14" t="s">
        <v>3509</v>
      </c>
      <c r="C3388" s="14" t="s">
        <v>13031</v>
      </c>
      <c r="D3388" s="15">
        <v>11</v>
      </c>
      <c r="E3388" s="16" t="s">
        <v>20</v>
      </c>
    </row>
    <row r="3389" spans="1:5" x14ac:dyDescent="0.25">
      <c r="A3389" s="14">
        <v>727726</v>
      </c>
      <c r="B3389" s="14" t="s">
        <v>3510</v>
      </c>
      <c r="C3389" s="14" t="s">
        <v>13030</v>
      </c>
      <c r="D3389" s="15">
        <v>125.01</v>
      </c>
      <c r="E3389" s="16" t="s">
        <v>30</v>
      </c>
    </row>
    <row r="3390" spans="1:5" x14ac:dyDescent="0.25">
      <c r="A3390" s="14">
        <v>727946</v>
      </c>
      <c r="B3390" s="14" t="s">
        <v>3511</v>
      </c>
      <c r="C3390" s="14" t="s">
        <v>13029</v>
      </c>
      <c r="D3390" s="15">
        <v>12.53</v>
      </c>
      <c r="E3390" s="16" t="s">
        <v>30</v>
      </c>
    </row>
    <row r="3391" spans="1:5" x14ac:dyDescent="0.25">
      <c r="A3391" s="14">
        <v>727948</v>
      </c>
      <c r="B3391" s="14" t="s">
        <v>3512</v>
      </c>
      <c r="C3391" s="14" t="s">
        <v>13029</v>
      </c>
      <c r="D3391" s="15">
        <v>15.92</v>
      </c>
      <c r="E3391" s="16" t="s">
        <v>30</v>
      </c>
    </row>
    <row r="3392" spans="1:5" x14ac:dyDescent="0.25">
      <c r="A3392" s="14">
        <v>728044</v>
      </c>
      <c r="B3392" s="14" t="s">
        <v>3513</v>
      </c>
      <c r="C3392" s="14" t="s">
        <v>13031</v>
      </c>
      <c r="D3392" s="15">
        <v>7.46</v>
      </c>
      <c r="E3392" s="16" t="s">
        <v>30</v>
      </c>
    </row>
    <row r="3393" spans="1:5" x14ac:dyDescent="0.25">
      <c r="A3393" s="14">
        <v>729371</v>
      </c>
      <c r="B3393" s="14" t="s">
        <v>3514</v>
      </c>
      <c r="C3393" s="14" t="s">
        <v>13030</v>
      </c>
      <c r="D3393" s="15">
        <v>37.74</v>
      </c>
      <c r="E3393" s="16" t="s">
        <v>30</v>
      </c>
    </row>
    <row r="3394" spans="1:5" x14ac:dyDescent="0.25">
      <c r="A3394" s="14">
        <v>729373</v>
      </c>
      <c r="B3394" s="14" t="s">
        <v>3515</v>
      </c>
      <c r="C3394" s="14" t="s">
        <v>13030</v>
      </c>
      <c r="D3394" s="15">
        <v>43.84</v>
      </c>
      <c r="E3394" s="16" t="s">
        <v>30</v>
      </c>
    </row>
    <row r="3395" spans="1:5" x14ac:dyDescent="0.25">
      <c r="A3395" s="14">
        <v>729376</v>
      </c>
      <c r="B3395" s="14" t="s">
        <v>3516</v>
      </c>
      <c r="C3395" s="14" t="s">
        <v>13030</v>
      </c>
      <c r="D3395" s="15">
        <v>95.11</v>
      </c>
      <c r="E3395" s="16" t="s">
        <v>30</v>
      </c>
    </row>
    <row r="3396" spans="1:5" x14ac:dyDescent="0.25">
      <c r="A3396" s="14">
        <v>731713</v>
      </c>
      <c r="B3396" s="14" t="s">
        <v>3517</v>
      </c>
      <c r="C3396" s="14" t="s">
        <v>13029</v>
      </c>
      <c r="D3396" s="15">
        <v>21.46</v>
      </c>
      <c r="E3396" s="16" t="s">
        <v>30</v>
      </c>
    </row>
    <row r="3397" spans="1:5" x14ac:dyDescent="0.25">
      <c r="A3397" s="14">
        <v>731714</v>
      </c>
      <c r="B3397" s="14" t="s">
        <v>3518</v>
      </c>
      <c r="C3397" s="14" t="s">
        <v>13029</v>
      </c>
      <c r="D3397" s="15">
        <v>20.49</v>
      </c>
      <c r="E3397" s="16" t="s">
        <v>30</v>
      </c>
    </row>
    <row r="3398" spans="1:5" x14ac:dyDescent="0.25">
      <c r="A3398" s="14">
        <v>702365</v>
      </c>
      <c r="B3398" s="14" t="s">
        <v>3519</v>
      </c>
      <c r="C3398" s="14" t="s">
        <v>13030</v>
      </c>
      <c r="D3398" s="15">
        <v>65.08</v>
      </c>
      <c r="E3398" s="16" t="s">
        <v>20</v>
      </c>
    </row>
    <row r="3399" spans="1:5" x14ac:dyDescent="0.25">
      <c r="A3399" s="14">
        <v>731997</v>
      </c>
      <c r="B3399" s="14" t="s">
        <v>3520</v>
      </c>
      <c r="C3399" s="14" t="s">
        <v>13029</v>
      </c>
      <c r="D3399" s="15">
        <v>23.47</v>
      </c>
      <c r="E3399" s="16" t="s">
        <v>30</v>
      </c>
    </row>
    <row r="3400" spans="1:5" x14ac:dyDescent="0.25">
      <c r="A3400" s="14">
        <v>732000</v>
      </c>
      <c r="B3400" s="14" t="s">
        <v>3521</v>
      </c>
      <c r="C3400" s="14" t="s">
        <v>13031</v>
      </c>
      <c r="D3400" s="15">
        <v>16.739999999999998</v>
      </c>
      <c r="E3400" s="16" t="s">
        <v>30</v>
      </c>
    </row>
    <row r="3401" spans="1:5" x14ac:dyDescent="0.25">
      <c r="A3401" s="14">
        <v>732001</v>
      </c>
      <c r="B3401" s="14" t="s">
        <v>3522</v>
      </c>
      <c r="C3401" s="14" t="s">
        <v>13031</v>
      </c>
      <c r="D3401" s="15">
        <v>15.94</v>
      </c>
      <c r="E3401" s="16" t="s">
        <v>30</v>
      </c>
    </row>
    <row r="3402" spans="1:5" x14ac:dyDescent="0.25">
      <c r="A3402" s="14">
        <v>732178</v>
      </c>
      <c r="B3402" s="14" t="s">
        <v>3523</v>
      </c>
      <c r="C3402" s="14" t="s">
        <v>13029</v>
      </c>
      <c r="D3402" s="15">
        <v>69.28</v>
      </c>
      <c r="E3402" s="16" t="s">
        <v>30</v>
      </c>
    </row>
    <row r="3403" spans="1:5" x14ac:dyDescent="0.25">
      <c r="A3403" s="14">
        <v>732179</v>
      </c>
      <c r="B3403" s="14" t="s">
        <v>3524</v>
      </c>
      <c r="C3403" s="14" t="s">
        <v>13029</v>
      </c>
      <c r="D3403" s="15">
        <v>75.64</v>
      </c>
      <c r="E3403" s="16" t="s">
        <v>30</v>
      </c>
    </row>
    <row r="3404" spans="1:5" x14ac:dyDescent="0.25">
      <c r="A3404" s="14">
        <v>732180</v>
      </c>
      <c r="B3404" s="14" t="s">
        <v>3525</v>
      </c>
      <c r="C3404" s="14" t="s">
        <v>13029</v>
      </c>
      <c r="D3404" s="15">
        <v>81.99</v>
      </c>
      <c r="E3404" s="16" t="s">
        <v>30</v>
      </c>
    </row>
    <row r="3405" spans="1:5" x14ac:dyDescent="0.25">
      <c r="A3405" s="14">
        <v>732181</v>
      </c>
      <c r="B3405" s="14" t="s">
        <v>3526</v>
      </c>
      <c r="C3405" s="14" t="s">
        <v>13029</v>
      </c>
      <c r="D3405" s="15">
        <v>75.64</v>
      </c>
      <c r="E3405" s="16" t="s">
        <v>30</v>
      </c>
    </row>
    <row r="3406" spans="1:5" x14ac:dyDescent="0.25">
      <c r="A3406" s="14">
        <v>732182</v>
      </c>
      <c r="B3406" s="14" t="s">
        <v>3527</v>
      </c>
      <c r="C3406" s="14" t="s">
        <v>13029</v>
      </c>
      <c r="D3406" s="15">
        <v>62.92</v>
      </c>
      <c r="E3406" s="16" t="s">
        <v>30</v>
      </c>
    </row>
    <row r="3407" spans="1:5" x14ac:dyDescent="0.25">
      <c r="A3407" s="14">
        <v>732183</v>
      </c>
      <c r="B3407" s="14" t="s">
        <v>3528</v>
      </c>
      <c r="C3407" s="14" t="s">
        <v>13029</v>
      </c>
      <c r="D3407" s="15">
        <v>56.57</v>
      </c>
      <c r="E3407" s="16" t="s">
        <v>30</v>
      </c>
    </row>
    <row r="3408" spans="1:5" x14ac:dyDescent="0.25">
      <c r="A3408" s="14">
        <v>732184</v>
      </c>
      <c r="B3408" s="14" t="s">
        <v>3529</v>
      </c>
      <c r="C3408" s="14" t="s">
        <v>13029</v>
      </c>
      <c r="D3408" s="15">
        <v>37.5</v>
      </c>
      <c r="E3408" s="16" t="s">
        <v>30</v>
      </c>
    </row>
    <row r="3409" spans="1:5" x14ac:dyDescent="0.25">
      <c r="A3409" s="14">
        <v>732185</v>
      </c>
      <c r="B3409" s="14" t="s">
        <v>3530</v>
      </c>
      <c r="C3409" s="14" t="s">
        <v>13029</v>
      </c>
      <c r="D3409" s="15">
        <v>37.5</v>
      </c>
      <c r="E3409" s="16" t="s">
        <v>30</v>
      </c>
    </row>
    <row r="3410" spans="1:5" x14ac:dyDescent="0.25">
      <c r="A3410" s="14">
        <v>732187</v>
      </c>
      <c r="B3410" s="14" t="s">
        <v>3531</v>
      </c>
      <c r="C3410" s="14" t="s">
        <v>13029</v>
      </c>
      <c r="D3410" s="15">
        <v>75.64</v>
      </c>
      <c r="E3410" s="16" t="s">
        <v>30</v>
      </c>
    </row>
    <row r="3411" spans="1:5" x14ac:dyDescent="0.25">
      <c r="A3411" s="14">
        <v>732191</v>
      </c>
      <c r="B3411" s="14" t="s">
        <v>3532</v>
      </c>
      <c r="C3411" s="14" t="s">
        <v>13029</v>
      </c>
      <c r="D3411" s="15">
        <v>24.79</v>
      </c>
      <c r="E3411" s="16" t="s">
        <v>30</v>
      </c>
    </row>
    <row r="3412" spans="1:5" x14ac:dyDescent="0.25">
      <c r="A3412" s="14">
        <v>732192</v>
      </c>
      <c r="B3412" s="14" t="s">
        <v>3533</v>
      </c>
      <c r="C3412" s="14" t="s">
        <v>13029</v>
      </c>
      <c r="D3412" s="15">
        <v>47.19</v>
      </c>
      <c r="E3412" s="16" t="s">
        <v>30</v>
      </c>
    </row>
    <row r="3413" spans="1:5" x14ac:dyDescent="0.25">
      <c r="A3413" s="14">
        <v>732193</v>
      </c>
      <c r="B3413" s="14" t="s">
        <v>3534</v>
      </c>
      <c r="C3413" s="14" t="s">
        <v>13029</v>
      </c>
      <c r="D3413" s="15">
        <v>24.85</v>
      </c>
      <c r="E3413" s="16" t="s">
        <v>30</v>
      </c>
    </row>
    <row r="3414" spans="1:5" x14ac:dyDescent="0.25">
      <c r="A3414" s="14">
        <v>732239</v>
      </c>
      <c r="B3414" s="14" t="s">
        <v>3535</v>
      </c>
      <c r="C3414" s="14" t="s">
        <v>13029</v>
      </c>
      <c r="D3414" s="15">
        <v>41.31</v>
      </c>
      <c r="E3414" s="16" t="s">
        <v>30</v>
      </c>
    </row>
    <row r="3415" spans="1:5" x14ac:dyDescent="0.25">
      <c r="A3415" s="14">
        <v>732240</v>
      </c>
      <c r="B3415" s="14" t="s">
        <v>3536</v>
      </c>
      <c r="C3415" s="14" t="s">
        <v>13029</v>
      </c>
      <c r="D3415" s="15">
        <v>31.14</v>
      </c>
      <c r="E3415" s="16" t="s">
        <v>30</v>
      </c>
    </row>
    <row r="3416" spans="1:5" x14ac:dyDescent="0.25">
      <c r="A3416" s="14">
        <v>732241</v>
      </c>
      <c r="B3416" s="14" t="s">
        <v>3537</v>
      </c>
      <c r="C3416" s="14" t="s">
        <v>13029</v>
      </c>
      <c r="D3416" s="15">
        <v>29.87</v>
      </c>
      <c r="E3416" s="16" t="s">
        <v>30</v>
      </c>
    </row>
    <row r="3417" spans="1:5" x14ac:dyDescent="0.25">
      <c r="A3417" s="14">
        <v>732242</v>
      </c>
      <c r="B3417" s="14" t="s">
        <v>3538</v>
      </c>
      <c r="C3417" s="14" t="s">
        <v>13029</v>
      </c>
      <c r="D3417" s="15">
        <v>29.87</v>
      </c>
      <c r="E3417" s="16" t="s">
        <v>30</v>
      </c>
    </row>
    <row r="3418" spans="1:5" x14ac:dyDescent="0.25">
      <c r="A3418" s="14">
        <v>732243</v>
      </c>
      <c r="B3418" s="14" t="s">
        <v>3539</v>
      </c>
      <c r="C3418" s="14" t="s">
        <v>13029</v>
      </c>
      <c r="D3418" s="15">
        <v>41.31</v>
      </c>
      <c r="E3418" s="16" t="s">
        <v>30</v>
      </c>
    </row>
    <row r="3419" spans="1:5" x14ac:dyDescent="0.25">
      <c r="A3419" s="14">
        <v>567791</v>
      </c>
      <c r="B3419" s="14" t="s">
        <v>3540</v>
      </c>
      <c r="C3419" s="14" t="s">
        <v>13031</v>
      </c>
      <c r="D3419" s="15">
        <v>13.7</v>
      </c>
      <c r="E3419" s="16" t="s">
        <v>20</v>
      </c>
    </row>
    <row r="3420" spans="1:5" x14ac:dyDescent="0.25">
      <c r="A3420" s="14">
        <v>703015</v>
      </c>
      <c r="B3420" s="14" t="s">
        <v>3541</v>
      </c>
      <c r="C3420" s="14" t="s">
        <v>13030</v>
      </c>
      <c r="D3420" s="15">
        <v>41.54</v>
      </c>
      <c r="E3420" s="16" t="s">
        <v>20</v>
      </c>
    </row>
    <row r="3421" spans="1:5" x14ac:dyDescent="0.25">
      <c r="A3421" s="14">
        <v>732244</v>
      </c>
      <c r="B3421" s="14" t="s">
        <v>3542</v>
      </c>
      <c r="C3421" s="14" t="s">
        <v>13029</v>
      </c>
      <c r="D3421" s="15">
        <v>27.97</v>
      </c>
      <c r="E3421" s="16" t="s">
        <v>30</v>
      </c>
    </row>
    <row r="3422" spans="1:5" x14ac:dyDescent="0.25">
      <c r="A3422" s="14">
        <v>732245</v>
      </c>
      <c r="B3422" s="14" t="s">
        <v>3543</v>
      </c>
      <c r="C3422" s="14" t="s">
        <v>13029</v>
      </c>
      <c r="D3422" s="15">
        <v>29.87</v>
      </c>
      <c r="E3422" s="16" t="s">
        <v>30</v>
      </c>
    </row>
    <row r="3423" spans="1:5" x14ac:dyDescent="0.25">
      <c r="A3423" s="14">
        <v>732247</v>
      </c>
      <c r="B3423" s="14" t="s">
        <v>3544</v>
      </c>
      <c r="C3423" s="14" t="s">
        <v>13029</v>
      </c>
      <c r="D3423" s="15">
        <v>14.22</v>
      </c>
      <c r="E3423" s="16" t="s">
        <v>30</v>
      </c>
    </row>
    <row r="3424" spans="1:5" x14ac:dyDescent="0.25">
      <c r="A3424" s="14">
        <v>732334</v>
      </c>
      <c r="B3424" s="14" t="s">
        <v>3545</v>
      </c>
      <c r="C3424" s="14" t="s">
        <v>13029</v>
      </c>
      <c r="D3424" s="15">
        <v>23.03</v>
      </c>
      <c r="E3424" s="16" t="s">
        <v>30</v>
      </c>
    </row>
    <row r="3425" spans="1:5" x14ac:dyDescent="0.25">
      <c r="A3425" s="14">
        <v>732336</v>
      </c>
      <c r="B3425" s="14" t="s">
        <v>3546</v>
      </c>
      <c r="C3425" s="14" t="s">
        <v>13029</v>
      </c>
      <c r="D3425" s="15">
        <v>9.5299999999999994</v>
      </c>
      <c r="E3425" s="16" t="s">
        <v>30</v>
      </c>
    </row>
    <row r="3426" spans="1:5" x14ac:dyDescent="0.25">
      <c r="A3426" s="14">
        <v>732343</v>
      </c>
      <c r="B3426" s="14" t="s">
        <v>3547</v>
      </c>
      <c r="C3426" s="14" t="s">
        <v>13029</v>
      </c>
      <c r="D3426" s="15">
        <v>10.65</v>
      </c>
      <c r="E3426" s="16" t="s">
        <v>30</v>
      </c>
    </row>
    <row r="3427" spans="1:5" x14ac:dyDescent="0.25">
      <c r="A3427" s="14">
        <v>732346</v>
      </c>
      <c r="B3427" s="14" t="s">
        <v>3548</v>
      </c>
      <c r="C3427" s="14" t="s">
        <v>13029</v>
      </c>
      <c r="D3427" s="15">
        <v>18.920000000000002</v>
      </c>
      <c r="E3427" s="16" t="s">
        <v>30</v>
      </c>
    </row>
    <row r="3428" spans="1:5" x14ac:dyDescent="0.25">
      <c r="A3428" s="14">
        <v>732348</v>
      </c>
      <c r="B3428" s="14" t="s">
        <v>3549</v>
      </c>
      <c r="C3428" s="14" t="s">
        <v>13029</v>
      </c>
      <c r="D3428" s="15">
        <v>21.3</v>
      </c>
      <c r="E3428" s="16" t="s">
        <v>30</v>
      </c>
    </row>
    <row r="3429" spans="1:5" x14ac:dyDescent="0.25">
      <c r="A3429" s="14">
        <v>568237</v>
      </c>
      <c r="B3429" s="14" t="s">
        <v>3550</v>
      </c>
      <c r="C3429" s="14" t="s">
        <v>13031</v>
      </c>
      <c r="D3429" s="15">
        <v>12.12</v>
      </c>
      <c r="E3429" s="16" t="s">
        <v>20</v>
      </c>
    </row>
    <row r="3430" spans="1:5" x14ac:dyDescent="0.25">
      <c r="A3430" s="14">
        <v>568238</v>
      </c>
      <c r="B3430" s="14" t="s">
        <v>3551</v>
      </c>
      <c r="C3430" s="14" t="s">
        <v>13031</v>
      </c>
      <c r="D3430" s="15">
        <v>12.12</v>
      </c>
      <c r="E3430" s="16" t="s">
        <v>20</v>
      </c>
    </row>
    <row r="3431" spans="1:5" x14ac:dyDescent="0.25">
      <c r="A3431" s="14">
        <v>732349</v>
      </c>
      <c r="B3431" s="14" t="s">
        <v>3552</v>
      </c>
      <c r="C3431" s="14" t="s">
        <v>13029</v>
      </c>
      <c r="D3431" s="15">
        <v>27.4</v>
      </c>
      <c r="E3431" s="16" t="s">
        <v>30</v>
      </c>
    </row>
    <row r="3432" spans="1:5" x14ac:dyDescent="0.25">
      <c r="A3432" s="14">
        <v>732351</v>
      </c>
      <c r="B3432" s="14" t="s">
        <v>3553</v>
      </c>
      <c r="C3432" s="14" t="s">
        <v>13029</v>
      </c>
      <c r="D3432" s="15">
        <v>39.409999999999997</v>
      </c>
      <c r="E3432" s="16" t="s">
        <v>30</v>
      </c>
    </row>
    <row r="3433" spans="1:5" x14ac:dyDescent="0.25">
      <c r="A3433" s="14">
        <v>732352</v>
      </c>
      <c r="B3433" s="14" t="s">
        <v>3554</v>
      </c>
      <c r="C3433" s="14" t="s">
        <v>13029</v>
      </c>
      <c r="D3433" s="15">
        <v>50.21</v>
      </c>
      <c r="E3433" s="16" t="s">
        <v>30</v>
      </c>
    </row>
    <row r="3434" spans="1:5" x14ac:dyDescent="0.25">
      <c r="A3434" s="14">
        <v>732353</v>
      </c>
      <c r="B3434" s="14" t="s">
        <v>3555</v>
      </c>
      <c r="C3434" s="14" t="s">
        <v>13029</v>
      </c>
      <c r="D3434" s="15">
        <v>54.03</v>
      </c>
      <c r="E3434" s="16" t="s">
        <v>30</v>
      </c>
    </row>
    <row r="3435" spans="1:5" x14ac:dyDescent="0.25">
      <c r="A3435" s="14">
        <v>732354</v>
      </c>
      <c r="B3435" s="14" t="s">
        <v>3556</v>
      </c>
      <c r="C3435" s="14" t="s">
        <v>13029</v>
      </c>
      <c r="D3435" s="15">
        <v>50.21</v>
      </c>
      <c r="E3435" s="16" t="s">
        <v>30</v>
      </c>
    </row>
    <row r="3436" spans="1:5" x14ac:dyDescent="0.25">
      <c r="A3436" s="14">
        <v>732362</v>
      </c>
      <c r="B3436" s="14" t="s">
        <v>3557</v>
      </c>
      <c r="C3436" s="14" t="s">
        <v>13029</v>
      </c>
      <c r="D3436" s="15">
        <v>25.36</v>
      </c>
      <c r="E3436" s="16" t="s">
        <v>30</v>
      </c>
    </row>
    <row r="3437" spans="1:5" x14ac:dyDescent="0.25">
      <c r="A3437" s="14">
        <v>732489</v>
      </c>
      <c r="B3437" s="14" t="s">
        <v>3558</v>
      </c>
      <c r="C3437" s="14" t="s">
        <v>13034</v>
      </c>
      <c r="D3437" s="15">
        <v>4.66</v>
      </c>
      <c r="E3437" s="16" t="s">
        <v>30</v>
      </c>
    </row>
    <row r="3438" spans="1:5" x14ac:dyDescent="0.25">
      <c r="A3438" s="14">
        <v>732826</v>
      </c>
      <c r="B3438" s="14" t="s">
        <v>3559</v>
      </c>
      <c r="C3438" s="14" t="s">
        <v>13029</v>
      </c>
      <c r="D3438" s="15">
        <v>14.5</v>
      </c>
      <c r="E3438" s="14" t="s">
        <v>30</v>
      </c>
    </row>
    <row r="3439" spans="1:5" x14ac:dyDescent="0.25">
      <c r="A3439" s="14">
        <v>732866</v>
      </c>
      <c r="B3439" s="14" t="s">
        <v>3560</v>
      </c>
      <c r="C3439" s="14" t="s">
        <v>13030</v>
      </c>
      <c r="D3439" s="15">
        <v>19.29</v>
      </c>
      <c r="E3439" s="16" t="s">
        <v>30</v>
      </c>
    </row>
    <row r="3440" spans="1:5" x14ac:dyDescent="0.25">
      <c r="A3440" s="14">
        <v>733120</v>
      </c>
      <c r="B3440" s="14" t="s">
        <v>3561</v>
      </c>
      <c r="C3440" s="14" t="s">
        <v>13029</v>
      </c>
      <c r="D3440" s="15">
        <v>29.03</v>
      </c>
      <c r="E3440" s="16" t="s">
        <v>30</v>
      </c>
    </row>
    <row r="3441" spans="1:5" x14ac:dyDescent="0.25">
      <c r="A3441" s="14">
        <v>733127</v>
      </c>
      <c r="B3441" s="14" t="s">
        <v>3562</v>
      </c>
      <c r="C3441" s="14" t="s">
        <v>13030</v>
      </c>
      <c r="D3441" s="15">
        <v>30.78</v>
      </c>
      <c r="E3441" s="16" t="s">
        <v>30</v>
      </c>
    </row>
    <row r="3442" spans="1:5" x14ac:dyDescent="0.25">
      <c r="A3442" s="14">
        <v>733131</v>
      </c>
      <c r="B3442" s="14" t="s">
        <v>3563</v>
      </c>
      <c r="C3442" s="14" t="s">
        <v>13029</v>
      </c>
      <c r="D3442" s="15">
        <v>6.93</v>
      </c>
      <c r="E3442" s="16" t="s">
        <v>30</v>
      </c>
    </row>
    <row r="3443" spans="1:5" x14ac:dyDescent="0.25">
      <c r="A3443" s="14">
        <v>733132</v>
      </c>
      <c r="B3443" s="14" t="s">
        <v>3564</v>
      </c>
      <c r="C3443" s="14" t="s">
        <v>13029</v>
      </c>
      <c r="D3443" s="15">
        <v>6.93</v>
      </c>
      <c r="E3443" s="16" t="s">
        <v>30</v>
      </c>
    </row>
    <row r="3444" spans="1:5" x14ac:dyDescent="0.25">
      <c r="A3444" s="14">
        <v>733133</v>
      </c>
      <c r="B3444" s="14" t="s">
        <v>3565</v>
      </c>
      <c r="C3444" s="14" t="s">
        <v>13029</v>
      </c>
      <c r="D3444" s="15">
        <v>6.93</v>
      </c>
      <c r="E3444" s="16" t="s">
        <v>30</v>
      </c>
    </row>
    <row r="3445" spans="1:5" x14ac:dyDescent="0.25">
      <c r="A3445" s="14">
        <v>733134</v>
      </c>
      <c r="B3445" s="14" t="s">
        <v>3566</v>
      </c>
      <c r="C3445" s="14" t="s">
        <v>13029</v>
      </c>
      <c r="D3445" s="15">
        <v>5.08</v>
      </c>
      <c r="E3445" s="16" t="s">
        <v>30</v>
      </c>
    </row>
    <row r="3446" spans="1:5" x14ac:dyDescent="0.25">
      <c r="A3446" s="14">
        <v>733135</v>
      </c>
      <c r="B3446" s="14" t="s">
        <v>3567</v>
      </c>
      <c r="C3446" s="14" t="s">
        <v>13029</v>
      </c>
      <c r="D3446" s="15">
        <v>5.08</v>
      </c>
      <c r="E3446" s="16" t="s">
        <v>30</v>
      </c>
    </row>
    <row r="3447" spans="1:5" x14ac:dyDescent="0.25">
      <c r="A3447" s="14">
        <v>733136</v>
      </c>
      <c r="B3447" s="14" t="s">
        <v>3568</v>
      </c>
      <c r="C3447" s="14" t="s">
        <v>13029</v>
      </c>
      <c r="D3447" s="15">
        <v>5.08</v>
      </c>
      <c r="E3447" s="16" t="s">
        <v>30</v>
      </c>
    </row>
    <row r="3448" spans="1:5" x14ac:dyDescent="0.25">
      <c r="A3448" s="14">
        <v>733137</v>
      </c>
      <c r="B3448" s="14" t="s">
        <v>3569</v>
      </c>
      <c r="C3448" s="14" t="s">
        <v>13029</v>
      </c>
      <c r="D3448" s="15">
        <v>5.08</v>
      </c>
      <c r="E3448" s="16" t="s">
        <v>30</v>
      </c>
    </row>
    <row r="3449" spans="1:5" x14ac:dyDescent="0.25">
      <c r="A3449" s="14">
        <v>733138</v>
      </c>
      <c r="B3449" s="14" t="s">
        <v>3570</v>
      </c>
      <c r="C3449" s="14" t="s">
        <v>13029</v>
      </c>
      <c r="D3449" s="15">
        <v>5.08</v>
      </c>
      <c r="E3449" s="16" t="s">
        <v>30</v>
      </c>
    </row>
    <row r="3450" spans="1:5" x14ac:dyDescent="0.25">
      <c r="A3450" s="14">
        <v>568240</v>
      </c>
      <c r="B3450" s="14" t="s">
        <v>3571</v>
      </c>
      <c r="C3450" s="14" t="s">
        <v>13031</v>
      </c>
      <c r="D3450" s="15">
        <v>12.94</v>
      </c>
      <c r="E3450" s="16" t="s">
        <v>20</v>
      </c>
    </row>
    <row r="3451" spans="1:5" x14ac:dyDescent="0.25">
      <c r="A3451" s="14">
        <v>733139</v>
      </c>
      <c r="B3451" s="14" t="s">
        <v>3572</v>
      </c>
      <c r="C3451" s="14" t="s">
        <v>13029</v>
      </c>
      <c r="D3451" s="15">
        <v>6.93</v>
      </c>
      <c r="E3451" s="16" t="s">
        <v>30</v>
      </c>
    </row>
    <row r="3452" spans="1:5" x14ac:dyDescent="0.25">
      <c r="A3452" s="14">
        <v>733140</v>
      </c>
      <c r="B3452" s="14" t="s">
        <v>3573</v>
      </c>
      <c r="C3452" s="14" t="s">
        <v>13029</v>
      </c>
      <c r="D3452" s="15">
        <v>5.08</v>
      </c>
      <c r="E3452" s="16" t="s">
        <v>30</v>
      </c>
    </row>
    <row r="3453" spans="1:5" x14ac:dyDescent="0.25">
      <c r="A3453" s="14">
        <v>733144</v>
      </c>
      <c r="B3453" s="14" t="s">
        <v>3574</v>
      </c>
      <c r="C3453" s="14" t="s">
        <v>13031</v>
      </c>
      <c r="D3453" s="15">
        <v>31.08</v>
      </c>
      <c r="E3453" s="16" t="s">
        <v>30</v>
      </c>
    </row>
    <row r="3454" spans="1:5" x14ac:dyDescent="0.25">
      <c r="A3454" s="14">
        <v>733145</v>
      </c>
      <c r="B3454" s="14" t="s">
        <v>3575</v>
      </c>
      <c r="C3454" s="14" t="s">
        <v>13031</v>
      </c>
      <c r="D3454" s="15">
        <v>5.2</v>
      </c>
      <c r="E3454" s="16" t="s">
        <v>30</v>
      </c>
    </row>
    <row r="3455" spans="1:5" x14ac:dyDescent="0.25">
      <c r="A3455" s="14">
        <v>733148</v>
      </c>
      <c r="B3455" s="14" t="s">
        <v>3576</v>
      </c>
      <c r="C3455" s="14" t="s">
        <v>13031</v>
      </c>
      <c r="D3455" s="15">
        <v>2.92</v>
      </c>
      <c r="E3455" s="16" t="s">
        <v>30</v>
      </c>
    </row>
    <row r="3456" spans="1:5" x14ac:dyDescent="0.25">
      <c r="A3456" s="14">
        <v>733415</v>
      </c>
      <c r="B3456" s="14" t="s">
        <v>3577</v>
      </c>
      <c r="C3456" s="14" t="s">
        <v>13030</v>
      </c>
      <c r="D3456" s="15">
        <v>79.84</v>
      </c>
      <c r="E3456" s="16" t="s">
        <v>30</v>
      </c>
    </row>
    <row r="3457" spans="1:5" x14ac:dyDescent="0.25">
      <c r="A3457" s="14">
        <v>733416</v>
      </c>
      <c r="B3457" s="14" t="s">
        <v>3578</v>
      </c>
      <c r="C3457" s="14" t="s">
        <v>13030</v>
      </c>
      <c r="D3457" s="15">
        <v>62.66</v>
      </c>
      <c r="E3457" s="16" t="s">
        <v>30</v>
      </c>
    </row>
    <row r="3458" spans="1:5" x14ac:dyDescent="0.25">
      <c r="A3458" s="14">
        <v>733471</v>
      </c>
      <c r="B3458" s="14" t="s">
        <v>3579</v>
      </c>
      <c r="C3458" s="14" t="s">
        <v>13030</v>
      </c>
      <c r="D3458" s="15">
        <v>122.84</v>
      </c>
      <c r="E3458" s="16" t="s">
        <v>30</v>
      </c>
    </row>
    <row r="3459" spans="1:5" x14ac:dyDescent="0.25">
      <c r="A3459" s="14">
        <v>733472</v>
      </c>
      <c r="B3459" s="14" t="s">
        <v>3580</v>
      </c>
      <c r="C3459" s="14" t="s">
        <v>13030</v>
      </c>
      <c r="D3459" s="15">
        <v>84.02</v>
      </c>
      <c r="E3459" s="16" t="s">
        <v>30</v>
      </c>
    </row>
    <row r="3460" spans="1:5" x14ac:dyDescent="0.25">
      <c r="A3460" s="14">
        <v>733487</v>
      </c>
      <c r="B3460" s="14" t="s">
        <v>3581</v>
      </c>
      <c r="C3460" s="14" t="s">
        <v>13030</v>
      </c>
      <c r="D3460" s="15">
        <v>20.78</v>
      </c>
      <c r="E3460" s="16" t="s">
        <v>30</v>
      </c>
    </row>
    <row r="3461" spans="1:5" x14ac:dyDescent="0.25">
      <c r="A3461" s="14">
        <v>568242</v>
      </c>
      <c r="B3461" s="14" t="s">
        <v>3582</v>
      </c>
      <c r="C3461" s="14" t="s">
        <v>13031</v>
      </c>
      <c r="D3461" s="15">
        <v>12.94</v>
      </c>
      <c r="E3461" s="16" t="s">
        <v>20</v>
      </c>
    </row>
    <row r="3462" spans="1:5" x14ac:dyDescent="0.25">
      <c r="A3462" s="14">
        <v>733488</v>
      </c>
      <c r="B3462" s="14" t="s">
        <v>3583</v>
      </c>
      <c r="C3462" s="14" t="s">
        <v>13030</v>
      </c>
      <c r="D3462" s="15">
        <v>41.63</v>
      </c>
      <c r="E3462" s="16" t="s">
        <v>30</v>
      </c>
    </row>
    <row r="3463" spans="1:5" x14ac:dyDescent="0.25">
      <c r="A3463" s="14">
        <v>733598</v>
      </c>
      <c r="B3463" s="14" t="s">
        <v>3584</v>
      </c>
      <c r="C3463" s="14" t="s">
        <v>13029</v>
      </c>
      <c r="D3463" s="15">
        <v>11.89</v>
      </c>
      <c r="E3463" s="16" t="s">
        <v>30</v>
      </c>
    </row>
    <row r="3464" spans="1:5" x14ac:dyDescent="0.25">
      <c r="A3464" s="14">
        <v>733604</v>
      </c>
      <c r="B3464" s="14" t="s">
        <v>3585</v>
      </c>
      <c r="C3464" s="14" t="s">
        <v>13030</v>
      </c>
      <c r="D3464" s="15">
        <v>151.21</v>
      </c>
      <c r="E3464" s="14" t="s">
        <v>30</v>
      </c>
    </row>
    <row r="3465" spans="1:5" x14ac:dyDescent="0.25">
      <c r="A3465" s="14">
        <v>733605</v>
      </c>
      <c r="B3465" s="14" t="s">
        <v>3586</v>
      </c>
      <c r="C3465" s="14" t="s">
        <v>13030</v>
      </c>
      <c r="D3465" s="15">
        <v>105.1</v>
      </c>
      <c r="E3465" s="14" t="s">
        <v>30</v>
      </c>
    </row>
    <row r="3466" spans="1:5" x14ac:dyDescent="0.25">
      <c r="A3466" s="14">
        <v>733606</v>
      </c>
      <c r="B3466" s="14" t="s">
        <v>3587</v>
      </c>
      <c r="C3466" s="14" t="s">
        <v>13030</v>
      </c>
      <c r="D3466" s="15">
        <v>61.16</v>
      </c>
      <c r="E3466" s="14" t="s">
        <v>30</v>
      </c>
    </row>
    <row r="3467" spans="1:5" x14ac:dyDescent="0.25">
      <c r="A3467" s="14">
        <v>733607</v>
      </c>
      <c r="B3467" s="14" t="s">
        <v>3588</v>
      </c>
      <c r="C3467" s="14" t="s">
        <v>13030</v>
      </c>
      <c r="D3467" s="15">
        <v>45.31</v>
      </c>
      <c r="E3467" s="14" t="s">
        <v>30</v>
      </c>
    </row>
    <row r="3468" spans="1:5" x14ac:dyDescent="0.25">
      <c r="A3468" s="14">
        <v>733608</v>
      </c>
      <c r="B3468" s="14" t="s">
        <v>3589</v>
      </c>
      <c r="C3468" s="14" t="s">
        <v>13030</v>
      </c>
      <c r="D3468" s="15">
        <v>33.07</v>
      </c>
      <c r="E3468" s="14" t="s">
        <v>30</v>
      </c>
    </row>
    <row r="3469" spans="1:5" x14ac:dyDescent="0.25">
      <c r="A3469" s="14">
        <v>733611</v>
      </c>
      <c r="B3469" s="14" t="s">
        <v>3590</v>
      </c>
      <c r="C3469" s="14" t="s">
        <v>13030</v>
      </c>
      <c r="D3469" s="15">
        <v>137.44</v>
      </c>
      <c r="E3469" s="14" t="s">
        <v>30</v>
      </c>
    </row>
    <row r="3470" spans="1:5" x14ac:dyDescent="0.25">
      <c r="A3470" s="14">
        <v>733612</v>
      </c>
      <c r="B3470" s="14" t="s">
        <v>3591</v>
      </c>
      <c r="C3470" s="14" t="s">
        <v>13030</v>
      </c>
      <c r="D3470" s="15">
        <v>100.78</v>
      </c>
      <c r="E3470" s="14" t="s">
        <v>30</v>
      </c>
    </row>
    <row r="3471" spans="1:5" x14ac:dyDescent="0.25">
      <c r="A3471" s="14">
        <v>733624</v>
      </c>
      <c r="B3471" s="14" t="s">
        <v>3592</v>
      </c>
      <c r="C3471" s="14" t="s">
        <v>13030</v>
      </c>
      <c r="D3471" s="15">
        <v>69.8</v>
      </c>
      <c r="E3471" s="14" t="s">
        <v>30</v>
      </c>
    </row>
    <row r="3472" spans="1:5" x14ac:dyDescent="0.25">
      <c r="A3472" s="14">
        <v>733652</v>
      </c>
      <c r="B3472" s="14" t="s">
        <v>3593</v>
      </c>
      <c r="C3472" s="14" t="s">
        <v>13029</v>
      </c>
      <c r="D3472" s="15">
        <v>32.86</v>
      </c>
      <c r="E3472" s="16" t="s">
        <v>30</v>
      </c>
    </row>
    <row r="3473" spans="1:5" x14ac:dyDescent="0.25">
      <c r="A3473" s="14">
        <v>733653</v>
      </c>
      <c r="B3473" s="14" t="s">
        <v>3594</v>
      </c>
      <c r="C3473" s="14" t="s">
        <v>13029</v>
      </c>
      <c r="D3473" s="15">
        <v>20.52</v>
      </c>
      <c r="E3473" s="16" t="s">
        <v>30</v>
      </c>
    </row>
    <row r="3474" spans="1:5" x14ac:dyDescent="0.25">
      <c r="A3474" s="14">
        <v>733654</v>
      </c>
      <c r="B3474" s="14" t="s">
        <v>3595</v>
      </c>
      <c r="C3474" s="14" t="s">
        <v>13029</v>
      </c>
      <c r="D3474" s="15">
        <v>32.03</v>
      </c>
      <c r="E3474" s="16" t="s">
        <v>30</v>
      </c>
    </row>
    <row r="3475" spans="1:5" x14ac:dyDescent="0.25">
      <c r="A3475" s="14">
        <v>733655</v>
      </c>
      <c r="B3475" s="14" t="s">
        <v>3596</v>
      </c>
      <c r="C3475" s="14" t="s">
        <v>13029</v>
      </c>
      <c r="D3475" s="15">
        <v>8.4700000000000006</v>
      </c>
      <c r="E3475" s="16" t="s">
        <v>30</v>
      </c>
    </row>
    <row r="3476" spans="1:5" x14ac:dyDescent="0.25">
      <c r="A3476" s="14">
        <v>733656</v>
      </c>
      <c r="B3476" s="14" t="s">
        <v>3597</v>
      </c>
      <c r="C3476" s="14" t="s">
        <v>13029</v>
      </c>
      <c r="D3476" s="15">
        <v>8.4700000000000006</v>
      </c>
      <c r="E3476" s="16" t="s">
        <v>30</v>
      </c>
    </row>
    <row r="3477" spans="1:5" x14ac:dyDescent="0.25">
      <c r="A3477" s="14">
        <v>704799</v>
      </c>
      <c r="B3477" s="14" t="s">
        <v>3598</v>
      </c>
      <c r="C3477" s="14" t="s">
        <v>13030</v>
      </c>
      <c r="D3477" s="15">
        <v>72.02</v>
      </c>
      <c r="E3477" s="16" t="s">
        <v>20</v>
      </c>
    </row>
    <row r="3478" spans="1:5" x14ac:dyDescent="0.25">
      <c r="A3478" s="14">
        <v>576338</v>
      </c>
      <c r="B3478" s="14" t="s">
        <v>3599</v>
      </c>
      <c r="C3478" s="14" t="s">
        <v>13031</v>
      </c>
      <c r="D3478" s="15">
        <v>16.739999999999998</v>
      </c>
      <c r="E3478" s="16" t="s">
        <v>20</v>
      </c>
    </row>
    <row r="3479" spans="1:5" x14ac:dyDescent="0.25">
      <c r="A3479" s="14">
        <v>577193</v>
      </c>
      <c r="B3479" s="14" t="s">
        <v>3600</v>
      </c>
      <c r="C3479" s="14" t="s">
        <v>13031</v>
      </c>
      <c r="D3479" s="15">
        <v>13.47</v>
      </c>
      <c r="E3479" s="16" t="s">
        <v>20</v>
      </c>
    </row>
    <row r="3480" spans="1:5" x14ac:dyDescent="0.25">
      <c r="A3480" s="14">
        <v>733657</v>
      </c>
      <c r="B3480" s="14" t="s">
        <v>3601</v>
      </c>
      <c r="C3480" s="14" t="s">
        <v>13029</v>
      </c>
      <c r="D3480" s="15">
        <v>8.4700000000000006</v>
      </c>
      <c r="E3480" s="16" t="s">
        <v>30</v>
      </c>
    </row>
    <row r="3481" spans="1:5" x14ac:dyDescent="0.25">
      <c r="A3481" s="14">
        <v>733658</v>
      </c>
      <c r="B3481" s="14" t="s">
        <v>3602</v>
      </c>
      <c r="C3481" s="14" t="s">
        <v>13029</v>
      </c>
      <c r="D3481" s="15">
        <v>8.4700000000000006</v>
      </c>
      <c r="E3481" s="16" t="s">
        <v>30</v>
      </c>
    </row>
    <row r="3482" spans="1:5" x14ac:dyDescent="0.25">
      <c r="A3482" s="14">
        <v>733856</v>
      </c>
      <c r="B3482" s="14" t="s">
        <v>3603</v>
      </c>
      <c r="C3482" s="14" t="s">
        <v>13031</v>
      </c>
      <c r="D3482" s="15">
        <v>9.4499999999999993</v>
      </c>
      <c r="E3482" s="16" t="s">
        <v>30</v>
      </c>
    </row>
    <row r="3483" spans="1:5" x14ac:dyDescent="0.25">
      <c r="A3483" s="14">
        <v>733857</v>
      </c>
      <c r="B3483" s="14" t="s">
        <v>3604</v>
      </c>
      <c r="C3483" s="14" t="s">
        <v>13031</v>
      </c>
      <c r="D3483" s="15">
        <v>12.5</v>
      </c>
      <c r="E3483" s="16" t="s">
        <v>30</v>
      </c>
    </row>
    <row r="3484" spans="1:5" x14ac:dyDescent="0.25">
      <c r="A3484" s="14">
        <v>733862</v>
      </c>
      <c r="B3484" s="14" t="s">
        <v>3605</v>
      </c>
      <c r="C3484" s="14" t="s">
        <v>13029</v>
      </c>
      <c r="D3484" s="15">
        <v>8.2100000000000009</v>
      </c>
      <c r="E3484" s="16" t="s">
        <v>30</v>
      </c>
    </row>
    <row r="3485" spans="1:5" x14ac:dyDescent="0.25">
      <c r="A3485" s="14">
        <v>733863</v>
      </c>
      <c r="B3485" s="14" t="s">
        <v>3606</v>
      </c>
      <c r="C3485" s="14" t="s">
        <v>13029</v>
      </c>
      <c r="D3485" s="15">
        <v>12.13</v>
      </c>
      <c r="E3485" s="16" t="s">
        <v>30</v>
      </c>
    </row>
    <row r="3486" spans="1:5" x14ac:dyDescent="0.25">
      <c r="A3486" s="14">
        <v>733915</v>
      </c>
      <c r="B3486" s="14" t="s">
        <v>3607</v>
      </c>
      <c r="C3486" s="14" t="s">
        <v>13029</v>
      </c>
      <c r="D3486" s="15">
        <v>1.19</v>
      </c>
      <c r="E3486" s="14" t="s">
        <v>30</v>
      </c>
    </row>
    <row r="3487" spans="1:5" x14ac:dyDescent="0.25">
      <c r="A3487" s="14">
        <v>733920</v>
      </c>
      <c r="B3487" s="14" t="s">
        <v>3608</v>
      </c>
      <c r="C3487" s="14" t="s">
        <v>13031</v>
      </c>
      <c r="D3487" s="15">
        <v>12.98</v>
      </c>
      <c r="E3487" s="16" t="s">
        <v>30</v>
      </c>
    </row>
    <row r="3488" spans="1:5" x14ac:dyDescent="0.25">
      <c r="A3488" s="14">
        <v>733921</v>
      </c>
      <c r="B3488" s="14" t="s">
        <v>3609</v>
      </c>
      <c r="C3488" s="14" t="s">
        <v>13031</v>
      </c>
      <c r="D3488" s="15">
        <v>24.03</v>
      </c>
      <c r="E3488" s="16" t="s">
        <v>30</v>
      </c>
    </row>
    <row r="3489" spans="1:5" x14ac:dyDescent="0.25">
      <c r="A3489" s="14">
        <v>733950</v>
      </c>
      <c r="B3489" s="14" t="s">
        <v>3610</v>
      </c>
      <c r="C3489" s="14" t="s">
        <v>13029</v>
      </c>
      <c r="D3489" s="15">
        <v>3</v>
      </c>
      <c r="E3489" s="16" t="s">
        <v>30</v>
      </c>
    </row>
    <row r="3490" spans="1:5" x14ac:dyDescent="0.25">
      <c r="A3490" s="14">
        <v>733951</v>
      </c>
      <c r="B3490" s="14" t="s">
        <v>3611</v>
      </c>
      <c r="C3490" s="14" t="s">
        <v>13029</v>
      </c>
      <c r="D3490" s="15">
        <v>19.579999999999998</v>
      </c>
      <c r="E3490" s="16" t="s">
        <v>30</v>
      </c>
    </row>
    <row r="3491" spans="1:5" x14ac:dyDescent="0.25">
      <c r="A3491" s="14">
        <v>734648</v>
      </c>
      <c r="B3491" s="14" t="s">
        <v>3612</v>
      </c>
      <c r="C3491" s="14" t="s">
        <v>13029</v>
      </c>
      <c r="D3491" s="15">
        <v>40.369999999999997</v>
      </c>
      <c r="E3491" s="16" t="s">
        <v>30</v>
      </c>
    </row>
    <row r="3492" spans="1:5" x14ac:dyDescent="0.25">
      <c r="A3492" s="14">
        <v>734654</v>
      </c>
      <c r="B3492" s="14" t="s">
        <v>3613</v>
      </c>
      <c r="C3492" s="14" t="s">
        <v>13031</v>
      </c>
      <c r="D3492" s="15">
        <v>23.67</v>
      </c>
      <c r="E3492" s="16" t="s">
        <v>30</v>
      </c>
    </row>
    <row r="3493" spans="1:5" x14ac:dyDescent="0.25">
      <c r="A3493" s="14">
        <v>734687</v>
      </c>
      <c r="B3493" s="14" t="s">
        <v>3614</v>
      </c>
      <c r="C3493" s="14" t="s">
        <v>13029</v>
      </c>
      <c r="D3493" s="15">
        <v>20.54</v>
      </c>
      <c r="E3493" s="16" t="s">
        <v>30</v>
      </c>
    </row>
    <row r="3494" spans="1:5" x14ac:dyDescent="0.25">
      <c r="A3494" s="14">
        <v>734691</v>
      </c>
      <c r="B3494" s="14" t="s">
        <v>3615</v>
      </c>
      <c r="C3494" s="14" t="s">
        <v>13029</v>
      </c>
      <c r="D3494" s="15">
        <v>11.75</v>
      </c>
      <c r="E3494" s="16" t="s">
        <v>30</v>
      </c>
    </row>
    <row r="3495" spans="1:5" x14ac:dyDescent="0.25">
      <c r="A3495" s="14">
        <v>734692</v>
      </c>
      <c r="B3495" s="14" t="s">
        <v>3616</v>
      </c>
      <c r="C3495" s="14" t="s">
        <v>13029</v>
      </c>
      <c r="D3495" s="15">
        <v>9.8000000000000007</v>
      </c>
      <c r="E3495" s="16" t="s">
        <v>30</v>
      </c>
    </row>
    <row r="3496" spans="1:5" x14ac:dyDescent="0.25">
      <c r="A3496" s="14">
        <v>734693</v>
      </c>
      <c r="B3496" s="14" t="s">
        <v>3617</v>
      </c>
      <c r="C3496" s="14" t="s">
        <v>13029</v>
      </c>
      <c r="D3496" s="15">
        <v>9.5</v>
      </c>
      <c r="E3496" s="16" t="s">
        <v>30</v>
      </c>
    </row>
    <row r="3497" spans="1:5" x14ac:dyDescent="0.25">
      <c r="A3497" s="14">
        <v>735254</v>
      </c>
      <c r="B3497" s="14" t="s">
        <v>3618</v>
      </c>
      <c r="C3497" s="14" t="s">
        <v>13034</v>
      </c>
      <c r="D3497" s="15">
        <v>29.13</v>
      </c>
      <c r="E3497" s="16" t="s">
        <v>30</v>
      </c>
    </row>
    <row r="3498" spans="1:5" x14ac:dyDescent="0.25">
      <c r="A3498" s="14">
        <v>735807</v>
      </c>
      <c r="B3498" s="14" t="s">
        <v>3619</v>
      </c>
      <c r="C3498" s="14" t="s">
        <v>13029</v>
      </c>
      <c r="D3498" s="15">
        <v>41.47</v>
      </c>
      <c r="E3498" s="16" t="s">
        <v>30</v>
      </c>
    </row>
    <row r="3499" spans="1:5" x14ac:dyDescent="0.25">
      <c r="A3499" s="14">
        <v>735811</v>
      </c>
      <c r="B3499" s="14" t="s">
        <v>3620</v>
      </c>
      <c r="C3499" s="14" t="s">
        <v>13029</v>
      </c>
      <c r="D3499" s="15">
        <v>29.01</v>
      </c>
      <c r="E3499" s="16" t="s">
        <v>30</v>
      </c>
    </row>
    <row r="3500" spans="1:5" x14ac:dyDescent="0.25">
      <c r="A3500" s="14">
        <v>735812</v>
      </c>
      <c r="B3500" s="14" t="s">
        <v>3621</v>
      </c>
      <c r="C3500" s="14" t="s">
        <v>13029</v>
      </c>
      <c r="D3500" s="15">
        <v>17.14</v>
      </c>
      <c r="E3500" s="16" t="s">
        <v>30</v>
      </c>
    </row>
    <row r="3501" spans="1:5" x14ac:dyDescent="0.25">
      <c r="A3501" s="14">
        <v>736100</v>
      </c>
      <c r="B3501" s="14" t="s">
        <v>3622</v>
      </c>
      <c r="C3501" s="14" t="s">
        <v>13029</v>
      </c>
      <c r="D3501" s="15">
        <v>16.46</v>
      </c>
      <c r="E3501" s="16" t="s">
        <v>30</v>
      </c>
    </row>
    <row r="3502" spans="1:5" x14ac:dyDescent="0.25">
      <c r="A3502" s="14">
        <v>736101</v>
      </c>
      <c r="B3502" s="14" t="s">
        <v>3623</v>
      </c>
      <c r="C3502" s="14" t="s">
        <v>13029</v>
      </c>
      <c r="D3502" s="15">
        <v>26.05</v>
      </c>
      <c r="E3502" s="14" t="s">
        <v>30</v>
      </c>
    </row>
    <row r="3503" spans="1:5" x14ac:dyDescent="0.25">
      <c r="A3503" s="14">
        <v>736102</v>
      </c>
      <c r="B3503" s="14" t="s">
        <v>3624</v>
      </c>
      <c r="C3503" s="14" t="s">
        <v>13029</v>
      </c>
      <c r="D3503" s="15">
        <v>29.61</v>
      </c>
      <c r="E3503" s="14" t="s">
        <v>30</v>
      </c>
    </row>
    <row r="3504" spans="1:5" x14ac:dyDescent="0.25">
      <c r="A3504" s="14">
        <v>736120</v>
      </c>
      <c r="B3504" s="14" t="s">
        <v>3625</v>
      </c>
      <c r="C3504" s="14" t="s">
        <v>13031</v>
      </c>
      <c r="D3504" s="15">
        <v>2</v>
      </c>
      <c r="E3504" s="16" t="s">
        <v>30</v>
      </c>
    </row>
    <row r="3505" spans="1:5" x14ac:dyDescent="0.25">
      <c r="A3505" s="14">
        <v>736121</v>
      </c>
      <c r="B3505" s="14" t="s">
        <v>3626</v>
      </c>
      <c r="C3505" s="14" t="s">
        <v>13031</v>
      </c>
      <c r="D3505" s="15">
        <v>2</v>
      </c>
      <c r="E3505" s="16" t="s">
        <v>30</v>
      </c>
    </row>
    <row r="3506" spans="1:5" x14ac:dyDescent="0.25">
      <c r="A3506" s="14">
        <v>736122</v>
      </c>
      <c r="B3506" s="14" t="s">
        <v>3627</v>
      </c>
      <c r="C3506" s="14" t="s">
        <v>13031</v>
      </c>
      <c r="D3506" s="15">
        <v>2</v>
      </c>
      <c r="E3506" s="16" t="s">
        <v>30</v>
      </c>
    </row>
    <row r="3507" spans="1:5" x14ac:dyDescent="0.25">
      <c r="A3507" s="14">
        <v>736123</v>
      </c>
      <c r="B3507" s="14" t="s">
        <v>3628</v>
      </c>
      <c r="C3507" s="14" t="s">
        <v>13031</v>
      </c>
      <c r="D3507" s="15">
        <v>1.9</v>
      </c>
      <c r="E3507" s="16" t="s">
        <v>30</v>
      </c>
    </row>
    <row r="3508" spans="1:5" x14ac:dyDescent="0.25">
      <c r="A3508" s="14">
        <v>736124</v>
      </c>
      <c r="B3508" s="14" t="s">
        <v>3629</v>
      </c>
      <c r="C3508" s="14" t="s">
        <v>13031</v>
      </c>
      <c r="D3508" s="15">
        <v>1.8</v>
      </c>
      <c r="E3508" s="16" t="s">
        <v>30</v>
      </c>
    </row>
    <row r="3509" spans="1:5" x14ac:dyDescent="0.25">
      <c r="A3509" s="14">
        <v>736125</v>
      </c>
      <c r="B3509" s="14" t="s">
        <v>3630</v>
      </c>
      <c r="C3509" s="14" t="s">
        <v>13031</v>
      </c>
      <c r="D3509" s="15">
        <v>1.7</v>
      </c>
      <c r="E3509" s="16" t="s">
        <v>30</v>
      </c>
    </row>
    <row r="3510" spans="1:5" x14ac:dyDescent="0.25">
      <c r="A3510" s="14">
        <v>736126</v>
      </c>
      <c r="B3510" s="14" t="s">
        <v>3631</v>
      </c>
      <c r="C3510" s="14" t="s">
        <v>13031</v>
      </c>
      <c r="D3510" s="15">
        <v>1.7</v>
      </c>
      <c r="E3510" s="16" t="s">
        <v>30</v>
      </c>
    </row>
    <row r="3511" spans="1:5" x14ac:dyDescent="0.25">
      <c r="A3511" s="14">
        <v>736147</v>
      </c>
      <c r="B3511" s="14" t="s">
        <v>3632</v>
      </c>
      <c r="C3511" s="14" t="s">
        <v>13031</v>
      </c>
      <c r="D3511" s="15">
        <v>21.89</v>
      </c>
      <c r="E3511" s="16" t="s">
        <v>30</v>
      </c>
    </row>
    <row r="3512" spans="1:5" x14ac:dyDescent="0.25">
      <c r="A3512" s="14">
        <v>736148</v>
      </c>
      <c r="B3512" s="14" t="s">
        <v>3633</v>
      </c>
      <c r="C3512" s="14" t="s">
        <v>13031</v>
      </c>
      <c r="D3512" s="15">
        <v>21.89</v>
      </c>
      <c r="E3512" s="16" t="s">
        <v>30</v>
      </c>
    </row>
    <row r="3513" spans="1:5" x14ac:dyDescent="0.25">
      <c r="A3513" s="14">
        <v>736153</v>
      </c>
      <c r="B3513" s="14" t="s">
        <v>3634</v>
      </c>
      <c r="C3513" s="14" t="s">
        <v>13029</v>
      </c>
      <c r="D3513" s="15">
        <v>8.7100000000000009</v>
      </c>
      <c r="E3513" s="16" t="s">
        <v>30</v>
      </c>
    </row>
    <row r="3514" spans="1:5" x14ac:dyDescent="0.25">
      <c r="A3514" s="14">
        <v>736154</v>
      </c>
      <c r="B3514" s="14" t="s">
        <v>3635</v>
      </c>
      <c r="C3514" s="14" t="s">
        <v>13029</v>
      </c>
      <c r="D3514" s="15">
        <v>5.2</v>
      </c>
      <c r="E3514" s="16" t="s">
        <v>30</v>
      </c>
    </row>
    <row r="3515" spans="1:5" x14ac:dyDescent="0.25">
      <c r="A3515" s="14">
        <v>736155</v>
      </c>
      <c r="B3515" s="14" t="s">
        <v>3636</v>
      </c>
      <c r="C3515" s="14" t="s">
        <v>13029</v>
      </c>
      <c r="D3515" s="15">
        <v>17.489999999999998</v>
      </c>
      <c r="E3515" s="16" t="s">
        <v>30</v>
      </c>
    </row>
    <row r="3516" spans="1:5" x14ac:dyDescent="0.25">
      <c r="A3516" s="14">
        <v>736156</v>
      </c>
      <c r="B3516" s="14" t="s">
        <v>3637</v>
      </c>
      <c r="C3516" s="14" t="s">
        <v>13029</v>
      </c>
      <c r="D3516" s="15">
        <v>16.96</v>
      </c>
      <c r="E3516" s="16" t="s">
        <v>30</v>
      </c>
    </row>
    <row r="3517" spans="1:5" x14ac:dyDescent="0.25">
      <c r="A3517" s="14">
        <v>736157</v>
      </c>
      <c r="B3517" s="14" t="s">
        <v>3638</v>
      </c>
      <c r="C3517" s="14" t="s">
        <v>13029</v>
      </c>
      <c r="D3517" s="15">
        <v>17.489999999999998</v>
      </c>
      <c r="E3517" s="16" t="s">
        <v>30</v>
      </c>
    </row>
    <row r="3518" spans="1:5" x14ac:dyDescent="0.25">
      <c r="A3518" s="14">
        <v>737085</v>
      </c>
      <c r="B3518" s="14" t="s">
        <v>3639</v>
      </c>
      <c r="C3518" s="14" t="s">
        <v>13030</v>
      </c>
      <c r="D3518" s="15">
        <v>52.74</v>
      </c>
      <c r="E3518" s="16" t="s">
        <v>30</v>
      </c>
    </row>
    <row r="3519" spans="1:5" x14ac:dyDescent="0.25">
      <c r="A3519" s="14">
        <v>737088</v>
      </c>
      <c r="B3519" s="14" t="s">
        <v>3640</v>
      </c>
      <c r="C3519" s="14" t="s">
        <v>13030</v>
      </c>
      <c r="D3519" s="15">
        <v>29.9</v>
      </c>
      <c r="E3519" s="16" t="s">
        <v>30</v>
      </c>
    </row>
    <row r="3520" spans="1:5" x14ac:dyDescent="0.25">
      <c r="A3520" s="14">
        <v>737089</v>
      </c>
      <c r="B3520" s="14" t="s">
        <v>3641</v>
      </c>
      <c r="C3520" s="14" t="s">
        <v>13030</v>
      </c>
      <c r="D3520" s="15">
        <v>39.159999999999997</v>
      </c>
      <c r="E3520" s="16" t="s">
        <v>30</v>
      </c>
    </row>
    <row r="3521" spans="1:5" x14ac:dyDescent="0.25">
      <c r="A3521" s="14">
        <v>737740</v>
      </c>
      <c r="B3521" s="14" t="s">
        <v>3642</v>
      </c>
      <c r="C3521" s="14" t="s">
        <v>13029</v>
      </c>
      <c r="D3521" s="15">
        <v>11.81</v>
      </c>
      <c r="E3521" s="16" t="s">
        <v>30</v>
      </c>
    </row>
    <row r="3522" spans="1:5" x14ac:dyDescent="0.25">
      <c r="A3522" s="14">
        <v>737748</v>
      </c>
      <c r="B3522" s="14" t="s">
        <v>3643</v>
      </c>
      <c r="C3522" s="14" t="s">
        <v>13034</v>
      </c>
      <c r="D3522" s="15">
        <v>7.9</v>
      </c>
      <c r="E3522" s="16" t="s">
        <v>30</v>
      </c>
    </row>
    <row r="3523" spans="1:5" x14ac:dyDescent="0.25">
      <c r="A3523" s="14">
        <v>737749</v>
      </c>
      <c r="B3523" s="14" t="s">
        <v>3644</v>
      </c>
      <c r="C3523" s="14" t="s">
        <v>13034</v>
      </c>
      <c r="D3523" s="15">
        <v>9.6999999999999993</v>
      </c>
      <c r="E3523" s="16" t="s">
        <v>30</v>
      </c>
    </row>
    <row r="3524" spans="1:5" x14ac:dyDescent="0.25">
      <c r="A3524" s="14">
        <v>737750</v>
      </c>
      <c r="B3524" s="14" t="s">
        <v>3645</v>
      </c>
      <c r="C3524" s="14" t="s">
        <v>13034</v>
      </c>
      <c r="D3524" s="15">
        <v>12.5</v>
      </c>
      <c r="E3524" s="16" t="s">
        <v>30</v>
      </c>
    </row>
    <row r="3525" spans="1:5" x14ac:dyDescent="0.25">
      <c r="A3525" s="14">
        <v>737874</v>
      </c>
      <c r="B3525" s="14" t="s">
        <v>3646</v>
      </c>
      <c r="C3525" s="14" t="s">
        <v>13031</v>
      </c>
      <c r="D3525" s="15">
        <v>5.92</v>
      </c>
      <c r="E3525" s="16" t="s">
        <v>30</v>
      </c>
    </row>
    <row r="3526" spans="1:5" x14ac:dyDescent="0.25">
      <c r="A3526" s="14">
        <v>738362</v>
      </c>
      <c r="B3526" s="14" t="s">
        <v>3647</v>
      </c>
      <c r="C3526" s="14" t="s">
        <v>13029</v>
      </c>
      <c r="D3526" s="15">
        <v>20.97</v>
      </c>
      <c r="E3526" s="16" t="s">
        <v>30</v>
      </c>
    </row>
    <row r="3527" spans="1:5" x14ac:dyDescent="0.25">
      <c r="A3527" s="14">
        <v>738520</v>
      </c>
      <c r="B3527" s="14" t="s">
        <v>3648</v>
      </c>
      <c r="C3527" s="14" t="s">
        <v>13031</v>
      </c>
      <c r="D3527" s="15">
        <v>7.09</v>
      </c>
      <c r="E3527" s="16" t="s">
        <v>30</v>
      </c>
    </row>
    <row r="3528" spans="1:5" x14ac:dyDescent="0.25">
      <c r="A3528" s="14">
        <v>738521</v>
      </c>
      <c r="B3528" s="14" t="s">
        <v>3649</v>
      </c>
      <c r="C3528" s="14" t="s">
        <v>13031</v>
      </c>
      <c r="D3528" s="15">
        <v>7.09</v>
      </c>
      <c r="E3528" s="16" t="s">
        <v>30</v>
      </c>
    </row>
    <row r="3529" spans="1:5" x14ac:dyDescent="0.25">
      <c r="A3529" s="14">
        <v>738522</v>
      </c>
      <c r="B3529" s="14" t="s">
        <v>3650</v>
      </c>
      <c r="C3529" s="14" t="s">
        <v>13031</v>
      </c>
      <c r="D3529" s="15">
        <v>7.09</v>
      </c>
      <c r="E3529" s="16" t="s">
        <v>30</v>
      </c>
    </row>
    <row r="3530" spans="1:5" x14ac:dyDescent="0.25">
      <c r="A3530" s="14">
        <v>738523</v>
      </c>
      <c r="B3530" s="14" t="s">
        <v>3651</v>
      </c>
      <c r="C3530" s="14" t="s">
        <v>13031</v>
      </c>
      <c r="D3530" s="15">
        <v>7.09</v>
      </c>
      <c r="E3530" s="16" t="s">
        <v>30</v>
      </c>
    </row>
    <row r="3531" spans="1:5" x14ac:dyDescent="0.25">
      <c r="A3531" s="14">
        <v>738898</v>
      </c>
      <c r="B3531" s="14" t="s">
        <v>3652</v>
      </c>
      <c r="C3531" s="14" t="s">
        <v>13030</v>
      </c>
      <c r="D3531" s="15">
        <v>4.2699999999999996</v>
      </c>
      <c r="E3531" s="16" t="s">
        <v>30</v>
      </c>
    </row>
    <row r="3532" spans="1:5" x14ac:dyDescent="0.25">
      <c r="A3532" s="14">
        <v>738922</v>
      </c>
      <c r="B3532" s="14" t="s">
        <v>3653</v>
      </c>
      <c r="C3532" s="14" t="s">
        <v>13030</v>
      </c>
      <c r="D3532" s="15">
        <v>27.03</v>
      </c>
      <c r="E3532" s="16" t="s">
        <v>30</v>
      </c>
    </row>
    <row r="3533" spans="1:5" x14ac:dyDescent="0.25">
      <c r="A3533" s="14">
        <v>738929</v>
      </c>
      <c r="B3533" s="14" t="s">
        <v>3654</v>
      </c>
      <c r="C3533" s="14" t="s">
        <v>13030</v>
      </c>
      <c r="D3533" s="15">
        <v>166.1</v>
      </c>
      <c r="E3533" s="16" t="s">
        <v>30</v>
      </c>
    </row>
    <row r="3534" spans="1:5" x14ac:dyDescent="0.25">
      <c r="A3534" s="14">
        <v>738930</v>
      </c>
      <c r="B3534" s="14" t="s">
        <v>3655</v>
      </c>
      <c r="C3534" s="14" t="s">
        <v>13030</v>
      </c>
      <c r="D3534" s="15">
        <v>118.64</v>
      </c>
      <c r="E3534" s="16" t="s">
        <v>30</v>
      </c>
    </row>
    <row r="3535" spans="1:5" x14ac:dyDescent="0.25">
      <c r="A3535" s="14">
        <v>739158</v>
      </c>
      <c r="B3535" s="14" t="s">
        <v>3656</v>
      </c>
      <c r="C3535" s="14" t="s">
        <v>13029</v>
      </c>
      <c r="D3535" s="15">
        <v>19.440000000000001</v>
      </c>
      <c r="E3535" s="16" t="s">
        <v>30</v>
      </c>
    </row>
    <row r="3536" spans="1:5" x14ac:dyDescent="0.25">
      <c r="A3536" s="14">
        <v>739160</v>
      </c>
      <c r="B3536" s="14" t="s">
        <v>3657</v>
      </c>
      <c r="C3536" s="14" t="s">
        <v>13029</v>
      </c>
      <c r="D3536" s="15">
        <v>19.440000000000001</v>
      </c>
      <c r="E3536" s="16" t="s">
        <v>30</v>
      </c>
    </row>
    <row r="3537" spans="1:5" x14ac:dyDescent="0.25">
      <c r="A3537" s="14">
        <v>739321</v>
      </c>
      <c r="B3537" s="14" t="s">
        <v>3658</v>
      </c>
      <c r="C3537" s="14" t="s">
        <v>13031</v>
      </c>
      <c r="D3537" s="15">
        <v>8.99</v>
      </c>
      <c r="E3537" s="16" t="s">
        <v>30</v>
      </c>
    </row>
    <row r="3538" spans="1:5" x14ac:dyDescent="0.25">
      <c r="A3538" s="14">
        <v>739322</v>
      </c>
      <c r="B3538" s="14" t="s">
        <v>3659</v>
      </c>
      <c r="C3538" s="14" t="s">
        <v>13031</v>
      </c>
      <c r="D3538" s="15">
        <v>11.38</v>
      </c>
      <c r="E3538" s="16" t="s">
        <v>30</v>
      </c>
    </row>
    <row r="3539" spans="1:5" x14ac:dyDescent="0.25">
      <c r="A3539" s="14">
        <v>739335</v>
      </c>
      <c r="B3539" s="14" t="s">
        <v>3660</v>
      </c>
      <c r="C3539" s="14" t="s">
        <v>13031</v>
      </c>
      <c r="D3539" s="15">
        <v>17.8</v>
      </c>
      <c r="E3539" s="16" t="s">
        <v>30</v>
      </c>
    </row>
    <row r="3540" spans="1:5" x14ac:dyDescent="0.25">
      <c r="A3540" s="14">
        <v>739336</v>
      </c>
      <c r="B3540" s="14" t="s">
        <v>3661</v>
      </c>
      <c r="C3540" s="14" t="s">
        <v>13031</v>
      </c>
      <c r="D3540" s="15">
        <v>14.1</v>
      </c>
      <c r="E3540" s="16" t="s">
        <v>30</v>
      </c>
    </row>
    <row r="3541" spans="1:5" x14ac:dyDescent="0.25">
      <c r="A3541" s="14">
        <v>739337</v>
      </c>
      <c r="B3541" s="14" t="s">
        <v>3662</v>
      </c>
      <c r="C3541" s="14" t="s">
        <v>13031</v>
      </c>
      <c r="D3541" s="15">
        <v>19.2</v>
      </c>
      <c r="E3541" s="16" t="s">
        <v>30</v>
      </c>
    </row>
    <row r="3542" spans="1:5" x14ac:dyDescent="0.25">
      <c r="A3542" s="14">
        <v>739423</v>
      </c>
      <c r="B3542" s="14" t="s">
        <v>3663</v>
      </c>
      <c r="C3542" s="14" t="s">
        <v>13030</v>
      </c>
      <c r="D3542" s="15">
        <v>229.53</v>
      </c>
      <c r="E3542" s="16" t="s">
        <v>30</v>
      </c>
    </row>
    <row r="3543" spans="1:5" x14ac:dyDescent="0.25">
      <c r="A3543" s="14">
        <v>739424</v>
      </c>
      <c r="B3543" s="14" t="s">
        <v>3664</v>
      </c>
      <c r="C3543" s="14" t="s">
        <v>13030</v>
      </c>
      <c r="D3543" s="15">
        <v>229.53</v>
      </c>
      <c r="E3543" s="16" t="s">
        <v>30</v>
      </c>
    </row>
    <row r="3544" spans="1:5" x14ac:dyDescent="0.25">
      <c r="A3544" s="14">
        <v>739425</v>
      </c>
      <c r="B3544" s="14" t="s">
        <v>3665</v>
      </c>
      <c r="C3544" s="14" t="s">
        <v>13030</v>
      </c>
      <c r="D3544" s="15">
        <v>229.53</v>
      </c>
      <c r="E3544" s="16" t="s">
        <v>30</v>
      </c>
    </row>
    <row r="3545" spans="1:5" x14ac:dyDescent="0.25">
      <c r="A3545" s="14">
        <v>705073</v>
      </c>
      <c r="B3545" s="14" t="s">
        <v>3666</v>
      </c>
      <c r="C3545" s="14" t="s">
        <v>13031</v>
      </c>
      <c r="D3545" s="15">
        <v>13.8</v>
      </c>
      <c r="E3545" s="16" t="s">
        <v>20</v>
      </c>
    </row>
    <row r="3546" spans="1:5" x14ac:dyDescent="0.25">
      <c r="A3546" s="14">
        <v>739448</v>
      </c>
      <c r="B3546" s="14" t="s">
        <v>3667</v>
      </c>
      <c r="C3546" s="14" t="s">
        <v>13029</v>
      </c>
      <c r="D3546" s="15">
        <v>6.18</v>
      </c>
      <c r="E3546" s="16" t="s">
        <v>30</v>
      </c>
    </row>
    <row r="3547" spans="1:5" x14ac:dyDescent="0.25">
      <c r="A3547" s="14">
        <v>739449</v>
      </c>
      <c r="B3547" s="14" t="s">
        <v>3668</v>
      </c>
      <c r="C3547" s="14" t="s">
        <v>13029</v>
      </c>
      <c r="D3547" s="15">
        <v>13.15</v>
      </c>
      <c r="E3547" s="16" t="s">
        <v>30</v>
      </c>
    </row>
    <row r="3548" spans="1:5" x14ac:dyDescent="0.25">
      <c r="A3548" s="14">
        <v>739450</v>
      </c>
      <c r="B3548" s="14" t="s">
        <v>3669</v>
      </c>
      <c r="C3548" s="14" t="s">
        <v>13029</v>
      </c>
      <c r="D3548" s="15">
        <v>25.42</v>
      </c>
      <c r="E3548" s="16" t="s">
        <v>30</v>
      </c>
    </row>
    <row r="3549" spans="1:5" x14ac:dyDescent="0.25">
      <c r="A3549" s="14">
        <v>739451</v>
      </c>
      <c r="B3549" s="14" t="s">
        <v>3670</v>
      </c>
      <c r="C3549" s="14" t="s">
        <v>13029</v>
      </c>
      <c r="D3549" s="15">
        <v>11.66</v>
      </c>
      <c r="E3549" s="16" t="s">
        <v>30</v>
      </c>
    </row>
    <row r="3550" spans="1:5" x14ac:dyDescent="0.25">
      <c r="A3550" s="14">
        <v>739452</v>
      </c>
      <c r="B3550" s="14" t="s">
        <v>3671</v>
      </c>
      <c r="C3550" s="14" t="s">
        <v>13029</v>
      </c>
      <c r="D3550" s="15">
        <v>25.42</v>
      </c>
      <c r="E3550" s="16" t="s">
        <v>30</v>
      </c>
    </row>
    <row r="3551" spans="1:5" x14ac:dyDescent="0.25">
      <c r="A3551" s="14">
        <v>739453</v>
      </c>
      <c r="B3551" s="14" t="s">
        <v>3672</v>
      </c>
      <c r="C3551" s="14" t="s">
        <v>13029</v>
      </c>
      <c r="D3551" s="15">
        <v>28.22</v>
      </c>
      <c r="E3551" s="16" t="s">
        <v>30</v>
      </c>
    </row>
    <row r="3552" spans="1:5" x14ac:dyDescent="0.25">
      <c r="A3552" s="14">
        <v>739454</v>
      </c>
      <c r="B3552" s="14" t="s">
        <v>3673</v>
      </c>
      <c r="C3552" s="14" t="s">
        <v>13029</v>
      </c>
      <c r="D3552" s="15">
        <v>8.42</v>
      </c>
      <c r="E3552" s="16" t="s">
        <v>30</v>
      </c>
    </row>
    <row r="3553" spans="1:5" x14ac:dyDescent="0.25">
      <c r="A3553" s="14">
        <v>739455</v>
      </c>
      <c r="B3553" s="14" t="s">
        <v>3674</v>
      </c>
      <c r="C3553" s="14" t="s">
        <v>13029</v>
      </c>
      <c r="D3553" s="15">
        <v>19.47</v>
      </c>
      <c r="E3553" s="16" t="s">
        <v>30</v>
      </c>
    </row>
    <row r="3554" spans="1:5" x14ac:dyDescent="0.25">
      <c r="A3554" s="14">
        <v>739457</v>
      </c>
      <c r="B3554" s="14" t="s">
        <v>3675</v>
      </c>
      <c r="C3554" s="14" t="s">
        <v>13029</v>
      </c>
      <c r="D3554" s="15">
        <v>11.85</v>
      </c>
      <c r="E3554" s="16" t="s">
        <v>30</v>
      </c>
    </row>
    <row r="3555" spans="1:5" x14ac:dyDescent="0.25">
      <c r="A3555" s="14">
        <v>739480</v>
      </c>
      <c r="B3555" s="14" t="s">
        <v>3676</v>
      </c>
      <c r="C3555" s="14" t="s">
        <v>13030</v>
      </c>
      <c r="D3555" s="15">
        <v>19.38</v>
      </c>
      <c r="E3555" s="14" t="s">
        <v>30</v>
      </c>
    </row>
    <row r="3556" spans="1:5" x14ac:dyDescent="0.25">
      <c r="A3556" s="14">
        <v>709512</v>
      </c>
      <c r="B3556" s="14" t="s">
        <v>3677</v>
      </c>
      <c r="C3556" s="14" t="s">
        <v>13031</v>
      </c>
      <c r="D3556" s="15">
        <v>8.4600000000000009</v>
      </c>
      <c r="E3556" s="16" t="s">
        <v>20</v>
      </c>
    </row>
    <row r="3557" spans="1:5" x14ac:dyDescent="0.25">
      <c r="A3557" s="14">
        <v>739482</v>
      </c>
      <c r="B3557" s="14" t="s">
        <v>3678</v>
      </c>
      <c r="C3557" s="14" t="s">
        <v>13030</v>
      </c>
      <c r="D3557" s="15">
        <v>15.06</v>
      </c>
      <c r="E3557" s="14" t="s">
        <v>30</v>
      </c>
    </row>
    <row r="3558" spans="1:5" x14ac:dyDescent="0.25">
      <c r="A3558" s="14">
        <v>739483</v>
      </c>
      <c r="B3558" s="14" t="s">
        <v>3679</v>
      </c>
      <c r="C3558" s="14" t="s">
        <v>13030</v>
      </c>
      <c r="D3558" s="15">
        <v>79.17</v>
      </c>
      <c r="E3558" s="16" t="s">
        <v>30</v>
      </c>
    </row>
    <row r="3559" spans="1:5" x14ac:dyDescent="0.25">
      <c r="A3559" s="14">
        <v>739484</v>
      </c>
      <c r="B3559" s="14" t="s">
        <v>3680</v>
      </c>
      <c r="C3559" s="14" t="s">
        <v>13030</v>
      </c>
      <c r="D3559" s="15">
        <v>35.950000000000003</v>
      </c>
      <c r="E3559" s="14" t="s">
        <v>30</v>
      </c>
    </row>
    <row r="3560" spans="1:5" x14ac:dyDescent="0.25">
      <c r="A3560" s="14">
        <v>739485</v>
      </c>
      <c r="B3560" s="14" t="s">
        <v>3681</v>
      </c>
      <c r="C3560" s="14" t="s">
        <v>13030</v>
      </c>
      <c r="D3560" s="15">
        <v>136.86000000000001</v>
      </c>
      <c r="E3560" s="16" t="s">
        <v>30</v>
      </c>
    </row>
    <row r="3561" spans="1:5" x14ac:dyDescent="0.25">
      <c r="A3561" s="14">
        <v>739512</v>
      </c>
      <c r="B3561" s="14" t="s">
        <v>3682</v>
      </c>
      <c r="C3561" s="14" t="s">
        <v>13031</v>
      </c>
      <c r="D3561" s="15">
        <v>1.96</v>
      </c>
      <c r="E3561" s="16" t="s">
        <v>30</v>
      </c>
    </row>
    <row r="3562" spans="1:5" x14ac:dyDescent="0.25">
      <c r="A3562" s="14">
        <v>740037</v>
      </c>
      <c r="B3562" s="14" t="s">
        <v>3683</v>
      </c>
      <c r="C3562" s="14" t="s">
        <v>13030</v>
      </c>
      <c r="D3562" s="15">
        <v>80.8</v>
      </c>
      <c r="E3562" s="16" t="s">
        <v>30</v>
      </c>
    </row>
    <row r="3563" spans="1:5" x14ac:dyDescent="0.25">
      <c r="A3563" s="14">
        <v>740132</v>
      </c>
      <c r="B3563" s="14" t="s">
        <v>3684</v>
      </c>
      <c r="C3563" s="14" t="s">
        <v>13029</v>
      </c>
      <c r="D3563" s="15">
        <v>15.86</v>
      </c>
      <c r="E3563" s="16" t="s">
        <v>30</v>
      </c>
    </row>
    <row r="3564" spans="1:5" x14ac:dyDescent="0.25">
      <c r="A3564" s="14">
        <v>740143</v>
      </c>
      <c r="B3564" s="14" t="s">
        <v>3685</v>
      </c>
      <c r="C3564" s="14" t="s">
        <v>13029</v>
      </c>
      <c r="D3564" s="15">
        <v>18.920000000000002</v>
      </c>
      <c r="E3564" s="16" t="s">
        <v>30</v>
      </c>
    </row>
    <row r="3565" spans="1:5" x14ac:dyDescent="0.25">
      <c r="A3565" s="14">
        <v>740144</v>
      </c>
      <c r="B3565" s="14" t="s">
        <v>3686</v>
      </c>
      <c r="C3565" s="14" t="s">
        <v>13029</v>
      </c>
      <c r="D3565" s="15">
        <v>17.739999999999998</v>
      </c>
      <c r="E3565" s="16" t="s">
        <v>30</v>
      </c>
    </row>
    <row r="3566" spans="1:5" x14ac:dyDescent="0.25">
      <c r="A3566" s="14">
        <v>740145</v>
      </c>
      <c r="B3566" s="14" t="s">
        <v>3687</v>
      </c>
      <c r="C3566" s="14" t="s">
        <v>13029</v>
      </c>
      <c r="D3566" s="15">
        <v>14.77</v>
      </c>
      <c r="E3566" s="16" t="s">
        <v>30</v>
      </c>
    </row>
    <row r="3567" spans="1:5" x14ac:dyDescent="0.25">
      <c r="A3567" s="14">
        <v>740146</v>
      </c>
      <c r="B3567" s="14" t="s">
        <v>3688</v>
      </c>
      <c r="C3567" s="14" t="s">
        <v>13029</v>
      </c>
      <c r="D3567" s="15">
        <v>12.99</v>
      </c>
      <c r="E3567" s="16" t="s">
        <v>30</v>
      </c>
    </row>
    <row r="3568" spans="1:5" x14ac:dyDescent="0.25">
      <c r="A3568" s="14">
        <v>740147</v>
      </c>
      <c r="B3568" s="14" t="s">
        <v>3689</v>
      </c>
      <c r="C3568" s="14" t="s">
        <v>13029</v>
      </c>
      <c r="D3568" s="15">
        <v>3.86</v>
      </c>
      <c r="E3568" s="16" t="s">
        <v>30</v>
      </c>
    </row>
    <row r="3569" spans="1:5" x14ac:dyDescent="0.25">
      <c r="A3569" s="14">
        <v>709513</v>
      </c>
      <c r="B3569" s="14" t="s">
        <v>3690</v>
      </c>
      <c r="C3569" s="14" t="s">
        <v>13031</v>
      </c>
      <c r="D3569" s="15">
        <v>9.0399999999999991</v>
      </c>
      <c r="E3569" s="16" t="s">
        <v>20</v>
      </c>
    </row>
    <row r="3570" spans="1:5" x14ac:dyDescent="0.25">
      <c r="A3570" s="14">
        <v>740148</v>
      </c>
      <c r="B3570" s="14" t="s">
        <v>3691</v>
      </c>
      <c r="C3570" s="14" t="s">
        <v>13029</v>
      </c>
      <c r="D3570" s="15">
        <v>13.7</v>
      </c>
      <c r="E3570" s="16" t="s">
        <v>30</v>
      </c>
    </row>
    <row r="3571" spans="1:5" x14ac:dyDescent="0.25">
      <c r="A3571" s="14">
        <v>740532</v>
      </c>
      <c r="B3571" s="14" t="s">
        <v>3692</v>
      </c>
      <c r="C3571" s="14" t="s">
        <v>13030</v>
      </c>
      <c r="D3571" s="15">
        <v>31.9</v>
      </c>
      <c r="E3571" s="16" t="s">
        <v>30</v>
      </c>
    </row>
    <row r="3572" spans="1:5" x14ac:dyDescent="0.25">
      <c r="A3572" s="14">
        <v>740649</v>
      </c>
      <c r="B3572" s="14" t="s">
        <v>3693</v>
      </c>
      <c r="C3572" s="14" t="s">
        <v>13031</v>
      </c>
      <c r="D3572" s="15">
        <v>17.850000000000001</v>
      </c>
      <c r="E3572" s="14" t="s">
        <v>30</v>
      </c>
    </row>
    <row r="3573" spans="1:5" x14ac:dyDescent="0.25">
      <c r="A3573" s="14">
        <v>740650</v>
      </c>
      <c r="B3573" s="14" t="s">
        <v>3694</v>
      </c>
      <c r="C3573" s="14" t="s">
        <v>13031</v>
      </c>
      <c r="D3573" s="15">
        <v>26.7</v>
      </c>
      <c r="E3573" s="14" t="s">
        <v>30</v>
      </c>
    </row>
    <row r="3574" spans="1:5" x14ac:dyDescent="0.25">
      <c r="A3574" s="14">
        <v>740925</v>
      </c>
      <c r="B3574" s="14" t="s">
        <v>3695</v>
      </c>
      <c r="C3574" s="14" t="s">
        <v>13030</v>
      </c>
      <c r="D3574" s="15">
        <v>24.53</v>
      </c>
      <c r="E3574" s="14" t="s">
        <v>30</v>
      </c>
    </row>
    <row r="3575" spans="1:5" x14ac:dyDescent="0.25">
      <c r="A3575" s="14">
        <v>740983</v>
      </c>
      <c r="B3575" s="14" t="s">
        <v>3696</v>
      </c>
      <c r="C3575" s="14" t="s">
        <v>13029</v>
      </c>
      <c r="D3575" s="15">
        <v>8.59</v>
      </c>
      <c r="E3575" s="16" t="s">
        <v>30</v>
      </c>
    </row>
    <row r="3576" spans="1:5" x14ac:dyDescent="0.25">
      <c r="A3576" s="14">
        <v>741021</v>
      </c>
      <c r="B3576" s="14" t="s">
        <v>3697</v>
      </c>
      <c r="C3576" s="14" t="s">
        <v>13031</v>
      </c>
      <c r="D3576" s="15">
        <v>10.68</v>
      </c>
      <c r="E3576" s="16" t="s">
        <v>30</v>
      </c>
    </row>
    <row r="3577" spans="1:5" x14ac:dyDescent="0.25">
      <c r="A3577" s="14">
        <v>741430</v>
      </c>
      <c r="B3577" s="14" t="s">
        <v>3698</v>
      </c>
      <c r="C3577" s="14" t="s">
        <v>13029</v>
      </c>
      <c r="D3577" s="15">
        <v>14.71</v>
      </c>
      <c r="E3577" s="16" t="s">
        <v>30</v>
      </c>
    </row>
    <row r="3578" spans="1:5" x14ac:dyDescent="0.25">
      <c r="A3578" s="14">
        <v>741432</v>
      </c>
      <c r="B3578" s="14" t="s">
        <v>3699</v>
      </c>
      <c r="C3578" s="14" t="s">
        <v>13029</v>
      </c>
      <c r="D3578" s="15">
        <v>13.82</v>
      </c>
      <c r="E3578" s="16" t="s">
        <v>30</v>
      </c>
    </row>
    <row r="3579" spans="1:5" x14ac:dyDescent="0.25">
      <c r="A3579" s="14">
        <v>741433</v>
      </c>
      <c r="B3579" s="14" t="s">
        <v>3700</v>
      </c>
      <c r="C3579" s="14" t="s">
        <v>13029</v>
      </c>
      <c r="D3579" s="15">
        <v>11.54</v>
      </c>
      <c r="E3579" s="16" t="s">
        <v>30</v>
      </c>
    </row>
    <row r="3580" spans="1:5" x14ac:dyDescent="0.25">
      <c r="A3580" s="14">
        <v>741434</v>
      </c>
      <c r="B3580" s="14" t="s">
        <v>3701</v>
      </c>
      <c r="C3580" s="14" t="s">
        <v>13029</v>
      </c>
      <c r="D3580" s="15">
        <v>6.47</v>
      </c>
      <c r="E3580" s="16" t="s">
        <v>30</v>
      </c>
    </row>
    <row r="3581" spans="1:5" x14ac:dyDescent="0.25">
      <c r="A3581" s="14">
        <v>741547</v>
      </c>
      <c r="B3581" s="14" t="s">
        <v>3702</v>
      </c>
      <c r="C3581" s="14" t="s">
        <v>13031</v>
      </c>
      <c r="D3581" s="15">
        <v>1.86</v>
      </c>
      <c r="E3581" s="16" t="s">
        <v>30</v>
      </c>
    </row>
    <row r="3582" spans="1:5" x14ac:dyDescent="0.25">
      <c r="A3582" s="14">
        <v>741548</v>
      </c>
      <c r="B3582" s="14" t="s">
        <v>3703</v>
      </c>
      <c r="C3582" s="14" t="s">
        <v>13031</v>
      </c>
      <c r="D3582" s="15">
        <v>1.86</v>
      </c>
      <c r="E3582" s="16" t="s">
        <v>30</v>
      </c>
    </row>
    <row r="3583" spans="1:5" x14ac:dyDescent="0.25">
      <c r="A3583" s="14">
        <v>744678</v>
      </c>
      <c r="B3583" s="14" t="s">
        <v>3704</v>
      </c>
      <c r="C3583" s="14" t="s">
        <v>13031</v>
      </c>
      <c r="D3583" s="15">
        <v>15.58</v>
      </c>
      <c r="E3583" s="16" t="s">
        <v>30</v>
      </c>
    </row>
    <row r="3584" spans="1:5" x14ac:dyDescent="0.25">
      <c r="A3584" s="14">
        <v>744679</v>
      </c>
      <c r="B3584" s="14" t="s">
        <v>3705</v>
      </c>
      <c r="C3584" s="14" t="s">
        <v>13031</v>
      </c>
      <c r="D3584" s="15">
        <v>15.58</v>
      </c>
      <c r="E3584" s="16" t="s">
        <v>30</v>
      </c>
    </row>
    <row r="3585" spans="1:5" x14ac:dyDescent="0.25">
      <c r="A3585" s="14">
        <v>746035</v>
      </c>
      <c r="B3585" s="14" t="s">
        <v>3706</v>
      </c>
      <c r="C3585" s="14" t="s">
        <v>13030</v>
      </c>
      <c r="D3585" s="15">
        <v>49.27</v>
      </c>
      <c r="E3585" s="16" t="s">
        <v>30</v>
      </c>
    </row>
    <row r="3586" spans="1:5" x14ac:dyDescent="0.25">
      <c r="A3586" s="14">
        <v>746036</v>
      </c>
      <c r="B3586" s="14" t="s">
        <v>3707</v>
      </c>
      <c r="C3586" s="14" t="s">
        <v>13030</v>
      </c>
      <c r="D3586" s="15">
        <v>34.4</v>
      </c>
      <c r="E3586" s="16" t="s">
        <v>30</v>
      </c>
    </row>
    <row r="3587" spans="1:5" x14ac:dyDescent="0.25">
      <c r="A3587" s="14">
        <v>746064</v>
      </c>
      <c r="B3587" s="14" t="s">
        <v>3708</v>
      </c>
      <c r="C3587" s="14" t="s">
        <v>13030</v>
      </c>
      <c r="D3587" s="15">
        <v>410</v>
      </c>
      <c r="E3587" s="16" t="s">
        <v>30</v>
      </c>
    </row>
    <row r="3588" spans="1:5" x14ac:dyDescent="0.25">
      <c r="A3588" s="14">
        <v>746129</v>
      </c>
      <c r="B3588" s="14" t="s">
        <v>3709</v>
      </c>
      <c r="C3588" s="14" t="s">
        <v>13031</v>
      </c>
      <c r="D3588" s="15">
        <v>26.69</v>
      </c>
      <c r="E3588" s="16" t="s">
        <v>30</v>
      </c>
    </row>
    <row r="3589" spans="1:5" x14ac:dyDescent="0.25">
      <c r="A3589" s="14">
        <v>746130</v>
      </c>
      <c r="B3589" s="14" t="s">
        <v>3710</v>
      </c>
      <c r="C3589" s="14" t="s">
        <v>13031</v>
      </c>
      <c r="D3589" s="15">
        <v>26.69</v>
      </c>
      <c r="E3589" s="16" t="s">
        <v>30</v>
      </c>
    </row>
    <row r="3590" spans="1:5" x14ac:dyDescent="0.25">
      <c r="A3590" s="14">
        <v>748862</v>
      </c>
      <c r="B3590" s="14" t="s">
        <v>3711</v>
      </c>
      <c r="C3590" s="14" t="s">
        <v>13030</v>
      </c>
      <c r="D3590" s="15">
        <v>29.81</v>
      </c>
      <c r="E3590" s="16" t="s">
        <v>30</v>
      </c>
    </row>
    <row r="3591" spans="1:5" x14ac:dyDescent="0.25">
      <c r="A3591" s="14">
        <v>709998</v>
      </c>
      <c r="B3591" s="14" t="s">
        <v>3712</v>
      </c>
      <c r="C3591" s="14" t="s">
        <v>13031</v>
      </c>
      <c r="D3591" s="15">
        <v>22.33</v>
      </c>
      <c r="E3591" s="16" t="s">
        <v>20</v>
      </c>
    </row>
    <row r="3592" spans="1:5" x14ac:dyDescent="0.25">
      <c r="A3592" s="14">
        <v>720287</v>
      </c>
      <c r="B3592" s="14" t="s">
        <v>3713</v>
      </c>
      <c r="C3592" s="14" t="s">
        <v>13030</v>
      </c>
      <c r="D3592" s="15">
        <v>167.64</v>
      </c>
      <c r="E3592" s="16" t="s">
        <v>20</v>
      </c>
    </row>
    <row r="3593" spans="1:5" x14ac:dyDescent="0.25">
      <c r="A3593" s="14">
        <v>714867</v>
      </c>
      <c r="B3593" s="14" t="s">
        <v>3714</v>
      </c>
      <c r="C3593" s="14" t="s">
        <v>13030</v>
      </c>
      <c r="D3593" s="15">
        <v>132.83000000000001</v>
      </c>
      <c r="E3593" s="16" t="s">
        <v>20</v>
      </c>
    </row>
    <row r="3594" spans="1:5" x14ac:dyDescent="0.25">
      <c r="A3594" s="14">
        <v>748863</v>
      </c>
      <c r="B3594" s="14" t="s">
        <v>3715</v>
      </c>
      <c r="C3594" s="14" t="s">
        <v>13030</v>
      </c>
      <c r="D3594" s="15">
        <v>22.17</v>
      </c>
      <c r="E3594" s="16" t="s">
        <v>30</v>
      </c>
    </row>
    <row r="3595" spans="1:5" x14ac:dyDescent="0.25">
      <c r="A3595" s="14">
        <v>749628</v>
      </c>
      <c r="B3595" s="14" t="s">
        <v>3716</v>
      </c>
      <c r="C3595" s="14" t="s">
        <v>13029</v>
      </c>
      <c r="D3595" s="15">
        <v>4.03</v>
      </c>
      <c r="E3595" s="16" t="s">
        <v>30</v>
      </c>
    </row>
    <row r="3596" spans="1:5" x14ac:dyDescent="0.25">
      <c r="A3596" s="14">
        <v>749931</v>
      </c>
      <c r="B3596" s="14" t="s">
        <v>3717</v>
      </c>
      <c r="C3596" s="14" t="s">
        <v>13030</v>
      </c>
      <c r="D3596" s="15">
        <v>38.159999999999997</v>
      </c>
      <c r="E3596" s="16" t="s">
        <v>30</v>
      </c>
    </row>
    <row r="3597" spans="1:5" x14ac:dyDescent="0.25">
      <c r="A3597" s="14">
        <v>749985</v>
      </c>
      <c r="B3597" s="14" t="s">
        <v>3718</v>
      </c>
      <c r="C3597" s="14" t="s">
        <v>13029</v>
      </c>
      <c r="D3597" s="15">
        <v>25.64</v>
      </c>
      <c r="E3597" s="14" t="s">
        <v>30</v>
      </c>
    </row>
    <row r="3598" spans="1:5" x14ac:dyDescent="0.25">
      <c r="A3598" s="14">
        <v>749986</v>
      </c>
      <c r="B3598" s="14" t="s">
        <v>3719</v>
      </c>
      <c r="C3598" s="14" t="s">
        <v>13029</v>
      </c>
      <c r="D3598" s="15">
        <v>25.64</v>
      </c>
      <c r="E3598" s="14" t="s">
        <v>30</v>
      </c>
    </row>
    <row r="3599" spans="1:5" x14ac:dyDescent="0.25">
      <c r="A3599" s="14">
        <v>749988</v>
      </c>
      <c r="B3599" s="14" t="s">
        <v>3720</v>
      </c>
      <c r="C3599" s="14" t="s">
        <v>13029</v>
      </c>
      <c r="D3599" s="15">
        <v>32.880000000000003</v>
      </c>
      <c r="E3599" s="16" t="s">
        <v>30</v>
      </c>
    </row>
    <row r="3600" spans="1:5" x14ac:dyDescent="0.25">
      <c r="A3600" s="14">
        <v>719573</v>
      </c>
      <c r="B3600" s="14" t="s">
        <v>3721</v>
      </c>
      <c r="C3600" s="14" t="s">
        <v>13030</v>
      </c>
      <c r="D3600" s="15">
        <v>129.27000000000001</v>
      </c>
      <c r="E3600" s="16" t="s">
        <v>20</v>
      </c>
    </row>
    <row r="3601" spans="1:5" x14ac:dyDescent="0.25">
      <c r="A3601" s="14">
        <v>749990</v>
      </c>
      <c r="B3601" s="14" t="s">
        <v>3722</v>
      </c>
      <c r="C3601" s="14" t="s">
        <v>13030</v>
      </c>
      <c r="D3601" s="15">
        <v>43.15</v>
      </c>
      <c r="E3601" s="16" t="s">
        <v>30</v>
      </c>
    </row>
    <row r="3602" spans="1:5" x14ac:dyDescent="0.25">
      <c r="A3602" s="14">
        <v>749992</v>
      </c>
      <c r="B3602" s="14" t="s">
        <v>3723</v>
      </c>
      <c r="C3602" s="14" t="s">
        <v>13030</v>
      </c>
      <c r="D3602" s="15">
        <v>86.37</v>
      </c>
      <c r="E3602" s="16" t="s">
        <v>30</v>
      </c>
    </row>
    <row r="3603" spans="1:5" x14ac:dyDescent="0.25">
      <c r="A3603" s="14">
        <v>749993</v>
      </c>
      <c r="B3603" s="14" t="s">
        <v>3724</v>
      </c>
      <c r="C3603" s="14" t="s">
        <v>13030</v>
      </c>
      <c r="D3603" s="15">
        <v>86.37</v>
      </c>
      <c r="E3603" s="16" t="s">
        <v>30</v>
      </c>
    </row>
    <row r="3604" spans="1:5" x14ac:dyDescent="0.25">
      <c r="A3604" s="14">
        <v>750187</v>
      </c>
      <c r="B3604" s="14" t="s">
        <v>3725</v>
      </c>
      <c r="C3604" s="14" t="s">
        <v>13029</v>
      </c>
      <c r="D3604" s="15">
        <v>25</v>
      </c>
      <c r="E3604" s="14" t="s">
        <v>30</v>
      </c>
    </row>
    <row r="3605" spans="1:5" x14ac:dyDescent="0.25">
      <c r="A3605" s="14">
        <v>713179</v>
      </c>
      <c r="B3605" s="14" t="s">
        <v>3726</v>
      </c>
      <c r="C3605" s="14" t="s">
        <v>13031</v>
      </c>
      <c r="D3605" s="15">
        <v>4.92</v>
      </c>
      <c r="E3605" s="16" t="s">
        <v>20</v>
      </c>
    </row>
    <row r="3606" spans="1:5" x14ac:dyDescent="0.25">
      <c r="A3606" s="14">
        <v>720432</v>
      </c>
      <c r="B3606" s="14" t="s">
        <v>3727</v>
      </c>
      <c r="C3606" s="14" t="s">
        <v>13030</v>
      </c>
      <c r="D3606" s="15">
        <v>11.85</v>
      </c>
      <c r="E3606" s="16" t="s">
        <v>20</v>
      </c>
    </row>
    <row r="3607" spans="1:5" x14ac:dyDescent="0.25">
      <c r="A3607" s="14">
        <v>713768</v>
      </c>
      <c r="B3607" s="14" t="s">
        <v>3728</v>
      </c>
      <c r="C3607" s="14" t="s">
        <v>13031</v>
      </c>
      <c r="D3607" s="15">
        <v>6.4</v>
      </c>
      <c r="E3607" s="16" t="s">
        <v>20</v>
      </c>
    </row>
    <row r="3608" spans="1:5" x14ac:dyDescent="0.25">
      <c r="A3608" s="14">
        <v>750218</v>
      </c>
      <c r="B3608" s="14" t="s">
        <v>3729</v>
      </c>
      <c r="C3608" s="14" t="s">
        <v>13029</v>
      </c>
      <c r="D3608" s="15">
        <v>14.5</v>
      </c>
      <c r="E3608" s="14" t="s">
        <v>30</v>
      </c>
    </row>
    <row r="3609" spans="1:5" x14ac:dyDescent="0.25">
      <c r="A3609" s="14">
        <v>750219</v>
      </c>
      <c r="B3609" s="14" t="s">
        <v>3730</v>
      </c>
      <c r="C3609" s="14" t="s">
        <v>13029</v>
      </c>
      <c r="D3609" s="15">
        <v>14.5</v>
      </c>
      <c r="E3609" s="14" t="s">
        <v>30</v>
      </c>
    </row>
    <row r="3610" spans="1:5" x14ac:dyDescent="0.25">
      <c r="A3610" s="14">
        <v>750220</v>
      </c>
      <c r="B3610" s="14" t="s">
        <v>3731</v>
      </c>
      <c r="C3610" s="14" t="s">
        <v>13029</v>
      </c>
      <c r="D3610" s="15">
        <v>14.5</v>
      </c>
      <c r="E3610" s="14" t="s">
        <v>30</v>
      </c>
    </row>
    <row r="3611" spans="1:5" x14ac:dyDescent="0.25">
      <c r="A3611" s="14">
        <v>750414</v>
      </c>
      <c r="B3611" s="14" t="s">
        <v>3732</v>
      </c>
      <c r="C3611" s="14" t="s">
        <v>13029</v>
      </c>
      <c r="D3611" s="15">
        <v>12.23</v>
      </c>
      <c r="E3611" s="16" t="s">
        <v>30</v>
      </c>
    </row>
    <row r="3612" spans="1:5" x14ac:dyDescent="0.25">
      <c r="A3612" s="14">
        <v>750417</v>
      </c>
      <c r="B3612" s="14" t="s">
        <v>3733</v>
      </c>
      <c r="C3612" s="14" t="s">
        <v>13029</v>
      </c>
      <c r="D3612" s="15">
        <v>12.23</v>
      </c>
      <c r="E3612" s="16" t="s">
        <v>30</v>
      </c>
    </row>
    <row r="3613" spans="1:5" x14ac:dyDescent="0.25">
      <c r="A3613" s="14">
        <v>750535</v>
      </c>
      <c r="B3613" s="14" t="s">
        <v>3734</v>
      </c>
      <c r="C3613" s="14" t="s">
        <v>13030</v>
      </c>
      <c r="D3613" s="15">
        <v>15.91</v>
      </c>
      <c r="E3613" s="16" t="s">
        <v>30</v>
      </c>
    </row>
    <row r="3614" spans="1:5" x14ac:dyDescent="0.25">
      <c r="A3614" s="14">
        <v>750557</v>
      </c>
      <c r="B3614" s="14" t="s">
        <v>3735</v>
      </c>
      <c r="C3614" s="14" t="s">
        <v>13030</v>
      </c>
      <c r="D3614" s="15">
        <v>43.99</v>
      </c>
      <c r="E3614" s="16" t="s">
        <v>30</v>
      </c>
    </row>
    <row r="3615" spans="1:5" x14ac:dyDescent="0.25">
      <c r="A3615" s="14">
        <v>751900</v>
      </c>
      <c r="B3615" s="14" t="s">
        <v>3736</v>
      </c>
      <c r="C3615" s="14" t="s">
        <v>13031</v>
      </c>
      <c r="D3615" s="15">
        <v>15.96</v>
      </c>
      <c r="E3615" s="16" t="s">
        <v>30</v>
      </c>
    </row>
    <row r="3616" spans="1:5" x14ac:dyDescent="0.25">
      <c r="A3616" s="14">
        <v>751901</v>
      </c>
      <c r="B3616" s="14" t="s">
        <v>3737</v>
      </c>
      <c r="C3616" s="14" t="s">
        <v>13031</v>
      </c>
      <c r="D3616" s="15">
        <v>15.96</v>
      </c>
      <c r="E3616" s="16" t="s">
        <v>30</v>
      </c>
    </row>
    <row r="3617" spans="1:5" x14ac:dyDescent="0.25">
      <c r="A3617" s="14">
        <v>751990</v>
      </c>
      <c r="B3617" s="14" t="s">
        <v>3738</v>
      </c>
      <c r="C3617" s="14" t="s">
        <v>13030</v>
      </c>
      <c r="D3617" s="15">
        <v>34.31</v>
      </c>
      <c r="E3617" s="16" t="s">
        <v>30</v>
      </c>
    </row>
    <row r="3618" spans="1:5" x14ac:dyDescent="0.25">
      <c r="A3618" s="14">
        <v>752212</v>
      </c>
      <c r="B3618" s="14" t="s">
        <v>3739</v>
      </c>
      <c r="C3618" s="14" t="s">
        <v>13029</v>
      </c>
      <c r="D3618" s="15">
        <v>20.69</v>
      </c>
      <c r="E3618" s="16" t="s">
        <v>30</v>
      </c>
    </row>
    <row r="3619" spans="1:5" x14ac:dyDescent="0.25">
      <c r="A3619" s="14">
        <v>752222</v>
      </c>
      <c r="B3619" s="14" t="s">
        <v>3740</v>
      </c>
      <c r="C3619" s="14" t="s">
        <v>13029</v>
      </c>
      <c r="D3619" s="15">
        <v>14.93</v>
      </c>
      <c r="E3619" s="16" t="s">
        <v>30</v>
      </c>
    </row>
    <row r="3620" spans="1:5" x14ac:dyDescent="0.25">
      <c r="A3620" s="14">
        <v>752224</v>
      </c>
      <c r="B3620" s="14" t="s">
        <v>3741</v>
      </c>
      <c r="C3620" s="14" t="s">
        <v>13029</v>
      </c>
      <c r="D3620" s="15">
        <v>7.43</v>
      </c>
      <c r="E3620" s="16" t="s">
        <v>30</v>
      </c>
    </row>
    <row r="3621" spans="1:5" x14ac:dyDescent="0.25">
      <c r="A3621" s="14">
        <v>752230</v>
      </c>
      <c r="B3621" s="14" t="s">
        <v>3742</v>
      </c>
      <c r="C3621" s="14" t="s">
        <v>13029</v>
      </c>
      <c r="D3621" s="15">
        <v>9.16</v>
      </c>
      <c r="E3621" s="16" t="s">
        <v>30</v>
      </c>
    </row>
    <row r="3622" spans="1:5" x14ac:dyDescent="0.25">
      <c r="A3622" s="14">
        <v>752231</v>
      </c>
      <c r="B3622" s="14" t="s">
        <v>3743</v>
      </c>
      <c r="C3622" s="14" t="s">
        <v>13029</v>
      </c>
      <c r="D3622" s="15">
        <v>22.48</v>
      </c>
      <c r="E3622" s="16" t="s">
        <v>30</v>
      </c>
    </row>
    <row r="3623" spans="1:5" x14ac:dyDescent="0.25">
      <c r="A3623" s="14">
        <v>752233</v>
      </c>
      <c r="B3623" s="14" t="s">
        <v>3744</v>
      </c>
      <c r="C3623" s="14" t="s">
        <v>13029</v>
      </c>
      <c r="D3623" s="15">
        <v>12.68</v>
      </c>
      <c r="E3623" s="16" t="s">
        <v>30</v>
      </c>
    </row>
    <row r="3624" spans="1:5" x14ac:dyDescent="0.25">
      <c r="A3624" s="14">
        <v>752234</v>
      </c>
      <c r="B3624" s="14" t="s">
        <v>3745</v>
      </c>
      <c r="C3624" s="14" t="s">
        <v>13029</v>
      </c>
      <c r="D3624" s="15">
        <v>12.68</v>
      </c>
      <c r="E3624" s="16" t="s">
        <v>30</v>
      </c>
    </row>
    <row r="3625" spans="1:5" x14ac:dyDescent="0.25">
      <c r="A3625" s="14">
        <v>752236</v>
      </c>
      <c r="B3625" s="14" t="s">
        <v>3746</v>
      </c>
      <c r="C3625" s="14" t="s">
        <v>13029</v>
      </c>
      <c r="D3625" s="15">
        <v>14.35</v>
      </c>
      <c r="E3625" s="16" t="s">
        <v>30</v>
      </c>
    </row>
    <row r="3626" spans="1:5" x14ac:dyDescent="0.25">
      <c r="A3626" s="14">
        <v>752237</v>
      </c>
      <c r="B3626" s="14" t="s">
        <v>3747</v>
      </c>
      <c r="C3626" s="14" t="s">
        <v>13029</v>
      </c>
      <c r="D3626" s="15">
        <v>14.35</v>
      </c>
      <c r="E3626" s="16" t="s">
        <v>30</v>
      </c>
    </row>
    <row r="3627" spans="1:5" x14ac:dyDescent="0.25">
      <c r="A3627" s="14">
        <v>752238</v>
      </c>
      <c r="B3627" s="14" t="s">
        <v>3748</v>
      </c>
      <c r="C3627" s="14" t="s">
        <v>13029</v>
      </c>
      <c r="D3627" s="15">
        <v>12.68</v>
      </c>
      <c r="E3627" s="16" t="s">
        <v>30</v>
      </c>
    </row>
    <row r="3628" spans="1:5" x14ac:dyDescent="0.25">
      <c r="A3628" s="14">
        <v>752239</v>
      </c>
      <c r="B3628" s="14" t="s">
        <v>3749</v>
      </c>
      <c r="C3628" s="14" t="s">
        <v>13029</v>
      </c>
      <c r="D3628" s="15">
        <v>14.35</v>
      </c>
      <c r="E3628" s="16" t="s">
        <v>30</v>
      </c>
    </row>
    <row r="3629" spans="1:5" x14ac:dyDescent="0.25">
      <c r="A3629" s="14">
        <v>752240</v>
      </c>
      <c r="B3629" s="14" t="s">
        <v>3750</v>
      </c>
      <c r="C3629" s="14" t="s">
        <v>13029</v>
      </c>
      <c r="D3629" s="15">
        <v>14.35</v>
      </c>
      <c r="E3629" s="16" t="s">
        <v>30</v>
      </c>
    </row>
    <row r="3630" spans="1:5" x14ac:dyDescent="0.25">
      <c r="A3630" s="14">
        <v>752241</v>
      </c>
      <c r="B3630" s="14" t="s">
        <v>3751</v>
      </c>
      <c r="C3630" s="14" t="s">
        <v>13029</v>
      </c>
      <c r="D3630" s="15">
        <v>12.68</v>
      </c>
      <c r="E3630" s="16" t="s">
        <v>30</v>
      </c>
    </row>
    <row r="3631" spans="1:5" x14ac:dyDescent="0.25">
      <c r="A3631" s="14">
        <v>752244</v>
      </c>
      <c r="B3631" s="14" t="s">
        <v>3752</v>
      </c>
      <c r="C3631" s="14" t="s">
        <v>13029</v>
      </c>
      <c r="D3631" s="15">
        <v>12.68</v>
      </c>
      <c r="E3631" s="16" t="s">
        <v>30</v>
      </c>
    </row>
    <row r="3632" spans="1:5" x14ac:dyDescent="0.25">
      <c r="A3632" s="14">
        <v>752246</v>
      </c>
      <c r="B3632" s="14" t="s">
        <v>3753</v>
      </c>
      <c r="C3632" s="14" t="s">
        <v>13029</v>
      </c>
      <c r="D3632" s="15">
        <v>12.68</v>
      </c>
      <c r="E3632" s="16" t="s">
        <v>30</v>
      </c>
    </row>
    <row r="3633" spans="1:5" x14ac:dyDescent="0.25">
      <c r="A3633" s="14">
        <v>752247</v>
      </c>
      <c r="B3633" s="14" t="s">
        <v>3754</v>
      </c>
      <c r="C3633" s="14" t="s">
        <v>13029</v>
      </c>
      <c r="D3633" s="15">
        <v>14.35</v>
      </c>
      <c r="E3633" s="16" t="s">
        <v>30</v>
      </c>
    </row>
    <row r="3634" spans="1:5" x14ac:dyDescent="0.25">
      <c r="A3634" s="14">
        <v>752248</v>
      </c>
      <c r="B3634" s="14" t="s">
        <v>3755</v>
      </c>
      <c r="C3634" s="14" t="s">
        <v>13029</v>
      </c>
      <c r="D3634" s="15">
        <v>14.35</v>
      </c>
      <c r="E3634" s="16" t="s">
        <v>30</v>
      </c>
    </row>
    <row r="3635" spans="1:5" x14ac:dyDescent="0.25">
      <c r="A3635" s="14">
        <v>752307</v>
      </c>
      <c r="B3635" s="14" t="s">
        <v>3756</v>
      </c>
      <c r="C3635" s="14" t="s">
        <v>13031</v>
      </c>
      <c r="D3635" s="15">
        <v>12.99</v>
      </c>
      <c r="E3635" s="16" t="s">
        <v>30</v>
      </c>
    </row>
    <row r="3636" spans="1:5" x14ac:dyDescent="0.25">
      <c r="A3636" s="14">
        <v>752311</v>
      </c>
      <c r="B3636" s="14" t="s">
        <v>3757</v>
      </c>
      <c r="C3636" s="14" t="s">
        <v>13031</v>
      </c>
      <c r="D3636" s="15">
        <v>7.87</v>
      </c>
      <c r="E3636" s="16" t="s">
        <v>30</v>
      </c>
    </row>
    <row r="3637" spans="1:5" x14ac:dyDescent="0.25">
      <c r="A3637" s="14">
        <v>752312</v>
      </c>
      <c r="B3637" s="14" t="s">
        <v>3758</v>
      </c>
      <c r="C3637" s="14" t="s">
        <v>13031</v>
      </c>
      <c r="D3637" s="15">
        <v>8.48</v>
      </c>
      <c r="E3637" s="16" t="s">
        <v>30</v>
      </c>
    </row>
    <row r="3638" spans="1:5" x14ac:dyDescent="0.25">
      <c r="A3638" s="14">
        <v>752313</v>
      </c>
      <c r="B3638" s="14" t="s">
        <v>3759</v>
      </c>
      <c r="C3638" s="14" t="s">
        <v>13031</v>
      </c>
      <c r="D3638" s="15">
        <v>12</v>
      </c>
      <c r="E3638" s="16" t="s">
        <v>30</v>
      </c>
    </row>
    <row r="3639" spans="1:5" x14ac:dyDescent="0.25">
      <c r="A3639" s="14">
        <v>752441</v>
      </c>
      <c r="B3639" s="14" t="s">
        <v>3760</v>
      </c>
      <c r="C3639" s="14" t="s">
        <v>13030</v>
      </c>
      <c r="D3639" s="15">
        <v>118.64</v>
      </c>
      <c r="E3639" s="16" t="s">
        <v>30</v>
      </c>
    </row>
    <row r="3640" spans="1:5" x14ac:dyDescent="0.25">
      <c r="A3640" s="14">
        <v>752446</v>
      </c>
      <c r="B3640" s="14" t="s">
        <v>3761</v>
      </c>
      <c r="C3640" s="14" t="s">
        <v>13030</v>
      </c>
      <c r="D3640" s="15">
        <v>93.23</v>
      </c>
      <c r="E3640" s="16" t="s">
        <v>30</v>
      </c>
    </row>
    <row r="3641" spans="1:5" x14ac:dyDescent="0.25">
      <c r="A3641" s="14">
        <v>752760</v>
      </c>
      <c r="B3641" s="14" t="s">
        <v>3762</v>
      </c>
      <c r="C3641" s="14" t="s">
        <v>13030</v>
      </c>
      <c r="D3641" s="15">
        <v>71.12</v>
      </c>
      <c r="E3641" s="16" t="s">
        <v>30</v>
      </c>
    </row>
    <row r="3642" spans="1:5" x14ac:dyDescent="0.25">
      <c r="A3642" s="14">
        <v>752842</v>
      </c>
      <c r="B3642" s="14" t="s">
        <v>3763</v>
      </c>
      <c r="C3642" s="14" t="s">
        <v>13030</v>
      </c>
      <c r="D3642" s="15">
        <v>33.07</v>
      </c>
      <c r="E3642" s="14" t="s">
        <v>30</v>
      </c>
    </row>
    <row r="3643" spans="1:5" x14ac:dyDescent="0.25">
      <c r="A3643" s="14">
        <v>752843</v>
      </c>
      <c r="B3643" s="14" t="s">
        <v>3764</v>
      </c>
      <c r="C3643" s="14" t="s">
        <v>13030</v>
      </c>
      <c r="D3643" s="15">
        <v>33.06</v>
      </c>
      <c r="E3643" s="14" t="s">
        <v>30</v>
      </c>
    </row>
    <row r="3644" spans="1:5" x14ac:dyDescent="0.25">
      <c r="A3644" s="14">
        <v>752895</v>
      </c>
      <c r="B3644" s="14" t="s">
        <v>3765</v>
      </c>
      <c r="C3644" s="14" t="s">
        <v>13029</v>
      </c>
      <c r="D3644" s="15">
        <v>21.96</v>
      </c>
      <c r="E3644" s="16" t="s">
        <v>30</v>
      </c>
    </row>
    <row r="3645" spans="1:5" x14ac:dyDescent="0.25">
      <c r="A3645" s="14">
        <v>753101</v>
      </c>
      <c r="B3645" s="14" t="s">
        <v>3766</v>
      </c>
      <c r="C3645" s="14" t="s">
        <v>13029</v>
      </c>
      <c r="D3645" s="15">
        <v>27.2</v>
      </c>
      <c r="E3645" s="14" t="s">
        <v>30</v>
      </c>
    </row>
    <row r="3646" spans="1:5" x14ac:dyDescent="0.25">
      <c r="A3646" s="14">
        <v>753102</v>
      </c>
      <c r="B3646" s="14" t="s">
        <v>3767</v>
      </c>
      <c r="C3646" s="14" t="s">
        <v>13029</v>
      </c>
      <c r="D3646" s="15">
        <v>26.01</v>
      </c>
      <c r="E3646" s="14" t="s">
        <v>30</v>
      </c>
    </row>
    <row r="3647" spans="1:5" x14ac:dyDescent="0.25">
      <c r="A3647" s="14">
        <v>753109</v>
      </c>
      <c r="B3647" s="14" t="s">
        <v>3768</v>
      </c>
      <c r="C3647" s="14" t="s">
        <v>13030</v>
      </c>
      <c r="D3647" s="15">
        <v>95.52</v>
      </c>
      <c r="E3647" s="16" t="s">
        <v>30</v>
      </c>
    </row>
    <row r="3648" spans="1:5" x14ac:dyDescent="0.25">
      <c r="A3648" s="14">
        <v>753132</v>
      </c>
      <c r="B3648" s="14" t="s">
        <v>3769</v>
      </c>
      <c r="C3648" s="14" t="s">
        <v>13031</v>
      </c>
      <c r="D3648" s="15">
        <v>17</v>
      </c>
      <c r="E3648" s="16" t="s">
        <v>30</v>
      </c>
    </row>
    <row r="3649" spans="1:5" x14ac:dyDescent="0.25">
      <c r="A3649" s="14">
        <v>753211</v>
      </c>
      <c r="B3649" s="14" t="s">
        <v>3770</v>
      </c>
      <c r="C3649" s="14" t="s">
        <v>13029</v>
      </c>
      <c r="D3649" s="15">
        <v>58.23</v>
      </c>
      <c r="E3649" s="16" t="s">
        <v>30</v>
      </c>
    </row>
    <row r="3650" spans="1:5" x14ac:dyDescent="0.25">
      <c r="A3650" s="14">
        <v>753212</v>
      </c>
      <c r="B3650" s="14" t="s">
        <v>3771</v>
      </c>
      <c r="C3650" s="14" t="s">
        <v>13029</v>
      </c>
      <c r="D3650" s="15">
        <v>13.77</v>
      </c>
      <c r="E3650" s="16" t="s">
        <v>30</v>
      </c>
    </row>
    <row r="3651" spans="1:5" x14ac:dyDescent="0.25">
      <c r="A3651" s="14">
        <v>753225</v>
      </c>
      <c r="B3651" s="14" t="s">
        <v>3772</v>
      </c>
      <c r="C3651" s="14" t="s">
        <v>13029</v>
      </c>
      <c r="D3651" s="15">
        <v>23.7</v>
      </c>
      <c r="E3651" s="16" t="s">
        <v>30</v>
      </c>
    </row>
    <row r="3652" spans="1:5" x14ac:dyDescent="0.25">
      <c r="A3652" s="14">
        <v>753226</v>
      </c>
      <c r="B3652" s="14" t="s">
        <v>3773</v>
      </c>
      <c r="C3652" s="14" t="s">
        <v>13029</v>
      </c>
      <c r="D3652" s="15">
        <v>23.58</v>
      </c>
      <c r="E3652" s="16" t="s">
        <v>30</v>
      </c>
    </row>
    <row r="3653" spans="1:5" x14ac:dyDescent="0.25">
      <c r="A3653" s="14">
        <v>733183</v>
      </c>
      <c r="B3653" s="14" t="s">
        <v>3774</v>
      </c>
      <c r="C3653" s="14" t="s">
        <v>13030</v>
      </c>
      <c r="D3653" s="15">
        <v>48.78</v>
      </c>
      <c r="E3653" s="16" t="s">
        <v>20</v>
      </c>
    </row>
    <row r="3654" spans="1:5" x14ac:dyDescent="0.25">
      <c r="A3654" s="14">
        <v>753227</v>
      </c>
      <c r="B3654" s="14" t="s">
        <v>3775</v>
      </c>
      <c r="C3654" s="14" t="s">
        <v>13029</v>
      </c>
      <c r="D3654" s="15">
        <v>21.92</v>
      </c>
      <c r="E3654" s="16" t="s">
        <v>30</v>
      </c>
    </row>
    <row r="3655" spans="1:5" x14ac:dyDescent="0.25">
      <c r="A3655" s="14">
        <v>753229</v>
      </c>
      <c r="B3655" s="14" t="s">
        <v>3776</v>
      </c>
      <c r="C3655" s="14" t="s">
        <v>13029</v>
      </c>
      <c r="D3655" s="15">
        <v>9.19</v>
      </c>
      <c r="E3655" s="16" t="s">
        <v>30</v>
      </c>
    </row>
    <row r="3656" spans="1:5" x14ac:dyDescent="0.25">
      <c r="A3656" s="14">
        <v>753541</v>
      </c>
      <c r="B3656" s="14" t="s">
        <v>3777</v>
      </c>
      <c r="C3656" s="14" t="s">
        <v>13030</v>
      </c>
      <c r="D3656" s="15">
        <v>12.96</v>
      </c>
      <c r="E3656" s="16" t="s">
        <v>30</v>
      </c>
    </row>
    <row r="3657" spans="1:5" x14ac:dyDescent="0.25">
      <c r="A3657" s="14">
        <v>753542</v>
      </c>
      <c r="B3657" s="14" t="s">
        <v>3778</v>
      </c>
      <c r="C3657" s="14" t="s">
        <v>13030</v>
      </c>
      <c r="D3657" s="15">
        <v>12.96</v>
      </c>
      <c r="E3657" s="16" t="s">
        <v>30</v>
      </c>
    </row>
    <row r="3658" spans="1:5" x14ac:dyDescent="0.25">
      <c r="A3658" s="14">
        <v>753543</v>
      </c>
      <c r="B3658" s="14" t="s">
        <v>3779</v>
      </c>
      <c r="C3658" s="14" t="s">
        <v>13030</v>
      </c>
      <c r="D3658" s="15">
        <v>12.96</v>
      </c>
      <c r="E3658" s="16" t="s">
        <v>30</v>
      </c>
    </row>
    <row r="3659" spans="1:5" x14ac:dyDescent="0.25">
      <c r="A3659" s="14">
        <v>716769</v>
      </c>
      <c r="B3659" s="14" t="s">
        <v>3780</v>
      </c>
      <c r="C3659" s="14" t="s">
        <v>13031</v>
      </c>
      <c r="D3659" s="15">
        <v>11.85</v>
      </c>
      <c r="E3659" s="16" t="s">
        <v>20</v>
      </c>
    </row>
    <row r="3660" spans="1:5" x14ac:dyDescent="0.25">
      <c r="A3660" s="14">
        <v>753611</v>
      </c>
      <c r="B3660" s="14" t="s">
        <v>3781</v>
      </c>
      <c r="C3660" s="14" t="s">
        <v>13029</v>
      </c>
      <c r="D3660" s="15">
        <v>7.31</v>
      </c>
      <c r="E3660" s="16" t="s">
        <v>30</v>
      </c>
    </row>
    <row r="3661" spans="1:5" x14ac:dyDescent="0.25">
      <c r="A3661" s="14">
        <v>753670</v>
      </c>
      <c r="B3661" s="14" t="s">
        <v>3782</v>
      </c>
      <c r="C3661" s="14" t="s">
        <v>13029</v>
      </c>
      <c r="D3661" s="15">
        <v>38.14</v>
      </c>
      <c r="E3661" s="16" t="s">
        <v>30</v>
      </c>
    </row>
    <row r="3662" spans="1:5" x14ac:dyDescent="0.25">
      <c r="A3662" s="14">
        <v>753671</v>
      </c>
      <c r="B3662" s="14" t="s">
        <v>3783</v>
      </c>
      <c r="C3662" s="14" t="s">
        <v>13029</v>
      </c>
      <c r="D3662" s="15">
        <v>41.31</v>
      </c>
      <c r="E3662" s="16" t="s">
        <v>30</v>
      </c>
    </row>
    <row r="3663" spans="1:5" x14ac:dyDescent="0.25">
      <c r="A3663" s="14">
        <v>753672</v>
      </c>
      <c r="B3663" s="14" t="s">
        <v>3784</v>
      </c>
      <c r="C3663" s="14" t="s">
        <v>13029</v>
      </c>
      <c r="D3663" s="15">
        <v>38.14</v>
      </c>
      <c r="E3663" s="16" t="s">
        <v>30</v>
      </c>
    </row>
    <row r="3664" spans="1:5" x14ac:dyDescent="0.25">
      <c r="A3664" s="14">
        <v>753673</v>
      </c>
      <c r="B3664" s="14" t="s">
        <v>3785</v>
      </c>
      <c r="C3664" s="14" t="s">
        <v>13029</v>
      </c>
      <c r="D3664" s="15">
        <v>38.14</v>
      </c>
      <c r="E3664" s="16" t="s">
        <v>30</v>
      </c>
    </row>
    <row r="3665" spans="1:5" x14ac:dyDescent="0.25">
      <c r="A3665" s="14">
        <v>753758</v>
      </c>
      <c r="B3665" s="14" t="s">
        <v>3786</v>
      </c>
      <c r="C3665" s="14" t="s">
        <v>13031</v>
      </c>
      <c r="D3665" s="15">
        <v>1.2</v>
      </c>
      <c r="E3665" s="16" t="s">
        <v>30</v>
      </c>
    </row>
    <row r="3666" spans="1:5" x14ac:dyDescent="0.25">
      <c r="A3666" s="14">
        <v>753759</v>
      </c>
      <c r="B3666" s="14" t="s">
        <v>3787</v>
      </c>
      <c r="C3666" s="14" t="s">
        <v>13031</v>
      </c>
      <c r="D3666" s="15">
        <v>1.2</v>
      </c>
      <c r="E3666" s="16" t="s">
        <v>30</v>
      </c>
    </row>
    <row r="3667" spans="1:5" x14ac:dyDescent="0.25">
      <c r="A3667" s="14">
        <v>753761</v>
      </c>
      <c r="B3667" s="14" t="s">
        <v>3788</v>
      </c>
      <c r="C3667" s="14" t="s">
        <v>13031</v>
      </c>
      <c r="D3667" s="15">
        <v>1.2</v>
      </c>
      <c r="E3667" s="16" t="s">
        <v>30</v>
      </c>
    </row>
    <row r="3668" spans="1:5" x14ac:dyDescent="0.25">
      <c r="A3668" s="14">
        <v>753762</v>
      </c>
      <c r="B3668" s="14" t="s">
        <v>3789</v>
      </c>
      <c r="C3668" s="14" t="s">
        <v>13031</v>
      </c>
      <c r="D3668" s="15">
        <v>1.2</v>
      </c>
      <c r="E3668" s="16" t="s">
        <v>30</v>
      </c>
    </row>
    <row r="3669" spans="1:5" x14ac:dyDescent="0.25">
      <c r="A3669" s="14">
        <v>753763</v>
      </c>
      <c r="B3669" s="14" t="s">
        <v>3790</v>
      </c>
      <c r="C3669" s="14" t="s">
        <v>13031</v>
      </c>
      <c r="D3669" s="15">
        <v>1.2</v>
      </c>
      <c r="E3669" s="16" t="s">
        <v>30</v>
      </c>
    </row>
    <row r="3670" spans="1:5" x14ac:dyDescent="0.25">
      <c r="A3670" s="14">
        <v>753764</v>
      </c>
      <c r="B3670" s="14" t="s">
        <v>3791</v>
      </c>
      <c r="C3670" s="14" t="s">
        <v>13031</v>
      </c>
      <c r="D3670" s="15">
        <v>1.1000000000000001</v>
      </c>
      <c r="E3670" s="16" t="s">
        <v>30</v>
      </c>
    </row>
    <row r="3671" spans="1:5" x14ac:dyDescent="0.25">
      <c r="A3671" s="14">
        <v>753765</v>
      </c>
      <c r="B3671" s="14" t="s">
        <v>3792</v>
      </c>
      <c r="C3671" s="14" t="s">
        <v>13031</v>
      </c>
      <c r="D3671" s="15">
        <v>1.1000000000000001</v>
      </c>
      <c r="E3671" s="16" t="s">
        <v>30</v>
      </c>
    </row>
    <row r="3672" spans="1:5" x14ac:dyDescent="0.25">
      <c r="A3672" s="14">
        <v>716770</v>
      </c>
      <c r="B3672" s="14" t="s">
        <v>3793</v>
      </c>
      <c r="C3672" s="14" t="s">
        <v>13031</v>
      </c>
      <c r="D3672" s="15">
        <v>11.36</v>
      </c>
      <c r="E3672" s="16" t="s">
        <v>20</v>
      </c>
    </row>
    <row r="3673" spans="1:5" x14ac:dyDescent="0.25">
      <c r="A3673" s="14">
        <v>716771</v>
      </c>
      <c r="B3673" s="14" t="s">
        <v>3794</v>
      </c>
      <c r="C3673" s="14" t="s">
        <v>13031</v>
      </c>
      <c r="D3673" s="15">
        <v>11.36</v>
      </c>
      <c r="E3673" s="16" t="s">
        <v>20</v>
      </c>
    </row>
    <row r="3674" spans="1:5" x14ac:dyDescent="0.25">
      <c r="A3674" s="14">
        <v>716844</v>
      </c>
      <c r="B3674" s="14" t="s">
        <v>3795</v>
      </c>
      <c r="C3674" s="14" t="s">
        <v>13031</v>
      </c>
      <c r="D3674" s="15">
        <v>18.64</v>
      </c>
      <c r="E3674" s="16" t="s">
        <v>20</v>
      </c>
    </row>
    <row r="3675" spans="1:5" x14ac:dyDescent="0.25">
      <c r="A3675" s="14">
        <v>753766</v>
      </c>
      <c r="B3675" s="14" t="s">
        <v>3796</v>
      </c>
      <c r="C3675" s="14" t="s">
        <v>13031</v>
      </c>
      <c r="D3675" s="15">
        <v>1.05</v>
      </c>
      <c r="E3675" s="16" t="s">
        <v>30</v>
      </c>
    </row>
    <row r="3676" spans="1:5" x14ac:dyDescent="0.25">
      <c r="A3676" s="14">
        <v>753767</v>
      </c>
      <c r="B3676" s="14" t="s">
        <v>3797</v>
      </c>
      <c r="C3676" s="14" t="s">
        <v>13031</v>
      </c>
      <c r="D3676" s="15">
        <v>1.05</v>
      </c>
      <c r="E3676" s="16" t="s">
        <v>30</v>
      </c>
    </row>
    <row r="3677" spans="1:5" x14ac:dyDescent="0.25">
      <c r="A3677" s="14">
        <v>753768</v>
      </c>
      <c r="B3677" s="14" t="s">
        <v>3798</v>
      </c>
      <c r="C3677" s="14" t="s">
        <v>13031</v>
      </c>
      <c r="D3677" s="15">
        <v>1.1000000000000001</v>
      </c>
      <c r="E3677" s="16" t="s">
        <v>30</v>
      </c>
    </row>
    <row r="3678" spans="1:5" x14ac:dyDescent="0.25">
      <c r="A3678" s="14">
        <v>753778</v>
      </c>
      <c r="B3678" s="14" t="s">
        <v>3799</v>
      </c>
      <c r="C3678" s="14" t="s">
        <v>13030</v>
      </c>
      <c r="D3678" s="15">
        <v>11.3</v>
      </c>
      <c r="E3678" s="16" t="s">
        <v>30</v>
      </c>
    </row>
    <row r="3679" spans="1:5" x14ac:dyDescent="0.25">
      <c r="A3679" s="14">
        <v>716845</v>
      </c>
      <c r="B3679" s="14" t="s">
        <v>3800</v>
      </c>
      <c r="C3679" s="14" t="s">
        <v>13031</v>
      </c>
      <c r="D3679" s="15">
        <v>14.32</v>
      </c>
      <c r="E3679" s="16" t="s">
        <v>20</v>
      </c>
    </row>
    <row r="3680" spans="1:5" x14ac:dyDescent="0.25">
      <c r="A3680" s="14">
        <v>716846</v>
      </c>
      <c r="B3680" s="14" t="s">
        <v>3801</v>
      </c>
      <c r="C3680" s="14" t="s">
        <v>13031</v>
      </c>
      <c r="D3680" s="15">
        <v>23.73</v>
      </c>
      <c r="E3680" s="16" t="s">
        <v>20</v>
      </c>
    </row>
    <row r="3681" spans="1:5" x14ac:dyDescent="0.25">
      <c r="A3681" s="14">
        <v>733536</v>
      </c>
      <c r="B3681" s="14" t="s">
        <v>3802</v>
      </c>
      <c r="C3681" s="14" t="s">
        <v>13030</v>
      </c>
      <c r="D3681" s="15">
        <v>21.41</v>
      </c>
      <c r="E3681" s="16" t="s">
        <v>20</v>
      </c>
    </row>
    <row r="3682" spans="1:5" x14ac:dyDescent="0.25">
      <c r="A3682" s="14">
        <v>753926</v>
      </c>
      <c r="B3682" s="14" t="s">
        <v>3803</v>
      </c>
      <c r="C3682" s="14" t="s">
        <v>13029</v>
      </c>
      <c r="D3682" s="15">
        <v>16.260000000000002</v>
      </c>
      <c r="E3682" s="16" t="s">
        <v>30</v>
      </c>
    </row>
    <row r="3683" spans="1:5" x14ac:dyDescent="0.25">
      <c r="A3683" s="14">
        <v>754211</v>
      </c>
      <c r="B3683" s="14" t="s">
        <v>3804</v>
      </c>
      <c r="C3683" s="14" t="s">
        <v>13029</v>
      </c>
      <c r="D3683" s="15">
        <v>14.77</v>
      </c>
      <c r="E3683" s="16" t="s">
        <v>30</v>
      </c>
    </row>
    <row r="3684" spans="1:5" x14ac:dyDescent="0.25">
      <c r="A3684" s="14">
        <v>754213</v>
      </c>
      <c r="B3684" s="14" t="s">
        <v>3805</v>
      </c>
      <c r="C3684" s="14" t="s">
        <v>13029</v>
      </c>
      <c r="D3684" s="15">
        <v>14.77</v>
      </c>
      <c r="E3684" s="16" t="s">
        <v>30</v>
      </c>
    </row>
    <row r="3685" spans="1:5" x14ac:dyDescent="0.25">
      <c r="A3685" s="14">
        <v>754341</v>
      </c>
      <c r="B3685" s="14" t="s">
        <v>3806</v>
      </c>
      <c r="C3685" s="14" t="s">
        <v>13029</v>
      </c>
      <c r="D3685" s="15">
        <v>6</v>
      </c>
      <c r="E3685" s="16" t="s">
        <v>30</v>
      </c>
    </row>
    <row r="3686" spans="1:5" x14ac:dyDescent="0.25">
      <c r="A3686" s="14">
        <v>754350</v>
      </c>
      <c r="B3686" s="14" t="s">
        <v>3807</v>
      </c>
      <c r="C3686" s="14" t="s">
        <v>13029</v>
      </c>
      <c r="D3686" s="15">
        <v>17.16</v>
      </c>
      <c r="E3686" s="16" t="s">
        <v>30</v>
      </c>
    </row>
    <row r="3687" spans="1:5" x14ac:dyDescent="0.25">
      <c r="A3687" s="14">
        <v>754351</v>
      </c>
      <c r="B3687" s="14" t="s">
        <v>3808</v>
      </c>
      <c r="C3687" s="14" t="s">
        <v>13029</v>
      </c>
      <c r="D3687" s="15">
        <v>14.29</v>
      </c>
      <c r="E3687" s="16" t="s">
        <v>30</v>
      </c>
    </row>
    <row r="3688" spans="1:5" x14ac:dyDescent="0.25">
      <c r="A3688" s="14">
        <v>754407</v>
      </c>
      <c r="B3688" s="14" t="s">
        <v>3809</v>
      </c>
      <c r="C3688" s="14" t="s">
        <v>13030</v>
      </c>
      <c r="D3688" s="15">
        <v>9.5299999999999994</v>
      </c>
      <c r="E3688" s="16" t="s">
        <v>30</v>
      </c>
    </row>
    <row r="3689" spans="1:5" x14ac:dyDescent="0.25">
      <c r="A3689" s="14">
        <v>754494</v>
      </c>
      <c r="B3689" s="14" t="s">
        <v>3810</v>
      </c>
      <c r="C3689" s="14" t="s">
        <v>13031</v>
      </c>
      <c r="D3689" s="15">
        <v>8</v>
      </c>
      <c r="E3689" s="16" t="s">
        <v>30</v>
      </c>
    </row>
    <row r="3690" spans="1:5" x14ac:dyDescent="0.25">
      <c r="A3690" s="14">
        <v>754495</v>
      </c>
      <c r="B3690" s="14" t="s">
        <v>3811</v>
      </c>
      <c r="C3690" s="14" t="s">
        <v>13031</v>
      </c>
      <c r="D3690" s="15">
        <v>5</v>
      </c>
      <c r="E3690" s="16" t="s">
        <v>30</v>
      </c>
    </row>
    <row r="3691" spans="1:5" x14ac:dyDescent="0.25">
      <c r="A3691" s="14">
        <v>754560</v>
      </c>
      <c r="B3691" s="14" t="s">
        <v>3812</v>
      </c>
      <c r="C3691" s="14" t="s">
        <v>13030</v>
      </c>
      <c r="D3691" s="15">
        <v>2.69</v>
      </c>
      <c r="E3691" s="16" t="s">
        <v>30</v>
      </c>
    </row>
    <row r="3692" spans="1:5" x14ac:dyDescent="0.25">
      <c r="A3692" s="14">
        <v>754777</v>
      </c>
      <c r="B3692" s="14" t="s">
        <v>3813</v>
      </c>
      <c r="C3692" s="14" t="s">
        <v>13029</v>
      </c>
      <c r="D3692" s="15">
        <v>14.29</v>
      </c>
      <c r="E3692" s="16" t="s">
        <v>30</v>
      </c>
    </row>
    <row r="3693" spans="1:5" x14ac:dyDescent="0.25">
      <c r="A3693" s="14">
        <v>754778</v>
      </c>
      <c r="B3693" s="14" t="s">
        <v>3814</v>
      </c>
      <c r="C3693" s="14" t="s">
        <v>13029</v>
      </c>
      <c r="D3693" s="15">
        <v>17.21</v>
      </c>
      <c r="E3693" s="16" t="s">
        <v>30</v>
      </c>
    </row>
    <row r="3694" spans="1:5" x14ac:dyDescent="0.25">
      <c r="A3694" s="14">
        <v>754779</v>
      </c>
      <c r="B3694" s="14" t="s">
        <v>3815</v>
      </c>
      <c r="C3694" s="14" t="s">
        <v>13029</v>
      </c>
      <c r="D3694" s="15">
        <v>17.21</v>
      </c>
      <c r="E3694" s="16" t="s">
        <v>30</v>
      </c>
    </row>
    <row r="3695" spans="1:5" x14ac:dyDescent="0.25">
      <c r="A3695" s="14">
        <v>754796</v>
      </c>
      <c r="B3695" s="14" t="s">
        <v>3816</v>
      </c>
      <c r="C3695" s="14" t="s">
        <v>13034</v>
      </c>
      <c r="D3695" s="15">
        <v>9.35</v>
      </c>
      <c r="E3695" s="16" t="s">
        <v>30</v>
      </c>
    </row>
    <row r="3696" spans="1:5" x14ac:dyDescent="0.25">
      <c r="A3696" s="14">
        <v>754797</v>
      </c>
      <c r="B3696" s="14" t="s">
        <v>3817</v>
      </c>
      <c r="C3696" s="14" t="s">
        <v>13034</v>
      </c>
      <c r="D3696" s="15">
        <v>11.05</v>
      </c>
      <c r="E3696" s="16" t="s">
        <v>30</v>
      </c>
    </row>
    <row r="3697" spans="1:5" x14ac:dyDescent="0.25">
      <c r="A3697" s="14">
        <v>754798</v>
      </c>
      <c r="B3697" s="14" t="s">
        <v>3818</v>
      </c>
      <c r="C3697" s="14" t="s">
        <v>13034</v>
      </c>
      <c r="D3697" s="15">
        <v>5</v>
      </c>
      <c r="E3697" s="16" t="s">
        <v>30</v>
      </c>
    </row>
    <row r="3698" spans="1:5" x14ac:dyDescent="0.25">
      <c r="A3698" s="14">
        <v>754834</v>
      </c>
      <c r="B3698" s="14" t="s">
        <v>3819</v>
      </c>
      <c r="C3698" s="14" t="s">
        <v>13031</v>
      </c>
      <c r="D3698" s="15">
        <v>9.07</v>
      </c>
      <c r="E3698" s="16" t="s">
        <v>30</v>
      </c>
    </row>
    <row r="3699" spans="1:5" x14ac:dyDescent="0.25">
      <c r="A3699" s="14">
        <v>754898</v>
      </c>
      <c r="B3699" s="14" t="s">
        <v>3820</v>
      </c>
      <c r="C3699" s="14" t="s">
        <v>13031</v>
      </c>
      <c r="D3699" s="15">
        <v>150.88</v>
      </c>
      <c r="E3699" s="16" t="s">
        <v>30</v>
      </c>
    </row>
    <row r="3700" spans="1:5" x14ac:dyDescent="0.25">
      <c r="A3700" s="14">
        <v>754899</v>
      </c>
      <c r="B3700" s="14" t="s">
        <v>3821</v>
      </c>
      <c r="C3700" s="14" t="s">
        <v>13031</v>
      </c>
      <c r="D3700" s="15">
        <v>150.88</v>
      </c>
      <c r="E3700" s="16" t="s">
        <v>30</v>
      </c>
    </row>
    <row r="3701" spans="1:5" x14ac:dyDescent="0.25">
      <c r="A3701" s="14">
        <v>755073</v>
      </c>
      <c r="B3701" s="14" t="s">
        <v>3822</v>
      </c>
      <c r="C3701" s="14" t="s">
        <v>13029</v>
      </c>
      <c r="D3701" s="15">
        <v>6.94</v>
      </c>
      <c r="E3701" s="16" t="s">
        <v>30</v>
      </c>
    </row>
    <row r="3702" spans="1:5" x14ac:dyDescent="0.25">
      <c r="A3702" s="14">
        <v>755235</v>
      </c>
      <c r="B3702" s="14" t="s">
        <v>3823</v>
      </c>
      <c r="C3702" s="14" t="s">
        <v>13034</v>
      </c>
      <c r="D3702" s="15">
        <v>8.9</v>
      </c>
      <c r="E3702" s="16" t="s">
        <v>30</v>
      </c>
    </row>
    <row r="3703" spans="1:5" x14ac:dyDescent="0.25">
      <c r="A3703" s="14">
        <v>755483</v>
      </c>
      <c r="B3703" s="14" t="s">
        <v>3824</v>
      </c>
      <c r="C3703" s="14" t="s">
        <v>13030</v>
      </c>
      <c r="D3703" s="15">
        <v>13.48</v>
      </c>
      <c r="E3703" s="16" t="s">
        <v>30</v>
      </c>
    </row>
    <row r="3704" spans="1:5" x14ac:dyDescent="0.25">
      <c r="A3704" s="14">
        <v>755484</v>
      </c>
      <c r="B3704" s="14" t="s">
        <v>3825</v>
      </c>
      <c r="C3704" s="14" t="s">
        <v>13030</v>
      </c>
      <c r="D3704" s="15">
        <v>94.36</v>
      </c>
      <c r="E3704" s="16" t="s">
        <v>30</v>
      </c>
    </row>
    <row r="3705" spans="1:5" x14ac:dyDescent="0.25">
      <c r="A3705" s="14">
        <v>755485</v>
      </c>
      <c r="B3705" s="14" t="s">
        <v>3826</v>
      </c>
      <c r="C3705" s="14" t="s">
        <v>13030</v>
      </c>
      <c r="D3705" s="15">
        <v>79.44</v>
      </c>
      <c r="E3705" s="16" t="s">
        <v>30</v>
      </c>
    </row>
    <row r="3706" spans="1:5" x14ac:dyDescent="0.25">
      <c r="A3706" s="14">
        <v>755488</v>
      </c>
      <c r="B3706" s="14" t="s">
        <v>3827</v>
      </c>
      <c r="C3706" s="14" t="s">
        <v>13030</v>
      </c>
      <c r="D3706" s="15">
        <v>27.72</v>
      </c>
      <c r="E3706" s="16" t="s">
        <v>30</v>
      </c>
    </row>
    <row r="3707" spans="1:5" x14ac:dyDescent="0.25">
      <c r="A3707" s="14">
        <v>755489</v>
      </c>
      <c r="B3707" s="14" t="s">
        <v>3828</v>
      </c>
      <c r="C3707" s="14" t="s">
        <v>13030</v>
      </c>
      <c r="D3707" s="15">
        <v>27.72</v>
      </c>
      <c r="E3707" s="16" t="s">
        <v>30</v>
      </c>
    </row>
    <row r="3708" spans="1:5" x14ac:dyDescent="0.25">
      <c r="A3708" s="14">
        <v>755542</v>
      </c>
      <c r="B3708" s="14" t="s">
        <v>3829</v>
      </c>
      <c r="C3708" s="14" t="s">
        <v>13029</v>
      </c>
      <c r="D3708" s="15">
        <v>14.41</v>
      </c>
      <c r="E3708" s="16" t="s">
        <v>30</v>
      </c>
    </row>
    <row r="3709" spans="1:5" x14ac:dyDescent="0.25">
      <c r="A3709" s="14">
        <v>755556</v>
      </c>
      <c r="B3709" s="14" t="s">
        <v>3830</v>
      </c>
      <c r="C3709" s="14" t="s">
        <v>13031</v>
      </c>
      <c r="D3709" s="15">
        <v>12.71</v>
      </c>
      <c r="E3709" s="16" t="s">
        <v>30</v>
      </c>
    </row>
    <row r="3710" spans="1:5" x14ac:dyDescent="0.25">
      <c r="A3710" s="14">
        <v>755809</v>
      </c>
      <c r="B3710" s="14" t="s">
        <v>3831</v>
      </c>
      <c r="C3710" s="14" t="s">
        <v>13029</v>
      </c>
      <c r="D3710" s="15">
        <v>37.29</v>
      </c>
      <c r="E3710" s="16" t="s">
        <v>30</v>
      </c>
    </row>
    <row r="3711" spans="1:5" x14ac:dyDescent="0.25">
      <c r="A3711" s="14">
        <v>755811</v>
      </c>
      <c r="B3711" s="14" t="s">
        <v>3832</v>
      </c>
      <c r="C3711" s="14" t="s">
        <v>13029</v>
      </c>
      <c r="D3711" s="15">
        <v>37.29</v>
      </c>
      <c r="E3711" s="14" t="s">
        <v>30</v>
      </c>
    </row>
    <row r="3712" spans="1:5" x14ac:dyDescent="0.25">
      <c r="A3712" s="14">
        <v>755812</v>
      </c>
      <c r="B3712" s="14" t="s">
        <v>3833</v>
      </c>
      <c r="C3712" s="14" t="s">
        <v>13029</v>
      </c>
      <c r="D3712" s="15">
        <v>37.29</v>
      </c>
      <c r="E3712" s="14" t="s">
        <v>30</v>
      </c>
    </row>
    <row r="3713" spans="1:5" x14ac:dyDescent="0.25">
      <c r="A3713" s="14">
        <v>755814</v>
      </c>
      <c r="B3713" s="14" t="s">
        <v>3834</v>
      </c>
      <c r="C3713" s="14" t="s">
        <v>13029</v>
      </c>
      <c r="D3713" s="15">
        <v>37.29</v>
      </c>
      <c r="E3713" s="16" t="s">
        <v>30</v>
      </c>
    </row>
    <row r="3714" spans="1:5" x14ac:dyDescent="0.25">
      <c r="A3714" s="14">
        <v>755817</v>
      </c>
      <c r="B3714" s="14" t="s">
        <v>3835</v>
      </c>
      <c r="C3714" s="14" t="s">
        <v>13029</v>
      </c>
      <c r="D3714" s="15">
        <v>31.97</v>
      </c>
      <c r="E3714" s="16" t="s">
        <v>30</v>
      </c>
    </row>
    <row r="3715" spans="1:5" x14ac:dyDescent="0.25">
      <c r="A3715" s="14">
        <v>755818</v>
      </c>
      <c r="B3715" s="14" t="s">
        <v>3836</v>
      </c>
      <c r="C3715" s="14" t="s">
        <v>13029</v>
      </c>
      <c r="D3715" s="15">
        <v>34.92</v>
      </c>
      <c r="E3715" s="14" t="s">
        <v>30</v>
      </c>
    </row>
    <row r="3716" spans="1:5" x14ac:dyDescent="0.25">
      <c r="A3716" s="14">
        <v>755819</v>
      </c>
      <c r="B3716" s="14" t="s">
        <v>3837</v>
      </c>
      <c r="C3716" s="14" t="s">
        <v>13029</v>
      </c>
      <c r="D3716" s="15">
        <v>34.92</v>
      </c>
      <c r="E3716" s="14" t="s">
        <v>30</v>
      </c>
    </row>
    <row r="3717" spans="1:5" x14ac:dyDescent="0.25">
      <c r="A3717" s="14">
        <v>755823</v>
      </c>
      <c r="B3717" s="14" t="s">
        <v>3838</v>
      </c>
      <c r="C3717" s="14" t="s">
        <v>13029</v>
      </c>
      <c r="D3717" s="15">
        <v>5.3</v>
      </c>
      <c r="E3717" s="16" t="s">
        <v>30</v>
      </c>
    </row>
    <row r="3718" spans="1:5" x14ac:dyDescent="0.25">
      <c r="A3718" s="14">
        <v>755824</v>
      </c>
      <c r="B3718" s="14" t="s">
        <v>3839</v>
      </c>
      <c r="C3718" s="14" t="s">
        <v>13029</v>
      </c>
      <c r="D3718" s="15">
        <v>2.2000000000000002</v>
      </c>
      <c r="E3718" s="16" t="s">
        <v>30</v>
      </c>
    </row>
    <row r="3719" spans="1:5" x14ac:dyDescent="0.25">
      <c r="A3719" s="14">
        <v>755825</v>
      </c>
      <c r="B3719" s="14" t="s">
        <v>3840</v>
      </c>
      <c r="C3719" s="14" t="s">
        <v>13029</v>
      </c>
      <c r="D3719" s="15">
        <v>20.56</v>
      </c>
      <c r="E3719" s="16" t="s">
        <v>30</v>
      </c>
    </row>
    <row r="3720" spans="1:5" x14ac:dyDescent="0.25">
      <c r="A3720" s="14">
        <v>755826</v>
      </c>
      <c r="B3720" s="14" t="s">
        <v>3841</v>
      </c>
      <c r="C3720" s="14" t="s">
        <v>13029</v>
      </c>
      <c r="D3720" s="15">
        <v>6.3</v>
      </c>
      <c r="E3720" s="16" t="s">
        <v>30</v>
      </c>
    </row>
    <row r="3721" spans="1:5" x14ac:dyDescent="0.25">
      <c r="A3721" s="14">
        <v>755840</v>
      </c>
      <c r="B3721" s="14" t="s">
        <v>3842</v>
      </c>
      <c r="C3721" s="14" t="s">
        <v>13030</v>
      </c>
      <c r="D3721" s="15">
        <v>13.48</v>
      </c>
      <c r="E3721" s="16" t="s">
        <v>30</v>
      </c>
    </row>
    <row r="3722" spans="1:5" x14ac:dyDescent="0.25">
      <c r="A3722" s="14">
        <v>755914</v>
      </c>
      <c r="B3722" s="14" t="s">
        <v>3843</v>
      </c>
      <c r="C3722" s="14" t="s">
        <v>13030</v>
      </c>
      <c r="D3722" s="15">
        <v>30.71</v>
      </c>
      <c r="E3722" s="16" t="s">
        <v>30</v>
      </c>
    </row>
    <row r="3723" spans="1:5" x14ac:dyDescent="0.25">
      <c r="A3723" s="14">
        <v>755915</v>
      </c>
      <c r="B3723" s="14" t="s">
        <v>3844</v>
      </c>
      <c r="C3723" s="14" t="s">
        <v>13030</v>
      </c>
      <c r="D3723" s="15">
        <v>30.17</v>
      </c>
      <c r="E3723" s="16" t="s">
        <v>30</v>
      </c>
    </row>
    <row r="3724" spans="1:5" x14ac:dyDescent="0.25">
      <c r="A3724" s="14">
        <v>756081</v>
      </c>
      <c r="B3724" s="14" t="s">
        <v>3845</v>
      </c>
      <c r="C3724" s="14" t="s">
        <v>13030</v>
      </c>
      <c r="D3724" s="15">
        <v>9.7799999999999994</v>
      </c>
      <c r="E3724" s="16" t="s">
        <v>30</v>
      </c>
    </row>
    <row r="3725" spans="1:5" x14ac:dyDescent="0.25">
      <c r="A3725" s="14">
        <v>756082</v>
      </c>
      <c r="B3725" s="14" t="s">
        <v>3846</v>
      </c>
      <c r="C3725" s="14" t="s">
        <v>13030</v>
      </c>
      <c r="D3725" s="15">
        <v>9.7799999999999994</v>
      </c>
      <c r="E3725" s="16" t="s">
        <v>30</v>
      </c>
    </row>
    <row r="3726" spans="1:5" x14ac:dyDescent="0.25">
      <c r="A3726" s="14">
        <v>756281</v>
      </c>
      <c r="B3726" s="14" t="s">
        <v>3847</v>
      </c>
      <c r="C3726" s="14" t="s">
        <v>13029</v>
      </c>
      <c r="D3726" s="15">
        <v>51.79</v>
      </c>
      <c r="E3726" s="16" t="s">
        <v>30</v>
      </c>
    </row>
    <row r="3727" spans="1:5" x14ac:dyDescent="0.25">
      <c r="A3727" s="14">
        <v>756283</v>
      </c>
      <c r="B3727" s="14" t="s">
        <v>3848</v>
      </c>
      <c r="C3727" s="14" t="s">
        <v>13029</v>
      </c>
      <c r="D3727" s="15">
        <v>13.37</v>
      </c>
      <c r="E3727" s="14" t="s">
        <v>30</v>
      </c>
    </row>
    <row r="3728" spans="1:5" x14ac:dyDescent="0.25">
      <c r="A3728" s="14">
        <v>756293</v>
      </c>
      <c r="B3728" s="14" t="s">
        <v>3849</v>
      </c>
      <c r="C3728" s="14" t="s">
        <v>13030</v>
      </c>
      <c r="D3728" s="15">
        <v>64.44</v>
      </c>
      <c r="E3728" s="16" t="s">
        <v>30</v>
      </c>
    </row>
    <row r="3729" spans="1:5" x14ac:dyDescent="0.25">
      <c r="A3729" s="14">
        <v>756466</v>
      </c>
      <c r="B3729" s="14" t="s">
        <v>3850</v>
      </c>
      <c r="C3729" s="14" t="s">
        <v>13031</v>
      </c>
      <c r="D3729" s="15">
        <v>24.41</v>
      </c>
      <c r="E3729" s="16" t="s">
        <v>30</v>
      </c>
    </row>
    <row r="3730" spans="1:5" x14ac:dyDescent="0.25">
      <c r="A3730" s="14">
        <v>756467</v>
      </c>
      <c r="B3730" s="14" t="s">
        <v>3851</v>
      </c>
      <c r="C3730" s="14" t="s">
        <v>13031</v>
      </c>
      <c r="D3730" s="15">
        <v>24.42</v>
      </c>
      <c r="E3730" s="16" t="s">
        <v>30</v>
      </c>
    </row>
    <row r="3731" spans="1:5" x14ac:dyDescent="0.25">
      <c r="A3731" s="14">
        <v>756698</v>
      </c>
      <c r="B3731" s="14" t="s">
        <v>3852</v>
      </c>
      <c r="C3731" s="14" t="s">
        <v>13029</v>
      </c>
      <c r="D3731" s="15">
        <v>16.55</v>
      </c>
      <c r="E3731" s="16" t="s">
        <v>30</v>
      </c>
    </row>
    <row r="3732" spans="1:5" x14ac:dyDescent="0.25">
      <c r="A3732" s="14">
        <v>756703</v>
      </c>
      <c r="B3732" s="14" t="s">
        <v>3853</v>
      </c>
      <c r="C3732" s="14" t="s">
        <v>13029</v>
      </c>
      <c r="D3732" s="15">
        <v>19</v>
      </c>
      <c r="E3732" s="16" t="s">
        <v>30</v>
      </c>
    </row>
    <row r="3733" spans="1:5" x14ac:dyDescent="0.25">
      <c r="A3733" s="14">
        <v>756847</v>
      </c>
      <c r="B3733" s="14" t="s">
        <v>3854</v>
      </c>
      <c r="C3733" s="14" t="s">
        <v>13030</v>
      </c>
      <c r="D3733" s="15">
        <v>57.59</v>
      </c>
      <c r="E3733" s="16" t="s">
        <v>30</v>
      </c>
    </row>
    <row r="3734" spans="1:5" x14ac:dyDescent="0.25">
      <c r="A3734" s="14">
        <v>756898</v>
      </c>
      <c r="B3734" s="14" t="s">
        <v>3855</v>
      </c>
      <c r="C3734" s="14" t="s">
        <v>13030</v>
      </c>
      <c r="D3734" s="15">
        <v>182.81</v>
      </c>
      <c r="E3734" s="16" t="s">
        <v>30</v>
      </c>
    </row>
    <row r="3735" spans="1:5" x14ac:dyDescent="0.25">
      <c r="A3735" s="14">
        <v>757176</v>
      </c>
      <c r="B3735" s="14" t="s">
        <v>3856</v>
      </c>
      <c r="C3735" s="14" t="s">
        <v>13031</v>
      </c>
      <c r="D3735" s="15">
        <v>6.4</v>
      </c>
      <c r="E3735" s="16" t="s">
        <v>30</v>
      </c>
    </row>
    <row r="3736" spans="1:5" x14ac:dyDescent="0.25">
      <c r="A3736" s="14">
        <v>757177</v>
      </c>
      <c r="B3736" s="14" t="s">
        <v>3857</v>
      </c>
      <c r="C3736" s="14" t="s">
        <v>13031</v>
      </c>
      <c r="D3736" s="15">
        <v>6.4</v>
      </c>
      <c r="E3736" s="16" t="s">
        <v>30</v>
      </c>
    </row>
    <row r="3737" spans="1:5" x14ac:dyDescent="0.25">
      <c r="A3737" s="14">
        <v>757178</v>
      </c>
      <c r="B3737" s="14" t="s">
        <v>3858</v>
      </c>
      <c r="C3737" s="14" t="s">
        <v>13031</v>
      </c>
      <c r="D3737" s="15">
        <v>5.8</v>
      </c>
      <c r="E3737" s="16" t="s">
        <v>30</v>
      </c>
    </row>
    <row r="3738" spans="1:5" x14ac:dyDescent="0.25">
      <c r="A3738" s="14">
        <v>757579</v>
      </c>
      <c r="B3738" s="14" t="s">
        <v>3859</v>
      </c>
      <c r="C3738" s="14" t="s">
        <v>13029</v>
      </c>
      <c r="D3738" s="15">
        <v>27.82</v>
      </c>
      <c r="E3738" s="14" t="s">
        <v>30</v>
      </c>
    </row>
    <row r="3739" spans="1:5" x14ac:dyDescent="0.25">
      <c r="A3739" s="14">
        <v>757581</v>
      </c>
      <c r="B3739" s="14" t="s">
        <v>3860</v>
      </c>
      <c r="C3739" s="14" t="s">
        <v>13029</v>
      </c>
      <c r="D3739" s="15">
        <v>22.66</v>
      </c>
      <c r="E3739" s="14" t="s">
        <v>30</v>
      </c>
    </row>
    <row r="3740" spans="1:5" x14ac:dyDescent="0.25">
      <c r="A3740" s="14">
        <v>757690</v>
      </c>
      <c r="B3740" s="14" t="s">
        <v>3861</v>
      </c>
      <c r="C3740" s="14" t="s">
        <v>13030</v>
      </c>
      <c r="D3740" s="15">
        <v>90.25</v>
      </c>
      <c r="E3740" s="16" t="s">
        <v>30</v>
      </c>
    </row>
    <row r="3741" spans="1:5" x14ac:dyDescent="0.25">
      <c r="A3741" s="14">
        <v>757750</v>
      </c>
      <c r="B3741" s="14" t="s">
        <v>3862</v>
      </c>
      <c r="C3741" s="14" t="s">
        <v>13031</v>
      </c>
      <c r="D3741" s="15">
        <v>89.27</v>
      </c>
      <c r="E3741" s="16" t="s">
        <v>30</v>
      </c>
    </row>
    <row r="3742" spans="1:5" x14ac:dyDescent="0.25">
      <c r="A3742" s="14">
        <v>757751</v>
      </c>
      <c r="B3742" s="14" t="s">
        <v>3863</v>
      </c>
      <c r="C3742" s="14" t="s">
        <v>13031</v>
      </c>
      <c r="D3742" s="15">
        <v>125.25</v>
      </c>
      <c r="E3742" s="16" t="s">
        <v>30</v>
      </c>
    </row>
    <row r="3743" spans="1:5" x14ac:dyDescent="0.25">
      <c r="A3743" s="14">
        <v>733866</v>
      </c>
      <c r="B3743" s="14" t="s">
        <v>3864</v>
      </c>
      <c r="C3743" s="14" t="s">
        <v>13030</v>
      </c>
      <c r="D3743" s="15">
        <v>76.53</v>
      </c>
      <c r="E3743" s="16" t="s">
        <v>20</v>
      </c>
    </row>
    <row r="3744" spans="1:5" x14ac:dyDescent="0.25">
      <c r="A3744" s="14">
        <v>733867</v>
      </c>
      <c r="B3744" s="14" t="s">
        <v>3865</v>
      </c>
      <c r="C3744" s="14" t="s">
        <v>13030</v>
      </c>
      <c r="D3744" s="15">
        <v>186.38</v>
      </c>
      <c r="E3744" s="16" t="s">
        <v>20</v>
      </c>
    </row>
    <row r="3745" spans="1:5" x14ac:dyDescent="0.25">
      <c r="A3745" s="14">
        <v>757753</v>
      </c>
      <c r="B3745" s="14" t="s">
        <v>3866</v>
      </c>
      <c r="C3745" s="14" t="s">
        <v>13031</v>
      </c>
      <c r="D3745" s="15">
        <v>132.79</v>
      </c>
      <c r="E3745" s="16" t="s">
        <v>30</v>
      </c>
    </row>
    <row r="3746" spans="1:5" x14ac:dyDescent="0.25">
      <c r="A3746" s="14">
        <v>757754</v>
      </c>
      <c r="B3746" s="14" t="s">
        <v>3867</v>
      </c>
      <c r="C3746" s="14" t="s">
        <v>13031</v>
      </c>
      <c r="D3746" s="15">
        <v>215.92</v>
      </c>
      <c r="E3746" s="16" t="s">
        <v>30</v>
      </c>
    </row>
    <row r="3747" spans="1:5" x14ac:dyDescent="0.25">
      <c r="A3747" s="14">
        <v>757755</v>
      </c>
      <c r="B3747" s="14" t="s">
        <v>3868</v>
      </c>
      <c r="C3747" s="14" t="s">
        <v>13031</v>
      </c>
      <c r="D3747" s="15">
        <v>202.08</v>
      </c>
      <c r="E3747" s="16" t="s">
        <v>30</v>
      </c>
    </row>
    <row r="3748" spans="1:5" x14ac:dyDescent="0.25">
      <c r="A3748" s="14">
        <v>757862</v>
      </c>
      <c r="B3748" s="14" t="s">
        <v>3869</v>
      </c>
      <c r="C3748" s="14" t="s">
        <v>13031</v>
      </c>
      <c r="D3748" s="15">
        <v>12.66</v>
      </c>
      <c r="E3748" s="16" t="s">
        <v>30</v>
      </c>
    </row>
    <row r="3749" spans="1:5" x14ac:dyDescent="0.25">
      <c r="A3749" s="14">
        <v>757863</v>
      </c>
      <c r="B3749" s="14" t="s">
        <v>3870</v>
      </c>
      <c r="C3749" s="14" t="s">
        <v>13031</v>
      </c>
      <c r="D3749" s="15">
        <v>5.07</v>
      </c>
      <c r="E3749" s="16" t="s">
        <v>30</v>
      </c>
    </row>
    <row r="3750" spans="1:5" x14ac:dyDescent="0.25">
      <c r="A3750" s="14">
        <v>757864</v>
      </c>
      <c r="B3750" s="14" t="s">
        <v>3871</v>
      </c>
      <c r="C3750" s="14" t="s">
        <v>13031</v>
      </c>
      <c r="D3750" s="15">
        <v>12.11</v>
      </c>
      <c r="E3750" s="16" t="s">
        <v>30</v>
      </c>
    </row>
    <row r="3751" spans="1:5" x14ac:dyDescent="0.25">
      <c r="A3751" s="14">
        <v>757865</v>
      </c>
      <c r="B3751" s="14" t="s">
        <v>3872</v>
      </c>
      <c r="C3751" s="14" t="s">
        <v>13031</v>
      </c>
      <c r="D3751" s="15">
        <v>7.74</v>
      </c>
      <c r="E3751" s="16" t="s">
        <v>30</v>
      </c>
    </row>
    <row r="3752" spans="1:5" x14ac:dyDescent="0.25">
      <c r="A3752" s="14">
        <v>757866</v>
      </c>
      <c r="B3752" s="14" t="s">
        <v>3873</v>
      </c>
      <c r="C3752" s="14" t="s">
        <v>13031</v>
      </c>
      <c r="D3752" s="15">
        <v>21.61</v>
      </c>
      <c r="E3752" s="16" t="s">
        <v>30</v>
      </c>
    </row>
    <row r="3753" spans="1:5" x14ac:dyDescent="0.25">
      <c r="A3753" s="14">
        <v>757867</v>
      </c>
      <c r="B3753" s="14" t="s">
        <v>3874</v>
      </c>
      <c r="C3753" s="14" t="s">
        <v>13031</v>
      </c>
      <c r="D3753" s="15">
        <v>17.309999999999999</v>
      </c>
      <c r="E3753" s="16" t="s">
        <v>30</v>
      </c>
    </row>
    <row r="3754" spans="1:5" x14ac:dyDescent="0.25">
      <c r="A3754" s="14">
        <v>757868</v>
      </c>
      <c r="B3754" s="14" t="s">
        <v>3875</v>
      </c>
      <c r="C3754" s="14" t="s">
        <v>13031</v>
      </c>
      <c r="D3754" s="15">
        <v>7.04</v>
      </c>
      <c r="E3754" s="16" t="s">
        <v>30</v>
      </c>
    </row>
    <row r="3755" spans="1:5" x14ac:dyDescent="0.25">
      <c r="A3755" s="14">
        <v>757869</v>
      </c>
      <c r="B3755" s="14" t="s">
        <v>3876</v>
      </c>
      <c r="C3755" s="14" t="s">
        <v>13031</v>
      </c>
      <c r="D3755" s="15">
        <v>13.54</v>
      </c>
      <c r="E3755" s="16" t="s">
        <v>30</v>
      </c>
    </row>
    <row r="3756" spans="1:5" x14ac:dyDescent="0.25">
      <c r="A3756" s="14">
        <v>757871</v>
      </c>
      <c r="B3756" s="14" t="s">
        <v>3877</v>
      </c>
      <c r="C3756" s="14" t="s">
        <v>13031</v>
      </c>
      <c r="D3756" s="15">
        <v>14.39</v>
      </c>
      <c r="E3756" s="16" t="s">
        <v>30</v>
      </c>
    </row>
    <row r="3757" spans="1:5" x14ac:dyDescent="0.25">
      <c r="A3757" s="14">
        <v>757945</v>
      </c>
      <c r="B3757" s="14" t="s">
        <v>3878</v>
      </c>
      <c r="C3757" s="14" t="s">
        <v>13036</v>
      </c>
      <c r="D3757" s="15">
        <v>3.65</v>
      </c>
      <c r="E3757" s="16" t="s">
        <v>30</v>
      </c>
    </row>
    <row r="3758" spans="1:5" x14ac:dyDescent="0.25">
      <c r="A3758" s="14">
        <v>758076</v>
      </c>
      <c r="B3758" s="14" t="s">
        <v>3879</v>
      </c>
      <c r="C3758" s="14" t="s">
        <v>13029</v>
      </c>
      <c r="D3758" s="15">
        <v>18.39</v>
      </c>
      <c r="E3758" s="16" t="s">
        <v>30</v>
      </c>
    </row>
    <row r="3759" spans="1:5" x14ac:dyDescent="0.25">
      <c r="A3759" s="14">
        <v>758077</v>
      </c>
      <c r="B3759" s="14" t="s">
        <v>3880</v>
      </c>
      <c r="C3759" s="14" t="s">
        <v>13029</v>
      </c>
      <c r="D3759" s="15">
        <v>18.39</v>
      </c>
      <c r="E3759" s="16" t="s">
        <v>30</v>
      </c>
    </row>
    <row r="3760" spans="1:5" x14ac:dyDescent="0.25">
      <c r="A3760" s="14">
        <v>758078</v>
      </c>
      <c r="B3760" s="14" t="s">
        <v>3881</v>
      </c>
      <c r="C3760" s="14" t="s">
        <v>13029</v>
      </c>
      <c r="D3760" s="15">
        <v>18.39</v>
      </c>
      <c r="E3760" s="16" t="s">
        <v>30</v>
      </c>
    </row>
    <row r="3761" spans="1:5" x14ac:dyDescent="0.25">
      <c r="A3761" s="14">
        <v>758088</v>
      </c>
      <c r="B3761" s="14" t="s">
        <v>3882</v>
      </c>
      <c r="C3761" s="14" t="s">
        <v>13031</v>
      </c>
      <c r="D3761" s="15">
        <v>25.49</v>
      </c>
      <c r="E3761" s="16" t="s">
        <v>30</v>
      </c>
    </row>
    <row r="3762" spans="1:5" x14ac:dyDescent="0.25">
      <c r="A3762" s="14">
        <v>758089</v>
      </c>
      <c r="B3762" s="14" t="s">
        <v>3883</v>
      </c>
      <c r="C3762" s="14" t="s">
        <v>13031</v>
      </c>
      <c r="D3762" s="15">
        <v>25.49</v>
      </c>
      <c r="E3762" s="16" t="s">
        <v>30</v>
      </c>
    </row>
    <row r="3763" spans="1:5" x14ac:dyDescent="0.25">
      <c r="A3763" s="14">
        <v>758090</v>
      </c>
      <c r="B3763" s="14" t="s">
        <v>3884</v>
      </c>
      <c r="C3763" s="14" t="s">
        <v>13031</v>
      </c>
      <c r="D3763" s="15">
        <v>91.76</v>
      </c>
      <c r="E3763" s="16" t="s">
        <v>30</v>
      </c>
    </row>
    <row r="3764" spans="1:5" x14ac:dyDescent="0.25">
      <c r="A3764" s="14">
        <v>758091</v>
      </c>
      <c r="B3764" s="14" t="s">
        <v>3885</v>
      </c>
      <c r="C3764" s="14" t="s">
        <v>13031</v>
      </c>
      <c r="D3764" s="15">
        <v>91.76</v>
      </c>
      <c r="E3764" s="16" t="s">
        <v>30</v>
      </c>
    </row>
    <row r="3765" spans="1:5" x14ac:dyDescent="0.25">
      <c r="A3765" s="14">
        <v>758092</v>
      </c>
      <c r="B3765" s="14" t="s">
        <v>3886</v>
      </c>
      <c r="C3765" s="14" t="s">
        <v>13031</v>
      </c>
      <c r="D3765" s="15">
        <v>81.8</v>
      </c>
      <c r="E3765" s="16" t="s">
        <v>30</v>
      </c>
    </row>
    <row r="3766" spans="1:5" x14ac:dyDescent="0.25">
      <c r="A3766" s="14">
        <v>758095</v>
      </c>
      <c r="B3766" s="14" t="s">
        <v>3887</v>
      </c>
      <c r="C3766" s="14" t="s">
        <v>13030</v>
      </c>
      <c r="D3766" s="15">
        <v>257.04000000000002</v>
      </c>
      <c r="E3766" s="16" t="s">
        <v>30</v>
      </c>
    </row>
    <row r="3767" spans="1:5" x14ac:dyDescent="0.25">
      <c r="A3767" s="14">
        <v>758100</v>
      </c>
      <c r="B3767" s="14" t="s">
        <v>3888</v>
      </c>
      <c r="C3767" s="14" t="s">
        <v>13030</v>
      </c>
      <c r="D3767" s="15">
        <v>34.97</v>
      </c>
      <c r="E3767" s="16" t="s">
        <v>30</v>
      </c>
    </row>
    <row r="3768" spans="1:5" x14ac:dyDescent="0.25">
      <c r="A3768" s="14">
        <v>758101</v>
      </c>
      <c r="B3768" s="14" t="s">
        <v>3889</v>
      </c>
      <c r="C3768" s="14" t="s">
        <v>13030</v>
      </c>
      <c r="D3768" s="15">
        <v>1103.57</v>
      </c>
      <c r="E3768" s="16" t="s">
        <v>30</v>
      </c>
    </row>
    <row r="3769" spans="1:5" x14ac:dyDescent="0.25">
      <c r="A3769" s="14">
        <v>758240</v>
      </c>
      <c r="B3769" s="14" t="s">
        <v>3890</v>
      </c>
      <c r="C3769" s="14" t="s">
        <v>13036</v>
      </c>
      <c r="D3769" s="15">
        <v>0.43</v>
      </c>
      <c r="E3769" s="16" t="s">
        <v>30</v>
      </c>
    </row>
    <row r="3770" spans="1:5" x14ac:dyDescent="0.25">
      <c r="A3770" s="14">
        <v>758275</v>
      </c>
      <c r="B3770" s="14" t="s">
        <v>3891</v>
      </c>
      <c r="C3770" s="14" t="s">
        <v>13029</v>
      </c>
      <c r="D3770" s="15">
        <v>34.21</v>
      </c>
      <c r="E3770" s="16" t="s">
        <v>30</v>
      </c>
    </row>
    <row r="3771" spans="1:5" x14ac:dyDescent="0.25">
      <c r="A3771" s="14">
        <v>758276</v>
      </c>
      <c r="B3771" s="14" t="s">
        <v>3892</v>
      </c>
      <c r="C3771" s="14" t="s">
        <v>13029</v>
      </c>
      <c r="D3771" s="15">
        <v>36.729999999999997</v>
      </c>
      <c r="E3771" s="16" t="s">
        <v>30</v>
      </c>
    </row>
    <row r="3772" spans="1:5" x14ac:dyDescent="0.25">
      <c r="A3772" s="14">
        <v>758277</v>
      </c>
      <c r="B3772" s="14" t="s">
        <v>3893</v>
      </c>
      <c r="C3772" s="14" t="s">
        <v>13029</v>
      </c>
      <c r="D3772" s="15">
        <v>36.729999999999997</v>
      </c>
      <c r="E3772" s="14" t="s">
        <v>30</v>
      </c>
    </row>
    <row r="3773" spans="1:5" x14ac:dyDescent="0.25">
      <c r="A3773" s="14">
        <v>758278</v>
      </c>
      <c r="B3773" s="14" t="s">
        <v>3894</v>
      </c>
      <c r="C3773" s="14" t="s">
        <v>13029</v>
      </c>
      <c r="D3773" s="15">
        <v>36.729999999999997</v>
      </c>
      <c r="E3773" s="16" t="s">
        <v>30</v>
      </c>
    </row>
    <row r="3774" spans="1:5" x14ac:dyDescent="0.25">
      <c r="A3774" s="14">
        <v>758279</v>
      </c>
      <c r="B3774" s="14" t="s">
        <v>3895</v>
      </c>
      <c r="C3774" s="14" t="s">
        <v>13029</v>
      </c>
      <c r="D3774" s="15">
        <v>36.729999999999997</v>
      </c>
      <c r="E3774" s="16" t="s">
        <v>30</v>
      </c>
    </row>
    <row r="3775" spans="1:5" x14ac:dyDescent="0.25">
      <c r="A3775" s="14">
        <v>758283</v>
      </c>
      <c r="B3775" s="14" t="s">
        <v>3896</v>
      </c>
      <c r="C3775" s="14" t="s">
        <v>13029</v>
      </c>
      <c r="D3775" s="15">
        <v>36.729999999999997</v>
      </c>
      <c r="E3775" s="14" t="s">
        <v>30</v>
      </c>
    </row>
    <row r="3776" spans="1:5" x14ac:dyDescent="0.25">
      <c r="A3776" s="14">
        <v>758284</v>
      </c>
      <c r="B3776" s="14" t="s">
        <v>3897</v>
      </c>
      <c r="C3776" s="14" t="s">
        <v>13029</v>
      </c>
      <c r="D3776" s="15">
        <v>36.11</v>
      </c>
      <c r="E3776" s="14" t="s">
        <v>30</v>
      </c>
    </row>
    <row r="3777" spans="1:5" x14ac:dyDescent="0.25">
      <c r="A3777" s="14">
        <v>758285</v>
      </c>
      <c r="B3777" s="14" t="s">
        <v>3898</v>
      </c>
      <c r="C3777" s="14" t="s">
        <v>13029</v>
      </c>
      <c r="D3777" s="15">
        <v>36.11</v>
      </c>
      <c r="E3777" s="14" t="s">
        <v>30</v>
      </c>
    </row>
    <row r="3778" spans="1:5" x14ac:dyDescent="0.25">
      <c r="A3778" s="14">
        <v>758287</v>
      </c>
      <c r="B3778" s="14" t="s">
        <v>3899</v>
      </c>
      <c r="C3778" s="14" t="s">
        <v>13030</v>
      </c>
      <c r="D3778" s="15">
        <v>129.59</v>
      </c>
      <c r="E3778" s="16" t="s">
        <v>30</v>
      </c>
    </row>
    <row r="3779" spans="1:5" x14ac:dyDescent="0.25">
      <c r="A3779" s="14">
        <v>758313</v>
      </c>
      <c r="B3779" s="14" t="s">
        <v>3900</v>
      </c>
      <c r="C3779" s="14" t="s">
        <v>13029</v>
      </c>
      <c r="D3779" s="15">
        <v>7.58</v>
      </c>
      <c r="E3779" s="16" t="s">
        <v>30</v>
      </c>
    </row>
    <row r="3780" spans="1:5" x14ac:dyDescent="0.25">
      <c r="A3780" s="14">
        <v>758314</v>
      </c>
      <c r="B3780" s="14" t="s">
        <v>3901</v>
      </c>
      <c r="C3780" s="14" t="s">
        <v>13029</v>
      </c>
      <c r="D3780" s="15">
        <v>18.329999999999998</v>
      </c>
      <c r="E3780" s="16" t="s">
        <v>30</v>
      </c>
    </row>
    <row r="3781" spans="1:5" x14ac:dyDescent="0.25">
      <c r="A3781" s="14">
        <v>758442</v>
      </c>
      <c r="B3781" s="14" t="s">
        <v>3902</v>
      </c>
      <c r="C3781" s="14" t="s">
        <v>13029</v>
      </c>
      <c r="D3781" s="15">
        <v>8.26</v>
      </c>
      <c r="E3781" s="16" t="s">
        <v>30</v>
      </c>
    </row>
    <row r="3782" spans="1:5" x14ac:dyDescent="0.25">
      <c r="A3782" s="14">
        <v>758484</v>
      </c>
      <c r="B3782" s="14" t="s">
        <v>3903</v>
      </c>
      <c r="C3782" s="14" t="s">
        <v>13030</v>
      </c>
      <c r="D3782" s="15">
        <v>113.4</v>
      </c>
      <c r="E3782" s="16" t="s">
        <v>30</v>
      </c>
    </row>
    <row r="3783" spans="1:5" x14ac:dyDescent="0.25">
      <c r="A3783" s="14">
        <v>758485</v>
      </c>
      <c r="B3783" s="14" t="s">
        <v>3904</v>
      </c>
      <c r="C3783" s="14" t="s">
        <v>13030</v>
      </c>
      <c r="D3783" s="15">
        <v>76.77</v>
      </c>
      <c r="E3783" s="16" t="s">
        <v>30</v>
      </c>
    </row>
    <row r="3784" spans="1:5" x14ac:dyDescent="0.25">
      <c r="A3784" s="14">
        <v>758495</v>
      </c>
      <c r="B3784" s="14" t="s">
        <v>3905</v>
      </c>
      <c r="C3784" s="14" t="s">
        <v>13033</v>
      </c>
      <c r="D3784" s="15">
        <v>14.9</v>
      </c>
      <c r="E3784" s="16" t="s">
        <v>30</v>
      </c>
    </row>
    <row r="3785" spans="1:5" x14ac:dyDescent="0.25">
      <c r="A3785" s="14">
        <v>758496</v>
      </c>
      <c r="B3785" s="14" t="s">
        <v>3906</v>
      </c>
      <c r="C3785" s="14" t="s">
        <v>13033</v>
      </c>
      <c r="D3785" s="15">
        <v>16.399999999999999</v>
      </c>
      <c r="E3785" s="16" t="s">
        <v>30</v>
      </c>
    </row>
    <row r="3786" spans="1:5" x14ac:dyDescent="0.25">
      <c r="A3786" s="14">
        <v>758555</v>
      </c>
      <c r="B3786" s="14" t="s">
        <v>3907</v>
      </c>
      <c r="C3786" s="14" t="s">
        <v>13031</v>
      </c>
      <c r="D3786" s="15">
        <v>10.98</v>
      </c>
      <c r="E3786" s="16" t="s">
        <v>30</v>
      </c>
    </row>
    <row r="3787" spans="1:5" x14ac:dyDescent="0.25">
      <c r="A3787" s="14">
        <v>758593</v>
      </c>
      <c r="B3787" s="14" t="s">
        <v>3908</v>
      </c>
      <c r="C3787" s="14" t="s">
        <v>13029</v>
      </c>
      <c r="D3787" s="15">
        <v>16.39</v>
      </c>
      <c r="E3787" s="16" t="s">
        <v>30</v>
      </c>
    </row>
    <row r="3788" spans="1:5" x14ac:dyDescent="0.25">
      <c r="A3788" s="14">
        <v>758608</v>
      </c>
      <c r="B3788" s="14" t="s">
        <v>3909</v>
      </c>
      <c r="C3788" s="14" t="s">
        <v>13029</v>
      </c>
      <c r="D3788" s="15">
        <v>12.93</v>
      </c>
      <c r="E3788" s="16" t="s">
        <v>30</v>
      </c>
    </row>
    <row r="3789" spans="1:5" x14ac:dyDescent="0.25">
      <c r="A3789" s="14">
        <v>758695</v>
      </c>
      <c r="B3789" s="14" t="s">
        <v>3910</v>
      </c>
      <c r="C3789" s="14" t="s">
        <v>13031</v>
      </c>
      <c r="D3789" s="15">
        <v>32.200000000000003</v>
      </c>
      <c r="E3789" s="16" t="s">
        <v>30</v>
      </c>
    </row>
    <row r="3790" spans="1:5" x14ac:dyDescent="0.25">
      <c r="A3790" s="14">
        <v>758696</v>
      </c>
      <c r="B3790" s="14" t="s">
        <v>3911</v>
      </c>
      <c r="C3790" s="14" t="s">
        <v>13031</v>
      </c>
      <c r="D3790" s="15">
        <v>17.79</v>
      </c>
      <c r="E3790" s="16" t="s">
        <v>30</v>
      </c>
    </row>
    <row r="3791" spans="1:5" x14ac:dyDescent="0.25">
      <c r="A3791" s="14">
        <v>758697</v>
      </c>
      <c r="B3791" s="14" t="s">
        <v>3912</v>
      </c>
      <c r="C3791" s="14" t="s">
        <v>13031</v>
      </c>
      <c r="D3791" s="15">
        <v>17.79</v>
      </c>
      <c r="E3791" s="16" t="s">
        <v>30</v>
      </c>
    </row>
    <row r="3792" spans="1:5" x14ac:dyDescent="0.25">
      <c r="A3792" s="14">
        <v>758698</v>
      </c>
      <c r="B3792" s="14" t="s">
        <v>3913</v>
      </c>
      <c r="C3792" s="14" t="s">
        <v>13031</v>
      </c>
      <c r="D3792" s="15">
        <v>26</v>
      </c>
      <c r="E3792" s="16" t="s">
        <v>30</v>
      </c>
    </row>
    <row r="3793" spans="1:5" x14ac:dyDescent="0.25">
      <c r="A3793" s="14">
        <v>758699</v>
      </c>
      <c r="B3793" s="14" t="s">
        <v>3914</v>
      </c>
      <c r="C3793" s="14" t="s">
        <v>13031</v>
      </c>
      <c r="D3793" s="15">
        <v>23</v>
      </c>
      <c r="E3793" s="16" t="s">
        <v>30</v>
      </c>
    </row>
    <row r="3794" spans="1:5" x14ac:dyDescent="0.25">
      <c r="A3794" s="14">
        <v>758700</v>
      </c>
      <c r="B3794" s="14" t="s">
        <v>3915</v>
      </c>
      <c r="C3794" s="14" t="s">
        <v>13031</v>
      </c>
      <c r="D3794" s="15">
        <v>26.3</v>
      </c>
      <c r="E3794" s="16" t="s">
        <v>30</v>
      </c>
    </row>
    <row r="3795" spans="1:5" x14ac:dyDescent="0.25">
      <c r="A3795" s="14">
        <v>758701</v>
      </c>
      <c r="B3795" s="14" t="s">
        <v>3916</v>
      </c>
      <c r="C3795" s="14" t="s">
        <v>13031</v>
      </c>
      <c r="D3795" s="15">
        <v>14.32</v>
      </c>
      <c r="E3795" s="16" t="s">
        <v>30</v>
      </c>
    </row>
    <row r="3796" spans="1:5" x14ac:dyDescent="0.25">
      <c r="A3796" s="14">
        <v>758702</v>
      </c>
      <c r="B3796" s="14" t="s">
        <v>3917</v>
      </c>
      <c r="C3796" s="14" t="s">
        <v>13031</v>
      </c>
      <c r="D3796" s="15">
        <v>12.46</v>
      </c>
      <c r="E3796" s="16" t="s">
        <v>30</v>
      </c>
    </row>
    <row r="3797" spans="1:5" x14ac:dyDescent="0.25">
      <c r="A3797" s="14">
        <v>758703</v>
      </c>
      <c r="B3797" s="14" t="s">
        <v>3918</v>
      </c>
      <c r="C3797" s="14" t="s">
        <v>13031</v>
      </c>
      <c r="D3797" s="15">
        <v>10.37</v>
      </c>
      <c r="E3797" s="16" t="s">
        <v>30</v>
      </c>
    </row>
    <row r="3798" spans="1:5" x14ac:dyDescent="0.25">
      <c r="A3798" s="14">
        <v>758704</v>
      </c>
      <c r="B3798" s="14" t="s">
        <v>3919</v>
      </c>
      <c r="C3798" s="14" t="s">
        <v>13031</v>
      </c>
      <c r="D3798" s="15">
        <v>84</v>
      </c>
      <c r="E3798" s="16" t="s">
        <v>30</v>
      </c>
    </row>
    <row r="3799" spans="1:5" x14ac:dyDescent="0.25">
      <c r="A3799" s="14">
        <v>759475</v>
      </c>
      <c r="B3799" s="14" t="s">
        <v>3920</v>
      </c>
      <c r="C3799" s="14" t="s">
        <v>13036</v>
      </c>
      <c r="D3799" s="15">
        <v>0.3</v>
      </c>
      <c r="E3799" s="16" t="s">
        <v>30</v>
      </c>
    </row>
    <row r="3800" spans="1:5" x14ac:dyDescent="0.25">
      <c r="A3800" s="14">
        <v>759553</v>
      </c>
      <c r="B3800" s="14" t="s">
        <v>3921</v>
      </c>
      <c r="C3800" s="14" t="s">
        <v>13029</v>
      </c>
      <c r="D3800" s="15">
        <v>50.96</v>
      </c>
      <c r="E3800" s="14" t="s">
        <v>30</v>
      </c>
    </row>
    <row r="3801" spans="1:5" x14ac:dyDescent="0.25">
      <c r="A3801" s="14">
        <v>759554</v>
      </c>
      <c r="B3801" s="14" t="s">
        <v>3922</v>
      </c>
      <c r="C3801" s="14" t="s">
        <v>13029</v>
      </c>
      <c r="D3801" s="15">
        <v>50.37</v>
      </c>
      <c r="E3801" s="14" t="s">
        <v>30</v>
      </c>
    </row>
    <row r="3802" spans="1:5" x14ac:dyDescent="0.25">
      <c r="A3802" s="14">
        <v>759555</v>
      </c>
      <c r="B3802" s="14" t="s">
        <v>3923</v>
      </c>
      <c r="C3802" s="14" t="s">
        <v>13029</v>
      </c>
      <c r="D3802" s="15">
        <v>50.37</v>
      </c>
      <c r="E3802" s="14" t="s">
        <v>30</v>
      </c>
    </row>
    <row r="3803" spans="1:5" x14ac:dyDescent="0.25">
      <c r="A3803" s="14">
        <v>720930</v>
      </c>
      <c r="B3803" s="14" t="s">
        <v>3924</v>
      </c>
      <c r="C3803" s="14" t="s">
        <v>13031</v>
      </c>
      <c r="D3803" s="15">
        <v>9.74</v>
      </c>
      <c r="E3803" s="16" t="s">
        <v>20</v>
      </c>
    </row>
    <row r="3804" spans="1:5" x14ac:dyDescent="0.25">
      <c r="A3804" s="14">
        <v>759561</v>
      </c>
      <c r="B3804" s="14" t="s">
        <v>3925</v>
      </c>
      <c r="C3804" s="14" t="s">
        <v>13029</v>
      </c>
      <c r="D3804" s="15">
        <v>20</v>
      </c>
      <c r="E3804" s="16" t="s">
        <v>30</v>
      </c>
    </row>
    <row r="3805" spans="1:5" x14ac:dyDescent="0.25">
      <c r="A3805" s="14">
        <v>759566</v>
      </c>
      <c r="B3805" s="14" t="s">
        <v>3926</v>
      </c>
      <c r="C3805" s="14" t="s">
        <v>13029</v>
      </c>
      <c r="D3805" s="15">
        <v>25</v>
      </c>
      <c r="E3805" s="16" t="s">
        <v>30</v>
      </c>
    </row>
    <row r="3806" spans="1:5" x14ac:dyDescent="0.25">
      <c r="A3806" s="14">
        <v>759567</v>
      </c>
      <c r="B3806" s="14" t="s">
        <v>3927</v>
      </c>
      <c r="C3806" s="14" t="s">
        <v>13029</v>
      </c>
      <c r="D3806" s="15">
        <v>21.1</v>
      </c>
      <c r="E3806" s="16" t="s">
        <v>30</v>
      </c>
    </row>
    <row r="3807" spans="1:5" x14ac:dyDescent="0.25">
      <c r="A3807" s="14">
        <v>759568</v>
      </c>
      <c r="B3807" s="14" t="s">
        <v>3928</v>
      </c>
      <c r="C3807" s="14" t="s">
        <v>13029</v>
      </c>
      <c r="D3807" s="15">
        <v>25</v>
      </c>
      <c r="E3807" s="16" t="s">
        <v>30</v>
      </c>
    </row>
    <row r="3808" spans="1:5" x14ac:dyDescent="0.25">
      <c r="A3808" s="14">
        <v>759577</v>
      </c>
      <c r="B3808" s="14" t="s">
        <v>3929</v>
      </c>
      <c r="C3808" s="14" t="s">
        <v>13030</v>
      </c>
      <c r="D3808" s="15">
        <v>20.100000000000001</v>
      </c>
      <c r="E3808" s="16" t="s">
        <v>30</v>
      </c>
    </row>
    <row r="3809" spans="1:5" x14ac:dyDescent="0.25">
      <c r="A3809" s="14">
        <v>723876</v>
      </c>
      <c r="B3809" s="14" t="s">
        <v>3930</v>
      </c>
      <c r="C3809" s="14" t="s">
        <v>13031</v>
      </c>
      <c r="D3809" s="15">
        <v>10.65</v>
      </c>
      <c r="E3809" s="16" t="s">
        <v>20</v>
      </c>
    </row>
    <row r="3810" spans="1:5" x14ac:dyDescent="0.25">
      <c r="A3810" s="14">
        <v>727300</v>
      </c>
      <c r="B3810" s="14" t="s">
        <v>3931</v>
      </c>
      <c r="C3810" s="14" t="s">
        <v>13031</v>
      </c>
      <c r="D3810" s="15">
        <v>3.95</v>
      </c>
      <c r="E3810" s="16" t="s">
        <v>20</v>
      </c>
    </row>
    <row r="3811" spans="1:5" x14ac:dyDescent="0.25">
      <c r="A3811" s="14">
        <v>759585</v>
      </c>
      <c r="B3811" s="14" t="s">
        <v>3932</v>
      </c>
      <c r="C3811" s="14" t="s">
        <v>13030</v>
      </c>
      <c r="D3811" s="15">
        <v>24.66</v>
      </c>
      <c r="E3811" s="16" t="s">
        <v>30</v>
      </c>
    </row>
    <row r="3812" spans="1:5" x14ac:dyDescent="0.25">
      <c r="A3812" s="14">
        <v>759586</v>
      </c>
      <c r="B3812" s="14" t="s">
        <v>3933</v>
      </c>
      <c r="C3812" s="14" t="s">
        <v>13030</v>
      </c>
      <c r="D3812" s="15">
        <v>46.81</v>
      </c>
      <c r="E3812" s="16" t="s">
        <v>30</v>
      </c>
    </row>
    <row r="3813" spans="1:5" x14ac:dyDescent="0.25">
      <c r="A3813" s="14">
        <v>759587</v>
      </c>
      <c r="B3813" s="14" t="s">
        <v>3934</v>
      </c>
      <c r="C3813" s="14" t="s">
        <v>13030</v>
      </c>
      <c r="D3813" s="15">
        <v>40.28</v>
      </c>
      <c r="E3813" s="16" t="s">
        <v>30</v>
      </c>
    </row>
    <row r="3814" spans="1:5" x14ac:dyDescent="0.25">
      <c r="A3814" s="14">
        <v>749927</v>
      </c>
      <c r="B3814" s="14" t="s">
        <v>3935</v>
      </c>
      <c r="C3814" s="14" t="s">
        <v>13030</v>
      </c>
      <c r="D3814" s="15">
        <v>40.51</v>
      </c>
      <c r="E3814" s="16" t="s">
        <v>20</v>
      </c>
    </row>
    <row r="3815" spans="1:5" x14ac:dyDescent="0.25">
      <c r="A3815" s="14">
        <v>759588</v>
      </c>
      <c r="B3815" s="14" t="s">
        <v>3936</v>
      </c>
      <c r="C3815" s="14" t="s">
        <v>13030</v>
      </c>
      <c r="D3815" s="15">
        <v>117.46</v>
      </c>
      <c r="E3815" s="16" t="s">
        <v>30</v>
      </c>
    </row>
    <row r="3816" spans="1:5" x14ac:dyDescent="0.25">
      <c r="A3816" s="14">
        <v>759591</v>
      </c>
      <c r="B3816" s="14" t="s">
        <v>3937</v>
      </c>
      <c r="C3816" s="14" t="s">
        <v>13031</v>
      </c>
      <c r="D3816" s="15">
        <v>3.87</v>
      </c>
      <c r="E3816" s="16" t="s">
        <v>30</v>
      </c>
    </row>
    <row r="3817" spans="1:5" x14ac:dyDescent="0.25">
      <c r="A3817" s="14">
        <v>759592</v>
      </c>
      <c r="B3817" s="14" t="s">
        <v>3938</v>
      </c>
      <c r="C3817" s="14" t="s">
        <v>13031</v>
      </c>
      <c r="D3817" s="15">
        <v>6.23</v>
      </c>
      <c r="E3817" s="16" t="s">
        <v>30</v>
      </c>
    </row>
    <row r="3818" spans="1:5" x14ac:dyDescent="0.25">
      <c r="A3818" s="14">
        <v>759598</v>
      </c>
      <c r="B3818" s="14" t="s">
        <v>3939</v>
      </c>
      <c r="C3818" s="14" t="s">
        <v>13029</v>
      </c>
      <c r="D3818" s="15">
        <v>9.65</v>
      </c>
      <c r="E3818" s="16" t="s">
        <v>30</v>
      </c>
    </row>
    <row r="3819" spans="1:5" x14ac:dyDescent="0.25">
      <c r="A3819" s="14">
        <v>759599</v>
      </c>
      <c r="B3819" s="14" t="s">
        <v>3940</v>
      </c>
      <c r="C3819" s="14" t="s">
        <v>13029</v>
      </c>
      <c r="D3819" s="15">
        <v>24.5</v>
      </c>
      <c r="E3819" s="16" t="s">
        <v>30</v>
      </c>
    </row>
    <row r="3820" spans="1:5" x14ac:dyDescent="0.25">
      <c r="A3820" s="14">
        <v>759601</v>
      </c>
      <c r="B3820" s="14" t="s">
        <v>3941</v>
      </c>
      <c r="C3820" s="14" t="s">
        <v>13031</v>
      </c>
      <c r="D3820" s="15">
        <v>2.31</v>
      </c>
      <c r="E3820" s="16" t="s">
        <v>30</v>
      </c>
    </row>
    <row r="3821" spans="1:5" x14ac:dyDescent="0.25">
      <c r="A3821" s="14">
        <v>759602</v>
      </c>
      <c r="B3821" s="14" t="s">
        <v>3942</v>
      </c>
      <c r="C3821" s="14" t="s">
        <v>13031</v>
      </c>
      <c r="D3821" s="15">
        <v>2.31</v>
      </c>
      <c r="E3821" s="16" t="s">
        <v>30</v>
      </c>
    </row>
    <row r="3822" spans="1:5" x14ac:dyDescent="0.25">
      <c r="A3822" s="14">
        <v>759704</v>
      </c>
      <c r="B3822" s="14" t="s">
        <v>3943</v>
      </c>
      <c r="C3822" s="14" t="s">
        <v>13029</v>
      </c>
      <c r="D3822" s="15">
        <v>2.2799999999999998</v>
      </c>
      <c r="E3822" s="16" t="s">
        <v>30</v>
      </c>
    </row>
    <row r="3823" spans="1:5" x14ac:dyDescent="0.25">
      <c r="A3823" s="14">
        <v>759705</v>
      </c>
      <c r="B3823" s="14" t="s">
        <v>3944</v>
      </c>
      <c r="C3823" s="14" t="s">
        <v>13029</v>
      </c>
      <c r="D3823" s="15">
        <v>3.59</v>
      </c>
      <c r="E3823" s="16" t="s">
        <v>30</v>
      </c>
    </row>
    <row r="3824" spans="1:5" x14ac:dyDescent="0.25">
      <c r="A3824" s="14">
        <v>759706</v>
      </c>
      <c r="B3824" s="14" t="s">
        <v>3945</v>
      </c>
      <c r="C3824" s="14" t="s">
        <v>13029</v>
      </c>
      <c r="D3824" s="15">
        <v>5.64</v>
      </c>
      <c r="E3824" s="16" t="s">
        <v>30</v>
      </c>
    </row>
    <row r="3825" spans="1:5" x14ac:dyDescent="0.25">
      <c r="A3825" s="14">
        <v>759707</v>
      </c>
      <c r="B3825" s="14" t="s">
        <v>3946</v>
      </c>
      <c r="C3825" s="14" t="s">
        <v>13029</v>
      </c>
      <c r="D3825" s="15">
        <v>4.74</v>
      </c>
      <c r="E3825" s="16" t="s">
        <v>30</v>
      </c>
    </row>
    <row r="3826" spans="1:5" x14ac:dyDescent="0.25">
      <c r="A3826" s="14">
        <v>759708</v>
      </c>
      <c r="B3826" s="14" t="s">
        <v>3947</v>
      </c>
      <c r="C3826" s="14" t="s">
        <v>13029</v>
      </c>
      <c r="D3826" s="15">
        <v>2.73</v>
      </c>
      <c r="E3826" s="16" t="s">
        <v>30</v>
      </c>
    </row>
    <row r="3827" spans="1:5" x14ac:dyDescent="0.25">
      <c r="A3827" s="14">
        <v>759709</v>
      </c>
      <c r="B3827" s="14" t="s">
        <v>3948</v>
      </c>
      <c r="C3827" s="14" t="s">
        <v>13029</v>
      </c>
      <c r="D3827" s="15">
        <v>4.84</v>
      </c>
      <c r="E3827" s="16" t="s">
        <v>30</v>
      </c>
    </row>
    <row r="3828" spans="1:5" x14ac:dyDescent="0.25">
      <c r="A3828" s="14">
        <v>759710</v>
      </c>
      <c r="B3828" s="14" t="s">
        <v>3949</v>
      </c>
      <c r="C3828" s="14" t="s">
        <v>13029</v>
      </c>
      <c r="D3828" s="15">
        <v>11.12</v>
      </c>
      <c r="E3828" s="16" t="s">
        <v>30</v>
      </c>
    </row>
    <row r="3829" spans="1:5" x14ac:dyDescent="0.25">
      <c r="A3829" s="14">
        <v>759711</v>
      </c>
      <c r="B3829" s="14" t="s">
        <v>3950</v>
      </c>
      <c r="C3829" s="14" t="s">
        <v>13029</v>
      </c>
      <c r="D3829" s="15">
        <v>1.55</v>
      </c>
      <c r="E3829" s="16" t="s">
        <v>30</v>
      </c>
    </row>
    <row r="3830" spans="1:5" x14ac:dyDescent="0.25">
      <c r="A3830" s="14">
        <v>759712</v>
      </c>
      <c r="B3830" s="14" t="s">
        <v>3951</v>
      </c>
      <c r="C3830" s="14" t="s">
        <v>13029</v>
      </c>
      <c r="D3830" s="15">
        <v>2.62</v>
      </c>
      <c r="E3830" s="16" t="s">
        <v>30</v>
      </c>
    </row>
    <row r="3831" spans="1:5" x14ac:dyDescent="0.25">
      <c r="A3831" s="14">
        <v>759873</v>
      </c>
      <c r="B3831" s="14" t="s">
        <v>3952</v>
      </c>
      <c r="C3831" s="14" t="s">
        <v>13029</v>
      </c>
      <c r="D3831" s="15">
        <v>21.79</v>
      </c>
      <c r="E3831" s="16" t="s">
        <v>30</v>
      </c>
    </row>
    <row r="3832" spans="1:5" x14ac:dyDescent="0.25">
      <c r="A3832" s="14">
        <v>759874</v>
      </c>
      <c r="B3832" s="14" t="s">
        <v>3953</v>
      </c>
      <c r="C3832" s="14" t="s">
        <v>13029</v>
      </c>
      <c r="D3832" s="15">
        <v>19.61</v>
      </c>
      <c r="E3832" s="16" t="s">
        <v>30</v>
      </c>
    </row>
    <row r="3833" spans="1:5" x14ac:dyDescent="0.25">
      <c r="A3833" s="14">
        <v>759875</v>
      </c>
      <c r="B3833" s="14" t="s">
        <v>3954</v>
      </c>
      <c r="C3833" s="14" t="s">
        <v>13029</v>
      </c>
      <c r="D3833" s="15">
        <v>21.79</v>
      </c>
      <c r="E3833" s="16" t="s">
        <v>30</v>
      </c>
    </row>
    <row r="3834" spans="1:5" x14ac:dyDescent="0.25">
      <c r="A3834" s="14">
        <v>759876</v>
      </c>
      <c r="B3834" s="14" t="s">
        <v>3955</v>
      </c>
      <c r="C3834" s="14" t="s">
        <v>13029</v>
      </c>
      <c r="D3834" s="15">
        <v>30.54</v>
      </c>
      <c r="E3834" s="16" t="s">
        <v>30</v>
      </c>
    </row>
    <row r="3835" spans="1:5" x14ac:dyDescent="0.25">
      <c r="A3835" s="14">
        <v>759877</v>
      </c>
      <c r="B3835" s="14" t="s">
        <v>3956</v>
      </c>
      <c r="C3835" s="14" t="s">
        <v>13029</v>
      </c>
      <c r="D3835" s="15">
        <v>37.83</v>
      </c>
      <c r="E3835" s="16" t="s">
        <v>30</v>
      </c>
    </row>
    <row r="3836" spans="1:5" x14ac:dyDescent="0.25">
      <c r="A3836" s="14">
        <v>760227</v>
      </c>
      <c r="B3836" s="14" t="s">
        <v>3957</v>
      </c>
      <c r="C3836" s="14" t="s">
        <v>13029</v>
      </c>
      <c r="D3836" s="15">
        <v>9.4499999999999993</v>
      </c>
      <c r="E3836" s="16" t="s">
        <v>30</v>
      </c>
    </row>
    <row r="3837" spans="1:5" x14ac:dyDescent="0.25">
      <c r="A3837" s="14">
        <v>760285</v>
      </c>
      <c r="B3837" s="14" t="s">
        <v>3958</v>
      </c>
      <c r="C3837" s="14" t="s">
        <v>13031</v>
      </c>
      <c r="D3837" s="15">
        <v>2.2000000000000002</v>
      </c>
      <c r="E3837" s="16" t="s">
        <v>30</v>
      </c>
    </row>
    <row r="3838" spans="1:5" x14ac:dyDescent="0.25">
      <c r="A3838" s="14">
        <v>760286</v>
      </c>
      <c r="B3838" s="14" t="s">
        <v>3959</v>
      </c>
      <c r="C3838" s="14" t="s">
        <v>13031</v>
      </c>
      <c r="D3838" s="15">
        <v>4.25</v>
      </c>
      <c r="E3838" s="16" t="s">
        <v>30</v>
      </c>
    </row>
    <row r="3839" spans="1:5" x14ac:dyDescent="0.25">
      <c r="A3839" s="14">
        <v>761109</v>
      </c>
      <c r="B3839" s="14" t="s">
        <v>3960</v>
      </c>
      <c r="C3839" s="14" t="s">
        <v>13031</v>
      </c>
      <c r="D3839" s="15">
        <v>6.8</v>
      </c>
      <c r="E3839" s="16" t="s">
        <v>30</v>
      </c>
    </row>
    <row r="3840" spans="1:5" x14ac:dyDescent="0.25">
      <c r="A3840" s="14">
        <v>761110</v>
      </c>
      <c r="B3840" s="14" t="s">
        <v>3961</v>
      </c>
      <c r="C3840" s="14" t="s">
        <v>13031</v>
      </c>
      <c r="D3840" s="15">
        <v>7</v>
      </c>
      <c r="E3840" s="16" t="s">
        <v>30</v>
      </c>
    </row>
    <row r="3841" spans="1:5" x14ac:dyDescent="0.25">
      <c r="A3841" s="14">
        <v>761111</v>
      </c>
      <c r="B3841" s="14" t="s">
        <v>3962</v>
      </c>
      <c r="C3841" s="14" t="s">
        <v>13031</v>
      </c>
      <c r="D3841" s="15">
        <v>4.8</v>
      </c>
      <c r="E3841" s="16" t="s">
        <v>30</v>
      </c>
    </row>
    <row r="3842" spans="1:5" x14ac:dyDescent="0.25">
      <c r="A3842" s="14">
        <v>733124</v>
      </c>
      <c r="B3842" s="14" t="s">
        <v>3963</v>
      </c>
      <c r="C3842" s="14" t="s">
        <v>13031</v>
      </c>
      <c r="D3842" s="15">
        <v>95</v>
      </c>
      <c r="E3842" s="16" t="s">
        <v>20</v>
      </c>
    </row>
    <row r="3843" spans="1:5" x14ac:dyDescent="0.25">
      <c r="A3843" s="14">
        <v>733177</v>
      </c>
      <c r="B3843" s="14" t="s">
        <v>3964</v>
      </c>
      <c r="C3843" s="14" t="s">
        <v>13031</v>
      </c>
      <c r="D3843" s="15">
        <v>11.7</v>
      </c>
      <c r="E3843" s="16" t="s">
        <v>20</v>
      </c>
    </row>
    <row r="3844" spans="1:5" x14ac:dyDescent="0.25">
      <c r="A3844" s="14">
        <v>734616</v>
      </c>
      <c r="B3844" s="14" t="s">
        <v>3965</v>
      </c>
      <c r="C3844" s="14" t="s">
        <v>13031</v>
      </c>
      <c r="D3844" s="15">
        <v>6.41</v>
      </c>
      <c r="E3844" s="16" t="s">
        <v>20</v>
      </c>
    </row>
    <row r="3845" spans="1:5" x14ac:dyDescent="0.25">
      <c r="A3845" s="14">
        <v>736118</v>
      </c>
      <c r="B3845" s="14" t="s">
        <v>3966</v>
      </c>
      <c r="C3845" s="14" t="s">
        <v>13031</v>
      </c>
      <c r="D3845" s="15">
        <v>14.83</v>
      </c>
      <c r="E3845" s="16" t="s">
        <v>20</v>
      </c>
    </row>
    <row r="3846" spans="1:5" x14ac:dyDescent="0.25">
      <c r="A3846" s="14">
        <v>740113</v>
      </c>
      <c r="B3846" s="14" t="s">
        <v>3967</v>
      </c>
      <c r="C3846" s="14" t="s">
        <v>13031</v>
      </c>
      <c r="D3846" s="15">
        <v>13.09</v>
      </c>
      <c r="E3846" s="16" t="s">
        <v>20</v>
      </c>
    </row>
    <row r="3847" spans="1:5" x14ac:dyDescent="0.25">
      <c r="A3847" s="14">
        <v>761112</v>
      </c>
      <c r="B3847" s="14" t="s">
        <v>3968</v>
      </c>
      <c r="C3847" s="14" t="s">
        <v>13031</v>
      </c>
      <c r="D3847" s="15">
        <v>6.2</v>
      </c>
      <c r="E3847" s="16" t="s">
        <v>30</v>
      </c>
    </row>
    <row r="3848" spans="1:5" x14ac:dyDescent="0.25">
      <c r="A3848" s="14">
        <v>741549</v>
      </c>
      <c r="B3848" s="14" t="s">
        <v>3969</v>
      </c>
      <c r="C3848" s="14" t="s">
        <v>13031</v>
      </c>
      <c r="D3848" s="15">
        <v>13.03</v>
      </c>
      <c r="E3848" s="16" t="s">
        <v>20</v>
      </c>
    </row>
    <row r="3849" spans="1:5" x14ac:dyDescent="0.25">
      <c r="A3849" s="14">
        <v>750559</v>
      </c>
      <c r="B3849" s="14" t="s">
        <v>3970</v>
      </c>
      <c r="C3849" s="14" t="s">
        <v>13031</v>
      </c>
      <c r="D3849" s="15">
        <v>20.85</v>
      </c>
      <c r="E3849" s="16" t="s">
        <v>20</v>
      </c>
    </row>
    <row r="3850" spans="1:5" x14ac:dyDescent="0.25">
      <c r="A3850" s="14">
        <v>750560</v>
      </c>
      <c r="B3850" s="14" t="s">
        <v>3971</v>
      </c>
      <c r="C3850" s="14" t="s">
        <v>13031</v>
      </c>
      <c r="D3850" s="15">
        <v>15.78</v>
      </c>
      <c r="E3850" s="16" t="s">
        <v>20</v>
      </c>
    </row>
    <row r="3851" spans="1:5" x14ac:dyDescent="0.25">
      <c r="A3851" s="14">
        <v>750561</v>
      </c>
      <c r="B3851" s="14" t="s">
        <v>3972</v>
      </c>
      <c r="C3851" s="14" t="s">
        <v>13031</v>
      </c>
      <c r="D3851" s="15">
        <v>12.57</v>
      </c>
      <c r="E3851" s="16" t="s">
        <v>20</v>
      </c>
    </row>
    <row r="3852" spans="1:5" x14ac:dyDescent="0.25">
      <c r="A3852" s="14">
        <v>750563</v>
      </c>
      <c r="B3852" s="14" t="s">
        <v>3973</v>
      </c>
      <c r="C3852" s="14" t="s">
        <v>13031</v>
      </c>
      <c r="D3852" s="15">
        <v>14.97</v>
      </c>
      <c r="E3852" s="16" t="s">
        <v>20</v>
      </c>
    </row>
    <row r="3853" spans="1:5" x14ac:dyDescent="0.25">
      <c r="A3853" s="14">
        <v>761113</v>
      </c>
      <c r="B3853" s="14" t="s">
        <v>3974</v>
      </c>
      <c r="C3853" s="14" t="s">
        <v>13031</v>
      </c>
      <c r="D3853" s="15">
        <v>6.3</v>
      </c>
      <c r="E3853" s="16" t="s">
        <v>30</v>
      </c>
    </row>
    <row r="3854" spans="1:5" x14ac:dyDescent="0.25">
      <c r="A3854" s="14">
        <v>761114</v>
      </c>
      <c r="B3854" s="14" t="s">
        <v>3975</v>
      </c>
      <c r="C3854" s="14" t="s">
        <v>13031</v>
      </c>
      <c r="D3854" s="15">
        <v>6.3</v>
      </c>
      <c r="E3854" s="16" t="s">
        <v>30</v>
      </c>
    </row>
    <row r="3855" spans="1:5" x14ac:dyDescent="0.25">
      <c r="A3855" s="14">
        <v>761118</v>
      </c>
      <c r="B3855" s="14" t="s">
        <v>3976</v>
      </c>
      <c r="C3855" s="14" t="s">
        <v>13031</v>
      </c>
      <c r="D3855" s="15">
        <v>4.74</v>
      </c>
      <c r="E3855" s="16" t="s">
        <v>30</v>
      </c>
    </row>
    <row r="3856" spans="1:5" x14ac:dyDescent="0.25">
      <c r="A3856" s="14">
        <v>761119</v>
      </c>
      <c r="B3856" s="14" t="s">
        <v>3977</v>
      </c>
      <c r="C3856" s="14" t="s">
        <v>13031</v>
      </c>
      <c r="D3856" s="15">
        <v>4.74</v>
      </c>
      <c r="E3856" s="16" t="s">
        <v>30</v>
      </c>
    </row>
    <row r="3857" spans="1:5" x14ac:dyDescent="0.25">
      <c r="A3857" s="14">
        <v>750564</v>
      </c>
      <c r="B3857" s="14" t="s">
        <v>3978</v>
      </c>
      <c r="C3857" s="14" t="s">
        <v>13031</v>
      </c>
      <c r="D3857" s="15">
        <v>11.9</v>
      </c>
      <c r="E3857" s="16" t="s">
        <v>20</v>
      </c>
    </row>
    <row r="3858" spans="1:5" x14ac:dyDescent="0.25">
      <c r="A3858" s="14">
        <v>750568</v>
      </c>
      <c r="B3858" s="14" t="s">
        <v>3979</v>
      </c>
      <c r="C3858" s="14" t="s">
        <v>13031</v>
      </c>
      <c r="D3858" s="15">
        <v>19</v>
      </c>
      <c r="E3858" s="16" t="s">
        <v>20</v>
      </c>
    </row>
    <row r="3859" spans="1:5" x14ac:dyDescent="0.25">
      <c r="A3859" s="14">
        <v>750569</v>
      </c>
      <c r="B3859" s="14" t="s">
        <v>3980</v>
      </c>
      <c r="C3859" s="14" t="s">
        <v>13031</v>
      </c>
      <c r="D3859" s="15">
        <v>47.35</v>
      </c>
      <c r="E3859" s="16" t="s">
        <v>20</v>
      </c>
    </row>
    <row r="3860" spans="1:5" x14ac:dyDescent="0.25">
      <c r="A3860" s="14">
        <v>758339</v>
      </c>
      <c r="B3860" s="14" t="s">
        <v>3981</v>
      </c>
      <c r="C3860" s="14" t="s">
        <v>13030</v>
      </c>
      <c r="D3860" s="15">
        <v>41.25</v>
      </c>
      <c r="E3860" s="16" t="s">
        <v>20</v>
      </c>
    </row>
    <row r="3861" spans="1:5" x14ac:dyDescent="0.25">
      <c r="A3861" s="14">
        <v>761120</v>
      </c>
      <c r="B3861" s="14" t="s">
        <v>3982</v>
      </c>
      <c r="C3861" s="14" t="s">
        <v>13031</v>
      </c>
      <c r="D3861" s="15">
        <v>4.74</v>
      </c>
      <c r="E3861" s="16" t="s">
        <v>30</v>
      </c>
    </row>
    <row r="3862" spans="1:5" x14ac:dyDescent="0.25">
      <c r="A3862" s="14">
        <v>761121</v>
      </c>
      <c r="B3862" s="14" t="s">
        <v>3983</v>
      </c>
      <c r="C3862" s="14" t="s">
        <v>13031</v>
      </c>
      <c r="D3862" s="15">
        <v>4.74</v>
      </c>
      <c r="E3862" s="16" t="s">
        <v>30</v>
      </c>
    </row>
    <row r="3863" spans="1:5" x14ac:dyDescent="0.25">
      <c r="A3863" s="14">
        <v>761122</v>
      </c>
      <c r="B3863" s="14" t="s">
        <v>3984</v>
      </c>
      <c r="C3863" s="14" t="s">
        <v>13031</v>
      </c>
      <c r="D3863" s="15">
        <v>4.37</v>
      </c>
      <c r="E3863" s="16" t="s">
        <v>30</v>
      </c>
    </row>
    <row r="3864" spans="1:5" x14ac:dyDescent="0.25">
      <c r="A3864" s="14">
        <v>761123</v>
      </c>
      <c r="B3864" s="14" t="s">
        <v>3985</v>
      </c>
      <c r="C3864" s="14" t="s">
        <v>13031</v>
      </c>
      <c r="D3864" s="15">
        <v>4.74</v>
      </c>
      <c r="E3864" s="16" t="s">
        <v>30</v>
      </c>
    </row>
    <row r="3865" spans="1:5" x14ac:dyDescent="0.25">
      <c r="A3865" s="14">
        <v>761124</v>
      </c>
      <c r="B3865" s="14" t="s">
        <v>3986</v>
      </c>
      <c r="C3865" s="14" t="s">
        <v>13031</v>
      </c>
      <c r="D3865" s="15">
        <v>4.74</v>
      </c>
      <c r="E3865" s="16" t="s">
        <v>30</v>
      </c>
    </row>
    <row r="3866" spans="1:5" x14ac:dyDescent="0.25">
      <c r="A3866" s="14">
        <v>761128</v>
      </c>
      <c r="B3866" s="14" t="s">
        <v>3987</v>
      </c>
      <c r="C3866" s="14" t="s">
        <v>13031</v>
      </c>
      <c r="D3866" s="15">
        <v>7</v>
      </c>
      <c r="E3866" s="16" t="s">
        <v>30</v>
      </c>
    </row>
    <row r="3867" spans="1:5" x14ac:dyDescent="0.25">
      <c r="A3867" s="14">
        <v>761129</v>
      </c>
      <c r="B3867" s="14" t="s">
        <v>3988</v>
      </c>
      <c r="C3867" s="14" t="s">
        <v>13031</v>
      </c>
      <c r="D3867" s="15">
        <v>7</v>
      </c>
      <c r="E3867" s="16" t="s">
        <v>30</v>
      </c>
    </row>
    <row r="3868" spans="1:5" x14ac:dyDescent="0.25">
      <c r="A3868" s="14">
        <v>761130</v>
      </c>
      <c r="B3868" s="14" t="s">
        <v>3989</v>
      </c>
      <c r="C3868" s="14" t="s">
        <v>13031</v>
      </c>
      <c r="D3868" s="15">
        <v>4</v>
      </c>
      <c r="E3868" s="16" t="s">
        <v>30</v>
      </c>
    </row>
    <row r="3869" spans="1:5" x14ac:dyDescent="0.25">
      <c r="A3869" s="14">
        <v>761220</v>
      </c>
      <c r="B3869" s="14" t="s">
        <v>3990</v>
      </c>
      <c r="C3869" s="14" t="s">
        <v>13031</v>
      </c>
      <c r="D3869" s="15">
        <v>13.34</v>
      </c>
      <c r="E3869" s="16" t="s">
        <v>30</v>
      </c>
    </row>
    <row r="3870" spans="1:5" x14ac:dyDescent="0.25">
      <c r="A3870" s="14">
        <v>761232</v>
      </c>
      <c r="B3870" s="14" t="s">
        <v>3991</v>
      </c>
      <c r="C3870" s="14" t="s">
        <v>13031</v>
      </c>
      <c r="D3870" s="15">
        <v>12.75</v>
      </c>
      <c r="E3870" s="16" t="s">
        <v>30</v>
      </c>
    </row>
    <row r="3871" spans="1:5" x14ac:dyDescent="0.25">
      <c r="A3871" s="14">
        <v>761233</v>
      </c>
      <c r="B3871" s="14" t="s">
        <v>3992</v>
      </c>
      <c r="C3871" s="14" t="s">
        <v>13031</v>
      </c>
      <c r="D3871" s="15">
        <v>12.75</v>
      </c>
      <c r="E3871" s="16" t="s">
        <v>30</v>
      </c>
    </row>
    <row r="3872" spans="1:5" x14ac:dyDescent="0.25">
      <c r="A3872" s="14">
        <v>761234</v>
      </c>
      <c r="B3872" s="14" t="s">
        <v>3993</v>
      </c>
      <c r="C3872" s="14" t="s">
        <v>13031</v>
      </c>
      <c r="D3872" s="15">
        <v>55.25</v>
      </c>
      <c r="E3872" s="16" t="s">
        <v>30</v>
      </c>
    </row>
    <row r="3873" spans="1:5" x14ac:dyDescent="0.25">
      <c r="A3873" s="14">
        <v>761235</v>
      </c>
      <c r="B3873" s="14" t="s">
        <v>3994</v>
      </c>
      <c r="C3873" s="14" t="s">
        <v>13031</v>
      </c>
      <c r="D3873" s="15">
        <v>61.2</v>
      </c>
      <c r="E3873" s="16" t="s">
        <v>30</v>
      </c>
    </row>
    <row r="3874" spans="1:5" x14ac:dyDescent="0.25">
      <c r="A3874" s="14">
        <v>761236</v>
      </c>
      <c r="B3874" s="14" t="s">
        <v>3995</v>
      </c>
      <c r="C3874" s="14" t="s">
        <v>13031</v>
      </c>
      <c r="D3874" s="15">
        <v>7.23</v>
      </c>
      <c r="E3874" s="16" t="s">
        <v>30</v>
      </c>
    </row>
    <row r="3875" spans="1:5" x14ac:dyDescent="0.25">
      <c r="A3875" s="14">
        <v>761242</v>
      </c>
      <c r="B3875" s="14" t="s">
        <v>3996</v>
      </c>
      <c r="C3875" s="14" t="s">
        <v>13031</v>
      </c>
      <c r="D3875" s="15">
        <v>8.84</v>
      </c>
      <c r="E3875" s="16" t="s">
        <v>30</v>
      </c>
    </row>
    <row r="3876" spans="1:5" x14ac:dyDescent="0.25">
      <c r="A3876" s="14">
        <v>761243</v>
      </c>
      <c r="B3876" s="14" t="s">
        <v>3997</v>
      </c>
      <c r="C3876" s="14" t="s">
        <v>13031</v>
      </c>
      <c r="D3876" s="15">
        <v>11.21</v>
      </c>
      <c r="E3876" s="16" t="s">
        <v>30</v>
      </c>
    </row>
    <row r="3877" spans="1:5" x14ac:dyDescent="0.25">
      <c r="A3877" s="14">
        <v>761244</v>
      </c>
      <c r="B3877" s="14" t="s">
        <v>3998</v>
      </c>
      <c r="C3877" s="14" t="s">
        <v>13031</v>
      </c>
      <c r="D3877" s="15">
        <v>11.21</v>
      </c>
      <c r="E3877" s="16" t="s">
        <v>30</v>
      </c>
    </row>
    <row r="3878" spans="1:5" x14ac:dyDescent="0.25">
      <c r="A3878" s="14">
        <v>761245</v>
      </c>
      <c r="B3878" s="14" t="s">
        <v>3999</v>
      </c>
      <c r="C3878" s="14" t="s">
        <v>13031</v>
      </c>
      <c r="D3878" s="15">
        <v>11.21</v>
      </c>
      <c r="E3878" s="16" t="s">
        <v>30</v>
      </c>
    </row>
    <row r="3879" spans="1:5" x14ac:dyDescent="0.25">
      <c r="A3879" s="14">
        <v>761246</v>
      </c>
      <c r="B3879" s="14" t="s">
        <v>4000</v>
      </c>
      <c r="C3879" s="14" t="s">
        <v>13031</v>
      </c>
      <c r="D3879" s="15">
        <v>11.21</v>
      </c>
      <c r="E3879" s="16" t="s">
        <v>30</v>
      </c>
    </row>
    <row r="3880" spans="1:5" x14ac:dyDescent="0.25">
      <c r="A3880" s="14">
        <v>761262</v>
      </c>
      <c r="B3880" s="14" t="s">
        <v>4001</v>
      </c>
      <c r="C3880" s="14" t="s">
        <v>13030</v>
      </c>
      <c r="D3880" s="15">
        <v>21.25</v>
      </c>
      <c r="E3880" s="16" t="s">
        <v>30</v>
      </c>
    </row>
    <row r="3881" spans="1:5" x14ac:dyDescent="0.25">
      <c r="A3881" s="14">
        <v>761265</v>
      </c>
      <c r="B3881" s="14" t="s">
        <v>4002</v>
      </c>
      <c r="C3881" s="14" t="s">
        <v>13030</v>
      </c>
      <c r="D3881" s="15">
        <v>11.04</v>
      </c>
      <c r="E3881" s="16" t="s">
        <v>30</v>
      </c>
    </row>
    <row r="3882" spans="1:5" x14ac:dyDescent="0.25">
      <c r="A3882" s="14">
        <v>762981</v>
      </c>
      <c r="B3882" s="14" t="s">
        <v>4003</v>
      </c>
      <c r="C3882" s="14" t="s">
        <v>13030</v>
      </c>
      <c r="D3882" s="15">
        <v>1.7</v>
      </c>
      <c r="E3882" s="16" t="s">
        <v>30</v>
      </c>
    </row>
    <row r="3883" spans="1:5" x14ac:dyDescent="0.25">
      <c r="A3883" s="14">
        <v>762982</v>
      </c>
      <c r="B3883" s="14" t="s">
        <v>4004</v>
      </c>
      <c r="C3883" s="14" t="s">
        <v>13030</v>
      </c>
      <c r="D3883" s="15">
        <v>2.0499999999999998</v>
      </c>
      <c r="E3883" s="16" t="s">
        <v>30</v>
      </c>
    </row>
    <row r="3884" spans="1:5" x14ac:dyDescent="0.25">
      <c r="A3884" s="14">
        <v>762983</v>
      </c>
      <c r="B3884" s="14" t="s">
        <v>4005</v>
      </c>
      <c r="C3884" s="14" t="s">
        <v>13030</v>
      </c>
      <c r="D3884" s="15">
        <v>80.540000000000006</v>
      </c>
      <c r="E3884" s="16" t="s">
        <v>30</v>
      </c>
    </row>
    <row r="3885" spans="1:5" x14ac:dyDescent="0.25">
      <c r="A3885" s="14">
        <v>763170</v>
      </c>
      <c r="B3885" s="14" t="s">
        <v>4006</v>
      </c>
      <c r="C3885" s="14" t="s">
        <v>13029</v>
      </c>
      <c r="D3885" s="15">
        <v>27.2</v>
      </c>
      <c r="E3885" s="14" t="s">
        <v>30</v>
      </c>
    </row>
    <row r="3886" spans="1:5" x14ac:dyDescent="0.25">
      <c r="A3886" s="14">
        <v>763175</v>
      </c>
      <c r="B3886" s="14" t="s">
        <v>4007</v>
      </c>
      <c r="C3886" s="14" t="s">
        <v>13029</v>
      </c>
      <c r="D3886" s="15">
        <v>27.2</v>
      </c>
      <c r="E3886" s="16" t="s">
        <v>30</v>
      </c>
    </row>
    <row r="3887" spans="1:5" x14ac:dyDescent="0.25">
      <c r="A3887" s="14">
        <v>763178</v>
      </c>
      <c r="B3887" s="14" t="s">
        <v>4008</v>
      </c>
      <c r="C3887" s="14" t="s">
        <v>13030</v>
      </c>
      <c r="D3887" s="15">
        <v>28.9</v>
      </c>
      <c r="E3887" s="16" t="s">
        <v>30</v>
      </c>
    </row>
    <row r="3888" spans="1:5" x14ac:dyDescent="0.25">
      <c r="A3888" s="14">
        <v>763559</v>
      </c>
      <c r="B3888" s="14" t="s">
        <v>4009</v>
      </c>
      <c r="C3888" s="14" t="s">
        <v>13029</v>
      </c>
      <c r="D3888" s="15">
        <v>5.87</v>
      </c>
      <c r="E3888" s="16" t="s">
        <v>30</v>
      </c>
    </row>
    <row r="3889" spans="1:5" x14ac:dyDescent="0.25">
      <c r="A3889" s="14">
        <v>763563</v>
      </c>
      <c r="B3889" s="14" t="s">
        <v>4010</v>
      </c>
      <c r="C3889" s="14" t="s">
        <v>13029</v>
      </c>
      <c r="D3889" s="15">
        <v>5.87</v>
      </c>
      <c r="E3889" s="16" t="s">
        <v>30</v>
      </c>
    </row>
    <row r="3890" spans="1:5" x14ac:dyDescent="0.25">
      <c r="A3890" s="14">
        <v>765232</v>
      </c>
      <c r="B3890" s="14" t="s">
        <v>4011</v>
      </c>
      <c r="C3890" s="14" t="s">
        <v>13031</v>
      </c>
      <c r="D3890" s="15">
        <v>10.97</v>
      </c>
      <c r="E3890" s="16" t="s">
        <v>30</v>
      </c>
    </row>
    <row r="3891" spans="1:5" x14ac:dyDescent="0.25">
      <c r="A3891" s="14">
        <v>765264</v>
      </c>
      <c r="B3891" s="14" t="s">
        <v>4012</v>
      </c>
      <c r="C3891" s="14" t="s">
        <v>13030</v>
      </c>
      <c r="D3891" s="15">
        <v>27.73</v>
      </c>
      <c r="E3891" s="16" t="s">
        <v>30</v>
      </c>
    </row>
    <row r="3892" spans="1:5" x14ac:dyDescent="0.25">
      <c r="A3892" s="14">
        <v>765265</v>
      </c>
      <c r="B3892" s="14" t="s">
        <v>4013</v>
      </c>
      <c r="C3892" s="14" t="s">
        <v>13030</v>
      </c>
      <c r="D3892" s="15">
        <v>27.73</v>
      </c>
      <c r="E3892" s="16" t="s">
        <v>30</v>
      </c>
    </row>
    <row r="3893" spans="1:5" x14ac:dyDescent="0.25">
      <c r="A3893" s="14">
        <v>765266</v>
      </c>
      <c r="B3893" s="14" t="s">
        <v>4014</v>
      </c>
      <c r="C3893" s="14" t="s">
        <v>13030</v>
      </c>
      <c r="D3893" s="15">
        <v>35.94</v>
      </c>
      <c r="E3893" s="16" t="s">
        <v>30</v>
      </c>
    </row>
    <row r="3894" spans="1:5" x14ac:dyDescent="0.25">
      <c r="A3894" s="14">
        <v>765268</v>
      </c>
      <c r="B3894" s="14" t="s">
        <v>4015</v>
      </c>
      <c r="C3894" s="14" t="s">
        <v>13030</v>
      </c>
      <c r="D3894" s="15">
        <v>22.32</v>
      </c>
      <c r="E3894" s="16" t="s">
        <v>30</v>
      </c>
    </row>
    <row r="3895" spans="1:5" x14ac:dyDescent="0.25">
      <c r="A3895" s="14">
        <v>765690</v>
      </c>
      <c r="B3895" s="14" t="s">
        <v>4016</v>
      </c>
      <c r="C3895" s="14" t="s">
        <v>13029</v>
      </c>
      <c r="D3895" s="15">
        <v>4.09</v>
      </c>
      <c r="E3895" s="16" t="s">
        <v>30</v>
      </c>
    </row>
    <row r="3896" spans="1:5" x14ac:dyDescent="0.25">
      <c r="A3896" s="14">
        <v>765691</v>
      </c>
      <c r="B3896" s="14" t="s">
        <v>4017</v>
      </c>
      <c r="C3896" s="14" t="s">
        <v>13029</v>
      </c>
      <c r="D3896" s="15">
        <v>4.09</v>
      </c>
      <c r="E3896" s="16" t="s">
        <v>30</v>
      </c>
    </row>
    <row r="3897" spans="1:5" x14ac:dyDescent="0.25">
      <c r="A3897" s="14">
        <v>765693</v>
      </c>
      <c r="B3897" s="14" t="s">
        <v>4018</v>
      </c>
      <c r="C3897" s="14" t="s">
        <v>13029</v>
      </c>
      <c r="D3897" s="15">
        <v>4.09</v>
      </c>
      <c r="E3897" s="16" t="s">
        <v>30</v>
      </c>
    </row>
    <row r="3898" spans="1:5" x14ac:dyDescent="0.25">
      <c r="A3898" s="14">
        <v>765694</v>
      </c>
      <c r="B3898" s="14" t="s">
        <v>4019</v>
      </c>
      <c r="C3898" s="14" t="s">
        <v>13029</v>
      </c>
      <c r="D3898" s="15">
        <v>4.09</v>
      </c>
      <c r="E3898" s="16" t="s">
        <v>30</v>
      </c>
    </row>
    <row r="3899" spans="1:5" x14ac:dyDescent="0.25">
      <c r="A3899" s="14">
        <v>765695</v>
      </c>
      <c r="B3899" s="14" t="s">
        <v>4020</v>
      </c>
      <c r="C3899" s="14" t="s">
        <v>13029</v>
      </c>
      <c r="D3899" s="15">
        <v>9.64</v>
      </c>
      <c r="E3899" s="16" t="s">
        <v>30</v>
      </c>
    </row>
    <row r="3900" spans="1:5" x14ac:dyDescent="0.25">
      <c r="A3900" s="14">
        <v>765696</v>
      </c>
      <c r="B3900" s="14" t="s">
        <v>4021</v>
      </c>
      <c r="C3900" s="14" t="s">
        <v>13029</v>
      </c>
      <c r="D3900" s="15">
        <v>9.64</v>
      </c>
      <c r="E3900" s="16" t="s">
        <v>30</v>
      </c>
    </row>
    <row r="3901" spans="1:5" x14ac:dyDescent="0.25">
      <c r="A3901" s="14">
        <v>766543</v>
      </c>
      <c r="B3901" s="14" t="s">
        <v>4022</v>
      </c>
      <c r="C3901" s="14" t="s">
        <v>13031</v>
      </c>
      <c r="D3901" s="15">
        <v>18.68</v>
      </c>
      <c r="E3901" s="16" t="s">
        <v>30</v>
      </c>
    </row>
    <row r="3902" spans="1:5" x14ac:dyDescent="0.25">
      <c r="A3902" s="14">
        <v>766544</v>
      </c>
      <c r="B3902" s="14" t="s">
        <v>4023</v>
      </c>
      <c r="C3902" s="14" t="s">
        <v>13031</v>
      </c>
      <c r="D3902" s="15">
        <v>18.68</v>
      </c>
      <c r="E3902" s="16" t="s">
        <v>30</v>
      </c>
    </row>
    <row r="3903" spans="1:5" x14ac:dyDescent="0.25">
      <c r="A3903" s="14">
        <v>766545</v>
      </c>
      <c r="B3903" s="14" t="s">
        <v>4024</v>
      </c>
      <c r="C3903" s="14" t="s">
        <v>13031</v>
      </c>
      <c r="D3903" s="15">
        <v>16.25</v>
      </c>
      <c r="E3903" s="16" t="s">
        <v>30</v>
      </c>
    </row>
    <row r="3904" spans="1:5" x14ac:dyDescent="0.25">
      <c r="A3904" s="14">
        <v>755916</v>
      </c>
      <c r="B3904" s="14" t="s">
        <v>4025</v>
      </c>
      <c r="C3904" s="14" t="s">
        <v>13030</v>
      </c>
      <c r="D3904" s="15">
        <v>21.82</v>
      </c>
      <c r="E3904" s="16" t="s">
        <v>20</v>
      </c>
    </row>
    <row r="3905" spans="1:5" x14ac:dyDescent="0.25">
      <c r="A3905" s="14">
        <v>766546</v>
      </c>
      <c r="B3905" s="14" t="s">
        <v>4026</v>
      </c>
      <c r="C3905" s="14" t="s">
        <v>13031</v>
      </c>
      <c r="D3905" s="15">
        <v>18.68</v>
      </c>
      <c r="E3905" s="16" t="s">
        <v>30</v>
      </c>
    </row>
    <row r="3906" spans="1:5" x14ac:dyDescent="0.25">
      <c r="A3906" s="14">
        <v>767274</v>
      </c>
      <c r="B3906" s="14" t="s">
        <v>4027</v>
      </c>
      <c r="C3906" s="14" t="s">
        <v>13030</v>
      </c>
      <c r="D3906" s="15">
        <v>61.06</v>
      </c>
      <c r="E3906" s="16" t="s">
        <v>30</v>
      </c>
    </row>
    <row r="3907" spans="1:5" x14ac:dyDescent="0.25">
      <c r="A3907" s="14">
        <v>767275</v>
      </c>
      <c r="B3907" s="14" t="s">
        <v>4028</v>
      </c>
      <c r="C3907" s="14" t="s">
        <v>13030</v>
      </c>
      <c r="D3907" s="15">
        <v>24.95</v>
      </c>
      <c r="E3907" s="16" t="s">
        <v>30</v>
      </c>
    </row>
    <row r="3908" spans="1:5" x14ac:dyDescent="0.25">
      <c r="A3908" s="14">
        <v>767276</v>
      </c>
      <c r="B3908" s="14" t="s">
        <v>4029</v>
      </c>
      <c r="C3908" s="14" t="s">
        <v>13030</v>
      </c>
      <c r="D3908" s="15">
        <v>37.450000000000003</v>
      </c>
      <c r="E3908" s="16" t="s">
        <v>30</v>
      </c>
    </row>
    <row r="3909" spans="1:5" x14ac:dyDescent="0.25">
      <c r="A3909" s="14">
        <v>767277</v>
      </c>
      <c r="B3909" s="14" t="s">
        <v>4030</v>
      </c>
      <c r="C3909" s="14" t="s">
        <v>13030</v>
      </c>
      <c r="D3909" s="15">
        <v>10.71</v>
      </c>
      <c r="E3909" s="16" t="s">
        <v>30</v>
      </c>
    </row>
    <row r="3910" spans="1:5" x14ac:dyDescent="0.25">
      <c r="A3910" s="14">
        <v>767279</v>
      </c>
      <c r="B3910" s="14" t="s">
        <v>4031</v>
      </c>
      <c r="C3910" s="14" t="s">
        <v>13030</v>
      </c>
      <c r="D3910" s="15">
        <v>10.71</v>
      </c>
      <c r="E3910" s="16" t="s">
        <v>30</v>
      </c>
    </row>
    <row r="3911" spans="1:5" x14ac:dyDescent="0.25">
      <c r="A3911" s="14">
        <v>767289</v>
      </c>
      <c r="B3911" s="14" t="s">
        <v>4032</v>
      </c>
      <c r="C3911" s="14" t="s">
        <v>13031</v>
      </c>
      <c r="D3911" s="15">
        <v>10</v>
      </c>
      <c r="E3911" s="16" t="s">
        <v>30</v>
      </c>
    </row>
    <row r="3912" spans="1:5" x14ac:dyDescent="0.25">
      <c r="A3912" s="14">
        <v>767551</v>
      </c>
      <c r="B3912" s="14" t="s">
        <v>4033</v>
      </c>
      <c r="C3912" s="14" t="s">
        <v>13031</v>
      </c>
      <c r="D3912" s="15">
        <v>13.56</v>
      </c>
      <c r="E3912" s="16" t="s">
        <v>30</v>
      </c>
    </row>
    <row r="3913" spans="1:5" x14ac:dyDescent="0.25">
      <c r="A3913" s="14">
        <v>767554</v>
      </c>
      <c r="B3913" s="14" t="s">
        <v>4034</v>
      </c>
      <c r="C3913" s="14" t="s">
        <v>13029</v>
      </c>
      <c r="D3913" s="15">
        <v>26.89</v>
      </c>
      <c r="E3913" s="16" t="s">
        <v>30</v>
      </c>
    </row>
    <row r="3914" spans="1:5" x14ac:dyDescent="0.25">
      <c r="A3914" s="14">
        <v>767555</v>
      </c>
      <c r="B3914" s="14" t="s">
        <v>4035</v>
      </c>
      <c r="C3914" s="14" t="s">
        <v>13029</v>
      </c>
      <c r="D3914" s="15">
        <v>11.8</v>
      </c>
      <c r="E3914" s="14" t="s">
        <v>30</v>
      </c>
    </row>
    <row r="3915" spans="1:5" x14ac:dyDescent="0.25">
      <c r="A3915" s="14">
        <v>767799</v>
      </c>
      <c r="B3915" s="14" t="s">
        <v>4036</v>
      </c>
      <c r="C3915" s="14" t="s">
        <v>13030</v>
      </c>
      <c r="D3915" s="15">
        <v>29.81</v>
      </c>
      <c r="E3915" s="16" t="s">
        <v>30</v>
      </c>
    </row>
    <row r="3916" spans="1:5" x14ac:dyDescent="0.25">
      <c r="A3916" s="14">
        <v>767800</v>
      </c>
      <c r="B3916" s="14" t="s">
        <v>4037</v>
      </c>
      <c r="C3916" s="14" t="s">
        <v>13030</v>
      </c>
      <c r="D3916" s="15">
        <v>24.24</v>
      </c>
      <c r="E3916" s="16" t="s">
        <v>30</v>
      </c>
    </row>
    <row r="3917" spans="1:5" x14ac:dyDescent="0.25">
      <c r="A3917" s="14">
        <v>767801</v>
      </c>
      <c r="B3917" s="14" t="s">
        <v>4038</v>
      </c>
      <c r="C3917" s="14" t="s">
        <v>13030</v>
      </c>
      <c r="D3917" s="15">
        <v>38.15</v>
      </c>
      <c r="E3917" s="16" t="s">
        <v>30</v>
      </c>
    </row>
    <row r="3918" spans="1:5" x14ac:dyDescent="0.25">
      <c r="A3918" s="14">
        <v>767802</v>
      </c>
      <c r="B3918" s="14" t="s">
        <v>4039</v>
      </c>
      <c r="C3918" s="14" t="s">
        <v>13030</v>
      </c>
      <c r="D3918" s="15">
        <v>52.04</v>
      </c>
      <c r="E3918" s="16" t="s">
        <v>30</v>
      </c>
    </row>
    <row r="3919" spans="1:5" x14ac:dyDescent="0.25">
      <c r="A3919" s="14">
        <v>767803</v>
      </c>
      <c r="B3919" s="14" t="s">
        <v>4040</v>
      </c>
      <c r="C3919" s="14" t="s">
        <v>13030</v>
      </c>
      <c r="D3919" s="15">
        <v>41.63</v>
      </c>
      <c r="E3919" s="16" t="s">
        <v>30</v>
      </c>
    </row>
    <row r="3920" spans="1:5" x14ac:dyDescent="0.25">
      <c r="A3920" s="14">
        <v>767804</v>
      </c>
      <c r="B3920" s="14" t="s">
        <v>4041</v>
      </c>
      <c r="C3920" s="14" t="s">
        <v>13030</v>
      </c>
      <c r="D3920" s="15">
        <v>22.77</v>
      </c>
      <c r="E3920" s="16" t="s">
        <v>30</v>
      </c>
    </row>
    <row r="3921" spans="1:5" x14ac:dyDescent="0.25">
      <c r="A3921" s="14">
        <v>767903</v>
      </c>
      <c r="B3921" s="14" t="s">
        <v>4042</v>
      </c>
      <c r="C3921" s="14" t="s">
        <v>13031</v>
      </c>
      <c r="D3921" s="15">
        <v>16.41</v>
      </c>
      <c r="E3921" s="16" t="s">
        <v>30</v>
      </c>
    </row>
    <row r="3922" spans="1:5" x14ac:dyDescent="0.25">
      <c r="A3922" s="14">
        <v>767904</v>
      </c>
      <c r="B3922" s="14" t="s">
        <v>4043</v>
      </c>
      <c r="C3922" s="14" t="s">
        <v>13031</v>
      </c>
      <c r="D3922" s="15">
        <v>22.94</v>
      </c>
      <c r="E3922" s="16" t="s">
        <v>30</v>
      </c>
    </row>
    <row r="3923" spans="1:5" x14ac:dyDescent="0.25">
      <c r="A3923" s="14">
        <v>767905</v>
      </c>
      <c r="B3923" s="14" t="s">
        <v>4044</v>
      </c>
      <c r="C3923" s="14" t="s">
        <v>13031</v>
      </c>
      <c r="D3923" s="15">
        <v>22.94</v>
      </c>
      <c r="E3923" s="16" t="s">
        <v>30</v>
      </c>
    </row>
    <row r="3924" spans="1:5" x14ac:dyDescent="0.25">
      <c r="A3924" s="14">
        <v>767906</v>
      </c>
      <c r="B3924" s="14" t="s">
        <v>4045</v>
      </c>
      <c r="C3924" s="14" t="s">
        <v>13031</v>
      </c>
      <c r="D3924" s="15">
        <v>29.6</v>
      </c>
      <c r="E3924" s="16" t="s">
        <v>30</v>
      </c>
    </row>
    <row r="3925" spans="1:5" x14ac:dyDescent="0.25">
      <c r="A3925" s="14">
        <v>767907</v>
      </c>
      <c r="B3925" s="14" t="s">
        <v>4046</v>
      </c>
      <c r="C3925" s="14" t="s">
        <v>13031</v>
      </c>
      <c r="D3925" s="15">
        <v>31.74</v>
      </c>
      <c r="E3925" s="16" t="s">
        <v>30</v>
      </c>
    </row>
    <row r="3926" spans="1:5" x14ac:dyDescent="0.25">
      <c r="A3926" s="14">
        <v>768038</v>
      </c>
      <c r="B3926" s="14" t="s">
        <v>4047</v>
      </c>
      <c r="C3926" s="14" t="s">
        <v>13029</v>
      </c>
      <c r="D3926" s="15">
        <v>21.79</v>
      </c>
      <c r="E3926" s="16" t="s">
        <v>30</v>
      </c>
    </row>
    <row r="3927" spans="1:5" x14ac:dyDescent="0.25">
      <c r="A3927" s="14">
        <v>768039</v>
      </c>
      <c r="B3927" s="14" t="s">
        <v>4048</v>
      </c>
      <c r="C3927" s="14" t="s">
        <v>13029</v>
      </c>
      <c r="D3927" s="15">
        <v>21.79</v>
      </c>
      <c r="E3927" s="16" t="s">
        <v>30</v>
      </c>
    </row>
    <row r="3928" spans="1:5" x14ac:dyDescent="0.25">
      <c r="A3928" s="14">
        <v>768040</v>
      </c>
      <c r="B3928" s="14" t="s">
        <v>4049</v>
      </c>
      <c r="C3928" s="14" t="s">
        <v>13029</v>
      </c>
      <c r="D3928" s="15">
        <v>23.44</v>
      </c>
      <c r="E3928" s="16" t="s">
        <v>30</v>
      </c>
    </row>
    <row r="3929" spans="1:5" x14ac:dyDescent="0.25">
      <c r="A3929" s="14">
        <v>768041</v>
      </c>
      <c r="B3929" s="14" t="s">
        <v>4050</v>
      </c>
      <c r="C3929" s="14" t="s">
        <v>13029</v>
      </c>
      <c r="D3929" s="15">
        <v>20.29</v>
      </c>
      <c r="E3929" s="16" t="s">
        <v>30</v>
      </c>
    </row>
    <row r="3930" spans="1:5" x14ac:dyDescent="0.25">
      <c r="A3930" s="14">
        <v>768042</v>
      </c>
      <c r="B3930" s="14" t="s">
        <v>4051</v>
      </c>
      <c r="C3930" s="14" t="s">
        <v>13029</v>
      </c>
      <c r="D3930" s="15">
        <v>23.44</v>
      </c>
      <c r="E3930" s="16" t="s">
        <v>30</v>
      </c>
    </row>
    <row r="3931" spans="1:5" x14ac:dyDescent="0.25">
      <c r="A3931" s="14">
        <v>768043</v>
      </c>
      <c r="B3931" s="14" t="s">
        <v>4052</v>
      </c>
      <c r="C3931" s="14" t="s">
        <v>13029</v>
      </c>
      <c r="D3931" s="15">
        <v>20.29</v>
      </c>
      <c r="E3931" s="16" t="s">
        <v>30</v>
      </c>
    </row>
    <row r="3932" spans="1:5" x14ac:dyDescent="0.25">
      <c r="A3932" s="14">
        <v>768048</v>
      </c>
      <c r="B3932" s="14" t="s">
        <v>4053</v>
      </c>
      <c r="C3932" s="14" t="s">
        <v>13029</v>
      </c>
      <c r="D3932" s="15">
        <v>48</v>
      </c>
      <c r="E3932" s="16" t="s">
        <v>30</v>
      </c>
    </row>
    <row r="3933" spans="1:5" x14ac:dyDescent="0.25">
      <c r="A3933" s="14">
        <v>768049</v>
      </c>
      <c r="B3933" s="14" t="s">
        <v>4054</v>
      </c>
      <c r="C3933" s="14" t="s">
        <v>13030</v>
      </c>
      <c r="D3933" s="15">
        <v>20.82</v>
      </c>
      <c r="E3933" s="16" t="s">
        <v>30</v>
      </c>
    </row>
    <row r="3934" spans="1:5" x14ac:dyDescent="0.25">
      <c r="A3934" s="14">
        <v>768050</v>
      </c>
      <c r="B3934" s="14" t="s">
        <v>4055</v>
      </c>
      <c r="C3934" s="14" t="s">
        <v>13030</v>
      </c>
      <c r="D3934" s="15">
        <v>12.46</v>
      </c>
      <c r="E3934" s="14" t="s">
        <v>30</v>
      </c>
    </row>
    <row r="3935" spans="1:5" x14ac:dyDescent="0.25">
      <c r="A3935" s="14">
        <v>768051</v>
      </c>
      <c r="B3935" s="14" t="s">
        <v>4056</v>
      </c>
      <c r="C3935" s="14" t="s">
        <v>13030</v>
      </c>
      <c r="D3935" s="15">
        <v>20.82</v>
      </c>
      <c r="E3935" s="14" t="s">
        <v>30</v>
      </c>
    </row>
    <row r="3936" spans="1:5" x14ac:dyDescent="0.25">
      <c r="A3936" s="14">
        <v>768052</v>
      </c>
      <c r="B3936" s="14" t="s">
        <v>4057</v>
      </c>
      <c r="C3936" s="14" t="s">
        <v>13030</v>
      </c>
      <c r="D3936" s="15">
        <v>26.58</v>
      </c>
      <c r="E3936" s="14" t="s">
        <v>30</v>
      </c>
    </row>
    <row r="3937" spans="1:5" x14ac:dyDescent="0.25">
      <c r="A3937" s="14">
        <v>768057</v>
      </c>
      <c r="B3937" s="14" t="s">
        <v>4058</v>
      </c>
      <c r="C3937" s="14" t="s">
        <v>13030</v>
      </c>
      <c r="D3937" s="15">
        <v>31.97</v>
      </c>
      <c r="E3937" s="16" t="s">
        <v>30</v>
      </c>
    </row>
    <row r="3938" spans="1:5" x14ac:dyDescent="0.25">
      <c r="A3938" s="14">
        <v>768058</v>
      </c>
      <c r="B3938" s="14" t="s">
        <v>4059</v>
      </c>
      <c r="C3938" s="14" t="s">
        <v>13030</v>
      </c>
      <c r="D3938" s="15">
        <v>20.079999999999998</v>
      </c>
      <c r="E3938" s="16" t="s">
        <v>30</v>
      </c>
    </row>
    <row r="3939" spans="1:5" x14ac:dyDescent="0.25">
      <c r="A3939" s="14">
        <v>768059</v>
      </c>
      <c r="B3939" s="14" t="s">
        <v>4060</v>
      </c>
      <c r="C3939" s="14" t="s">
        <v>13030</v>
      </c>
      <c r="D3939" s="15">
        <v>66.11</v>
      </c>
      <c r="E3939" s="16" t="s">
        <v>30</v>
      </c>
    </row>
    <row r="3940" spans="1:5" x14ac:dyDescent="0.25">
      <c r="A3940" s="14">
        <v>768060</v>
      </c>
      <c r="B3940" s="14" t="s">
        <v>4061</v>
      </c>
      <c r="C3940" s="14" t="s">
        <v>13030</v>
      </c>
      <c r="D3940" s="15">
        <v>46.21</v>
      </c>
      <c r="E3940" s="16" t="s">
        <v>30</v>
      </c>
    </row>
    <row r="3941" spans="1:5" x14ac:dyDescent="0.25">
      <c r="A3941" s="14">
        <v>768062</v>
      </c>
      <c r="B3941" s="14" t="s">
        <v>4062</v>
      </c>
      <c r="C3941" s="14" t="s">
        <v>13030</v>
      </c>
      <c r="D3941" s="15">
        <v>35.53</v>
      </c>
      <c r="E3941" s="16" t="s">
        <v>30</v>
      </c>
    </row>
    <row r="3942" spans="1:5" x14ac:dyDescent="0.25">
      <c r="A3942" s="14">
        <v>768066</v>
      </c>
      <c r="B3942" s="14" t="s">
        <v>4063</v>
      </c>
      <c r="C3942" s="14" t="s">
        <v>13030</v>
      </c>
      <c r="D3942" s="15">
        <v>86.37</v>
      </c>
      <c r="E3942" s="16" t="s">
        <v>30</v>
      </c>
    </row>
    <row r="3943" spans="1:5" x14ac:dyDescent="0.25">
      <c r="A3943" s="14">
        <v>768067</v>
      </c>
      <c r="B3943" s="14" t="s">
        <v>4064</v>
      </c>
      <c r="C3943" s="14" t="s">
        <v>13030</v>
      </c>
      <c r="D3943" s="15">
        <v>86.37</v>
      </c>
      <c r="E3943" s="16" t="s">
        <v>30</v>
      </c>
    </row>
    <row r="3944" spans="1:5" x14ac:dyDescent="0.25">
      <c r="A3944" s="14">
        <v>768068</v>
      </c>
      <c r="B3944" s="14" t="s">
        <v>4065</v>
      </c>
      <c r="C3944" s="14" t="s">
        <v>13030</v>
      </c>
      <c r="D3944" s="15">
        <v>13.69</v>
      </c>
      <c r="E3944" s="14" t="s">
        <v>30</v>
      </c>
    </row>
    <row r="3945" spans="1:5" x14ac:dyDescent="0.25">
      <c r="A3945" s="14">
        <v>768069</v>
      </c>
      <c r="B3945" s="14" t="s">
        <v>4066</v>
      </c>
      <c r="C3945" s="14" t="s">
        <v>13030</v>
      </c>
      <c r="D3945" s="15">
        <v>13.69</v>
      </c>
      <c r="E3945" s="14" t="s">
        <v>30</v>
      </c>
    </row>
    <row r="3946" spans="1:5" x14ac:dyDescent="0.25">
      <c r="A3946" s="14">
        <v>768070</v>
      </c>
      <c r="B3946" s="14" t="s">
        <v>4067</v>
      </c>
      <c r="C3946" s="14" t="s">
        <v>13030</v>
      </c>
      <c r="D3946" s="15">
        <v>16.559999999999999</v>
      </c>
      <c r="E3946" s="14" t="s">
        <v>30</v>
      </c>
    </row>
    <row r="3947" spans="1:5" x14ac:dyDescent="0.25">
      <c r="A3947" s="14">
        <v>768106</v>
      </c>
      <c r="B3947" s="14" t="s">
        <v>4068</v>
      </c>
      <c r="C3947" s="14" t="s">
        <v>13031</v>
      </c>
      <c r="D3947" s="15">
        <v>11.03</v>
      </c>
      <c r="E3947" s="16" t="s">
        <v>30</v>
      </c>
    </row>
    <row r="3948" spans="1:5" x14ac:dyDescent="0.25">
      <c r="A3948" s="14">
        <v>768107</v>
      </c>
      <c r="B3948" s="14" t="s">
        <v>4069</v>
      </c>
      <c r="C3948" s="14" t="s">
        <v>13031</v>
      </c>
      <c r="D3948" s="15">
        <v>146.54</v>
      </c>
      <c r="E3948" s="16" t="s">
        <v>30</v>
      </c>
    </row>
    <row r="3949" spans="1:5" x14ac:dyDescent="0.25">
      <c r="A3949" s="14">
        <v>768228</v>
      </c>
      <c r="B3949" s="14" t="s">
        <v>4070</v>
      </c>
      <c r="C3949" s="14" t="s">
        <v>13030</v>
      </c>
      <c r="D3949" s="15">
        <v>20.239999999999998</v>
      </c>
      <c r="E3949" s="16" t="s">
        <v>30</v>
      </c>
    </row>
    <row r="3950" spans="1:5" x14ac:dyDescent="0.25">
      <c r="A3950" s="14">
        <v>768239</v>
      </c>
      <c r="B3950" s="14" t="s">
        <v>4071</v>
      </c>
      <c r="C3950" s="14" t="s">
        <v>13029</v>
      </c>
      <c r="D3950" s="15">
        <v>28.19</v>
      </c>
      <c r="E3950" s="14" t="s">
        <v>30</v>
      </c>
    </row>
    <row r="3951" spans="1:5" x14ac:dyDescent="0.25">
      <c r="A3951" s="14">
        <v>768243</v>
      </c>
      <c r="B3951" s="14" t="s">
        <v>4072</v>
      </c>
      <c r="C3951" s="14" t="s">
        <v>13031</v>
      </c>
      <c r="D3951" s="15">
        <v>8.85</v>
      </c>
      <c r="E3951" s="16" t="s">
        <v>30</v>
      </c>
    </row>
    <row r="3952" spans="1:5" x14ac:dyDescent="0.25">
      <c r="A3952" s="14">
        <v>768244</v>
      </c>
      <c r="B3952" s="14" t="s">
        <v>4073</v>
      </c>
      <c r="C3952" s="14" t="s">
        <v>13031</v>
      </c>
      <c r="D3952" s="15">
        <v>8.85</v>
      </c>
      <c r="E3952" s="16" t="s">
        <v>30</v>
      </c>
    </row>
    <row r="3953" spans="1:5" x14ac:dyDescent="0.25">
      <c r="A3953" s="14">
        <v>768245</v>
      </c>
      <c r="B3953" s="14" t="s">
        <v>4074</v>
      </c>
      <c r="C3953" s="14" t="s">
        <v>13031</v>
      </c>
      <c r="D3953" s="15">
        <v>8.85</v>
      </c>
      <c r="E3953" s="16" t="s">
        <v>30</v>
      </c>
    </row>
    <row r="3954" spans="1:5" x14ac:dyDescent="0.25">
      <c r="A3954" s="14">
        <v>768256</v>
      </c>
      <c r="B3954" s="14" t="s">
        <v>4075</v>
      </c>
      <c r="C3954" s="14" t="s">
        <v>13031</v>
      </c>
      <c r="D3954" s="15">
        <v>5.72</v>
      </c>
      <c r="E3954" s="16" t="s">
        <v>30</v>
      </c>
    </row>
    <row r="3955" spans="1:5" x14ac:dyDescent="0.25">
      <c r="A3955" s="14">
        <v>768361</v>
      </c>
      <c r="B3955" s="14" t="s">
        <v>4076</v>
      </c>
      <c r="C3955" s="14" t="s">
        <v>13030</v>
      </c>
      <c r="D3955" s="15">
        <v>48.58</v>
      </c>
      <c r="E3955" s="16" t="s">
        <v>30</v>
      </c>
    </row>
    <row r="3956" spans="1:5" x14ac:dyDescent="0.25">
      <c r="A3956" s="14">
        <v>768383</v>
      </c>
      <c r="B3956" s="14" t="s">
        <v>4077</v>
      </c>
      <c r="C3956" s="14" t="s">
        <v>13030</v>
      </c>
      <c r="D3956" s="15">
        <v>25.45</v>
      </c>
      <c r="E3956" s="16" t="s">
        <v>30</v>
      </c>
    </row>
    <row r="3957" spans="1:5" x14ac:dyDescent="0.25">
      <c r="A3957" s="14">
        <v>768385</v>
      </c>
      <c r="B3957" s="14" t="s">
        <v>4078</v>
      </c>
      <c r="C3957" s="14" t="s">
        <v>13030</v>
      </c>
      <c r="D3957" s="15">
        <v>41.05</v>
      </c>
      <c r="E3957" s="16" t="s">
        <v>30</v>
      </c>
    </row>
    <row r="3958" spans="1:5" x14ac:dyDescent="0.25">
      <c r="A3958" s="14">
        <v>768386</v>
      </c>
      <c r="B3958" s="14" t="s">
        <v>4079</v>
      </c>
      <c r="C3958" s="14" t="s">
        <v>13030</v>
      </c>
      <c r="D3958" s="15">
        <v>72.14</v>
      </c>
      <c r="E3958" s="16" t="s">
        <v>30</v>
      </c>
    </row>
    <row r="3959" spans="1:5" x14ac:dyDescent="0.25">
      <c r="A3959" s="14">
        <v>768387</v>
      </c>
      <c r="B3959" s="14" t="s">
        <v>4080</v>
      </c>
      <c r="C3959" s="14" t="s">
        <v>13030</v>
      </c>
      <c r="D3959" s="15">
        <v>123.33</v>
      </c>
      <c r="E3959" s="16" t="s">
        <v>30</v>
      </c>
    </row>
    <row r="3960" spans="1:5" x14ac:dyDescent="0.25">
      <c r="A3960" s="14">
        <v>768388</v>
      </c>
      <c r="B3960" s="14" t="s">
        <v>4081</v>
      </c>
      <c r="C3960" s="14" t="s">
        <v>13030</v>
      </c>
      <c r="D3960" s="15">
        <v>60.18</v>
      </c>
      <c r="E3960" s="16" t="s">
        <v>30</v>
      </c>
    </row>
    <row r="3961" spans="1:5" x14ac:dyDescent="0.25">
      <c r="A3961" s="14">
        <v>768406</v>
      </c>
      <c r="B3961" s="14" t="s">
        <v>4082</v>
      </c>
      <c r="C3961" s="14" t="s">
        <v>13029</v>
      </c>
      <c r="D3961" s="15">
        <v>10.96</v>
      </c>
      <c r="E3961" s="16" t="s">
        <v>30</v>
      </c>
    </row>
    <row r="3962" spans="1:5" x14ac:dyDescent="0.25">
      <c r="A3962" s="14">
        <v>768407</v>
      </c>
      <c r="B3962" s="14" t="s">
        <v>4083</v>
      </c>
      <c r="C3962" s="14" t="s">
        <v>13029</v>
      </c>
      <c r="D3962" s="15">
        <v>10.96</v>
      </c>
      <c r="E3962" s="16" t="s">
        <v>30</v>
      </c>
    </row>
    <row r="3963" spans="1:5" x14ac:dyDescent="0.25">
      <c r="A3963" s="14">
        <v>768641</v>
      </c>
      <c r="B3963" s="14" t="s">
        <v>4084</v>
      </c>
      <c r="C3963" s="14" t="s">
        <v>13030</v>
      </c>
      <c r="D3963" s="15">
        <v>78.540000000000006</v>
      </c>
      <c r="E3963" s="16" t="s">
        <v>30</v>
      </c>
    </row>
    <row r="3964" spans="1:5" x14ac:dyDescent="0.25">
      <c r="A3964" s="14">
        <v>768642</v>
      </c>
      <c r="B3964" s="14" t="s">
        <v>4085</v>
      </c>
      <c r="C3964" s="14" t="s">
        <v>13030</v>
      </c>
      <c r="D3964" s="15">
        <v>22.86</v>
      </c>
      <c r="E3964" s="16" t="s">
        <v>30</v>
      </c>
    </row>
    <row r="3965" spans="1:5" x14ac:dyDescent="0.25">
      <c r="A3965" s="14">
        <v>768643</v>
      </c>
      <c r="B3965" s="14" t="s">
        <v>4086</v>
      </c>
      <c r="C3965" s="14" t="s">
        <v>13030</v>
      </c>
      <c r="D3965" s="15">
        <v>29.81</v>
      </c>
      <c r="E3965" s="16" t="s">
        <v>30</v>
      </c>
    </row>
    <row r="3966" spans="1:5" x14ac:dyDescent="0.25">
      <c r="A3966" s="14">
        <v>768644</v>
      </c>
      <c r="B3966" s="14" t="s">
        <v>4087</v>
      </c>
      <c r="C3966" s="14" t="s">
        <v>13030</v>
      </c>
      <c r="D3966" s="15">
        <v>39.54</v>
      </c>
      <c r="E3966" s="16" t="s">
        <v>30</v>
      </c>
    </row>
    <row r="3967" spans="1:5" x14ac:dyDescent="0.25">
      <c r="A3967" s="14">
        <v>768645</v>
      </c>
      <c r="B3967" s="14" t="s">
        <v>4088</v>
      </c>
      <c r="C3967" s="14" t="s">
        <v>13030</v>
      </c>
      <c r="D3967" s="15">
        <v>48.58</v>
      </c>
      <c r="E3967" s="16" t="s">
        <v>30</v>
      </c>
    </row>
    <row r="3968" spans="1:5" x14ac:dyDescent="0.25">
      <c r="A3968" s="14">
        <v>768653</v>
      </c>
      <c r="B3968" s="14" t="s">
        <v>4089</v>
      </c>
      <c r="C3968" s="14" t="s">
        <v>13030</v>
      </c>
      <c r="D3968" s="15">
        <v>46.06</v>
      </c>
      <c r="E3968" s="16" t="s">
        <v>30</v>
      </c>
    </row>
    <row r="3969" spans="1:5" x14ac:dyDescent="0.25">
      <c r="A3969" s="14">
        <v>768742</v>
      </c>
      <c r="B3969" s="14" t="s">
        <v>4090</v>
      </c>
      <c r="C3969" s="14" t="s">
        <v>13030</v>
      </c>
      <c r="D3969" s="15">
        <v>118.79</v>
      </c>
      <c r="E3969" s="16" t="s">
        <v>30</v>
      </c>
    </row>
    <row r="3970" spans="1:5" x14ac:dyDescent="0.25">
      <c r="A3970" s="14">
        <v>768761</v>
      </c>
      <c r="B3970" s="14" t="s">
        <v>4091</v>
      </c>
      <c r="C3970" s="14" t="s">
        <v>13031</v>
      </c>
      <c r="D3970" s="15">
        <v>4.2</v>
      </c>
      <c r="E3970" s="16" t="s">
        <v>30</v>
      </c>
    </row>
    <row r="3971" spans="1:5" x14ac:dyDescent="0.25">
      <c r="A3971" s="14">
        <v>768762</v>
      </c>
      <c r="B3971" s="14" t="s">
        <v>4092</v>
      </c>
      <c r="C3971" s="14" t="s">
        <v>13031</v>
      </c>
      <c r="D3971" s="15">
        <v>5.9</v>
      </c>
      <c r="E3971" s="16" t="s">
        <v>30</v>
      </c>
    </row>
    <row r="3972" spans="1:5" x14ac:dyDescent="0.25">
      <c r="A3972" s="14">
        <v>768763</v>
      </c>
      <c r="B3972" s="14" t="s">
        <v>4093</v>
      </c>
      <c r="C3972" s="14" t="s">
        <v>13031</v>
      </c>
      <c r="D3972" s="15">
        <v>5.9</v>
      </c>
      <c r="E3972" s="16" t="s">
        <v>30</v>
      </c>
    </row>
    <row r="3973" spans="1:5" x14ac:dyDescent="0.25">
      <c r="A3973" s="14">
        <v>768764</v>
      </c>
      <c r="B3973" s="14" t="s">
        <v>4094</v>
      </c>
      <c r="C3973" s="14" t="s">
        <v>13031</v>
      </c>
      <c r="D3973" s="15">
        <v>5.2</v>
      </c>
      <c r="E3973" s="16" t="s">
        <v>30</v>
      </c>
    </row>
    <row r="3974" spans="1:5" x14ac:dyDescent="0.25">
      <c r="A3974" s="14">
        <v>768859</v>
      </c>
      <c r="B3974" s="14" t="s">
        <v>4095</v>
      </c>
      <c r="C3974" s="14" t="s">
        <v>13033</v>
      </c>
      <c r="D3974" s="15">
        <v>3.36</v>
      </c>
      <c r="E3974" s="16" t="s">
        <v>30</v>
      </c>
    </row>
    <row r="3975" spans="1:5" x14ac:dyDescent="0.25">
      <c r="A3975" s="14">
        <v>769024</v>
      </c>
      <c r="B3975" s="14" t="s">
        <v>4096</v>
      </c>
      <c r="C3975" s="14" t="s">
        <v>13030</v>
      </c>
      <c r="D3975" s="15">
        <v>35.94</v>
      </c>
      <c r="E3975" s="16" t="s">
        <v>30</v>
      </c>
    </row>
    <row r="3976" spans="1:5" x14ac:dyDescent="0.25">
      <c r="A3976" s="14">
        <v>769126</v>
      </c>
      <c r="B3976" s="14" t="s">
        <v>4097</v>
      </c>
      <c r="C3976" s="14" t="s">
        <v>13029</v>
      </c>
      <c r="D3976" s="15">
        <v>44.43</v>
      </c>
      <c r="E3976" s="16" t="s">
        <v>30</v>
      </c>
    </row>
    <row r="3977" spans="1:5" x14ac:dyDescent="0.25">
      <c r="A3977" s="14">
        <v>769127</v>
      </c>
      <c r="B3977" s="14" t="s">
        <v>4098</v>
      </c>
      <c r="C3977" s="14" t="s">
        <v>13029</v>
      </c>
      <c r="D3977" s="15">
        <v>36.17</v>
      </c>
      <c r="E3977" s="16" t="s">
        <v>30</v>
      </c>
    </row>
    <row r="3978" spans="1:5" x14ac:dyDescent="0.25">
      <c r="A3978" s="14">
        <v>769128</v>
      </c>
      <c r="B3978" s="14" t="s">
        <v>4099</v>
      </c>
      <c r="C3978" s="14" t="s">
        <v>13029</v>
      </c>
      <c r="D3978" s="15">
        <v>31.78</v>
      </c>
      <c r="E3978" s="16" t="s">
        <v>30</v>
      </c>
    </row>
    <row r="3979" spans="1:5" x14ac:dyDescent="0.25">
      <c r="A3979" s="14">
        <v>769129</v>
      </c>
      <c r="B3979" s="14" t="s">
        <v>4100</v>
      </c>
      <c r="C3979" s="14" t="s">
        <v>13029</v>
      </c>
      <c r="D3979" s="15">
        <v>44.43</v>
      </c>
      <c r="E3979" s="16" t="s">
        <v>30</v>
      </c>
    </row>
    <row r="3980" spans="1:5" x14ac:dyDescent="0.25">
      <c r="A3980" s="14">
        <v>769130</v>
      </c>
      <c r="B3980" s="14" t="s">
        <v>4101</v>
      </c>
      <c r="C3980" s="14" t="s">
        <v>13029</v>
      </c>
      <c r="D3980" s="15">
        <v>44.43</v>
      </c>
      <c r="E3980" s="16" t="s">
        <v>30</v>
      </c>
    </row>
    <row r="3981" spans="1:5" x14ac:dyDescent="0.25">
      <c r="A3981" s="14">
        <v>769131</v>
      </c>
      <c r="B3981" s="14" t="s">
        <v>4102</v>
      </c>
      <c r="C3981" s="14" t="s">
        <v>13029</v>
      </c>
      <c r="D3981" s="15">
        <v>44.43</v>
      </c>
      <c r="E3981" s="16" t="s">
        <v>30</v>
      </c>
    </row>
    <row r="3982" spans="1:5" x14ac:dyDescent="0.25">
      <c r="A3982" s="14">
        <v>769132</v>
      </c>
      <c r="B3982" s="14" t="s">
        <v>4103</v>
      </c>
      <c r="C3982" s="14" t="s">
        <v>13029</v>
      </c>
      <c r="D3982" s="15">
        <v>31.72</v>
      </c>
      <c r="E3982" s="16" t="s">
        <v>30</v>
      </c>
    </row>
    <row r="3983" spans="1:5" x14ac:dyDescent="0.25">
      <c r="A3983" s="14">
        <v>769133</v>
      </c>
      <c r="B3983" s="14" t="s">
        <v>4104</v>
      </c>
      <c r="C3983" s="14" t="s">
        <v>13029</v>
      </c>
      <c r="D3983" s="15">
        <v>31.72</v>
      </c>
      <c r="E3983" s="16" t="s">
        <v>30</v>
      </c>
    </row>
    <row r="3984" spans="1:5" x14ac:dyDescent="0.25">
      <c r="A3984" s="14">
        <v>769134</v>
      </c>
      <c r="B3984" s="14" t="s">
        <v>4105</v>
      </c>
      <c r="C3984" s="14" t="s">
        <v>13029</v>
      </c>
      <c r="D3984" s="15">
        <v>31.72</v>
      </c>
      <c r="E3984" s="16" t="s">
        <v>30</v>
      </c>
    </row>
    <row r="3985" spans="1:5" x14ac:dyDescent="0.25">
      <c r="A3985" s="14">
        <v>769135</v>
      </c>
      <c r="B3985" s="14" t="s">
        <v>4106</v>
      </c>
      <c r="C3985" s="14" t="s">
        <v>13029</v>
      </c>
      <c r="D3985" s="15">
        <v>31.72</v>
      </c>
      <c r="E3985" s="16" t="s">
        <v>30</v>
      </c>
    </row>
    <row r="3986" spans="1:5" x14ac:dyDescent="0.25">
      <c r="A3986" s="14">
        <v>769136</v>
      </c>
      <c r="B3986" s="14" t="s">
        <v>4107</v>
      </c>
      <c r="C3986" s="14" t="s">
        <v>13029</v>
      </c>
      <c r="D3986" s="15">
        <v>21.61</v>
      </c>
      <c r="E3986" s="16" t="s">
        <v>30</v>
      </c>
    </row>
    <row r="3987" spans="1:5" x14ac:dyDescent="0.25">
      <c r="A3987" s="14">
        <v>769137</v>
      </c>
      <c r="B3987" s="14" t="s">
        <v>4108</v>
      </c>
      <c r="C3987" s="14" t="s">
        <v>13029</v>
      </c>
      <c r="D3987" s="15">
        <v>31.72</v>
      </c>
      <c r="E3987" s="16" t="s">
        <v>30</v>
      </c>
    </row>
    <row r="3988" spans="1:5" x14ac:dyDescent="0.25">
      <c r="A3988" s="14">
        <v>769138</v>
      </c>
      <c r="B3988" s="14" t="s">
        <v>4109</v>
      </c>
      <c r="C3988" s="14" t="s">
        <v>13029</v>
      </c>
      <c r="D3988" s="15">
        <v>21.61</v>
      </c>
      <c r="E3988" s="16" t="s">
        <v>30</v>
      </c>
    </row>
    <row r="3989" spans="1:5" x14ac:dyDescent="0.25">
      <c r="A3989" s="14">
        <v>769139</v>
      </c>
      <c r="B3989" s="14" t="s">
        <v>4110</v>
      </c>
      <c r="C3989" s="14" t="s">
        <v>13029</v>
      </c>
      <c r="D3989" s="15">
        <v>21.61</v>
      </c>
      <c r="E3989" s="16" t="s">
        <v>30</v>
      </c>
    </row>
    <row r="3990" spans="1:5" x14ac:dyDescent="0.25">
      <c r="A3990" s="14">
        <v>769140</v>
      </c>
      <c r="B3990" s="14" t="s">
        <v>4111</v>
      </c>
      <c r="C3990" s="14" t="s">
        <v>13029</v>
      </c>
      <c r="D3990" s="15">
        <v>21.61</v>
      </c>
      <c r="E3990" s="16" t="s">
        <v>30</v>
      </c>
    </row>
    <row r="3991" spans="1:5" x14ac:dyDescent="0.25">
      <c r="A3991" s="14">
        <v>769141</v>
      </c>
      <c r="B3991" s="14" t="s">
        <v>4112</v>
      </c>
      <c r="C3991" s="14" t="s">
        <v>13029</v>
      </c>
      <c r="D3991" s="15">
        <v>21.61</v>
      </c>
      <c r="E3991" s="16" t="s">
        <v>30</v>
      </c>
    </row>
    <row r="3992" spans="1:5" x14ac:dyDescent="0.25">
      <c r="A3992" s="14">
        <v>769142</v>
      </c>
      <c r="B3992" s="14" t="s">
        <v>4113</v>
      </c>
      <c r="C3992" s="14" t="s">
        <v>13029</v>
      </c>
      <c r="D3992" s="15">
        <v>21.61</v>
      </c>
      <c r="E3992" s="16" t="s">
        <v>30</v>
      </c>
    </row>
    <row r="3993" spans="1:5" x14ac:dyDescent="0.25">
      <c r="A3993" s="14">
        <v>769143</v>
      </c>
      <c r="B3993" s="14" t="s">
        <v>4114</v>
      </c>
      <c r="C3993" s="14" t="s">
        <v>13029</v>
      </c>
      <c r="D3993" s="15">
        <v>21.61</v>
      </c>
      <c r="E3993" s="16" t="s">
        <v>30</v>
      </c>
    </row>
    <row r="3994" spans="1:5" x14ac:dyDescent="0.25">
      <c r="A3994" s="14">
        <v>769144</v>
      </c>
      <c r="B3994" s="14" t="s">
        <v>4115</v>
      </c>
      <c r="C3994" s="14" t="s">
        <v>13029</v>
      </c>
      <c r="D3994" s="15">
        <v>26.69</v>
      </c>
      <c r="E3994" s="16" t="s">
        <v>30</v>
      </c>
    </row>
    <row r="3995" spans="1:5" x14ac:dyDescent="0.25">
      <c r="A3995" s="14">
        <v>769145</v>
      </c>
      <c r="B3995" s="14" t="s">
        <v>4116</v>
      </c>
      <c r="C3995" s="14" t="s">
        <v>13029</v>
      </c>
      <c r="D3995" s="15">
        <v>26.69</v>
      </c>
      <c r="E3995" s="16" t="s">
        <v>30</v>
      </c>
    </row>
    <row r="3996" spans="1:5" x14ac:dyDescent="0.25">
      <c r="A3996" s="14">
        <v>769146</v>
      </c>
      <c r="B3996" s="14" t="s">
        <v>4117</v>
      </c>
      <c r="C3996" s="14" t="s">
        <v>13029</v>
      </c>
      <c r="D3996" s="15">
        <v>26.69</v>
      </c>
      <c r="E3996" s="16" t="s">
        <v>30</v>
      </c>
    </row>
    <row r="3997" spans="1:5" x14ac:dyDescent="0.25">
      <c r="A3997" s="14">
        <v>769147</v>
      </c>
      <c r="B3997" s="14" t="s">
        <v>4118</v>
      </c>
      <c r="C3997" s="14" t="s">
        <v>13029</v>
      </c>
      <c r="D3997" s="15">
        <v>26.69</v>
      </c>
      <c r="E3997" s="16" t="s">
        <v>30</v>
      </c>
    </row>
    <row r="3998" spans="1:5" x14ac:dyDescent="0.25">
      <c r="A3998" s="14">
        <v>769148</v>
      </c>
      <c r="B3998" s="14" t="s">
        <v>4119</v>
      </c>
      <c r="C3998" s="14" t="s">
        <v>13029</v>
      </c>
      <c r="D3998" s="15">
        <v>26.69</v>
      </c>
      <c r="E3998" s="16" t="s">
        <v>30</v>
      </c>
    </row>
    <row r="3999" spans="1:5" x14ac:dyDescent="0.25">
      <c r="A3999" s="14">
        <v>769149</v>
      </c>
      <c r="B3999" s="14" t="s">
        <v>4120</v>
      </c>
      <c r="C3999" s="14" t="s">
        <v>13029</v>
      </c>
      <c r="D3999" s="15">
        <v>26.69</v>
      </c>
      <c r="E3999" s="16" t="s">
        <v>30</v>
      </c>
    </row>
    <row r="4000" spans="1:5" x14ac:dyDescent="0.25">
      <c r="A4000" s="14">
        <v>769150</v>
      </c>
      <c r="B4000" s="14" t="s">
        <v>4121</v>
      </c>
      <c r="C4000" s="14" t="s">
        <v>13029</v>
      </c>
      <c r="D4000" s="15">
        <v>29.81</v>
      </c>
      <c r="E4000" s="16" t="s">
        <v>30</v>
      </c>
    </row>
    <row r="4001" spans="1:5" x14ac:dyDescent="0.25">
      <c r="A4001" s="14">
        <v>769151</v>
      </c>
      <c r="B4001" s="14" t="s">
        <v>4122</v>
      </c>
      <c r="C4001" s="14" t="s">
        <v>13029</v>
      </c>
      <c r="D4001" s="15">
        <v>29.81</v>
      </c>
      <c r="E4001" s="16" t="s">
        <v>30</v>
      </c>
    </row>
    <row r="4002" spans="1:5" x14ac:dyDescent="0.25">
      <c r="A4002" s="14">
        <v>769152</v>
      </c>
      <c r="B4002" s="14" t="s">
        <v>4123</v>
      </c>
      <c r="C4002" s="14" t="s">
        <v>13029</v>
      </c>
      <c r="D4002" s="15">
        <v>29.81</v>
      </c>
      <c r="E4002" s="16" t="s">
        <v>30</v>
      </c>
    </row>
    <row r="4003" spans="1:5" x14ac:dyDescent="0.25">
      <c r="A4003" s="14">
        <v>769153</v>
      </c>
      <c r="B4003" s="14" t="s">
        <v>4124</v>
      </c>
      <c r="C4003" s="14" t="s">
        <v>13029</v>
      </c>
      <c r="D4003" s="15">
        <v>36.17</v>
      </c>
      <c r="E4003" s="16" t="s">
        <v>30</v>
      </c>
    </row>
    <row r="4004" spans="1:5" x14ac:dyDescent="0.25">
      <c r="A4004" s="14">
        <v>769154</v>
      </c>
      <c r="B4004" s="14" t="s">
        <v>4125</v>
      </c>
      <c r="C4004" s="14" t="s">
        <v>13029</v>
      </c>
      <c r="D4004" s="15">
        <v>29.81</v>
      </c>
      <c r="E4004" s="16" t="s">
        <v>30</v>
      </c>
    </row>
    <row r="4005" spans="1:5" x14ac:dyDescent="0.25">
      <c r="A4005" s="14">
        <v>769157</v>
      </c>
      <c r="B4005" s="14" t="s">
        <v>4126</v>
      </c>
      <c r="C4005" s="14" t="s">
        <v>13029</v>
      </c>
      <c r="D4005" s="15">
        <v>29.81</v>
      </c>
      <c r="E4005" s="16" t="s">
        <v>30</v>
      </c>
    </row>
    <row r="4006" spans="1:5" x14ac:dyDescent="0.25">
      <c r="A4006" s="14">
        <v>769158</v>
      </c>
      <c r="B4006" s="14" t="s">
        <v>4127</v>
      </c>
      <c r="C4006" s="14" t="s">
        <v>13029</v>
      </c>
      <c r="D4006" s="15">
        <v>29.81</v>
      </c>
      <c r="E4006" s="16" t="s">
        <v>30</v>
      </c>
    </row>
    <row r="4007" spans="1:5" x14ac:dyDescent="0.25">
      <c r="A4007" s="14">
        <v>769159</v>
      </c>
      <c r="B4007" s="14" t="s">
        <v>4128</v>
      </c>
      <c r="C4007" s="14" t="s">
        <v>13029</v>
      </c>
      <c r="D4007" s="15">
        <v>29.81</v>
      </c>
      <c r="E4007" s="16" t="s">
        <v>30</v>
      </c>
    </row>
    <row r="4008" spans="1:5" x14ac:dyDescent="0.25">
      <c r="A4008" s="14">
        <v>769160</v>
      </c>
      <c r="B4008" s="14" t="s">
        <v>4129</v>
      </c>
      <c r="C4008" s="14" t="s">
        <v>13029</v>
      </c>
      <c r="D4008" s="15">
        <v>29.81</v>
      </c>
      <c r="E4008" s="16" t="s">
        <v>30</v>
      </c>
    </row>
    <row r="4009" spans="1:5" x14ac:dyDescent="0.25">
      <c r="A4009" s="14">
        <v>769161</v>
      </c>
      <c r="B4009" s="14" t="s">
        <v>4130</v>
      </c>
      <c r="C4009" s="14" t="s">
        <v>13029</v>
      </c>
      <c r="D4009" s="15">
        <v>36.17</v>
      </c>
      <c r="E4009" s="16" t="s">
        <v>30</v>
      </c>
    </row>
    <row r="4010" spans="1:5" x14ac:dyDescent="0.25">
      <c r="A4010" s="14">
        <v>769163</v>
      </c>
      <c r="B4010" s="14" t="s">
        <v>4131</v>
      </c>
      <c r="C4010" s="14" t="s">
        <v>13029</v>
      </c>
      <c r="D4010" s="15">
        <v>36.17</v>
      </c>
      <c r="E4010" s="16" t="s">
        <v>30</v>
      </c>
    </row>
    <row r="4011" spans="1:5" x14ac:dyDescent="0.25">
      <c r="A4011" s="14">
        <v>769164</v>
      </c>
      <c r="B4011" s="14" t="s">
        <v>4132</v>
      </c>
      <c r="C4011" s="14" t="s">
        <v>13029</v>
      </c>
      <c r="D4011" s="15">
        <v>29.81</v>
      </c>
      <c r="E4011" s="16" t="s">
        <v>30</v>
      </c>
    </row>
    <row r="4012" spans="1:5" x14ac:dyDescent="0.25">
      <c r="A4012" s="14">
        <v>769165</v>
      </c>
      <c r="B4012" s="14" t="s">
        <v>4133</v>
      </c>
      <c r="C4012" s="14" t="s">
        <v>13029</v>
      </c>
      <c r="D4012" s="15">
        <v>29.24</v>
      </c>
      <c r="E4012" s="16" t="s">
        <v>30</v>
      </c>
    </row>
    <row r="4013" spans="1:5" x14ac:dyDescent="0.25">
      <c r="A4013" s="14">
        <v>769166</v>
      </c>
      <c r="B4013" s="14" t="s">
        <v>4134</v>
      </c>
      <c r="C4013" s="14" t="s">
        <v>13029</v>
      </c>
      <c r="D4013" s="15">
        <v>29.81</v>
      </c>
      <c r="E4013" s="16" t="s">
        <v>30</v>
      </c>
    </row>
    <row r="4014" spans="1:5" x14ac:dyDescent="0.25">
      <c r="A4014" s="14">
        <v>769167</v>
      </c>
      <c r="B4014" s="14" t="s">
        <v>4135</v>
      </c>
      <c r="C4014" s="14" t="s">
        <v>13029</v>
      </c>
      <c r="D4014" s="15">
        <v>29.81</v>
      </c>
      <c r="E4014" s="16" t="s">
        <v>30</v>
      </c>
    </row>
    <row r="4015" spans="1:5" x14ac:dyDescent="0.25">
      <c r="A4015" s="14">
        <v>769168</v>
      </c>
      <c r="B4015" s="14" t="s">
        <v>4136</v>
      </c>
      <c r="C4015" s="14" t="s">
        <v>13029</v>
      </c>
      <c r="D4015" s="15">
        <v>29.81</v>
      </c>
      <c r="E4015" s="16" t="s">
        <v>30</v>
      </c>
    </row>
    <row r="4016" spans="1:5" x14ac:dyDescent="0.25">
      <c r="A4016" s="14">
        <v>769169</v>
      </c>
      <c r="B4016" s="14" t="s">
        <v>4137</v>
      </c>
      <c r="C4016" s="14" t="s">
        <v>13029</v>
      </c>
      <c r="D4016" s="15">
        <v>21.61</v>
      </c>
      <c r="E4016" s="16" t="s">
        <v>30</v>
      </c>
    </row>
    <row r="4017" spans="1:5" x14ac:dyDescent="0.25">
      <c r="A4017" s="14">
        <v>769172</v>
      </c>
      <c r="B4017" s="14" t="s">
        <v>4138</v>
      </c>
      <c r="C4017" s="14" t="s">
        <v>13029</v>
      </c>
      <c r="D4017" s="15">
        <v>31.14</v>
      </c>
      <c r="E4017" s="16" t="s">
        <v>30</v>
      </c>
    </row>
    <row r="4018" spans="1:5" x14ac:dyDescent="0.25">
      <c r="A4018" s="14">
        <v>769173</v>
      </c>
      <c r="B4018" s="14" t="s">
        <v>4139</v>
      </c>
      <c r="C4018" s="14" t="s">
        <v>13029</v>
      </c>
      <c r="D4018" s="15">
        <v>31.14</v>
      </c>
      <c r="E4018" s="16" t="s">
        <v>30</v>
      </c>
    </row>
    <row r="4019" spans="1:5" x14ac:dyDescent="0.25">
      <c r="A4019" s="14">
        <v>769174</v>
      </c>
      <c r="B4019" s="14" t="s">
        <v>4140</v>
      </c>
      <c r="C4019" s="14" t="s">
        <v>13029</v>
      </c>
      <c r="D4019" s="15">
        <v>31.14</v>
      </c>
      <c r="E4019" s="16" t="s">
        <v>30</v>
      </c>
    </row>
    <row r="4020" spans="1:5" x14ac:dyDescent="0.25">
      <c r="A4020" s="14">
        <v>769175</v>
      </c>
      <c r="B4020" s="14" t="s">
        <v>4141</v>
      </c>
      <c r="C4020" s="14" t="s">
        <v>13029</v>
      </c>
      <c r="D4020" s="15">
        <v>20.34</v>
      </c>
      <c r="E4020" s="16" t="s">
        <v>30</v>
      </c>
    </row>
    <row r="4021" spans="1:5" x14ac:dyDescent="0.25">
      <c r="A4021" s="14">
        <v>769176</v>
      </c>
      <c r="B4021" s="14" t="s">
        <v>4142</v>
      </c>
      <c r="C4021" s="14" t="s">
        <v>13029</v>
      </c>
      <c r="D4021" s="15">
        <v>20.34</v>
      </c>
      <c r="E4021" s="16" t="s">
        <v>30</v>
      </c>
    </row>
    <row r="4022" spans="1:5" x14ac:dyDescent="0.25">
      <c r="A4022" s="14">
        <v>769177</v>
      </c>
      <c r="B4022" s="14" t="s">
        <v>4143</v>
      </c>
      <c r="C4022" s="14" t="s">
        <v>13029</v>
      </c>
      <c r="D4022" s="15">
        <v>17.16</v>
      </c>
      <c r="E4022" s="16" t="s">
        <v>30</v>
      </c>
    </row>
    <row r="4023" spans="1:5" x14ac:dyDescent="0.25">
      <c r="A4023" s="14">
        <v>769178</v>
      </c>
      <c r="B4023" s="14" t="s">
        <v>4144</v>
      </c>
      <c r="C4023" s="14" t="s">
        <v>13029</v>
      </c>
      <c r="D4023" s="15">
        <v>17.16</v>
      </c>
      <c r="E4023" s="16" t="s">
        <v>30</v>
      </c>
    </row>
    <row r="4024" spans="1:5" x14ac:dyDescent="0.25">
      <c r="A4024" s="14">
        <v>769179</v>
      </c>
      <c r="B4024" s="14" t="s">
        <v>4145</v>
      </c>
      <c r="C4024" s="14" t="s">
        <v>13029</v>
      </c>
      <c r="D4024" s="15">
        <v>20.34</v>
      </c>
      <c r="E4024" s="16" t="s">
        <v>30</v>
      </c>
    </row>
    <row r="4025" spans="1:5" x14ac:dyDescent="0.25">
      <c r="A4025" s="14">
        <v>769180</v>
      </c>
      <c r="B4025" s="14" t="s">
        <v>4146</v>
      </c>
      <c r="C4025" s="14" t="s">
        <v>13029</v>
      </c>
      <c r="D4025" s="15">
        <v>20.34</v>
      </c>
      <c r="E4025" s="16" t="s">
        <v>30</v>
      </c>
    </row>
    <row r="4026" spans="1:5" x14ac:dyDescent="0.25">
      <c r="A4026" s="14">
        <v>769181</v>
      </c>
      <c r="B4026" s="14" t="s">
        <v>4147</v>
      </c>
      <c r="C4026" s="14" t="s">
        <v>13029</v>
      </c>
      <c r="D4026" s="15">
        <v>36.17</v>
      </c>
      <c r="E4026" s="16" t="s">
        <v>30</v>
      </c>
    </row>
    <row r="4027" spans="1:5" x14ac:dyDescent="0.25">
      <c r="A4027" s="14">
        <v>769182</v>
      </c>
      <c r="B4027" s="14" t="s">
        <v>4148</v>
      </c>
      <c r="C4027" s="14" t="s">
        <v>13029</v>
      </c>
      <c r="D4027" s="15">
        <v>36.17</v>
      </c>
      <c r="E4027" s="16" t="s">
        <v>30</v>
      </c>
    </row>
    <row r="4028" spans="1:5" x14ac:dyDescent="0.25">
      <c r="A4028" s="14">
        <v>769183</v>
      </c>
      <c r="B4028" s="14" t="s">
        <v>4149</v>
      </c>
      <c r="C4028" s="14" t="s">
        <v>13029</v>
      </c>
      <c r="D4028" s="15">
        <v>36.17</v>
      </c>
      <c r="E4028" s="16" t="s">
        <v>30</v>
      </c>
    </row>
    <row r="4029" spans="1:5" x14ac:dyDescent="0.25">
      <c r="A4029" s="14">
        <v>769184</v>
      </c>
      <c r="B4029" s="14" t="s">
        <v>4150</v>
      </c>
      <c r="C4029" s="14" t="s">
        <v>13029</v>
      </c>
      <c r="D4029" s="15">
        <v>31.72</v>
      </c>
      <c r="E4029" s="16" t="s">
        <v>30</v>
      </c>
    </row>
    <row r="4030" spans="1:5" x14ac:dyDescent="0.25">
      <c r="A4030" s="14">
        <v>769185</v>
      </c>
      <c r="B4030" s="14" t="s">
        <v>4151</v>
      </c>
      <c r="C4030" s="14" t="s">
        <v>13029</v>
      </c>
      <c r="D4030" s="15">
        <v>31.72</v>
      </c>
      <c r="E4030" s="16" t="s">
        <v>30</v>
      </c>
    </row>
    <row r="4031" spans="1:5" x14ac:dyDescent="0.25">
      <c r="A4031" s="14">
        <v>769186</v>
      </c>
      <c r="B4031" s="14" t="s">
        <v>4152</v>
      </c>
      <c r="C4031" s="14" t="s">
        <v>13029</v>
      </c>
      <c r="D4031" s="15">
        <v>26.69</v>
      </c>
      <c r="E4031" s="16" t="s">
        <v>30</v>
      </c>
    </row>
    <row r="4032" spans="1:5" x14ac:dyDescent="0.25">
      <c r="A4032" s="14">
        <v>769187</v>
      </c>
      <c r="B4032" s="14" t="s">
        <v>4153</v>
      </c>
      <c r="C4032" s="14" t="s">
        <v>13029</v>
      </c>
      <c r="D4032" s="15">
        <v>26.69</v>
      </c>
      <c r="E4032" s="16" t="s">
        <v>30</v>
      </c>
    </row>
    <row r="4033" spans="1:5" x14ac:dyDescent="0.25">
      <c r="A4033" s="14">
        <v>769188</v>
      </c>
      <c r="B4033" s="14" t="s">
        <v>4154</v>
      </c>
      <c r="C4033" s="14" t="s">
        <v>13029</v>
      </c>
      <c r="D4033" s="15">
        <v>31.72</v>
      </c>
      <c r="E4033" s="16" t="s">
        <v>30</v>
      </c>
    </row>
    <row r="4034" spans="1:5" x14ac:dyDescent="0.25">
      <c r="A4034" s="14">
        <v>769189</v>
      </c>
      <c r="B4034" s="14" t="s">
        <v>4155</v>
      </c>
      <c r="C4034" s="14" t="s">
        <v>13029</v>
      </c>
      <c r="D4034" s="15">
        <v>31.72</v>
      </c>
      <c r="E4034" s="16" t="s">
        <v>30</v>
      </c>
    </row>
    <row r="4035" spans="1:5" x14ac:dyDescent="0.25">
      <c r="A4035" s="14">
        <v>769190</v>
      </c>
      <c r="B4035" s="14" t="s">
        <v>4156</v>
      </c>
      <c r="C4035" s="14" t="s">
        <v>13029</v>
      </c>
      <c r="D4035" s="15">
        <v>23.45</v>
      </c>
      <c r="E4035" s="16" t="s">
        <v>30</v>
      </c>
    </row>
    <row r="4036" spans="1:5" x14ac:dyDescent="0.25">
      <c r="A4036" s="14">
        <v>769191</v>
      </c>
      <c r="B4036" s="14" t="s">
        <v>4157</v>
      </c>
      <c r="C4036" s="14" t="s">
        <v>13029</v>
      </c>
      <c r="D4036" s="15">
        <v>23.45</v>
      </c>
      <c r="E4036" s="16" t="s">
        <v>30</v>
      </c>
    </row>
    <row r="4037" spans="1:5" x14ac:dyDescent="0.25">
      <c r="A4037" s="14">
        <v>769193</v>
      </c>
      <c r="B4037" s="14" t="s">
        <v>4158</v>
      </c>
      <c r="C4037" s="14" t="s">
        <v>13029</v>
      </c>
      <c r="D4037" s="15">
        <v>22.88</v>
      </c>
      <c r="E4037" s="16" t="s">
        <v>30</v>
      </c>
    </row>
    <row r="4038" spans="1:5" x14ac:dyDescent="0.25">
      <c r="A4038" s="14">
        <v>769194</v>
      </c>
      <c r="B4038" s="14" t="s">
        <v>4159</v>
      </c>
      <c r="C4038" s="14" t="s">
        <v>13029</v>
      </c>
      <c r="D4038" s="15">
        <v>22.88</v>
      </c>
      <c r="E4038" s="16" t="s">
        <v>30</v>
      </c>
    </row>
    <row r="4039" spans="1:5" x14ac:dyDescent="0.25">
      <c r="A4039" s="14">
        <v>769195</v>
      </c>
      <c r="B4039" s="14" t="s">
        <v>4160</v>
      </c>
      <c r="C4039" s="14" t="s">
        <v>13029</v>
      </c>
      <c r="D4039" s="15">
        <v>22.88</v>
      </c>
      <c r="E4039" s="16" t="s">
        <v>30</v>
      </c>
    </row>
    <row r="4040" spans="1:5" x14ac:dyDescent="0.25">
      <c r="A4040" s="14">
        <v>769196</v>
      </c>
      <c r="B4040" s="14" t="s">
        <v>4161</v>
      </c>
      <c r="C4040" s="14" t="s">
        <v>13029</v>
      </c>
      <c r="D4040" s="15">
        <v>22.88</v>
      </c>
      <c r="E4040" s="16" t="s">
        <v>30</v>
      </c>
    </row>
    <row r="4041" spans="1:5" x14ac:dyDescent="0.25">
      <c r="A4041" s="14">
        <v>769197</v>
      </c>
      <c r="B4041" s="14" t="s">
        <v>4162</v>
      </c>
      <c r="C4041" s="14" t="s">
        <v>13029</v>
      </c>
      <c r="D4041" s="15">
        <v>22.88</v>
      </c>
      <c r="E4041" s="16" t="s">
        <v>30</v>
      </c>
    </row>
    <row r="4042" spans="1:5" x14ac:dyDescent="0.25">
      <c r="A4042" s="14">
        <v>769198</v>
      </c>
      <c r="B4042" s="14" t="s">
        <v>4163</v>
      </c>
      <c r="C4042" s="14" t="s">
        <v>13029</v>
      </c>
      <c r="D4042" s="15">
        <v>22.88</v>
      </c>
      <c r="E4042" s="16" t="s">
        <v>30</v>
      </c>
    </row>
    <row r="4043" spans="1:5" x14ac:dyDescent="0.25">
      <c r="A4043" s="14">
        <v>769200</v>
      </c>
      <c r="B4043" s="14" t="s">
        <v>4164</v>
      </c>
      <c r="C4043" s="14" t="s">
        <v>13029</v>
      </c>
      <c r="D4043" s="15">
        <v>22.88</v>
      </c>
      <c r="E4043" s="16" t="s">
        <v>30</v>
      </c>
    </row>
    <row r="4044" spans="1:5" x14ac:dyDescent="0.25">
      <c r="A4044" s="14">
        <v>769201</v>
      </c>
      <c r="B4044" s="14" t="s">
        <v>4165</v>
      </c>
      <c r="C4044" s="14" t="s">
        <v>13029</v>
      </c>
      <c r="D4044" s="15">
        <v>21.61</v>
      </c>
      <c r="E4044" s="16" t="s">
        <v>30</v>
      </c>
    </row>
    <row r="4045" spans="1:5" x14ac:dyDescent="0.25">
      <c r="A4045" s="14">
        <v>769202</v>
      </c>
      <c r="B4045" s="14" t="s">
        <v>4166</v>
      </c>
      <c r="C4045" s="14" t="s">
        <v>13029</v>
      </c>
      <c r="D4045" s="15">
        <v>21.61</v>
      </c>
      <c r="E4045" s="16" t="s">
        <v>30</v>
      </c>
    </row>
    <row r="4046" spans="1:5" x14ac:dyDescent="0.25">
      <c r="A4046" s="14">
        <v>753133</v>
      </c>
      <c r="B4046" s="14" t="s">
        <v>4167</v>
      </c>
      <c r="C4046" s="14" t="s">
        <v>13031</v>
      </c>
      <c r="D4046" s="15">
        <v>33.130000000000003</v>
      </c>
      <c r="E4046" s="16" t="s">
        <v>20</v>
      </c>
    </row>
    <row r="4047" spans="1:5" x14ac:dyDescent="0.25">
      <c r="A4047" s="14">
        <v>769203</v>
      </c>
      <c r="B4047" s="14" t="s">
        <v>4168</v>
      </c>
      <c r="C4047" s="14" t="s">
        <v>13029</v>
      </c>
      <c r="D4047" s="15">
        <v>21.61</v>
      </c>
      <c r="E4047" s="16" t="s">
        <v>30</v>
      </c>
    </row>
    <row r="4048" spans="1:5" x14ac:dyDescent="0.25">
      <c r="A4048" s="14">
        <v>769204</v>
      </c>
      <c r="B4048" s="14" t="s">
        <v>4169</v>
      </c>
      <c r="C4048" s="14" t="s">
        <v>13029</v>
      </c>
      <c r="D4048" s="15">
        <v>21.61</v>
      </c>
      <c r="E4048" s="16" t="s">
        <v>30</v>
      </c>
    </row>
    <row r="4049" spans="1:5" x14ac:dyDescent="0.25">
      <c r="A4049" s="14">
        <v>769205</v>
      </c>
      <c r="B4049" s="14" t="s">
        <v>4170</v>
      </c>
      <c r="C4049" s="14" t="s">
        <v>13029</v>
      </c>
      <c r="D4049" s="15">
        <v>21.61</v>
      </c>
      <c r="E4049" s="16" t="s">
        <v>30</v>
      </c>
    </row>
    <row r="4050" spans="1:5" x14ac:dyDescent="0.25">
      <c r="A4050" s="14">
        <v>769206</v>
      </c>
      <c r="B4050" s="14" t="s">
        <v>4171</v>
      </c>
      <c r="C4050" s="14" t="s">
        <v>13029</v>
      </c>
      <c r="D4050" s="15">
        <v>21.61</v>
      </c>
      <c r="E4050" s="16" t="s">
        <v>30</v>
      </c>
    </row>
    <row r="4051" spans="1:5" x14ac:dyDescent="0.25">
      <c r="A4051" s="14">
        <v>769208</v>
      </c>
      <c r="B4051" s="14" t="s">
        <v>4172</v>
      </c>
      <c r="C4051" s="14" t="s">
        <v>13029</v>
      </c>
      <c r="D4051" s="15">
        <v>21.61</v>
      </c>
      <c r="E4051" s="16" t="s">
        <v>30</v>
      </c>
    </row>
    <row r="4052" spans="1:5" x14ac:dyDescent="0.25">
      <c r="A4052" s="14">
        <v>769209</v>
      </c>
      <c r="B4052" s="14" t="s">
        <v>4173</v>
      </c>
      <c r="C4052" s="14" t="s">
        <v>13029</v>
      </c>
      <c r="D4052" s="15">
        <v>21.61</v>
      </c>
      <c r="E4052" s="16" t="s">
        <v>30</v>
      </c>
    </row>
    <row r="4053" spans="1:5" x14ac:dyDescent="0.25">
      <c r="A4053" s="14">
        <v>769210</v>
      </c>
      <c r="B4053" s="14" t="s">
        <v>4174</v>
      </c>
      <c r="C4053" s="14" t="s">
        <v>13029</v>
      </c>
      <c r="D4053" s="15">
        <v>24.09</v>
      </c>
      <c r="E4053" s="16" t="s">
        <v>30</v>
      </c>
    </row>
    <row r="4054" spans="1:5" x14ac:dyDescent="0.25">
      <c r="A4054" s="14">
        <v>769211</v>
      </c>
      <c r="B4054" s="14" t="s">
        <v>4175</v>
      </c>
      <c r="C4054" s="14" t="s">
        <v>13029</v>
      </c>
      <c r="D4054" s="15">
        <v>24.09</v>
      </c>
      <c r="E4054" s="16" t="s">
        <v>30</v>
      </c>
    </row>
    <row r="4055" spans="1:5" x14ac:dyDescent="0.25">
      <c r="A4055" s="14">
        <v>769212</v>
      </c>
      <c r="B4055" s="14" t="s">
        <v>4176</v>
      </c>
      <c r="C4055" s="14" t="s">
        <v>13029</v>
      </c>
      <c r="D4055" s="15">
        <v>20.34</v>
      </c>
      <c r="E4055" s="16" t="s">
        <v>30</v>
      </c>
    </row>
    <row r="4056" spans="1:5" x14ac:dyDescent="0.25">
      <c r="A4056" s="14">
        <v>769213</v>
      </c>
      <c r="B4056" s="14" t="s">
        <v>4177</v>
      </c>
      <c r="C4056" s="14" t="s">
        <v>13029</v>
      </c>
      <c r="D4056" s="15">
        <v>20.34</v>
      </c>
      <c r="E4056" s="16" t="s">
        <v>30</v>
      </c>
    </row>
    <row r="4057" spans="1:5" x14ac:dyDescent="0.25">
      <c r="A4057" s="14">
        <v>769214</v>
      </c>
      <c r="B4057" s="14" t="s">
        <v>4178</v>
      </c>
      <c r="C4057" s="14" t="s">
        <v>13029</v>
      </c>
      <c r="D4057" s="15">
        <v>20.34</v>
      </c>
      <c r="E4057" s="16" t="s">
        <v>30</v>
      </c>
    </row>
    <row r="4058" spans="1:5" x14ac:dyDescent="0.25">
      <c r="A4058" s="14">
        <v>754194</v>
      </c>
      <c r="B4058" s="14" t="s">
        <v>4179</v>
      </c>
      <c r="C4058" s="14" t="s">
        <v>13031</v>
      </c>
      <c r="D4058" s="15">
        <v>6.23</v>
      </c>
      <c r="E4058" s="16" t="s">
        <v>20</v>
      </c>
    </row>
    <row r="4059" spans="1:5" x14ac:dyDescent="0.25">
      <c r="A4059" s="14">
        <v>754389</v>
      </c>
      <c r="B4059" s="14" t="s">
        <v>4180</v>
      </c>
      <c r="C4059" s="14" t="s">
        <v>13031</v>
      </c>
      <c r="D4059" s="15">
        <v>7.31</v>
      </c>
      <c r="E4059" s="16" t="s">
        <v>20</v>
      </c>
    </row>
    <row r="4060" spans="1:5" x14ac:dyDescent="0.25">
      <c r="A4060" s="14">
        <v>769215</v>
      </c>
      <c r="B4060" s="14" t="s">
        <v>4181</v>
      </c>
      <c r="C4060" s="14" t="s">
        <v>13029</v>
      </c>
      <c r="D4060" s="15">
        <v>20.34</v>
      </c>
      <c r="E4060" s="16" t="s">
        <v>30</v>
      </c>
    </row>
    <row r="4061" spans="1:5" x14ac:dyDescent="0.25">
      <c r="A4061" s="14">
        <v>769216</v>
      </c>
      <c r="B4061" s="14" t="s">
        <v>4182</v>
      </c>
      <c r="C4061" s="14" t="s">
        <v>13029</v>
      </c>
      <c r="D4061" s="15">
        <v>24.09</v>
      </c>
      <c r="E4061" s="16" t="s">
        <v>30</v>
      </c>
    </row>
    <row r="4062" spans="1:5" x14ac:dyDescent="0.25">
      <c r="A4062" s="14">
        <v>757677</v>
      </c>
      <c r="B4062" s="14" t="s">
        <v>4183</v>
      </c>
      <c r="C4062" s="14" t="s">
        <v>13030</v>
      </c>
      <c r="D4062" s="15">
        <v>34.58</v>
      </c>
      <c r="E4062" s="16" t="s">
        <v>20</v>
      </c>
    </row>
    <row r="4063" spans="1:5" x14ac:dyDescent="0.25">
      <c r="A4063" s="14">
        <v>769217</v>
      </c>
      <c r="B4063" s="14" t="s">
        <v>4184</v>
      </c>
      <c r="C4063" s="14" t="s">
        <v>13029</v>
      </c>
      <c r="D4063" s="15">
        <v>24.09</v>
      </c>
      <c r="E4063" s="16" t="s">
        <v>30</v>
      </c>
    </row>
    <row r="4064" spans="1:5" x14ac:dyDescent="0.25">
      <c r="A4064" s="14">
        <v>769218</v>
      </c>
      <c r="B4064" s="14" t="s">
        <v>4185</v>
      </c>
      <c r="C4064" s="14" t="s">
        <v>13029</v>
      </c>
      <c r="D4064" s="15">
        <v>20.34</v>
      </c>
      <c r="E4064" s="16" t="s">
        <v>30</v>
      </c>
    </row>
    <row r="4065" spans="1:5" x14ac:dyDescent="0.25">
      <c r="A4065" s="14">
        <v>769219</v>
      </c>
      <c r="B4065" s="14" t="s">
        <v>4186</v>
      </c>
      <c r="C4065" s="14" t="s">
        <v>13029</v>
      </c>
      <c r="D4065" s="15">
        <v>24.09</v>
      </c>
      <c r="E4065" s="16" t="s">
        <v>30</v>
      </c>
    </row>
    <row r="4066" spans="1:5" x14ac:dyDescent="0.25">
      <c r="A4066" s="14">
        <v>769220</v>
      </c>
      <c r="B4066" s="14" t="s">
        <v>4187</v>
      </c>
      <c r="C4066" s="14" t="s">
        <v>13029</v>
      </c>
      <c r="D4066" s="15">
        <v>20.34</v>
      </c>
      <c r="E4066" s="16" t="s">
        <v>30</v>
      </c>
    </row>
    <row r="4067" spans="1:5" x14ac:dyDescent="0.25">
      <c r="A4067" s="14">
        <v>769221</v>
      </c>
      <c r="B4067" s="14" t="s">
        <v>4188</v>
      </c>
      <c r="C4067" s="14" t="s">
        <v>13029</v>
      </c>
      <c r="D4067" s="15">
        <v>24.09</v>
      </c>
      <c r="E4067" s="16" t="s">
        <v>30</v>
      </c>
    </row>
    <row r="4068" spans="1:5" x14ac:dyDescent="0.25">
      <c r="A4068" s="14">
        <v>769222</v>
      </c>
      <c r="B4068" s="14" t="s">
        <v>4189</v>
      </c>
      <c r="C4068" s="14" t="s">
        <v>13029</v>
      </c>
      <c r="D4068" s="15">
        <v>24.09</v>
      </c>
      <c r="E4068" s="16" t="s">
        <v>30</v>
      </c>
    </row>
    <row r="4069" spans="1:5" x14ac:dyDescent="0.25">
      <c r="A4069" s="14">
        <v>769223</v>
      </c>
      <c r="B4069" s="14" t="s">
        <v>4190</v>
      </c>
      <c r="C4069" s="14" t="s">
        <v>13029</v>
      </c>
      <c r="D4069" s="15">
        <v>24.09</v>
      </c>
      <c r="E4069" s="16" t="s">
        <v>30</v>
      </c>
    </row>
    <row r="4070" spans="1:5" x14ac:dyDescent="0.25">
      <c r="A4070" s="14">
        <v>769224</v>
      </c>
      <c r="B4070" s="14" t="s">
        <v>4191</v>
      </c>
      <c r="C4070" s="14" t="s">
        <v>13029</v>
      </c>
      <c r="D4070" s="15">
        <v>20.34</v>
      </c>
      <c r="E4070" s="16" t="s">
        <v>30</v>
      </c>
    </row>
    <row r="4071" spans="1:5" x14ac:dyDescent="0.25">
      <c r="A4071" s="14">
        <v>757678</v>
      </c>
      <c r="B4071" s="14" t="s">
        <v>4192</v>
      </c>
      <c r="C4071" s="14" t="s">
        <v>13030</v>
      </c>
      <c r="D4071" s="15">
        <v>46.91</v>
      </c>
      <c r="E4071" s="16" t="s">
        <v>20</v>
      </c>
    </row>
    <row r="4072" spans="1:5" x14ac:dyDescent="0.25">
      <c r="A4072" s="14">
        <v>757682</v>
      </c>
      <c r="B4072" s="14" t="s">
        <v>4193</v>
      </c>
      <c r="C4072" s="14" t="s">
        <v>13030</v>
      </c>
      <c r="D4072" s="15">
        <v>402.01</v>
      </c>
      <c r="E4072" s="16" t="s">
        <v>20</v>
      </c>
    </row>
    <row r="4073" spans="1:5" x14ac:dyDescent="0.25">
      <c r="A4073" s="14">
        <v>769225</v>
      </c>
      <c r="B4073" s="14" t="s">
        <v>4194</v>
      </c>
      <c r="C4073" s="14" t="s">
        <v>13029</v>
      </c>
      <c r="D4073" s="15">
        <v>20.34</v>
      </c>
      <c r="E4073" s="16" t="s">
        <v>30</v>
      </c>
    </row>
    <row r="4074" spans="1:5" x14ac:dyDescent="0.25">
      <c r="A4074" s="14">
        <v>769226</v>
      </c>
      <c r="B4074" s="14" t="s">
        <v>4195</v>
      </c>
      <c r="C4074" s="14" t="s">
        <v>13029</v>
      </c>
      <c r="D4074" s="15">
        <v>20.34</v>
      </c>
      <c r="E4074" s="16" t="s">
        <v>30</v>
      </c>
    </row>
    <row r="4075" spans="1:5" x14ac:dyDescent="0.25">
      <c r="A4075" s="14">
        <v>769227</v>
      </c>
      <c r="B4075" s="14" t="s">
        <v>4196</v>
      </c>
      <c r="C4075" s="14" t="s">
        <v>13029</v>
      </c>
      <c r="D4075" s="15">
        <v>20.34</v>
      </c>
      <c r="E4075" s="16" t="s">
        <v>30</v>
      </c>
    </row>
    <row r="4076" spans="1:5" x14ac:dyDescent="0.25">
      <c r="A4076" s="14">
        <v>769228</v>
      </c>
      <c r="B4076" s="14" t="s">
        <v>4197</v>
      </c>
      <c r="C4076" s="14" t="s">
        <v>13029</v>
      </c>
      <c r="D4076" s="15">
        <v>20.34</v>
      </c>
      <c r="E4076" s="16" t="s">
        <v>30</v>
      </c>
    </row>
    <row r="4077" spans="1:5" x14ac:dyDescent="0.25">
      <c r="A4077" s="14">
        <v>769229</v>
      </c>
      <c r="B4077" s="14" t="s">
        <v>4198</v>
      </c>
      <c r="C4077" s="14" t="s">
        <v>13029</v>
      </c>
      <c r="D4077" s="15">
        <v>20.34</v>
      </c>
      <c r="E4077" s="16" t="s">
        <v>30</v>
      </c>
    </row>
    <row r="4078" spans="1:5" x14ac:dyDescent="0.25">
      <c r="A4078" s="14">
        <v>769230</v>
      </c>
      <c r="B4078" s="14" t="s">
        <v>4199</v>
      </c>
      <c r="C4078" s="14" t="s">
        <v>13029</v>
      </c>
      <c r="D4078" s="15">
        <v>20.34</v>
      </c>
      <c r="E4078" s="16" t="s">
        <v>30</v>
      </c>
    </row>
    <row r="4079" spans="1:5" x14ac:dyDescent="0.25">
      <c r="A4079" s="14">
        <v>769231</v>
      </c>
      <c r="B4079" s="14" t="s">
        <v>4200</v>
      </c>
      <c r="C4079" s="14" t="s">
        <v>13029</v>
      </c>
      <c r="D4079" s="15">
        <v>20.34</v>
      </c>
      <c r="E4079" s="16" t="s">
        <v>30</v>
      </c>
    </row>
    <row r="4080" spans="1:5" x14ac:dyDescent="0.25">
      <c r="A4080" s="14">
        <v>769232</v>
      </c>
      <c r="B4080" s="14" t="s">
        <v>4201</v>
      </c>
      <c r="C4080" s="14" t="s">
        <v>13029</v>
      </c>
      <c r="D4080" s="15">
        <v>20.34</v>
      </c>
      <c r="E4080" s="16" t="s">
        <v>30</v>
      </c>
    </row>
    <row r="4081" spans="1:5" x14ac:dyDescent="0.25">
      <c r="A4081" s="14">
        <v>769233</v>
      </c>
      <c r="B4081" s="14" t="s">
        <v>4202</v>
      </c>
      <c r="C4081" s="14" t="s">
        <v>13029</v>
      </c>
      <c r="D4081" s="15">
        <v>20.34</v>
      </c>
      <c r="E4081" s="16" t="s">
        <v>30</v>
      </c>
    </row>
    <row r="4082" spans="1:5" x14ac:dyDescent="0.25">
      <c r="A4082" s="14">
        <v>769234</v>
      </c>
      <c r="B4082" s="14" t="s">
        <v>4203</v>
      </c>
      <c r="C4082" s="14" t="s">
        <v>13029</v>
      </c>
      <c r="D4082" s="15">
        <v>20.34</v>
      </c>
      <c r="E4082" s="16" t="s">
        <v>30</v>
      </c>
    </row>
    <row r="4083" spans="1:5" x14ac:dyDescent="0.25">
      <c r="A4083" s="14">
        <v>769235</v>
      </c>
      <c r="B4083" s="14" t="s">
        <v>4204</v>
      </c>
      <c r="C4083" s="14" t="s">
        <v>13029</v>
      </c>
      <c r="D4083" s="15">
        <v>22.25</v>
      </c>
      <c r="E4083" s="16" t="s">
        <v>30</v>
      </c>
    </row>
    <row r="4084" spans="1:5" x14ac:dyDescent="0.25">
      <c r="A4084" s="14">
        <v>769236</v>
      </c>
      <c r="B4084" s="14" t="s">
        <v>4205</v>
      </c>
      <c r="C4084" s="14" t="s">
        <v>13029</v>
      </c>
      <c r="D4084" s="15">
        <v>22.25</v>
      </c>
      <c r="E4084" s="16" t="s">
        <v>30</v>
      </c>
    </row>
    <row r="4085" spans="1:5" x14ac:dyDescent="0.25">
      <c r="A4085" s="14">
        <v>769237</v>
      </c>
      <c r="B4085" s="14" t="s">
        <v>4206</v>
      </c>
      <c r="C4085" s="14" t="s">
        <v>13029</v>
      </c>
      <c r="D4085" s="15">
        <v>22.25</v>
      </c>
      <c r="E4085" s="16" t="s">
        <v>30</v>
      </c>
    </row>
    <row r="4086" spans="1:5" x14ac:dyDescent="0.25">
      <c r="A4086" s="14">
        <v>769238</v>
      </c>
      <c r="B4086" s="14" t="s">
        <v>4207</v>
      </c>
      <c r="C4086" s="14" t="s">
        <v>13029</v>
      </c>
      <c r="D4086" s="15">
        <v>22.25</v>
      </c>
      <c r="E4086" s="16" t="s">
        <v>30</v>
      </c>
    </row>
    <row r="4087" spans="1:5" x14ac:dyDescent="0.25">
      <c r="A4087" s="14">
        <v>769239</v>
      </c>
      <c r="B4087" s="14" t="s">
        <v>4208</v>
      </c>
      <c r="C4087" s="14" t="s">
        <v>13029</v>
      </c>
      <c r="D4087" s="15">
        <v>22.25</v>
      </c>
      <c r="E4087" s="16" t="s">
        <v>30</v>
      </c>
    </row>
    <row r="4088" spans="1:5" x14ac:dyDescent="0.25">
      <c r="A4088" s="14">
        <v>769240</v>
      </c>
      <c r="B4088" s="14" t="s">
        <v>4209</v>
      </c>
      <c r="C4088" s="14" t="s">
        <v>13029</v>
      </c>
      <c r="D4088" s="15">
        <v>22.25</v>
      </c>
      <c r="E4088" s="16" t="s">
        <v>30</v>
      </c>
    </row>
    <row r="4089" spans="1:5" x14ac:dyDescent="0.25">
      <c r="A4089" s="14">
        <v>769241</v>
      </c>
      <c r="B4089" s="14" t="s">
        <v>4210</v>
      </c>
      <c r="C4089" s="14" t="s">
        <v>13029</v>
      </c>
      <c r="D4089" s="15">
        <v>22.88</v>
      </c>
      <c r="E4089" s="16" t="s">
        <v>30</v>
      </c>
    </row>
    <row r="4090" spans="1:5" x14ac:dyDescent="0.25">
      <c r="A4090" s="14">
        <v>769242</v>
      </c>
      <c r="B4090" s="14" t="s">
        <v>4211</v>
      </c>
      <c r="C4090" s="14" t="s">
        <v>13029</v>
      </c>
      <c r="D4090" s="15">
        <v>22.88</v>
      </c>
      <c r="E4090" s="16" t="s">
        <v>30</v>
      </c>
    </row>
    <row r="4091" spans="1:5" x14ac:dyDescent="0.25">
      <c r="A4091" s="14">
        <v>769243</v>
      </c>
      <c r="B4091" s="14" t="s">
        <v>4212</v>
      </c>
      <c r="C4091" s="14" t="s">
        <v>13029</v>
      </c>
      <c r="D4091" s="15">
        <v>22.88</v>
      </c>
      <c r="E4091" s="16" t="s">
        <v>30</v>
      </c>
    </row>
    <row r="4092" spans="1:5" x14ac:dyDescent="0.25">
      <c r="A4092" s="14">
        <v>769245</v>
      </c>
      <c r="B4092" s="14" t="s">
        <v>4213</v>
      </c>
      <c r="C4092" s="14" t="s">
        <v>13029</v>
      </c>
      <c r="D4092" s="15">
        <v>22.88</v>
      </c>
      <c r="E4092" s="16" t="s">
        <v>30</v>
      </c>
    </row>
    <row r="4093" spans="1:5" x14ac:dyDescent="0.25">
      <c r="A4093" s="14">
        <v>769247</v>
      </c>
      <c r="B4093" s="14" t="s">
        <v>4214</v>
      </c>
      <c r="C4093" s="14" t="s">
        <v>13029</v>
      </c>
      <c r="D4093" s="15">
        <v>22.88</v>
      </c>
      <c r="E4093" s="16" t="s">
        <v>30</v>
      </c>
    </row>
    <row r="4094" spans="1:5" x14ac:dyDescent="0.25">
      <c r="A4094" s="14">
        <v>769248</v>
      </c>
      <c r="B4094" s="14" t="s">
        <v>4215</v>
      </c>
      <c r="C4094" s="14" t="s">
        <v>13029</v>
      </c>
      <c r="D4094" s="15">
        <v>22.88</v>
      </c>
      <c r="E4094" s="16" t="s">
        <v>30</v>
      </c>
    </row>
    <row r="4095" spans="1:5" x14ac:dyDescent="0.25">
      <c r="A4095" s="14">
        <v>769249</v>
      </c>
      <c r="B4095" s="14" t="s">
        <v>4216</v>
      </c>
      <c r="C4095" s="14" t="s">
        <v>13029</v>
      </c>
      <c r="D4095" s="15">
        <v>22.88</v>
      </c>
      <c r="E4095" s="16" t="s">
        <v>30</v>
      </c>
    </row>
    <row r="4096" spans="1:5" x14ac:dyDescent="0.25">
      <c r="A4096" s="14">
        <v>769250</v>
      </c>
      <c r="B4096" s="14" t="s">
        <v>4217</v>
      </c>
      <c r="C4096" s="14" t="s">
        <v>13029</v>
      </c>
      <c r="D4096" s="15">
        <v>22.88</v>
      </c>
      <c r="E4096" s="16" t="s">
        <v>30</v>
      </c>
    </row>
    <row r="4097" spans="1:5" x14ac:dyDescent="0.25">
      <c r="A4097" s="14">
        <v>769251</v>
      </c>
      <c r="B4097" s="14" t="s">
        <v>4218</v>
      </c>
      <c r="C4097" s="14" t="s">
        <v>13029</v>
      </c>
      <c r="D4097" s="15">
        <v>22.88</v>
      </c>
      <c r="E4097" s="16" t="s">
        <v>30</v>
      </c>
    </row>
    <row r="4098" spans="1:5" x14ac:dyDescent="0.25">
      <c r="A4098" s="14">
        <v>769252</v>
      </c>
      <c r="B4098" s="14" t="s">
        <v>4219</v>
      </c>
      <c r="C4098" s="14" t="s">
        <v>13029</v>
      </c>
      <c r="D4098" s="15">
        <v>22.88</v>
      </c>
      <c r="E4098" s="16" t="s">
        <v>30</v>
      </c>
    </row>
    <row r="4099" spans="1:5" x14ac:dyDescent="0.25">
      <c r="A4099" s="14">
        <v>769253</v>
      </c>
      <c r="B4099" s="14" t="s">
        <v>4220</v>
      </c>
      <c r="C4099" s="14" t="s">
        <v>13029</v>
      </c>
      <c r="D4099" s="15">
        <v>22.88</v>
      </c>
      <c r="E4099" s="16" t="s">
        <v>30</v>
      </c>
    </row>
    <row r="4100" spans="1:5" x14ac:dyDescent="0.25">
      <c r="A4100" s="14">
        <v>769254</v>
      </c>
      <c r="B4100" s="14" t="s">
        <v>4221</v>
      </c>
      <c r="C4100" s="14" t="s">
        <v>13029</v>
      </c>
      <c r="D4100" s="15">
        <v>22.88</v>
      </c>
      <c r="E4100" s="16" t="s">
        <v>30</v>
      </c>
    </row>
    <row r="4101" spans="1:5" x14ac:dyDescent="0.25">
      <c r="A4101" s="14">
        <v>769255</v>
      </c>
      <c r="B4101" s="14" t="s">
        <v>4222</v>
      </c>
      <c r="C4101" s="14" t="s">
        <v>13029</v>
      </c>
      <c r="D4101" s="15">
        <v>22.88</v>
      </c>
      <c r="E4101" s="16" t="s">
        <v>30</v>
      </c>
    </row>
    <row r="4102" spans="1:5" x14ac:dyDescent="0.25">
      <c r="A4102" s="14">
        <v>769256</v>
      </c>
      <c r="B4102" s="14" t="s">
        <v>4223</v>
      </c>
      <c r="C4102" s="14" t="s">
        <v>13029</v>
      </c>
      <c r="D4102" s="15">
        <v>22.88</v>
      </c>
      <c r="E4102" s="16" t="s">
        <v>30</v>
      </c>
    </row>
    <row r="4103" spans="1:5" x14ac:dyDescent="0.25">
      <c r="A4103" s="14">
        <v>769257</v>
      </c>
      <c r="B4103" s="14" t="s">
        <v>4224</v>
      </c>
      <c r="C4103" s="14" t="s">
        <v>13029</v>
      </c>
      <c r="D4103" s="15">
        <v>22.88</v>
      </c>
      <c r="E4103" s="16" t="s">
        <v>30</v>
      </c>
    </row>
    <row r="4104" spans="1:5" x14ac:dyDescent="0.25">
      <c r="A4104" s="14">
        <v>769258</v>
      </c>
      <c r="B4104" s="14" t="s">
        <v>4225</v>
      </c>
      <c r="C4104" s="14" t="s">
        <v>13029</v>
      </c>
      <c r="D4104" s="15">
        <v>22.88</v>
      </c>
      <c r="E4104" s="16" t="s">
        <v>30</v>
      </c>
    </row>
    <row r="4105" spans="1:5" x14ac:dyDescent="0.25">
      <c r="A4105" s="14">
        <v>769259</v>
      </c>
      <c r="B4105" s="14" t="s">
        <v>4226</v>
      </c>
      <c r="C4105" s="14" t="s">
        <v>13029</v>
      </c>
      <c r="D4105" s="15">
        <v>31.72</v>
      </c>
      <c r="E4105" s="16" t="s">
        <v>30</v>
      </c>
    </row>
    <row r="4106" spans="1:5" x14ac:dyDescent="0.25">
      <c r="A4106" s="14">
        <v>769260</v>
      </c>
      <c r="B4106" s="14" t="s">
        <v>4227</v>
      </c>
      <c r="C4106" s="14" t="s">
        <v>13029</v>
      </c>
      <c r="D4106" s="15">
        <v>27.27</v>
      </c>
      <c r="E4106" s="16" t="s">
        <v>30</v>
      </c>
    </row>
    <row r="4107" spans="1:5" x14ac:dyDescent="0.25">
      <c r="A4107" s="14">
        <v>754391</v>
      </c>
      <c r="B4107" s="14" t="s">
        <v>134</v>
      </c>
      <c r="C4107" s="14" t="s">
        <v>13031</v>
      </c>
      <c r="D4107" s="15">
        <v>5.04</v>
      </c>
      <c r="E4107" s="16" t="s">
        <v>20</v>
      </c>
    </row>
    <row r="4108" spans="1:5" x14ac:dyDescent="0.25">
      <c r="A4108" s="14">
        <v>754392</v>
      </c>
      <c r="B4108" s="14" t="s">
        <v>4228</v>
      </c>
      <c r="C4108" s="14" t="s">
        <v>13031</v>
      </c>
      <c r="D4108" s="15">
        <v>20.9</v>
      </c>
      <c r="E4108" s="16" t="s">
        <v>20</v>
      </c>
    </row>
    <row r="4109" spans="1:5" x14ac:dyDescent="0.25">
      <c r="A4109" s="14">
        <v>768064</v>
      </c>
      <c r="B4109" s="14" t="s">
        <v>4229</v>
      </c>
      <c r="C4109" s="14" t="s">
        <v>13030</v>
      </c>
      <c r="D4109" s="15">
        <v>67</v>
      </c>
      <c r="E4109" s="16" t="s">
        <v>20</v>
      </c>
    </row>
    <row r="4110" spans="1:5" x14ac:dyDescent="0.25">
      <c r="A4110" s="14">
        <v>769261</v>
      </c>
      <c r="B4110" s="14" t="s">
        <v>4230</v>
      </c>
      <c r="C4110" s="14" t="s">
        <v>13029</v>
      </c>
      <c r="D4110" s="15">
        <v>27.27</v>
      </c>
      <c r="E4110" s="16" t="s">
        <v>30</v>
      </c>
    </row>
    <row r="4111" spans="1:5" x14ac:dyDescent="0.25">
      <c r="A4111" s="14">
        <v>769262</v>
      </c>
      <c r="B4111" s="14" t="s">
        <v>4231</v>
      </c>
      <c r="C4111" s="14" t="s">
        <v>13029</v>
      </c>
      <c r="D4111" s="15">
        <v>31.72</v>
      </c>
      <c r="E4111" s="16" t="s">
        <v>30</v>
      </c>
    </row>
    <row r="4112" spans="1:5" x14ac:dyDescent="0.25">
      <c r="A4112" s="14">
        <v>769263</v>
      </c>
      <c r="B4112" s="14" t="s">
        <v>4232</v>
      </c>
      <c r="C4112" s="14" t="s">
        <v>13029</v>
      </c>
      <c r="D4112" s="15">
        <v>31.72</v>
      </c>
      <c r="E4112" s="16" t="s">
        <v>30</v>
      </c>
    </row>
    <row r="4113" spans="1:5" x14ac:dyDescent="0.25">
      <c r="A4113" s="14">
        <v>769264</v>
      </c>
      <c r="B4113" s="14" t="s">
        <v>4233</v>
      </c>
      <c r="C4113" s="14" t="s">
        <v>13029</v>
      </c>
      <c r="D4113" s="15">
        <v>31.72</v>
      </c>
      <c r="E4113" s="16" t="s">
        <v>30</v>
      </c>
    </row>
    <row r="4114" spans="1:5" x14ac:dyDescent="0.25">
      <c r="A4114" s="14">
        <v>769265</v>
      </c>
      <c r="B4114" s="14" t="s">
        <v>4234</v>
      </c>
      <c r="C4114" s="14" t="s">
        <v>13029</v>
      </c>
      <c r="D4114" s="15">
        <v>31.72</v>
      </c>
      <c r="E4114" s="16" t="s">
        <v>30</v>
      </c>
    </row>
    <row r="4115" spans="1:5" x14ac:dyDescent="0.25">
      <c r="A4115" s="14">
        <v>769266</v>
      </c>
      <c r="B4115" s="14" t="s">
        <v>4235</v>
      </c>
      <c r="C4115" s="14" t="s">
        <v>13029</v>
      </c>
      <c r="D4115" s="15">
        <v>31.72</v>
      </c>
      <c r="E4115" s="16" t="s">
        <v>30</v>
      </c>
    </row>
    <row r="4116" spans="1:5" x14ac:dyDescent="0.25">
      <c r="A4116" s="14">
        <v>769267</v>
      </c>
      <c r="B4116" s="14" t="s">
        <v>4236</v>
      </c>
      <c r="C4116" s="14" t="s">
        <v>13029</v>
      </c>
      <c r="D4116" s="15">
        <v>15.25</v>
      </c>
      <c r="E4116" s="16" t="s">
        <v>30</v>
      </c>
    </row>
    <row r="4117" spans="1:5" x14ac:dyDescent="0.25">
      <c r="A4117" s="14">
        <v>769268</v>
      </c>
      <c r="B4117" s="14" t="s">
        <v>4237</v>
      </c>
      <c r="C4117" s="14" t="s">
        <v>13029</v>
      </c>
      <c r="D4117" s="15">
        <v>15.25</v>
      </c>
      <c r="E4117" s="16" t="s">
        <v>30</v>
      </c>
    </row>
    <row r="4118" spans="1:5" x14ac:dyDescent="0.25">
      <c r="A4118" s="14">
        <v>769269</v>
      </c>
      <c r="B4118" s="14" t="s">
        <v>4238</v>
      </c>
      <c r="C4118" s="14" t="s">
        <v>13029</v>
      </c>
      <c r="D4118" s="15">
        <v>15.25</v>
      </c>
      <c r="E4118" s="16" t="s">
        <v>30</v>
      </c>
    </row>
    <row r="4119" spans="1:5" x14ac:dyDescent="0.25">
      <c r="A4119" s="14">
        <v>769270</v>
      </c>
      <c r="B4119" s="14" t="s">
        <v>4239</v>
      </c>
      <c r="C4119" s="14" t="s">
        <v>13029</v>
      </c>
      <c r="D4119" s="15">
        <v>28.6</v>
      </c>
      <c r="E4119" s="16" t="s">
        <v>30</v>
      </c>
    </row>
    <row r="4120" spans="1:5" x14ac:dyDescent="0.25">
      <c r="A4120" s="14">
        <v>769271</v>
      </c>
      <c r="B4120" s="14" t="s">
        <v>4240</v>
      </c>
      <c r="C4120" s="14" t="s">
        <v>13029</v>
      </c>
      <c r="D4120" s="15">
        <v>28.6</v>
      </c>
      <c r="E4120" s="16" t="s">
        <v>30</v>
      </c>
    </row>
    <row r="4121" spans="1:5" x14ac:dyDescent="0.25">
      <c r="A4121" s="14">
        <v>769272</v>
      </c>
      <c r="B4121" s="14" t="s">
        <v>4241</v>
      </c>
      <c r="C4121" s="14" t="s">
        <v>13029</v>
      </c>
      <c r="D4121" s="15">
        <v>28.6</v>
      </c>
      <c r="E4121" s="16" t="s">
        <v>30</v>
      </c>
    </row>
    <row r="4122" spans="1:5" x14ac:dyDescent="0.25">
      <c r="A4122" s="14">
        <v>769273</v>
      </c>
      <c r="B4122" s="14" t="s">
        <v>4242</v>
      </c>
      <c r="C4122" s="14" t="s">
        <v>13029</v>
      </c>
      <c r="D4122" s="15">
        <v>25.36</v>
      </c>
      <c r="E4122" s="16" t="s">
        <v>30</v>
      </c>
    </row>
    <row r="4123" spans="1:5" x14ac:dyDescent="0.25">
      <c r="A4123" s="14">
        <v>769276</v>
      </c>
      <c r="B4123" s="14" t="s">
        <v>4243</v>
      </c>
      <c r="C4123" s="14" t="s">
        <v>13029</v>
      </c>
      <c r="D4123" s="15">
        <v>26.63</v>
      </c>
      <c r="E4123" s="16" t="s">
        <v>30</v>
      </c>
    </row>
    <row r="4124" spans="1:5" x14ac:dyDescent="0.25">
      <c r="A4124" s="14">
        <v>769277</v>
      </c>
      <c r="B4124" s="14" t="s">
        <v>4244</v>
      </c>
      <c r="C4124" s="14" t="s">
        <v>13029</v>
      </c>
      <c r="D4124" s="15">
        <v>26.63</v>
      </c>
      <c r="E4124" s="16" t="s">
        <v>30</v>
      </c>
    </row>
    <row r="4125" spans="1:5" x14ac:dyDescent="0.25">
      <c r="A4125" s="14">
        <v>769278</v>
      </c>
      <c r="B4125" s="14" t="s">
        <v>4245</v>
      </c>
      <c r="C4125" s="14" t="s">
        <v>13029</v>
      </c>
      <c r="D4125" s="15">
        <v>25.36</v>
      </c>
      <c r="E4125" s="16" t="s">
        <v>30</v>
      </c>
    </row>
    <row r="4126" spans="1:5" x14ac:dyDescent="0.25">
      <c r="A4126" s="14">
        <v>769279</v>
      </c>
      <c r="B4126" s="14" t="s">
        <v>4246</v>
      </c>
      <c r="C4126" s="14" t="s">
        <v>13029</v>
      </c>
      <c r="D4126" s="15">
        <v>26.69</v>
      </c>
      <c r="E4126" s="16" t="s">
        <v>30</v>
      </c>
    </row>
    <row r="4127" spans="1:5" x14ac:dyDescent="0.25">
      <c r="A4127" s="14">
        <v>769280</v>
      </c>
      <c r="B4127" s="14" t="s">
        <v>4247</v>
      </c>
      <c r="C4127" s="14" t="s">
        <v>13029</v>
      </c>
      <c r="D4127" s="15">
        <v>26.69</v>
      </c>
      <c r="E4127" s="16" t="s">
        <v>30</v>
      </c>
    </row>
    <row r="4128" spans="1:5" x14ac:dyDescent="0.25">
      <c r="A4128" s="14">
        <v>769281</v>
      </c>
      <c r="B4128" s="14" t="s">
        <v>4248</v>
      </c>
      <c r="C4128" s="14" t="s">
        <v>13029</v>
      </c>
      <c r="D4128" s="15">
        <v>27.97</v>
      </c>
      <c r="E4128" s="16" t="s">
        <v>30</v>
      </c>
    </row>
    <row r="4129" spans="1:5" x14ac:dyDescent="0.25">
      <c r="A4129" s="14">
        <v>769282</v>
      </c>
      <c r="B4129" s="14" t="s">
        <v>4249</v>
      </c>
      <c r="C4129" s="14" t="s">
        <v>13029</v>
      </c>
      <c r="D4129" s="15">
        <v>27.97</v>
      </c>
      <c r="E4129" s="16" t="s">
        <v>30</v>
      </c>
    </row>
    <row r="4130" spans="1:5" x14ac:dyDescent="0.25">
      <c r="A4130" s="14">
        <v>769283</v>
      </c>
      <c r="B4130" s="14" t="s">
        <v>4250</v>
      </c>
      <c r="C4130" s="14" t="s">
        <v>13029</v>
      </c>
      <c r="D4130" s="15">
        <v>27.97</v>
      </c>
      <c r="E4130" s="16" t="s">
        <v>30</v>
      </c>
    </row>
    <row r="4131" spans="1:5" x14ac:dyDescent="0.25">
      <c r="A4131" s="14">
        <v>769284</v>
      </c>
      <c r="B4131" s="14" t="s">
        <v>4251</v>
      </c>
      <c r="C4131" s="14" t="s">
        <v>13029</v>
      </c>
      <c r="D4131" s="15">
        <v>26.69</v>
      </c>
      <c r="E4131" s="16" t="s">
        <v>30</v>
      </c>
    </row>
    <row r="4132" spans="1:5" x14ac:dyDescent="0.25">
      <c r="A4132" s="14">
        <v>769285</v>
      </c>
      <c r="B4132" s="14" t="s">
        <v>4252</v>
      </c>
      <c r="C4132" s="14" t="s">
        <v>13029</v>
      </c>
      <c r="D4132" s="15">
        <v>29.81</v>
      </c>
      <c r="E4132" s="16" t="s">
        <v>30</v>
      </c>
    </row>
    <row r="4133" spans="1:5" x14ac:dyDescent="0.25">
      <c r="A4133" s="14">
        <v>769286</v>
      </c>
      <c r="B4133" s="14" t="s">
        <v>4253</v>
      </c>
      <c r="C4133" s="14" t="s">
        <v>13029</v>
      </c>
      <c r="D4133" s="15">
        <v>26.69</v>
      </c>
      <c r="E4133" s="16" t="s">
        <v>30</v>
      </c>
    </row>
    <row r="4134" spans="1:5" x14ac:dyDescent="0.25">
      <c r="A4134" s="14">
        <v>769287</v>
      </c>
      <c r="B4134" s="14" t="s">
        <v>4254</v>
      </c>
      <c r="C4134" s="14" t="s">
        <v>13029</v>
      </c>
      <c r="D4134" s="15">
        <v>30.51</v>
      </c>
      <c r="E4134" s="16" t="s">
        <v>30</v>
      </c>
    </row>
    <row r="4135" spans="1:5" x14ac:dyDescent="0.25">
      <c r="A4135" s="14">
        <v>769288</v>
      </c>
      <c r="B4135" s="14" t="s">
        <v>4255</v>
      </c>
      <c r="C4135" s="14" t="s">
        <v>13029</v>
      </c>
      <c r="D4135" s="15">
        <v>22.88</v>
      </c>
      <c r="E4135" s="16" t="s">
        <v>30</v>
      </c>
    </row>
    <row r="4136" spans="1:5" x14ac:dyDescent="0.25">
      <c r="A4136" s="14">
        <v>769289</v>
      </c>
      <c r="B4136" s="14" t="s">
        <v>4256</v>
      </c>
      <c r="C4136" s="14" t="s">
        <v>13029</v>
      </c>
      <c r="D4136" s="15">
        <v>22.88</v>
      </c>
      <c r="E4136" s="16" t="s">
        <v>30</v>
      </c>
    </row>
    <row r="4137" spans="1:5" x14ac:dyDescent="0.25">
      <c r="A4137" s="14">
        <v>769290</v>
      </c>
      <c r="B4137" s="14" t="s">
        <v>4257</v>
      </c>
      <c r="C4137" s="14" t="s">
        <v>13029</v>
      </c>
      <c r="D4137" s="15">
        <v>25.36</v>
      </c>
      <c r="E4137" s="16" t="s">
        <v>30</v>
      </c>
    </row>
    <row r="4138" spans="1:5" x14ac:dyDescent="0.25">
      <c r="A4138" s="14">
        <v>769291</v>
      </c>
      <c r="B4138" s="14" t="s">
        <v>4258</v>
      </c>
      <c r="C4138" s="14" t="s">
        <v>13029</v>
      </c>
      <c r="D4138" s="15">
        <v>22.88</v>
      </c>
      <c r="E4138" s="16" t="s">
        <v>30</v>
      </c>
    </row>
    <row r="4139" spans="1:5" x14ac:dyDescent="0.25">
      <c r="A4139" s="14">
        <v>769292</v>
      </c>
      <c r="B4139" s="14" t="s">
        <v>4259</v>
      </c>
      <c r="C4139" s="14" t="s">
        <v>13029</v>
      </c>
      <c r="D4139" s="15">
        <v>22.88</v>
      </c>
      <c r="E4139" s="16" t="s">
        <v>30</v>
      </c>
    </row>
    <row r="4140" spans="1:5" x14ac:dyDescent="0.25">
      <c r="A4140" s="14">
        <v>769294</v>
      </c>
      <c r="B4140" s="14" t="s">
        <v>4260</v>
      </c>
      <c r="C4140" s="14" t="s">
        <v>13029</v>
      </c>
      <c r="D4140" s="15">
        <v>38.14</v>
      </c>
      <c r="E4140" s="16" t="s">
        <v>30</v>
      </c>
    </row>
    <row r="4141" spans="1:5" x14ac:dyDescent="0.25">
      <c r="A4141" s="14">
        <v>769295</v>
      </c>
      <c r="B4141" s="14" t="s">
        <v>4261</v>
      </c>
      <c r="C4141" s="14" t="s">
        <v>13029</v>
      </c>
      <c r="D4141" s="15">
        <v>38.14</v>
      </c>
      <c r="E4141" s="16" t="s">
        <v>30</v>
      </c>
    </row>
    <row r="4142" spans="1:5" x14ac:dyDescent="0.25">
      <c r="A4142" s="14">
        <v>769296</v>
      </c>
      <c r="B4142" s="14" t="s">
        <v>4262</v>
      </c>
      <c r="C4142" s="14" t="s">
        <v>13029</v>
      </c>
      <c r="D4142" s="15">
        <v>38.14</v>
      </c>
      <c r="E4142" s="16" t="s">
        <v>30</v>
      </c>
    </row>
    <row r="4143" spans="1:5" x14ac:dyDescent="0.25">
      <c r="A4143" s="14">
        <v>769297</v>
      </c>
      <c r="B4143" s="14" t="s">
        <v>4263</v>
      </c>
      <c r="C4143" s="14" t="s">
        <v>13029</v>
      </c>
      <c r="D4143" s="15">
        <v>21.55</v>
      </c>
      <c r="E4143" s="16" t="s">
        <v>30</v>
      </c>
    </row>
    <row r="4144" spans="1:5" x14ac:dyDescent="0.25">
      <c r="A4144" s="14">
        <v>769298</v>
      </c>
      <c r="B4144" s="14" t="s">
        <v>4264</v>
      </c>
      <c r="C4144" s="14" t="s">
        <v>13029</v>
      </c>
      <c r="D4144" s="15">
        <v>21.55</v>
      </c>
      <c r="E4144" s="16" t="s">
        <v>30</v>
      </c>
    </row>
    <row r="4145" spans="1:5" x14ac:dyDescent="0.25">
      <c r="A4145" s="14">
        <v>769299</v>
      </c>
      <c r="B4145" s="14" t="s">
        <v>4265</v>
      </c>
      <c r="C4145" s="14" t="s">
        <v>13029</v>
      </c>
      <c r="D4145" s="15">
        <v>21.55</v>
      </c>
      <c r="E4145" s="16" t="s">
        <v>30</v>
      </c>
    </row>
    <row r="4146" spans="1:5" x14ac:dyDescent="0.25">
      <c r="A4146" s="14">
        <v>769300</v>
      </c>
      <c r="B4146" s="14" t="s">
        <v>4266</v>
      </c>
      <c r="C4146" s="14" t="s">
        <v>13029</v>
      </c>
      <c r="D4146" s="15">
        <v>21.55</v>
      </c>
      <c r="E4146" s="16" t="s">
        <v>30</v>
      </c>
    </row>
    <row r="4147" spans="1:5" x14ac:dyDescent="0.25">
      <c r="A4147" s="14">
        <v>769301</v>
      </c>
      <c r="B4147" s="14" t="s">
        <v>4267</v>
      </c>
      <c r="C4147" s="14" t="s">
        <v>13029</v>
      </c>
      <c r="D4147" s="15">
        <v>21.55</v>
      </c>
      <c r="E4147" s="16" t="s">
        <v>30</v>
      </c>
    </row>
    <row r="4148" spans="1:5" x14ac:dyDescent="0.25">
      <c r="A4148" s="14">
        <v>769302</v>
      </c>
      <c r="B4148" s="14" t="s">
        <v>4268</v>
      </c>
      <c r="C4148" s="14" t="s">
        <v>13029</v>
      </c>
      <c r="D4148" s="15">
        <v>21.55</v>
      </c>
      <c r="E4148" s="16" t="s">
        <v>30</v>
      </c>
    </row>
    <row r="4149" spans="1:5" x14ac:dyDescent="0.25">
      <c r="A4149" s="14">
        <v>769303</v>
      </c>
      <c r="B4149" s="14" t="s">
        <v>4269</v>
      </c>
      <c r="C4149" s="14" t="s">
        <v>13029</v>
      </c>
      <c r="D4149" s="15">
        <v>21.55</v>
      </c>
      <c r="E4149" s="16" t="s">
        <v>30</v>
      </c>
    </row>
    <row r="4150" spans="1:5" x14ac:dyDescent="0.25">
      <c r="A4150" s="14">
        <v>769304</v>
      </c>
      <c r="B4150" s="14" t="s">
        <v>4270</v>
      </c>
      <c r="C4150" s="14" t="s">
        <v>13029</v>
      </c>
      <c r="D4150" s="15">
        <v>21.55</v>
      </c>
      <c r="E4150" s="16" t="s">
        <v>30</v>
      </c>
    </row>
    <row r="4151" spans="1:5" x14ac:dyDescent="0.25">
      <c r="A4151" s="14">
        <v>769305</v>
      </c>
      <c r="B4151" s="14" t="s">
        <v>4271</v>
      </c>
      <c r="C4151" s="14" t="s">
        <v>13029</v>
      </c>
      <c r="D4151" s="15">
        <v>21.55</v>
      </c>
      <c r="E4151" s="16" t="s">
        <v>30</v>
      </c>
    </row>
    <row r="4152" spans="1:5" x14ac:dyDescent="0.25">
      <c r="A4152" s="14">
        <v>769308</v>
      </c>
      <c r="B4152" s="14" t="s">
        <v>4272</v>
      </c>
      <c r="C4152" s="14" t="s">
        <v>13029</v>
      </c>
      <c r="D4152" s="15">
        <v>27.97</v>
      </c>
      <c r="E4152" s="16" t="s">
        <v>30</v>
      </c>
    </row>
    <row r="4153" spans="1:5" x14ac:dyDescent="0.25">
      <c r="A4153" s="14">
        <v>769309</v>
      </c>
      <c r="B4153" s="14" t="s">
        <v>4273</v>
      </c>
      <c r="C4153" s="14" t="s">
        <v>13029</v>
      </c>
      <c r="D4153" s="15">
        <v>23.45</v>
      </c>
      <c r="E4153" s="16" t="s">
        <v>30</v>
      </c>
    </row>
    <row r="4154" spans="1:5" x14ac:dyDescent="0.25">
      <c r="A4154" s="14">
        <v>769310</v>
      </c>
      <c r="B4154" s="14" t="s">
        <v>4274</v>
      </c>
      <c r="C4154" s="14" t="s">
        <v>13029</v>
      </c>
      <c r="D4154" s="15">
        <v>23.45</v>
      </c>
      <c r="E4154" s="16" t="s">
        <v>30</v>
      </c>
    </row>
    <row r="4155" spans="1:5" x14ac:dyDescent="0.25">
      <c r="A4155" s="14">
        <v>769311</v>
      </c>
      <c r="B4155" s="14" t="s">
        <v>4275</v>
      </c>
      <c r="C4155" s="14" t="s">
        <v>13029</v>
      </c>
      <c r="D4155" s="15">
        <v>23.45</v>
      </c>
      <c r="E4155" s="16" t="s">
        <v>30</v>
      </c>
    </row>
    <row r="4156" spans="1:5" x14ac:dyDescent="0.25">
      <c r="A4156" s="14">
        <v>769312</v>
      </c>
      <c r="B4156" s="14" t="s">
        <v>4276</v>
      </c>
      <c r="C4156" s="14" t="s">
        <v>13029</v>
      </c>
      <c r="D4156" s="15">
        <v>25.36</v>
      </c>
      <c r="E4156" s="16" t="s">
        <v>30</v>
      </c>
    </row>
    <row r="4157" spans="1:5" x14ac:dyDescent="0.25">
      <c r="A4157" s="14">
        <v>769313</v>
      </c>
      <c r="B4157" s="14" t="s">
        <v>4277</v>
      </c>
      <c r="C4157" s="14" t="s">
        <v>13029</v>
      </c>
      <c r="D4157" s="15">
        <v>25.36</v>
      </c>
      <c r="E4157" s="16" t="s">
        <v>30</v>
      </c>
    </row>
    <row r="4158" spans="1:5" x14ac:dyDescent="0.25">
      <c r="A4158" s="14">
        <v>756445</v>
      </c>
      <c r="B4158" s="14" t="s">
        <v>4278</v>
      </c>
      <c r="C4158" s="14" t="s">
        <v>13031</v>
      </c>
      <c r="D4158" s="15">
        <v>13.23</v>
      </c>
      <c r="E4158" s="16" t="s">
        <v>20</v>
      </c>
    </row>
    <row r="4159" spans="1:5" x14ac:dyDescent="0.25">
      <c r="A4159" s="14">
        <v>756446</v>
      </c>
      <c r="B4159" s="14" t="s">
        <v>4279</v>
      </c>
      <c r="C4159" s="14" t="s">
        <v>13031</v>
      </c>
      <c r="D4159" s="15">
        <v>11.21</v>
      </c>
      <c r="E4159" s="16" t="s">
        <v>20</v>
      </c>
    </row>
    <row r="4160" spans="1:5" x14ac:dyDescent="0.25">
      <c r="A4160" s="14">
        <v>756447</v>
      </c>
      <c r="B4160" s="14" t="s">
        <v>4280</v>
      </c>
      <c r="C4160" s="14" t="s">
        <v>13031</v>
      </c>
      <c r="D4160" s="15">
        <v>13.23</v>
      </c>
      <c r="E4160" s="16" t="s">
        <v>20</v>
      </c>
    </row>
    <row r="4161" spans="1:5" x14ac:dyDescent="0.25">
      <c r="A4161" s="14">
        <v>769314</v>
      </c>
      <c r="B4161" s="14" t="s">
        <v>4281</v>
      </c>
      <c r="C4161" s="14" t="s">
        <v>13029</v>
      </c>
      <c r="D4161" s="15">
        <v>25.36</v>
      </c>
      <c r="E4161" s="16" t="s">
        <v>30</v>
      </c>
    </row>
    <row r="4162" spans="1:5" x14ac:dyDescent="0.25">
      <c r="A4162" s="14">
        <v>769315</v>
      </c>
      <c r="B4162" s="14" t="s">
        <v>4282</v>
      </c>
      <c r="C4162" s="14" t="s">
        <v>13029</v>
      </c>
      <c r="D4162" s="15">
        <v>30.51</v>
      </c>
      <c r="E4162" s="16" t="s">
        <v>30</v>
      </c>
    </row>
    <row r="4163" spans="1:5" x14ac:dyDescent="0.25">
      <c r="A4163" s="14">
        <v>769316</v>
      </c>
      <c r="B4163" s="14" t="s">
        <v>4283</v>
      </c>
      <c r="C4163" s="14" t="s">
        <v>13029</v>
      </c>
      <c r="D4163" s="15">
        <v>29.24</v>
      </c>
      <c r="E4163" s="16" t="s">
        <v>30</v>
      </c>
    </row>
    <row r="4164" spans="1:5" x14ac:dyDescent="0.25">
      <c r="A4164" s="14">
        <v>769317</v>
      </c>
      <c r="B4164" s="14" t="s">
        <v>4284</v>
      </c>
      <c r="C4164" s="14" t="s">
        <v>13029</v>
      </c>
      <c r="D4164" s="15">
        <v>30.51</v>
      </c>
      <c r="E4164" s="16" t="s">
        <v>30</v>
      </c>
    </row>
    <row r="4165" spans="1:5" x14ac:dyDescent="0.25">
      <c r="A4165" s="14">
        <v>769318</v>
      </c>
      <c r="B4165" s="14" t="s">
        <v>4285</v>
      </c>
      <c r="C4165" s="14" t="s">
        <v>13029</v>
      </c>
      <c r="D4165" s="15">
        <v>30.51</v>
      </c>
      <c r="E4165" s="16" t="s">
        <v>30</v>
      </c>
    </row>
    <row r="4166" spans="1:5" x14ac:dyDescent="0.25">
      <c r="A4166" s="14">
        <v>769319</v>
      </c>
      <c r="B4166" s="14" t="s">
        <v>4286</v>
      </c>
      <c r="C4166" s="14" t="s">
        <v>13029</v>
      </c>
      <c r="D4166" s="15">
        <v>22.88</v>
      </c>
      <c r="E4166" s="16" t="s">
        <v>30</v>
      </c>
    </row>
    <row r="4167" spans="1:5" x14ac:dyDescent="0.25">
      <c r="A4167" s="14">
        <v>769320</v>
      </c>
      <c r="B4167" s="14" t="s">
        <v>4287</v>
      </c>
      <c r="C4167" s="14" t="s">
        <v>13029</v>
      </c>
      <c r="D4167" s="15">
        <v>22.88</v>
      </c>
      <c r="E4167" s="16" t="s">
        <v>30</v>
      </c>
    </row>
    <row r="4168" spans="1:5" x14ac:dyDescent="0.25">
      <c r="A4168" s="14">
        <v>769321</v>
      </c>
      <c r="B4168" s="14" t="s">
        <v>4288</v>
      </c>
      <c r="C4168" s="14" t="s">
        <v>13029</v>
      </c>
      <c r="D4168" s="15">
        <v>22.88</v>
      </c>
      <c r="E4168" s="16" t="s">
        <v>30</v>
      </c>
    </row>
    <row r="4169" spans="1:5" x14ac:dyDescent="0.25">
      <c r="A4169" s="14">
        <v>769322</v>
      </c>
      <c r="B4169" s="14" t="s">
        <v>4289</v>
      </c>
      <c r="C4169" s="14" t="s">
        <v>13029</v>
      </c>
      <c r="D4169" s="15">
        <v>23.45</v>
      </c>
      <c r="E4169" s="16" t="s">
        <v>30</v>
      </c>
    </row>
    <row r="4170" spans="1:5" x14ac:dyDescent="0.25">
      <c r="A4170" s="14">
        <v>769323</v>
      </c>
      <c r="B4170" s="14" t="s">
        <v>4290</v>
      </c>
      <c r="C4170" s="14" t="s">
        <v>13029</v>
      </c>
      <c r="D4170" s="15">
        <v>23.45</v>
      </c>
      <c r="E4170" s="16" t="s">
        <v>30</v>
      </c>
    </row>
    <row r="4171" spans="1:5" x14ac:dyDescent="0.25">
      <c r="A4171" s="14">
        <v>769324</v>
      </c>
      <c r="B4171" s="14" t="s">
        <v>4291</v>
      </c>
      <c r="C4171" s="14" t="s">
        <v>13029</v>
      </c>
      <c r="D4171" s="15">
        <v>23.45</v>
      </c>
      <c r="E4171" s="16" t="s">
        <v>30</v>
      </c>
    </row>
    <row r="4172" spans="1:5" x14ac:dyDescent="0.25">
      <c r="A4172" s="14">
        <v>769325</v>
      </c>
      <c r="B4172" s="14" t="s">
        <v>4292</v>
      </c>
      <c r="C4172" s="14" t="s">
        <v>13029</v>
      </c>
      <c r="D4172" s="15">
        <v>23.45</v>
      </c>
      <c r="E4172" s="16" t="s">
        <v>30</v>
      </c>
    </row>
    <row r="4173" spans="1:5" x14ac:dyDescent="0.25">
      <c r="A4173" s="14">
        <v>769327</v>
      </c>
      <c r="B4173" s="14" t="s">
        <v>4293</v>
      </c>
      <c r="C4173" s="14" t="s">
        <v>13029</v>
      </c>
      <c r="D4173" s="15">
        <v>46.33</v>
      </c>
      <c r="E4173" s="16" t="s">
        <v>30</v>
      </c>
    </row>
    <row r="4174" spans="1:5" x14ac:dyDescent="0.25">
      <c r="A4174" s="14">
        <v>769328</v>
      </c>
      <c r="B4174" s="14" t="s">
        <v>4294</v>
      </c>
      <c r="C4174" s="14" t="s">
        <v>13029</v>
      </c>
      <c r="D4174" s="15">
        <v>46.33</v>
      </c>
      <c r="E4174" s="16" t="s">
        <v>30</v>
      </c>
    </row>
    <row r="4175" spans="1:5" x14ac:dyDescent="0.25">
      <c r="A4175" s="14">
        <v>769329</v>
      </c>
      <c r="B4175" s="14" t="s">
        <v>4295</v>
      </c>
      <c r="C4175" s="14" t="s">
        <v>13029</v>
      </c>
      <c r="D4175" s="15">
        <v>36.86</v>
      </c>
      <c r="E4175" s="16" t="s">
        <v>30</v>
      </c>
    </row>
    <row r="4176" spans="1:5" x14ac:dyDescent="0.25">
      <c r="A4176" s="14">
        <v>769330</v>
      </c>
      <c r="B4176" s="14" t="s">
        <v>4296</v>
      </c>
      <c r="C4176" s="14" t="s">
        <v>13029</v>
      </c>
      <c r="D4176" s="15">
        <v>20.34</v>
      </c>
      <c r="E4176" s="16" t="s">
        <v>30</v>
      </c>
    </row>
    <row r="4177" spans="1:5" x14ac:dyDescent="0.25">
      <c r="A4177" s="14">
        <v>769331</v>
      </c>
      <c r="B4177" s="14" t="s">
        <v>4297</v>
      </c>
      <c r="C4177" s="14" t="s">
        <v>13029</v>
      </c>
      <c r="D4177" s="15">
        <v>16.53</v>
      </c>
      <c r="E4177" s="16" t="s">
        <v>30</v>
      </c>
    </row>
    <row r="4178" spans="1:5" x14ac:dyDescent="0.25">
      <c r="A4178" s="14">
        <v>769332</v>
      </c>
      <c r="B4178" s="14" t="s">
        <v>4298</v>
      </c>
      <c r="C4178" s="14" t="s">
        <v>13029</v>
      </c>
      <c r="D4178" s="15">
        <v>12.71</v>
      </c>
      <c r="E4178" s="16" t="s">
        <v>30</v>
      </c>
    </row>
    <row r="4179" spans="1:5" x14ac:dyDescent="0.25">
      <c r="A4179" s="14">
        <v>769333</v>
      </c>
      <c r="B4179" s="14" t="s">
        <v>4299</v>
      </c>
      <c r="C4179" s="14" t="s">
        <v>13029</v>
      </c>
      <c r="D4179" s="15">
        <v>12.71</v>
      </c>
      <c r="E4179" s="16" t="s">
        <v>30</v>
      </c>
    </row>
    <row r="4180" spans="1:5" x14ac:dyDescent="0.25">
      <c r="A4180" s="14">
        <v>769334</v>
      </c>
      <c r="B4180" s="14" t="s">
        <v>4300</v>
      </c>
      <c r="C4180" s="14" t="s">
        <v>13029</v>
      </c>
      <c r="D4180" s="15">
        <v>17.100000000000001</v>
      </c>
      <c r="E4180" s="16" t="s">
        <v>30</v>
      </c>
    </row>
    <row r="4181" spans="1:5" x14ac:dyDescent="0.25">
      <c r="A4181" s="14">
        <v>769335</v>
      </c>
      <c r="B4181" s="14" t="s">
        <v>4301</v>
      </c>
      <c r="C4181" s="14" t="s">
        <v>13029</v>
      </c>
      <c r="D4181" s="15">
        <v>13.98</v>
      </c>
      <c r="E4181" s="16" t="s">
        <v>30</v>
      </c>
    </row>
    <row r="4182" spans="1:5" x14ac:dyDescent="0.25">
      <c r="A4182" s="14">
        <v>769336</v>
      </c>
      <c r="B4182" s="14" t="s">
        <v>4302</v>
      </c>
      <c r="C4182" s="14" t="s">
        <v>13029</v>
      </c>
      <c r="D4182" s="15">
        <v>12.01</v>
      </c>
      <c r="E4182" s="16" t="s">
        <v>30</v>
      </c>
    </row>
    <row r="4183" spans="1:5" x14ac:dyDescent="0.25">
      <c r="A4183" s="14">
        <v>769536</v>
      </c>
      <c r="B4183" s="14" t="s">
        <v>4303</v>
      </c>
      <c r="C4183" s="14" t="s">
        <v>13030</v>
      </c>
      <c r="D4183" s="15">
        <v>68.55</v>
      </c>
      <c r="E4183" s="16" t="s">
        <v>30</v>
      </c>
    </row>
    <row r="4184" spans="1:5" x14ac:dyDescent="0.25">
      <c r="A4184" s="14">
        <v>768648</v>
      </c>
      <c r="B4184" s="14" t="s">
        <v>4304</v>
      </c>
      <c r="C4184" s="14" t="s">
        <v>13030</v>
      </c>
      <c r="D4184" s="15">
        <v>43.84</v>
      </c>
      <c r="E4184" s="16" t="s">
        <v>20</v>
      </c>
    </row>
    <row r="4185" spans="1:5" x14ac:dyDescent="0.25">
      <c r="A4185" s="14">
        <v>769542</v>
      </c>
      <c r="B4185" s="14" t="s">
        <v>4305</v>
      </c>
      <c r="C4185" s="14" t="s">
        <v>13030</v>
      </c>
      <c r="D4185" s="15">
        <v>27.73</v>
      </c>
      <c r="E4185" s="16" t="s">
        <v>30</v>
      </c>
    </row>
    <row r="4186" spans="1:5" x14ac:dyDescent="0.25">
      <c r="A4186" s="14">
        <v>769545</v>
      </c>
      <c r="B4186" s="14" t="s">
        <v>4306</v>
      </c>
      <c r="C4186" s="14" t="s">
        <v>13029</v>
      </c>
      <c r="D4186" s="15">
        <v>12.43</v>
      </c>
      <c r="E4186" s="16" t="s">
        <v>30</v>
      </c>
    </row>
    <row r="4187" spans="1:5" x14ac:dyDescent="0.25">
      <c r="A4187" s="14">
        <v>769546</v>
      </c>
      <c r="B4187" s="14" t="s">
        <v>4307</v>
      </c>
      <c r="C4187" s="14" t="s">
        <v>13029</v>
      </c>
      <c r="D4187" s="15">
        <v>31.98</v>
      </c>
      <c r="E4187" s="16" t="s">
        <v>30</v>
      </c>
    </row>
    <row r="4188" spans="1:5" x14ac:dyDescent="0.25">
      <c r="A4188" s="14">
        <v>769562</v>
      </c>
      <c r="B4188" s="14" t="s">
        <v>4308</v>
      </c>
      <c r="C4188" s="14" t="s">
        <v>13030</v>
      </c>
      <c r="D4188" s="15">
        <v>85.58</v>
      </c>
      <c r="E4188" s="16" t="s">
        <v>30</v>
      </c>
    </row>
    <row r="4189" spans="1:5" x14ac:dyDescent="0.25">
      <c r="A4189" s="14">
        <v>769720</v>
      </c>
      <c r="B4189" s="14" t="s">
        <v>4309</v>
      </c>
      <c r="C4189" s="14" t="s">
        <v>13029</v>
      </c>
      <c r="D4189" s="15">
        <v>8.27</v>
      </c>
      <c r="E4189" s="14" t="s">
        <v>30</v>
      </c>
    </row>
    <row r="4190" spans="1:5" x14ac:dyDescent="0.25">
      <c r="A4190" s="14">
        <v>769930</v>
      </c>
      <c r="B4190" s="14" t="s">
        <v>4310</v>
      </c>
      <c r="C4190" s="14" t="s">
        <v>13030</v>
      </c>
      <c r="D4190" s="15">
        <v>64.77</v>
      </c>
      <c r="E4190" s="14" t="s">
        <v>30</v>
      </c>
    </row>
    <row r="4191" spans="1:5" x14ac:dyDescent="0.25">
      <c r="A4191" s="14">
        <v>770294</v>
      </c>
      <c r="B4191" s="14" t="s">
        <v>4311</v>
      </c>
      <c r="C4191" s="14" t="s">
        <v>13029</v>
      </c>
      <c r="D4191" s="15">
        <v>7.06</v>
      </c>
      <c r="E4191" s="16" t="s">
        <v>30</v>
      </c>
    </row>
    <row r="4192" spans="1:5" x14ac:dyDescent="0.25">
      <c r="A4192" s="14">
        <v>770295</v>
      </c>
      <c r="B4192" s="14" t="s">
        <v>4312</v>
      </c>
      <c r="C4192" s="14" t="s">
        <v>13029</v>
      </c>
      <c r="D4192" s="15">
        <v>17.78</v>
      </c>
      <c r="E4192" s="16" t="s">
        <v>30</v>
      </c>
    </row>
    <row r="4193" spans="1:5" x14ac:dyDescent="0.25">
      <c r="A4193" s="14">
        <v>770296</v>
      </c>
      <c r="B4193" s="14" t="s">
        <v>4313</v>
      </c>
      <c r="C4193" s="14" t="s">
        <v>13029</v>
      </c>
      <c r="D4193" s="15">
        <v>15.13</v>
      </c>
      <c r="E4193" s="16" t="s">
        <v>30</v>
      </c>
    </row>
    <row r="4194" spans="1:5" x14ac:dyDescent="0.25">
      <c r="A4194" s="14">
        <v>770297</v>
      </c>
      <c r="B4194" s="14" t="s">
        <v>4314</v>
      </c>
      <c r="C4194" s="14" t="s">
        <v>13029</v>
      </c>
      <c r="D4194" s="15">
        <v>11.05</v>
      </c>
      <c r="E4194" s="16" t="s">
        <v>30</v>
      </c>
    </row>
    <row r="4195" spans="1:5" x14ac:dyDescent="0.25">
      <c r="A4195" s="14">
        <v>770422</v>
      </c>
      <c r="B4195" s="14" t="s">
        <v>4315</v>
      </c>
      <c r="C4195" s="14" t="s">
        <v>13031</v>
      </c>
      <c r="D4195" s="15">
        <v>18.53</v>
      </c>
      <c r="E4195" s="16" t="s">
        <v>30</v>
      </c>
    </row>
    <row r="4196" spans="1:5" x14ac:dyDescent="0.25">
      <c r="A4196" s="14">
        <v>770423</v>
      </c>
      <c r="B4196" s="14" t="s">
        <v>4316</v>
      </c>
      <c r="C4196" s="14" t="s">
        <v>13031</v>
      </c>
      <c r="D4196" s="15">
        <v>18.53</v>
      </c>
      <c r="E4196" s="16" t="s">
        <v>30</v>
      </c>
    </row>
    <row r="4197" spans="1:5" x14ac:dyDescent="0.25">
      <c r="A4197" s="14">
        <v>770427</v>
      </c>
      <c r="B4197" s="14" t="s">
        <v>4317</v>
      </c>
      <c r="C4197" s="14" t="s">
        <v>13031</v>
      </c>
      <c r="D4197" s="15">
        <v>7.89</v>
      </c>
      <c r="E4197" s="16" t="s">
        <v>30</v>
      </c>
    </row>
    <row r="4198" spans="1:5" x14ac:dyDescent="0.25">
      <c r="A4198" s="14">
        <v>770428</v>
      </c>
      <c r="B4198" s="14" t="s">
        <v>4318</v>
      </c>
      <c r="C4198" s="14" t="s">
        <v>13031</v>
      </c>
      <c r="D4198" s="15">
        <v>10.34</v>
      </c>
      <c r="E4198" s="16" t="s">
        <v>30</v>
      </c>
    </row>
    <row r="4199" spans="1:5" x14ac:dyDescent="0.25">
      <c r="A4199" s="14">
        <v>770435</v>
      </c>
      <c r="B4199" s="14" t="s">
        <v>4319</v>
      </c>
      <c r="C4199" s="14" t="s">
        <v>13029</v>
      </c>
      <c r="D4199" s="15">
        <v>15.83</v>
      </c>
      <c r="E4199" s="16" t="s">
        <v>30</v>
      </c>
    </row>
    <row r="4200" spans="1:5" x14ac:dyDescent="0.25">
      <c r="A4200" s="14">
        <v>770436</v>
      </c>
      <c r="B4200" s="14" t="s">
        <v>4320</v>
      </c>
      <c r="C4200" s="14" t="s">
        <v>13029</v>
      </c>
      <c r="D4200" s="15">
        <v>11.44</v>
      </c>
      <c r="E4200" s="16" t="s">
        <v>30</v>
      </c>
    </row>
    <row r="4201" spans="1:5" x14ac:dyDescent="0.25">
      <c r="A4201" s="14">
        <v>770437</v>
      </c>
      <c r="B4201" s="14" t="s">
        <v>4321</v>
      </c>
      <c r="C4201" s="14" t="s">
        <v>13029</v>
      </c>
      <c r="D4201" s="15">
        <v>15.83</v>
      </c>
      <c r="E4201" s="16" t="s">
        <v>30</v>
      </c>
    </row>
    <row r="4202" spans="1:5" x14ac:dyDescent="0.25">
      <c r="A4202" s="14">
        <v>770502</v>
      </c>
      <c r="B4202" s="14" t="s">
        <v>4322</v>
      </c>
      <c r="C4202" s="14" t="s">
        <v>13029</v>
      </c>
      <c r="D4202" s="15">
        <v>32.72</v>
      </c>
      <c r="E4202" s="16" t="s">
        <v>30</v>
      </c>
    </row>
    <row r="4203" spans="1:5" x14ac:dyDescent="0.25">
      <c r="A4203" s="14">
        <v>768649</v>
      </c>
      <c r="B4203" s="14" t="s">
        <v>4323</v>
      </c>
      <c r="C4203" s="14" t="s">
        <v>13030</v>
      </c>
      <c r="D4203" s="15">
        <v>79.260000000000005</v>
      </c>
      <c r="E4203" s="16" t="s">
        <v>20</v>
      </c>
    </row>
    <row r="4204" spans="1:5" x14ac:dyDescent="0.25">
      <c r="A4204" s="14">
        <v>770504</v>
      </c>
      <c r="B4204" s="14" t="s">
        <v>4324</v>
      </c>
      <c r="C4204" s="14" t="s">
        <v>13029</v>
      </c>
      <c r="D4204" s="15">
        <v>32.72</v>
      </c>
      <c r="E4204" s="16" t="s">
        <v>30</v>
      </c>
    </row>
    <row r="4205" spans="1:5" x14ac:dyDescent="0.25">
      <c r="A4205" s="14">
        <v>770505</v>
      </c>
      <c r="B4205" s="14" t="s">
        <v>4325</v>
      </c>
      <c r="C4205" s="14" t="s">
        <v>13029</v>
      </c>
      <c r="D4205" s="15">
        <v>32.72</v>
      </c>
      <c r="E4205" s="16" t="s">
        <v>30</v>
      </c>
    </row>
    <row r="4206" spans="1:5" x14ac:dyDescent="0.25">
      <c r="A4206" s="14">
        <v>770535</v>
      </c>
      <c r="B4206" s="14" t="s">
        <v>4326</v>
      </c>
      <c r="C4206" s="14" t="s">
        <v>13030</v>
      </c>
      <c r="D4206" s="15">
        <v>43.18</v>
      </c>
      <c r="E4206" s="16" t="s">
        <v>30</v>
      </c>
    </row>
    <row r="4207" spans="1:5" x14ac:dyDescent="0.25">
      <c r="A4207" s="14">
        <v>770565</v>
      </c>
      <c r="B4207" s="14" t="s">
        <v>4327</v>
      </c>
      <c r="C4207" s="14" t="s">
        <v>13031</v>
      </c>
      <c r="D4207" s="15">
        <v>7.92</v>
      </c>
      <c r="E4207" s="16" t="s">
        <v>30</v>
      </c>
    </row>
    <row r="4208" spans="1:5" x14ac:dyDescent="0.25">
      <c r="A4208" s="14">
        <v>770566</v>
      </c>
      <c r="B4208" s="14" t="s">
        <v>4328</v>
      </c>
      <c r="C4208" s="14" t="s">
        <v>13031</v>
      </c>
      <c r="D4208" s="15">
        <v>9.33</v>
      </c>
      <c r="E4208" s="16" t="s">
        <v>30</v>
      </c>
    </row>
    <row r="4209" spans="1:5" x14ac:dyDescent="0.25">
      <c r="A4209" s="14">
        <v>770567</v>
      </c>
      <c r="B4209" s="14" t="s">
        <v>4329</v>
      </c>
      <c r="C4209" s="14" t="s">
        <v>13031</v>
      </c>
      <c r="D4209" s="15">
        <v>11.54</v>
      </c>
      <c r="E4209" s="16" t="s">
        <v>30</v>
      </c>
    </row>
    <row r="4210" spans="1:5" x14ac:dyDescent="0.25">
      <c r="A4210" s="14">
        <v>770568</v>
      </c>
      <c r="B4210" s="14" t="s">
        <v>4330</v>
      </c>
      <c r="C4210" s="14" t="s">
        <v>13031</v>
      </c>
      <c r="D4210" s="15">
        <v>7.42</v>
      </c>
      <c r="E4210" s="16" t="s">
        <v>30</v>
      </c>
    </row>
    <row r="4211" spans="1:5" x14ac:dyDescent="0.25">
      <c r="A4211" s="14">
        <v>770569</v>
      </c>
      <c r="B4211" s="14" t="s">
        <v>4331</v>
      </c>
      <c r="C4211" s="14" t="s">
        <v>13031</v>
      </c>
      <c r="D4211" s="15">
        <v>7.42</v>
      </c>
      <c r="E4211" s="16" t="s">
        <v>30</v>
      </c>
    </row>
    <row r="4212" spans="1:5" x14ac:dyDescent="0.25">
      <c r="A4212" s="14">
        <v>770571</v>
      </c>
      <c r="B4212" s="14" t="s">
        <v>4332</v>
      </c>
      <c r="C4212" s="14" t="s">
        <v>13031</v>
      </c>
      <c r="D4212" s="15">
        <v>8.31</v>
      </c>
      <c r="E4212" s="16" t="s">
        <v>30</v>
      </c>
    </row>
    <row r="4213" spans="1:5" x14ac:dyDescent="0.25">
      <c r="A4213" s="14">
        <v>770573</v>
      </c>
      <c r="B4213" s="14" t="s">
        <v>4333</v>
      </c>
      <c r="C4213" s="14" t="s">
        <v>13031</v>
      </c>
      <c r="D4213" s="15">
        <v>20.09</v>
      </c>
      <c r="E4213" s="16" t="s">
        <v>30</v>
      </c>
    </row>
    <row r="4214" spans="1:5" x14ac:dyDescent="0.25">
      <c r="A4214" s="14">
        <v>770753</v>
      </c>
      <c r="B4214" s="14" t="s">
        <v>4334</v>
      </c>
      <c r="C4214" s="14" t="s">
        <v>13031</v>
      </c>
      <c r="D4214" s="15">
        <v>15.59</v>
      </c>
      <c r="E4214" s="16" t="s">
        <v>30</v>
      </c>
    </row>
    <row r="4215" spans="1:5" x14ac:dyDescent="0.25">
      <c r="A4215" s="14">
        <v>770784</v>
      </c>
      <c r="B4215" s="14" t="s">
        <v>4335</v>
      </c>
      <c r="C4215" s="14" t="s">
        <v>13030</v>
      </c>
      <c r="D4215" s="15">
        <v>24.55</v>
      </c>
      <c r="E4215" s="16" t="s">
        <v>30</v>
      </c>
    </row>
    <row r="4216" spans="1:5" x14ac:dyDescent="0.25">
      <c r="A4216" s="14">
        <v>770867</v>
      </c>
      <c r="B4216" s="14" t="s">
        <v>4336</v>
      </c>
      <c r="C4216" s="14" t="s">
        <v>13029</v>
      </c>
      <c r="D4216" s="15">
        <v>1.1299999999999999</v>
      </c>
      <c r="E4216" s="16" t="s">
        <v>30</v>
      </c>
    </row>
    <row r="4217" spans="1:5" x14ac:dyDescent="0.25">
      <c r="A4217" s="14">
        <v>770868</v>
      </c>
      <c r="B4217" s="14" t="s">
        <v>4337</v>
      </c>
      <c r="C4217" s="14" t="s">
        <v>13029</v>
      </c>
      <c r="D4217" s="15">
        <v>1.32</v>
      </c>
      <c r="E4217" s="16" t="s">
        <v>30</v>
      </c>
    </row>
    <row r="4218" spans="1:5" x14ac:dyDescent="0.25">
      <c r="A4218" s="14">
        <v>770869</v>
      </c>
      <c r="B4218" s="14" t="s">
        <v>4338</v>
      </c>
      <c r="C4218" s="14" t="s">
        <v>13029</v>
      </c>
      <c r="D4218" s="15">
        <v>2.16</v>
      </c>
      <c r="E4218" s="16" t="s">
        <v>30</v>
      </c>
    </row>
    <row r="4219" spans="1:5" x14ac:dyDescent="0.25">
      <c r="A4219" s="14">
        <v>770870</v>
      </c>
      <c r="B4219" s="14" t="s">
        <v>4339</v>
      </c>
      <c r="C4219" s="14" t="s">
        <v>13029</v>
      </c>
      <c r="D4219" s="15">
        <v>19.82</v>
      </c>
      <c r="E4219" s="16" t="s">
        <v>30</v>
      </c>
    </row>
    <row r="4220" spans="1:5" x14ac:dyDescent="0.25">
      <c r="A4220" s="14">
        <v>770871</v>
      </c>
      <c r="B4220" s="14" t="s">
        <v>4340</v>
      </c>
      <c r="C4220" s="14" t="s">
        <v>13029</v>
      </c>
      <c r="D4220" s="15">
        <v>3.31</v>
      </c>
      <c r="E4220" s="16" t="s">
        <v>30</v>
      </c>
    </row>
    <row r="4221" spans="1:5" x14ac:dyDescent="0.25">
      <c r="A4221" s="14">
        <v>768650</v>
      </c>
      <c r="B4221" s="14" t="s">
        <v>4341</v>
      </c>
      <c r="C4221" s="14" t="s">
        <v>13030</v>
      </c>
      <c r="D4221" s="15">
        <v>100.01</v>
      </c>
      <c r="E4221" s="16" t="s">
        <v>20</v>
      </c>
    </row>
    <row r="4222" spans="1:5" x14ac:dyDescent="0.25">
      <c r="A4222" s="14">
        <v>770872</v>
      </c>
      <c r="B4222" s="14" t="s">
        <v>4342</v>
      </c>
      <c r="C4222" s="14" t="s">
        <v>13029</v>
      </c>
      <c r="D4222" s="15">
        <v>29.83</v>
      </c>
      <c r="E4222" s="16" t="s">
        <v>30</v>
      </c>
    </row>
    <row r="4223" spans="1:5" x14ac:dyDescent="0.25">
      <c r="A4223" s="14">
        <v>770873</v>
      </c>
      <c r="B4223" s="14" t="s">
        <v>4343</v>
      </c>
      <c r="C4223" s="14" t="s">
        <v>13029</v>
      </c>
      <c r="D4223" s="15">
        <v>4.46</v>
      </c>
      <c r="E4223" s="16" t="s">
        <v>30</v>
      </c>
    </row>
    <row r="4224" spans="1:5" x14ac:dyDescent="0.25">
      <c r="A4224" s="14">
        <v>770874</v>
      </c>
      <c r="B4224" s="14" t="s">
        <v>4344</v>
      </c>
      <c r="C4224" s="14" t="s">
        <v>13029</v>
      </c>
      <c r="D4224" s="15">
        <v>21.9</v>
      </c>
      <c r="E4224" s="16" t="s">
        <v>30</v>
      </c>
    </row>
    <row r="4225" spans="1:5" x14ac:dyDescent="0.25">
      <c r="A4225" s="14">
        <v>770875</v>
      </c>
      <c r="B4225" s="14" t="s">
        <v>4345</v>
      </c>
      <c r="C4225" s="14" t="s">
        <v>13029</v>
      </c>
      <c r="D4225" s="15">
        <v>24.55</v>
      </c>
      <c r="E4225" s="16" t="s">
        <v>30</v>
      </c>
    </row>
    <row r="4226" spans="1:5" x14ac:dyDescent="0.25">
      <c r="A4226" s="14">
        <v>770876</v>
      </c>
      <c r="B4226" s="14" t="s">
        <v>4346</v>
      </c>
      <c r="C4226" s="14" t="s">
        <v>13029</v>
      </c>
      <c r="D4226" s="15">
        <v>7.74</v>
      </c>
      <c r="E4226" s="16" t="s">
        <v>30</v>
      </c>
    </row>
    <row r="4227" spans="1:5" x14ac:dyDescent="0.25">
      <c r="A4227" s="14">
        <v>770877</v>
      </c>
      <c r="B4227" s="14" t="s">
        <v>4347</v>
      </c>
      <c r="C4227" s="14" t="s">
        <v>13029</v>
      </c>
      <c r="D4227" s="15">
        <v>2.5299999999999998</v>
      </c>
      <c r="E4227" s="16" t="s">
        <v>30</v>
      </c>
    </row>
    <row r="4228" spans="1:5" x14ac:dyDescent="0.25">
      <c r="A4228" s="14">
        <v>770878</v>
      </c>
      <c r="B4228" s="14" t="s">
        <v>4348</v>
      </c>
      <c r="C4228" s="14" t="s">
        <v>13029</v>
      </c>
      <c r="D4228" s="15">
        <v>3.9</v>
      </c>
      <c r="E4228" s="16" t="s">
        <v>30</v>
      </c>
    </row>
    <row r="4229" spans="1:5" x14ac:dyDescent="0.25">
      <c r="A4229" s="14">
        <v>770879</v>
      </c>
      <c r="B4229" s="14" t="s">
        <v>4349</v>
      </c>
      <c r="C4229" s="14" t="s">
        <v>13029</v>
      </c>
      <c r="D4229" s="15">
        <v>4.53</v>
      </c>
      <c r="E4229" s="16" t="s">
        <v>30</v>
      </c>
    </row>
    <row r="4230" spans="1:5" x14ac:dyDescent="0.25">
      <c r="A4230" s="14">
        <v>770880</v>
      </c>
      <c r="B4230" s="14" t="s">
        <v>4350</v>
      </c>
      <c r="C4230" s="14" t="s">
        <v>13029</v>
      </c>
      <c r="D4230" s="15">
        <v>10.220000000000001</v>
      </c>
      <c r="E4230" s="16" t="s">
        <v>30</v>
      </c>
    </row>
    <row r="4231" spans="1:5" x14ac:dyDescent="0.25">
      <c r="A4231" s="14">
        <v>770881</v>
      </c>
      <c r="B4231" s="14" t="s">
        <v>4351</v>
      </c>
      <c r="C4231" s="14" t="s">
        <v>13029</v>
      </c>
      <c r="D4231" s="15">
        <v>4.37</v>
      </c>
      <c r="E4231" s="16" t="s">
        <v>30</v>
      </c>
    </row>
    <row r="4232" spans="1:5" x14ac:dyDescent="0.25">
      <c r="A4232" s="14">
        <v>770882</v>
      </c>
      <c r="B4232" s="14" t="s">
        <v>4352</v>
      </c>
      <c r="C4232" s="14" t="s">
        <v>13029</v>
      </c>
      <c r="D4232" s="15">
        <v>10.86</v>
      </c>
      <c r="E4232" s="16" t="s">
        <v>30</v>
      </c>
    </row>
    <row r="4233" spans="1:5" x14ac:dyDescent="0.25">
      <c r="A4233" s="14">
        <v>770883</v>
      </c>
      <c r="B4233" s="14" t="s">
        <v>4353</v>
      </c>
      <c r="C4233" s="14" t="s">
        <v>13029</v>
      </c>
      <c r="D4233" s="15">
        <v>5.41</v>
      </c>
      <c r="E4233" s="16" t="s">
        <v>30</v>
      </c>
    </row>
    <row r="4234" spans="1:5" x14ac:dyDescent="0.25">
      <c r="A4234" s="14">
        <v>770884</v>
      </c>
      <c r="B4234" s="14" t="s">
        <v>4354</v>
      </c>
      <c r="C4234" s="14" t="s">
        <v>13029</v>
      </c>
      <c r="D4234" s="15">
        <v>9.86</v>
      </c>
      <c r="E4234" s="16" t="s">
        <v>30</v>
      </c>
    </row>
    <row r="4235" spans="1:5" x14ac:dyDescent="0.25">
      <c r="A4235" s="14">
        <v>770885</v>
      </c>
      <c r="B4235" s="14" t="s">
        <v>4355</v>
      </c>
      <c r="C4235" s="14" t="s">
        <v>13029</v>
      </c>
      <c r="D4235" s="15">
        <v>4.96</v>
      </c>
      <c r="E4235" s="16" t="s">
        <v>30</v>
      </c>
    </row>
    <row r="4236" spans="1:5" x14ac:dyDescent="0.25">
      <c r="A4236" s="14">
        <v>770886</v>
      </c>
      <c r="B4236" s="14" t="s">
        <v>4356</v>
      </c>
      <c r="C4236" s="14" t="s">
        <v>13029</v>
      </c>
      <c r="D4236" s="15">
        <v>9.8800000000000008</v>
      </c>
      <c r="E4236" s="16" t="s">
        <v>30</v>
      </c>
    </row>
    <row r="4237" spans="1:5" x14ac:dyDescent="0.25">
      <c r="A4237" s="14">
        <v>770887</v>
      </c>
      <c r="B4237" s="14" t="s">
        <v>4357</v>
      </c>
      <c r="C4237" s="14" t="s">
        <v>13029</v>
      </c>
      <c r="D4237" s="15">
        <v>4.08</v>
      </c>
      <c r="E4237" s="16" t="s">
        <v>30</v>
      </c>
    </row>
    <row r="4238" spans="1:5" x14ac:dyDescent="0.25">
      <c r="A4238" s="14">
        <v>770888</v>
      </c>
      <c r="B4238" s="14" t="s">
        <v>4358</v>
      </c>
      <c r="C4238" s="14" t="s">
        <v>13029</v>
      </c>
      <c r="D4238" s="15">
        <v>9.3800000000000008</v>
      </c>
      <c r="E4238" s="16" t="s">
        <v>30</v>
      </c>
    </row>
    <row r="4239" spans="1:5" x14ac:dyDescent="0.25">
      <c r="A4239" s="14">
        <v>771144</v>
      </c>
      <c r="B4239" s="14" t="s">
        <v>4359</v>
      </c>
      <c r="C4239" s="14" t="s">
        <v>13029</v>
      </c>
      <c r="D4239" s="15">
        <v>26.04</v>
      </c>
      <c r="E4239" s="14" t="s">
        <v>30</v>
      </c>
    </row>
    <row r="4240" spans="1:5" x14ac:dyDescent="0.25">
      <c r="A4240" s="14">
        <v>771562</v>
      </c>
      <c r="B4240" s="14" t="s">
        <v>4360</v>
      </c>
      <c r="C4240" s="14" t="s">
        <v>13029</v>
      </c>
      <c r="D4240" s="15">
        <v>8.67</v>
      </c>
      <c r="E4240" s="16" t="s">
        <v>30</v>
      </c>
    </row>
    <row r="4241" spans="1:5" x14ac:dyDescent="0.25">
      <c r="A4241" s="14">
        <v>771563</v>
      </c>
      <c r="B4241" s="14" t="s">
        <v>4361</v>
      </c>
      <c r="C4241" s="14" t="s">
        <v>13029</v>
      </c>
      <c r="D4241" s="15">
        <v>8.67</v>
      </c>
      <c r="E4241" s="16" t="s">
        <v>30</v>
      </c>
    </row>
    <row r="4242" spans="1:5" x14ac:dyDescent="0.25">
      <c r="A4242" s="14">
        <v>771564</v>
      </c>
      <c r="B4242" s="14" t="s">
        <v>4362</v>
      </c>
      <c r="C4242" s="14" t="s">
        <v>13029</v>
      </c>
      <c r="D4242" s="15">
        <v>8.67</v>
      </c>
      <c r="E4242" s="16" t="s">
        <v>30</v>
      </c>
    </row>
    <row r="4243" spans="1:5" x14ac:dyDescent="0.25">
      <c r="A4243" s="14">
        <v>771570</v>
      </c>
      <c r="B4243" s="14" t="s">
        <v>4363</v>
      </c>
      <c r="C4243" s="14" t="s">
        <v>13031</v>
      </c>
      <c r="D4243" s="15">
        <v>13.05</v>
      </c>
      <c r="E4243" s="16" t="s">
        <v>30</v>
      </c>
    </row>
    <row r="4244" spans="1:5" x14ac:dyDescent="0.25">
      <c r="A4244" s="14">
        <v>771571</v>
      </c>
      <c r="B4244" s="14" t="s">
        <v>4364</v>
      </c>
      <c r="C4244" s="14" t="s">
        <v>13031</v>
      </c>
      <c r="D4244" s="15">
        <v>13.05</v>
      </c>
      <c r="E4244" s="16" t="s">
        <v>30</v>
      </c>
    </row>
    <row r="4245" spans="1:5" x14ac:dyDescent="0.25">
      <c r="A4245" s="14">
        <v>771592</v>
      </c>
      <c r="B4245" s="14" t="s">
        <v>4365</v>
      </c>
      <c r="C4245" s="14" t="s">
        <v>13030</v>
      </c>
      <c r="D4245" s="15">
        <v>41.63</v>
      </c>
      <c r="E4245" s="16" t="s">
        <v>30</v>
      </c>
    </row>
    <row r="4246" spans="1:5" x14ac:dyDescent="0.25">
      <c r="A4246" s="14">
        <v>771872</v>
      </c>
      <c r="B4246" s="14" t="s">
        <v>4366</v>
      </c>
      <c r="C4246" s="14" t="s">
        <v>13031</v>
      </c>
      <c r="D4246" s="15">
        <v>5.56</v>
      </c>
      <c r="E4246" s="16" t="s">
        <v>30</v>
      </c>
    </row>
    <row r="4247" spans="1:5" x14ac:dyDescent="0.25">
      <c r="A4247" s="14">
        <v>771873</v>
      </c>
      <c r="B4247" s="14" t="s">
        <v>4367</v>
      </c>
      <c r="C4247" s="14" t="s">
        <v>13031</v>
      </c>
      <c r="D4247" s="15">
        <v>1.46</v>
      </c>
      <c r="E4247" s="16" t="s">
        <v>30</v>
      </c>
    </row>
    <row r="4248" spans="1:5" x14ac:dyDescent="0.25">
      <c r="A4248" s="14">
        <v>771874</v>
      </c>
      <c r="B4248" s="14" t="s">
        <v>4368</v>
      </c>
      <c r="C4248" s="14" t="s">
        <v>13031</v>
      </c>
      <c r="D4248" s="15">
        <v>4.71</v>
      </c>
      <c r="E4248" s="16" t="s">
        <v>30</v>
      </c>
    </row>
    <row r="4249" spans="1:5" x14ac:dyDescent="0.25">
      <c r="A4249" s="14">
        <v>771875</v>
      </c>
      <c r="B4249" s="14" t="s">
        <v>4369</v>
      </c>
      <c r="C4249" s="14" t="s">
        <v>13031</v>
      </c>
      <c r="D4249" s="15">
        <v>1.24</v>
      </c>
      <c r="E4249" s="16" t="s">
        <v>30</v>
      </c>
    </row>
    <row r="4250" spans="1:5" x14ac:dyDescent="0.25">
      <c r="A4250" s="14">
        <v>771876</v>
      </c>
      <c r="B4250" s="14" t="s">
        <v>4370</v>
      </c>
      <c r="C4250" s="14" t="s">
        <v>13031</v>
      </c>
      <c r="D4250" s="15">
        <v>4.71</v>
      </c>
      <c r="E4250" s="16" t="s">
        <v>30</v>
      </c>
    </row>
    <row r="4251" spans="1:5" x14ac:dyDescent="0.25">
      <c r="A4251" s="14">
        <v>771877</v>
      </c>
      <c r="B4251" s="14" t="s">
        <v>4371</v>
      </c>
      <c r="C4251" s="14" t="s">
        <v>13031</v>
      </c>
      <c r="D4251" s="15">
        <v>1.24</v>
      </c>
      <c r="E4251" s="16" t="s">
        <v>30</v>
      </c>
    </row>
    <row r="4252" spans="1:5" x14ac:dyDescent="0.25">
      <c r="A4252" s="14">
        <v>771879</v>
      </c>
      <c r="B4252" s="14" t="s">
        <v>4372</v>
      </c>
      <c r="C4252" s="14" t="s">
        <v>13031</v>
      </c>
      <c r="D4252" s="15">
        <v>1.78</v>
      </c>
      <c r="E4252" s="16" t="s">
        <v>30</v>
      </c>
    </row>
    <row r="4253" spans="1:5" x14ac:dyDescent="0.25">
      <c r="A4253" s="14">
        <v>771880</v>
      </c>
      <c r="B4253" s="14" t="s">
        <v>4373</v>
      </c>
      <c r="C4253" s="14" t="s">
        <v>13031</v>
      </c>
      <c r="D4253" s="15">
        <v>6.1</v>
      </c>
      <c r="E4253" s="16" t="s">
        <v>30</v>
      </c>
    </row>
    <row r="4254" spans="1:5" x14ac:dyDescent="0.25">
      <c r="A4254" s="14">
        <v>768651</v>
      </c>
      <c r="B4254" s="14" t="s">
        <v>4374</v>
      </c>
      <c r="C4254" s="14" t="s">
        <v>13030</v>
      </c>
      <c r="D4254" s="15">
        <v>210.17</v>
      </c>
      <c r="E4254" s="16" t="s">
        <v>20</v>
      </c>
    </row>
    <row r="4255" spans="1:5" x14ac:dyDescent="0.25">
      <c r="A4255" s="14">
        <v>767775</v>
      </c>
      <c r="B4255" s="14" t="s">
        <v>4375</v>
      </c>
      <c r="C4255" s="14" t="s">
        <v>13030</v>
      </c>
      <c r="D4255" s="15">
        <v>49.13</v>
      </c>
      <c r="E4255" s="16" t="s">
        <v>20</v>
      </c>
    </row>
    <row r="4256" spans="1:5" x14ac:dyDescent="0.25">
      <c r="A4256" s="14">
        <v>768746</v>
      </c>
      <c r="B4256" s="14" t="s">
        <v>4376</v>
      </c>
      <c r="C4256" s="14" t="s">
        <v>13030</v>
      </c>
      <c r="D4256" s="15">
        <v>26.42</v>
      </c>
      <c r="E4256" s="16" t="s">
        <v>20</v>
      </c>
    </row>
    <row r="4257" spans="1:5" x14ac:dyDescent="0.25">
      <c r="A4257" s="14">
        <v>771882</v>
      </c>
      <c r="B4257" s="14" t="s">
        <v>4377</v>
      </c>
      <c r="C4257" s="14" t="s">
        <v>13031</v>
      </c>
      <c r="D4257" s="15">
        <v>1.78</v>
      </c>
      <c r="E4257" s="16" t="s">
        <v>30</v>
      </c>
    </row>
    <row r="4258" spans="1:5" x14ac:dyDescent="0.25">
      <c r="A4258" s="14">
        <v>771962</v>
      </c>
      <c r="B4258" s="14" t="s">
        <v>4378</v>
      </c>
      <c r="C4258" s="14" t="s">
        <v>13029</v>
      </c>
      <c r="D4258" s="15">
        <v>34.58</v>
      </c>
      <c r="E4258" s="14" t="s">
        <v>30</v>
      </c>
    </row>
    <row r="4259" spans="1:5" x14ac:dyDescent="0.25">
      <c r="A4259" s="14">
        <v>772058</v>
      </c>
      <c r="B4259" s="14" t="s">
        <v>4379</v>
      </c>
      <c r="C4259" s="14" t="s">
        <v>13029</v>
      </c>
      <c r="D4259" s="15">
        <v>10.1</v>
      </c>
      <c r="E4259" s="16" t="s">
        <v>30</v>
      </c>
    </row>
    <row r="4260" spans="1:5" x14ac:dyDescent="0.25">
      <c r="A4260" s="14">
        <v>772084</v>
      </c>
      <c r="B4260" s="14" t="s">
        <v>4380</v>
      </c>
      <c r="C4260" s="14" t="s">
        <v>13030</v>
      </c>
      <c r="D4260" s="15">
        <v>125.42</v>
      </c>
      <c r="E4260" s="16" t="s">
        <v>30</v>
      </c>
    </row>
    <row r="4261" spans="1:5" x14ac:dyDescent="0.25">
      <c r="A4261" s="14">
        <v>772257</v>
      </c>
      <c r="B4261" s="14" t="s">
        <v>4381</v>
      </c>
      <c r="C4261" s="14" t="s">
        <v>13029</v>
      </c>
      <c r="D4261" s="15">
        <v>11.81</v>
      </c>
      <c r="E4261" s="16" t="s">
        <v>30</v>
      </c>
    </row>
    <row r="4262" spans="1:5" x14ac:dyDescent="0.25">
      <c r="A4262" s="14">
        <v>772258</v>
      </c>
      <c r="B4262" s="14" t="s">
        <v>4382</v>
      </c>
      <c r="C4262" s="14" t="s">
        <v>13029</v>
      </c>
      <c r="D4262" s="15">
        <v>20.7</v>
      </c>
      <c r="E4262" s="16" t="s">
        <v>30</v>
      </c>
    </row>
    <row r="4263" spans="1:5" x14ac:dyDescent="0.25">
      <c r="A4263" s="14">
        <v>772265</v>
      </c>
      <c r="B4263" s="14" t="s">
        <v>4383</v>
      </c>
      <c r="C4263" s="14" t="s">
        <v>13029</v>
      </c>
      <c r="D4263" s="15">
        <v>12.85</v>
      </c>
      <c r="E4263" s="16" t="s">
        <v>30</v>
      </c>
    </row>
    <row r="4264" spans="1:5" x14ac:dyDescent="0.25">
      <c r="A4264" s="14">
        <v>772391</v>
      </c>
      <c r="B4264" s="14" t="s">
        <v>4384</v>
      </c>
      <c r="C4264" s="14" t="s">
        <v>13030</v>
      </c>
      <c r="D4264" s="15">
        <v>68.77</v>
      </c>
      <c r="E4264" s="16" t="s">
        <v>30</v>
      </c>
    </row>
    <row r="4265" spans="1:5" x14ac:dyDescent="0.25">
      <c r="A4265" s="14">
        <v>772392</v>
      </c>
      <c r="B4265" s="14" t="s">
        <v>4385</v>
      </c>
      <c r="C4265" s="14" t="s">
        <v>13030</v>
      </c>
      <c r="D4265" s="15">
        <v>68.77</v>
      </c>
      <c r="E4265" s="16" t="s">
        <v>30</v>
      </c>
    </row>
    <row r="4266" spans="1:5" x14ac:dyDescent="0.25">
      <c r="A4266" s="14">
        <v>772425</v>
      </c>
      <c r="B4266" s="14" t="s">
        <v>4386</v>
      </c>
      <c r="C4266" s="14" t="s">
        <v>13029</v>
      </c>
      <c r="D4266" s="15">
        <v>6.22</v>
      </c>
      <c r="E4266" s="14" t="s">
        <v>30</v>
      </c>
    </row>
    <row r="4267" spans="1:5" x14ac:dyDescent="0.25">
      <c r="A4267" s="14">
        <v>772444</v>
      </c>
      <c r="B4267" s="14" t="s">
        <v>4387</v>
      </c>
      <c r="C4267" s="14" t="s">
        <v>13031</v>
      </c>
      <c r="D4267" s="15">
        <v>5.75</v>
      </c>
      <c r="E4267" s="16" t="s">
        <v>30</v>
      </c>
    </row>
    <row r="4268" spans="1:5" x14ac:dyDescent="0.25">
      <c r="A4268" s="14">
        <v>772445</v>
      </c>
      <c r="B4268" s="14" t="s">
        <v>4388</v>
      </c>
      <c r="C4268" s="14" t="s">
        <v>13031</v>
      </c>
      <c r="D4268" s="15">
        <v>6.5</v>
      </c>
      <c r="E4268" s="16" t="s">
        <v>30</v>
      </c>
    </row>
    <row r="4269" spans="1:5" x14ac:dyDescent="0.25">
      <c r="A4269" s="14">
        <v>772458</v>
      </c>
      <c r="B4269" s="14" t="s">
        <v>4389</v>
      </c>
      <c r="C4269" s="14" t="s">
        <v>13031</v>
      </c>
      <c r="D4269" s="15">
        <v>4.2699999999999996</v>
      </c>
      <c r="E4269" s="16" t="s">
        <v>30</v>
      </c>
    </row>
    <row r="4270" spans="1:5" x14ac:dyDescent="0.25">
      <c r="A4270" s="14">
        <v>772461</v>
      </c>
      <c r="B4270" s="14" t="s">
        <v>4390</v>
      </c>
      <c r="C4270" s="14" t="s">
        <v>13031</v>
      </c>
      <c r="D4270" s="15">
        <v>6.46</v>
      </c>
      <c r="E4270" s="16" t="s">
        <v>30</v>
      </c>
    </row>
    <row r="4271" spans="1:5" x14ac:dyDescent="0.25">
      <c r="A4271" s="14">
        <v>772470</v>
      </c>
      <c r="B4271" s="14" t="s">
        <v>4391</v>
      </c>
      <c r="C4271" s="14" t="s">
        <v>13031</v>
      </c>
      <c r="D4271" s="15">
        <v>8.66</v>
      </c>
      <c r="E4271" s="16" t="s">
        <v>30</v>
      </c>
    </row>
    <row r="4272" spans="1:5" x14ac:dyDescent="0.25">
      <c r="A4272" s="14">
        <v>772475</v>
      </c>
      <c r="B4272" s="14" t="s">
        <v>4392</v>
      </c>
      <c r="C4272" s="14" t="s">
        <v>13029</v>
      </c>
      <c r="D4272" s="15">
        <v>16.12</v>
      </c>
      <c r="E4272" s="16" t="s">
        <v>30</v>
      </c>
    </row>
    <row r="4273" spans="1:5" x14ac:dyDescent="0.25">
      <c r="A4273" s="14">
        <v>772478</v>
      </c>
      <c r="B4273" s="14" t="s">
        <v>4393</v>
      </c>
      <c r="C4273" s="14" t="s">
        <v>13029</v>
      </c>
      <c r="D4273" s="15">
        <v>28.65</v>
      </c>
      <c r="E4273" s="14" t="s">
        <v>30</v>
      </c>
    </row>
    <row r="4274" spans="1:5" x14ac:dyDescent="0.25">
      <c r="A4274" s="14">
        <v>772480</v>
      </c>
      <c r="B4274" s="14" t="s">
        <v>4394</v>
      </c>
      <c r="C4274" s="14" t="s">
        <v>13029</v>
      </c>
      <c r="D4274" s="15">
        <v>23.1</v>
      </c>
      <c r="E4274" s="14" t="s">
        <v>30</v>
      </c>
    </row>
    <row r="4275" spans="1:5" x14ac:dyDescent="0.25">
      <c r="A4275" s="14">
        <v>772515</v>
      </c>
      <c r="B4275" s="14" t="s">
        <v>4395</v>
      </c>
      <c r="C4275" s="14" t="s">
        <v>13031</v>
      </c>
      <c r="D4275" s="15">
        <v>5.69</v>
      </c>
      <c r="E4275" s="16" t="s">
        <v>30</v>
      </c>
    </row>
    <row r="4276" spans="1:5" x14ac:dyDescent="0.25">
      <c r="A4276" s="14">
        <v>772517</v>
      </c>
      <c r="B4276" s="14" t="s">
        <v>4396</v>
      </c>
      <c r="C4276" s="14" t="s">
        <v>13031</v>
      </c>
      <c r="D4276" s="15">
        <v>9.1999999999999993</v>
      </c>
      <c r="E4276" s="16" t="s">
        <v>30</v>
      </c>
    </row>
    <row r="4277" spans="1:5" x14ac:dyDescent="0.25">
      <c r="A4277" s="14">
        <v>772542</v>
      </c>
      <c r="B4277" s="14" t="s">
        <v>4397</v>
      </c>
      <c r="C4277" s="14" t="s">
        <v>13029</v>
      </c>
      <c r="D4277" s="15">
        <v>17.73</v>
      </c>
      <c r="E4277" s="16" t="s">
        <v>30</v>
      </c>
    </row>
    <row r="4278" spans="1:5" x14ac:dyDescent="0.25">
      <c r="A4278" s="14">
        <v>772543</v>
      </c>
      <c r="B4278" s="14" t="s">
        <v>4398</v>
      </c>
      <c r="C4278" s="14" t="s">
        <v>13029</v>
      </c>
      <c r="D4278" s="15">
        <v>17.73</v>
      </c>
      <c r="E4278" s="16" t="s">
        <v>30</v>
      </c>
    </row>
    <row r="4279" spans="1:5" x14ac:dyDescent="0.25">
      <c r="A4279" s="14">
        <v>772544</v>
      </c>
      <c r="B4279" s="14" t="s">
        <v>4399</v>
      </c>
      <c r="C4279" s="14" t="s">
        <v>13029</v>
      </c>
      <c r="D4279" s="15">
        <v>13.92</v>
      </c>
      <c r="E4279" s="16" t="s">
        <v>30</v>
      </c>
    </row>
    <row r="4280" spans="1:5" x14ac:dyDescent="0.25">
      <c r="A4280" s="14">
        <v>772545</v>
      </c>
      <c r="B4280" s="14" t="s">
        <v>4400</v>
      </c>
      <c r="C4280" s="14" t="s">
        <v>13029</v>
      </c>
      <c r="D4280" s="15">
        <v>13.92</v>
      </c>
      <c r="E4280" s="16" t="s">
        <v>30</v>
      </c>
    </row>
    <row r="4281" spans="1:5" x14ac:dyDescent="0.25">
      <c r="A4281" s="14">
        <v>772546</v>
      </c>
      <c r="B4281" s="14" t="s">
        <v>4401</v>
      </c>
      <c r="C4281" s="14" t="s">
        <v>13029</v>
      </c>
      <c r="D4281" s="15">
        <v>13.92</v>
      </c>
      <c r="E4281" s="16" t="s">
        <v>30</v>
      </c>
    </row>
    <row r="4282" spans="1:5" x14ac:dyDescent="0.25">
      <c r="A4282" s="14">
        <v>772547</v>
      </c>
      <c r="B4282" s="14" t="s">
        <v>4402</v>
      </c>
      <c r="C4282" s="14" t="s">
        <v>13029</v>
      </c>
      <c r="D4282" s="15">
        <v>21.55</v>
      </c>
      <c r="E4282" s="16" t="s">
        <v>30</v>
      </c>
    </row>
    <row r="4283" spans="1:5" x14ac:dyDescent="0.25">
      <c r="A4283" s="14">
        <v>772548</v>
      </c>
      <c r="B4283" s="14" t="s">
        <v>4403</v>
      </c>
      <c r="C4283" s="14" t="s">
        <v>13029</v>
      </c>
      <c r="D4283" s="15">
        <v>21.55</v>
      </c>
      <c r="E4283" s="16" t="s">
        <v>30</v>
      </c>
    </row>
    <row r="4284" spans="1:5" x14ac:dyDescent="0.25">
      <c r="A4284" s="14">
        <v>772560</v>
      </c>
      <c r="B4284" s="14" t="s">
        <v>4404</v>
      </c>
      <c r="C4284" s="14" t="s">
        <v>13031</v>
      </c>
      <c r="D4284" s="15">
        <v>22.88</v>
      </c>
      <c r="E4284" s="16" t="s">
        <v>30</v>
      </c>
    </row>
    <row r="4285" spans="1:5" x14ac:dyDescent="0.25">
      <c r="A4285" s="14">
        <v>772703</v>
      </c>
      <c r="B4285" s="14" t="s">
        <v>4405</v>
      </c>
      <c r="C4285" s="14" t="s">
        <v>13029</v>
      </c>
      <c r="D4285" s="15">
        <v>17.71</v>
      </c>
      <c r="E4285" s="16" t="s">
        <v>30</v>
      </c>
    </row>
    <row r="4286" spans="1:5" x14ac:dyDescent="0.25">
      <c r="A4286" s="14">
        <v>768747</v>
      </c>
      <c r="B4286" s="14" t="s">
        <v>4406</v>
      </c>
      <c r="C4286" s="14" t="s">
        <v>13030</v>
      </c>
      <c r="D4286" s="15">
        <v>26.04</v>
      </c>
      <c r="E4286" s="16" t="s">
        <v>20</v>
      </c>
    </row>
    <row r="4287" spans="1:5" x14ac:dyDescent="0.25">
      <c r="A4287" s="14">
        <v>772704</v>
      </c>
      <c r="B4287" s="14" t="s">
        <v>4407</v>
      </c>
      <c r="C4287" s="14" t="s">
        <v>13029</v>
      </c>
      <c r="D4287" s="15">
        <v>26.27</v>
      </c>
      <c r="E4287" s="16" t="s">
        <v>30</v>
      </c>
    </row>
    <row r="4288" spans="1:5" x14ac:dyDescent="0.25">
      <c r="A4288" s="14">
        <v>772705</v>
      </c>
      <c r="B4288" s="14" t="s">
        <v>4408</v>
      </c>
      <c r="C4288" s="14" t="s">
        <v>13029</v>
      </c>
      <c r="D4288" s="15">
        <v>23.2</v>
      </c>
      <c r="E4288" s="16" t="s">
        <v>30</v>
      </c>
    </row>
    <row r="4289" spans="1:5" x14ac:dyDescent="0.25">
      <c r="A4289" s="14">
        <v>772716</v>
      </c>
      <c r="B4289" s="14" t="s">
        <v>4409</v>
      </c>
      <c r="C4289" s="14" t="s">
        <v>13030</v>
      </c>
      <c r="D4289" s="15">
        <v>44.41</v>
      </c>
      <c r="E4289" s="16" t="s">
        <v>30</v>
      </c>
    </row>
    <row r="4290" spans="1:5" x14ac:dyDescent="0.25">
      <c r="A4290" s="14">
        <v>772719</v>
      </c>
      <c r="B4290" s="14" t="s">
        <v>4410</v>
      </c>
      <c r="C4290" s="14" t="s">
        <v>13030</v>
      </c>
      <c r="D4290" s="15">
        <v>7.65</v>
      </c>
      <c r="E4290" s="16" t="s">
        <v>30</v>
      </c>
    </row>
    <row r="4291" spans="1:5" x14ac:dyDescent="0.25">
      <c r="A4291" s="14">
        <v>772741</v>
      </c>
      <c r="B4291" s="14" t="s">
        <v>4411</v>
      </c>
      <c r="C4291" s="14" t="s">
        <v>13030</v>
      </c>
      <c r="D4291" s="15">
        <v>30.64</v>
      </c>
      <c r="E4291" s="16" t="s">
        <v>30</v>
      </c>
    </row>
    <row r="4292" spans="1:5" x14ac:dyDescent="0.25">
      <c r="A4292" s="14">
        <v>773315</v>
      </c>
      <c r="B4292" s="14" t="s">
        <v>4412</v>
      </c>
      <c r="C4292" s="14" t="s">
        <v>13030</v>
      </c>
      <c r="D4292" s="15">
        <v>10.98</v>
      </c>
      <c r="E4292" s="16" t="s">
        <v>30</v>
      </c>
    </row>
    <row r="4293" spans="1:5" x14ac:dyDescent="0.25">
      <c r="A4293" s="14">
        <v>773366</v>
      </c>
      <c r="B4293" s="14" t="s">
        <v>4413</v>
      </c>
      <c r="C4293" s="14" t="s">
        <v>13031</v>
      </c>
      <c r="D4293" s="15">
        <v>14.86</v>
      </c>
      <c r="E4293" s="16" t="s">
        <v>30</v>
      </c>
    </row>
    <row r="4294" spans="1:5" x14ac:dyDescent="0.25">
      <c r="A4294" s="14">
        <v>773367</v>
      </c>
      <c r="B4294" s="14" t="s">
        <v>4414</v>
      </c>
      <c r="C4294" s="14" t="s">
        <v>13031</v>
      </c>
      <c r="D4294" s="15">
        <v>16.38</v>
      </c>
      <c r="E4294" s="16" t="s">
        <v>30</v>
      </c>
    </row>
    <row r="4295" spans="1:5" x14ac:dyDescent="0.25">
      <c r="A4295" s="14">
        <v>773368</v>
      </c>
      <c r="B4295" s="14" t="s">
        <v>4415</v>
      </c>
      <c r="C4295" s="14" t="s">
        <v>13031</v>
      </c>
      <c r="D4295" s="15">
        <v>23.1</v>
      </c>
      <c r="E4295" s="16" t="s">
        <v>30</v>
      </c>
    </row>
    <row r="4296" spans="1:5" x14ac:dyDescent="0.25">
      <c r="A4296" s="14">
        <v>773471</v>
      </c>
      <c r="B4296" s="14" t="s">
        <v>4416</v>
      </c>
      <c r="C4296" s="14" t="s">
        <v>13029</v>
      </c>
      <c r="D4296" s="15">
        <v>11.8</v>
      </c>
      <c r="E4296" s="16" t="s">
        <v>30</v>
      </c>
    </row>
    <row r="4297" spans="1:5" x14ac:dyDescent="0.25">
      <c r="A4297" s="14">
        <v>773472</v>
      </c>
      <c r="B4297" s="14" t="s">
        <v>4417</v>
      </c>
      <c r="C4297" s="14" t="s">
        <v>13029</v>
      </c>
      <c r="D4297" s="15">
        <v>11.8</v>
      </c>
      <c r="E4297" s="16" t="s">
        <v>30</v>
      </c>
    </row>
    <row r="4298" spans="1:5" x14ac:dyDescent="0.25">
      <c r="A4298" s="14">
        <v>773473</v>
      </c>
      <c r="B4298" s="14" t="s">
        <v>4418</v>
      </c>
      <c r="C4298" s="14" t="s">
        <v>13029</v>
      </c>
      <c r="D4298" s="15">
        <v>11.8</v>
      </c>
      <c r="E4298" s="16" t="s">
        <v>30</v>
      </c>
    </row>
    <row r="4299" spans="1:5" x14ac:dyDescent="0.25">
      <c r="A4299" s="14">
        <v>773475</v>
      </c>
      <c r="B4299" s="14" t="s">
        <v>4419</v>
      </c>
      <c r="C4299" s="14" t="s">
        <v>13029</v>
      </c>
      <c r="D4299" s="15">
        <v>17.739999999999998</v>
      </c>
      <c r="E4299" s="16" t="s">
        <v>30</v>
      </c>
    </row>
    <row r="4300" spans="1:5" x14ac:dyDescent="0.25">
      <c r="A4300" s="14">
        <v>773476</v>
      </c>
      <c r="B4300" s="14" t="s">
        <v>4420</v>
      </c>
      <c r="C4300" s="14" t="s">
        <v>13029</v>
      </c>
      <c r="D4300" s="15">
        <v>17.739999999999998</v>
      </c>
      <c r="E4300" s="16" t="s">
        <v>30</v>
      </c>
    </row>
    <row r="4301" spans="1:5" x14ac:dyDescent="0.25">
      <c r="A4301" s="14">
        <v>773478</v>
      </c>
      <c r="B4301" s="14" t="s">
        <v>4421</v>
      </c>
      <c r="C4301" s="14" t="s">
        <v>13029</v>
      </c>
      <c r="D4301" s="15">
        <v>10.029999999999999</v>
      </c>
      <c r="E4301" s="16" t="s">
        <v>30</v>
      </c>
    </row>
    <row r="4302" spans="1:5" x14ac:dyDescent="0.25">
      <c r="A4302" s="14">
        <v>773479</v>
      </c>
      <c r="B4302" s="14" t="s">
        <v>4422</v>
      </c>
      <c r="C4302" s="14" t="s">
        <v>13029</v>
      </c>
      <c r="D4302" s="15">
        <v>11.8</v>
      </c>
      <c r="E4302" s="16" t="s">
        <v>30</v>
      </c>
    </row>
    <row r="4303" spans="1:5" x14ac:dyDescent="0.25">
      <c r="A4303" s="14">
        <v>773593</v>
      </c>
      <c r="B4303" s="14" t="s">
        <v>4423</v>
      </c>
      <c r="C4303" s="14" t="s">
        <v>13030</v>
      </c>
      <c r="D4303" s="15">
        <v>15.13</v>
      </c>
      <c r="E4303" s="16" t="s">
        <v>30</v>
      </c>
    </row>
    <row r="4304" spans="1:5" x14ac:dyDescent="0.25">
      <c r="A4304" s="14">
        <v>773595</v>
      </c>
      <c r="B4304" s="14" t="s">
        <v>4424</v>
      </c>
      <c r="C4304" s="14" t="s">
        <v>13030</v>
      </c>
      <c r="D4304" s="15">
        <v>15.06</v>
      </c>
      <c r="E4304" s="16" t="s">
        <v>30</v>
      </c>
    </row>
    <row r="4305" spans="1:5" x14ac:dyDescent="0.25">
      <c r="A4305" s="14">
        <v>773610</v>
      </c>
      <c r="B4305" s="14" t="s">
        <v>4425</v>
      </c>
      <c r="C4305" s="14" t="s">
        <v>13029</v>
      </c>
      <c r="D4305" s="15">
        <v>14.67</v>
      </c>
      <c r="E4305" s="14" t="s">
        <v>30</v>
      </c>
    </row>
    <row r="4306" spans="1:5" x14ac:dyDescent="0.25">
      <c r="A4306" s="14">
        <v>773613</v>
      </c>
      <c r="B4306" s="14" t="s">
        <v>4426</v>
      </c>
      <c r="C4306" s="14" t="s">
        <v>13031</v>
      </c>
      <c r="D4306" s="15">
        <v>2.87</v>
      </c>
      <c r="E4306" s="16" t="s">
        <v>30</v>
      </c>
    </row>
    <row r="4307" spans="1:5" x14ac:dyDescent="0.25">
      <c r="A4307" s="14">
        <v>773614</v>
      </c>
      <c r="B4307" s="14" t="s">
        <v>4427</v>
      </c>
      <c r="C4307" s="14" t="s">
        <v>13031</v>
      </c>
      <c r="D4307" s="15">
        <v>2.87</v>
      </c>
      <c r="E4307" s="16" t="s">
        <v>30</v>
      </c>
    </row>
    <row r="4308" spans="1:5" x14ac:dyDescent="0.25">
      <c r="A4308" s="14">
        <v>773615</v>
      </c>
      <c r="B4308" s="14" t="s">
        <v>4428</v>
      </c>
      <c r="C4308" s="14" t="s">
        <v>13031</v>
      </c>
      <c r="D4308" s="15">
        <v>2.04</v>
      </c>
      <c r="E4308" s="16" t="s">
        <v>30</v>
      </c>
    </row>
    <row r="4309" spans="1:5" x14ac:dyDescent="0.25">
      <c r="A4309" s="14">
        <v>773616</v>
      </c>
      <c r="B4309" s="14" t="s">
        <v>4429</v>
      </c>
      <c r="C4309" s="14" t="s">
        <v>13031</v>
      </c>
      <c r="D4309" s="15">
        <v>2.31</v>
      </c>
      <c r="E4309" s="16" t="s">
        <v>30</v>
      </c>
    </row>
    <row r="4310" spans="1:5" x14ac:dyDescent="0.25">
      <c r="A4310" s="14">
        <v>773617</v>
      </c>
      <c r="B4310" s="14" t="s">
        <v>4430</v>
      </c>
      <c r="C4310" s="14" t="s">
        <v>13031</v>
      </c>
      <c r="D4310" s="15">
        <v>2.4700000000000002</v>
      </c>
      <c r="E4310" s="16" t="s">
        <v>30</v>
      </c>
    </row>
    <row r="4311" spans="1:5" x14ac:dyDescent="0.25">
      <c r="A4311" s="14">
        <v>773620</v>
      </c>
      <c r="B4311" s="14" t="s">
        <v>4431</v>
      </c>
      <c r="C4311" s="14" t="s">
        <v>13031</v>
      </c>
      <c r="D4311" s="15">
        <v>8.9</v>
      </c>
      <c r="E4311" s="16" t="s">
        <v>30</v>
      </c>
    </row>
    <row r="4312" spans="1:5" x14ac:dyDescent="0.25">
      <c r="A4312" s="14">
        <v>773832</v>
      </c>
      <c r="B4312" s="14" t="s">
        <v>4432</v>
      </c>
      <c r="C4312" s="14" t="s">
        <v>13030</v>
      </c>
      <c r="D4312" s="15">
        <v>16.61</v>
      </c>
      <c r="E4312" s="16" t="s">
        <v>30</v>
      </c>
    </row>
    <row r="4313" spans="1:5" x14ac:dyDescent="0.25">
      <c r="A4313" s="14">
        <v>768748</v>
      </c>
      <c r="B4313" s="14" t="s">
        <v>4433</v>
      </c>
      <c r="C4313" s="14" t="s">
        <v>13030</v>
      </c>
      <c r="D4313" s="15">
        <v>47.62</v>
      </c>
      <c r="E4313" s="16" t="s">
        <v>20</v>
      </c>
    </row>
    <row r="4314" spans="1:5" x14ac:dyDescent="0.25">
      <c r="A4314" s="14">
        <v>773833</v>
      </c>
      <c r="B4314" s="14" t="s">
        <v>4434</v>
      </c>
      <c r="C4314" s="14" t="s">
        <v>13030</v>
      </c>
      <c r="D4314" s="15">
        <v>16.61</v>
      </c>
      <c r="E4314" s="16" t="s">
        <v>30</v>
      </c>
    </row>
    <row r="4315" spans="1:5" x14ac:dyDescent="0.25">
      <c r="A4315" s="14">
        <v>773834</v>
      </c>
      <c r="B4315" s="14" t="s">
        <v>4435</v>
      </c>
      <c r="C4315" s="14" t="s">
        <v>13030</v>
      </c>
      <c r="D4315" s="15">
        <v>16.61</v>
      </c>
      <c r="E4315" s="16" t="s">
        <v>30</v>
      </c>
    </row>
    <row r="4316" spans="1:5" x14ac:dyDescent="0.25">
      <c r="A4316" s="14">
        <v>773854</v>
      </c>
      <c r="B4316" s="14" t="s">
        <v>4436</v>
      </c>
      <c r="C4316" s="14" t="s">
        <v>13029</v>
      </c>
      <c r="D4316" s="15">
        <v>35.53</v>
      </c>
      <c r="E4316" s="16" t="s">
        <v>30</v>
      </c>
    </row>
    <row r="4317" spans="1:5" x14ac:dyDescent="0.25">
      <c r="A4317" s="14">
        <v>774015</v>
      </c>
      <c r="B4317" s="14" t="s">
        <v>4437</v>
      </c>
      <c r="C4317" s="14" t="s">
        <v>13031</v>
      </c>
      <c r="D4317" s="15">
        <v>21.03</v>
      </c>
      <c r="E4317" s="16" t="s">
        <v>30</v>
      </c>
    </row>
    <row r="4318" spans="1:5" x14ac:dyDescent="0.25">
      <c r="A4318" s="14">
        <v>774016</v>
      </c>
      <c r="B4318" s="14" t="s">
        <v>4438</v>
      </c>
      <c r="C4318" s="14" t="s">
        <v>13031</v>
      </c>
      <c r="D4318" s="15">
        <v>21.03</v>
      </c>
      <c r="E4318" s="16" t="s">
        <v>30</v>
      </c>
    </row>
    <row r="4319" spans="1:5" x14ac:dyDescent="0.25">
      <c r="A4319" s="14">
        <v>774017</v>
      </c>
      <c r="B4319" s="14" t="s">
        <v>4439</v>
      </c>
      <c r="C4319" s="14" t="s">
        <v>13031</v>
      </c>
      <c r="D4319" s="15">
        <v>42.69</v>
      </c>
      <c r="E4319" s="16" t="s">
        <v>30</v>
      </c>
    </row>
    <row r="4320" spans="1:5" x14ac:dyDescent="0.25">
      <c r="A4320" s="14">
        <v>774018</v>
      </c>
      <c r="B4320" s="14" t="s">
        <v>4440</v>
      </c>
      <c r="C4320" s="14" t="s">
        <v>13031</v>
      </c>
      <c r="D4320" s="15">
        <v>42.69</v>
      </c>
      <c r="E4320" s="16" t="s">
        <v>30</v>
      </c>
    </row>
    <row r="4321" spans="1:5" x14ac:dyDescent="0.25">
      <c r="A4321" s="14">
        <v>774029</v>
      </c>
      <c r="B4321" s="14" t="s">
        <v>4441</v>
      </c>
      <c r="C4321" s="14" t="s">
        <v>13031</v>
      </c>
      <c r="D4321" s="15">
        <v>7.49</v>
      </c>
      <c r="E4321" s="16" t="s">
        <v>30</v>
      </c>
    </row>
    <row r="4322" spans="1:5" x14ac:dyDescent="0.25">
      <c r="A4322" s="14">
        <v>774033</v>
      </c>
      <c r="B4322" s="14" t="s">
        <v>4442</v>
      </c>
      <c r="C4322" s="14" t="s">
        <v>13029</v>
      </c>
      <c r="D4322" s="15">
        <v>20.71</v>
      </c>
      <c r="E4322" s="16" t="s">
        <v>30</v>
      </c>
    </row>
    <row r="4323" spans="1:5" x14ac:dyDescent="0.25">
      <c r="A4323" s="14">
        <v>774057</v>
      </c>
      <c r="B4323" s="14" t="s">
        <v>4443</v>
      </c>
      <c r="C4323" s="14" t="s">
        <v>13030</v>
      </c>
      <c r="D4323" s="15">
        <v>16.559999999999999</v>
      </c>
      <c r="E4323" s="16" t="s">
        <v>30</v>
      </c>
    </row>
    <row r="4324" spans="1:5" x14ac:dyDescent="0.25">
      <c r="A4324" s="14">
        <v>774058</v>
      </c>
      <c r="B4324" s="14" t="s">
        <v>4444</v>
      </c>
      <c r="C4324" s="14" t="s">
        <v>13031</v>
      </c>
      <c r="D4324" s="15">
        <v>3.08</v>
      </c>
      <c r="E4324" s="16" t="s">
        <v>30</v>
      </c>
    </row>
    <row r="4325" spans="1:5" x14ac:dyDescent="0.25">
      <c r="A4325" s="14">
        <v>774175</v>
      </c>
      <c r="B4325" s="14" t="s">
        <v>4445</v>
      </c>
      <c r="C4325" s="14" t="s">
        <v>13029</v>
      </c>
      <c r="D4325" s="15">
        <v>12.6</v>
      </c>
      <c r="E4325" s="16" t="s">
        <v>30</v>
      </c>
    </row>
    <row r="4326" spans="1:5" x14ac:dyDescent="0.25">
      <c r="A4326" s="14">
        <v>774176</v>
      </c>
      <c r="B4326" s="14" t="s">
        <v>4446</v>
      </c>
      <c r="C4326" s="14" t="s">
        <v>13029</v>
      </c>
      <c r="D4326" s="15">
        <v>31.7</v>
      </c>
      <c r="E4326" s="16" t="s">
        <v>30</v>
      </c>
    </row>
    <row r="4327" spans="1:5" x14ac:dyDescent="0.25">
      <c r="A4327" s="14">
        <v>774177</v>
      </c>
      <c r="B4327" s="14" t="s">
        <v>4447</v>
      </c>
      <c r="C4327" s="14" t="s">
        <v>13029</v>
      </c>
      <c r="D4327" s="15">
        <v>1.4</v>
      </c>
      <c r="E4327" s="16" t="s">
        <v>30</v>
      </c>
    </row>
    <row r="4328" spans="1:5" x14ac:dyDescent="0.25">
      <c r="A4328" s="14">
        <v>774178</v>
      </c>
      <c r="B4328" s="14" t="s">
        <v>4448</v>
      </c>
      <c r="C4328" s="14" t="s">
        <v>13029</v>
      </c>
      <c r="D4328" s="15">
        <v>2.54</v>
      </c>
      <c r="E4328" s="16" t="s">
        <v>30</v>
      </c>
    </row>
    <row r="4329" spans="1:5" x14ac:dyDescent="0.25">
      <c r="A4329" s="14">
        <v>774179</v>
      </c>
      <c r="B4329" s="14" t="s">
        <v>4449</v>
      </c>
      <c r="C4329" s="14" t="s">
        <v>13029</v>
      </c>
      <c r="D4329" s="15">
        <v>2.16</v>
      </c>
      <c r="E4329" s="16" t="s">
        <v>30</v>
      </c>
    </row>
    <row r="4330" spans="1:5" x14ac:dyDescent="0.25">
      <c r="A4330" s="14">
        <v>774180</v>
      </c>
      <c r="B4330" s="14" t="s">
        <v>4450</v>
      </c>
      <c r="C4330" s="14" t="s">
        <v>13029</v>
      </c>
      <c r="D4330" s="15">
        <v>20.14</v>
      </c>
      <c r="E4330" s="16" t="s">
        <v>30</v>
      </c>
    </row>
    <row r="4331" spans="1:5" x14ac:dyDescent="0.25">
      <c r="A4331" s="14">
        <v>779281</v>
      </c>
      <c r="B4331" s="14" t="s">
        <v>4451</v>
      </c>
      <c r="C4331" s="14" t="s">
        <v>13031</v>
      </c>
      <c r="D4331" s="15">
        <v>42.69</v>
      </c>
      <c r="E4331" s="16" t="s">
        <v>30</v>
      </c>
    </row>
    <row r="4332" spans="1:5" x14ac:dyDescent="0.25">
      <c r="A4332" s="14">
        <v>780302</v>
      </c>
      <c r="B4332" s="14" t="s">
        <v>4452</v>
      </c>
      <c r="C4332" s="14" t="s">
        <v>13030</v>
      </c>
      <c r="D4332" s="15">
        <v>17.14</v>
      </c>
      <c r="E4332" s="16" t="s">
        <v>30</v>
      </c>
    </row>
    <row r="4333" spans="1:5" x14ac:dyDescent="0.25">
      <c r="A4333" s="14">
        <v>780303</v>
      </c>
      <c r="B4333" s="14" t="s">
        <v>4453</v>
      </c>
      <c r="C4333" s="14" t="s">
        <v>13029</v>
      </c>
      <c r="D4333" s="15">
        <v>9.66</v>
      </c>
      <c r="E4333" s="16" t="s">
        <v>30</v>
      </c>
    </row>
    <row r="4334" spans="1:5" x14ac:dyDescent="0.25">
      <c r="A4334" s="14">
        <v>780304</v>
      </c>
      <c r="B4334" s="14" t="s">
        <v>4454</v>
      </c>
      <c r="C4334" s="14" t="s">
        <v>13029</v>
      </c>
      <c r="D4334" s="15">
        <v>21.18</v>
      </c>
      <c r="E4334" s="16" t="s">
        <v>30</v>
      </c>
    </row>
    <row r="4335" spans="1:5" x14ac:dyDescent="0.25">
      <c r="A4335" s="14">
        <v>780305</v>
      </c>
      <c r="B4335" s="14" t="s">
        <v>4455</v>
      </c>
      <c r="C4335" s="14" t="s">
        <v>13029</v>
      </c>
      <c r="D4335" s="15">
        <v>21.18</v>
      </c>
      <c r="E4335" s="16" t="s">
        <v>30</v>
      </c>
    </row>
    <row r="4336" spans="1:5" x14ac:dyDescent="0.25">
      <c r="A4336" s="14">
        <v>780306</v>
      </c>
      <c r="B4336" s="14" t="s">
        <v>4456</v>
      </c>
      <c r="C4336" s="14" t="s">
        <v>13029</v>
      </c>
      <c r="D4336" s="15">
        <v>21.18</v>
      </c>
      <c r="E4336" s="16" t="s">
        <v>30</v>
      </c>
    </row>
    <row r="4337" spans="1:5" x14ac:dyDescent="0.25">
      <c r="A4337" s="14">
        <v>780307</v>
      </c>
      <c r="B4337" s="14" t="s">
        <v>4457</v>
      </c>
      <c r="C4337" s="14" t="s">
        <v>13029</v>
      </c>
      <c r="D4337" s="15">
        <v>21.18</v>
      </c>
      <c r="E4337" s="16" t="s">
        <v>30</v>
      </c>
    </row>
    <row r="4338" spans="1:5" x14ac:dyDescent="0.25">
      <c r="A4338" s="14">
        <v>780308</v>
      </c>
      <c r="B4338" s="14" t="s">
        <v>4458</v>
      </c>
      <c r="C4338" s="14" t="s">
        <v>13029</v>
      </c>
      <c r="D4338" s="15">
        <v>21.18</v>
      </c>
      <c r="E4338" s="16" t="s">
        <v>30</v>
      </c>
    </row>
    <row r="4339" spans="1:5" x14ac:dyDescent="0.25">
      <c r="A4339" s="14">
        <v>780376</v>
      </c>
      <c r="B4339" s="14" t="s">
        <v>4459</v>
      </c>
      <c r="C4339" s="14" t="s">
        <v>13031</v>
      </c>
      <c r="D4339" s="15">
        <v>17.02</v>
      </c>
      <c r="E4339" s="16" t="s">
        <v>30</v>
      </c>
    </row>
    <row r="4340" spans="1:5" x14ac:dyDescent="0.25">
      <c r="A4340" s="14">
        <v>780438</v>
      </c>
      <c r="B4340" s="14" t="s">
        <v>4460</v>
      </c>
      <c r="C4340" s="14" t="s">
        <v>13029</v>
      </c>
      <c r="D4340" s="15">
        <v>8.6</v>
      </c>
      <c r="E4340" s="14" t="s">
        <v>30</v>
      </c>
    </row>
    <row r="4341" spans="1:5" x14ac:dyDescent="0.25">
      <c r="A4341" s="14">
        <v>781054</v>
      </c>
      <c r="B4341" s="14" t="s">
        <v>4461</v>
      </c>
      <c r="C4341" s="14" t="s">
        <v>13031</v>
      </c>
      <c r="D4341" s="15">
        <v>9.48</v>
      </c>
      <c r="E4341" s="16" t="s">
        <v>30</v>
      </c>
    </row>
    <row r="4342" spans="1:5" x14ac:dyDescent="0.25">
      <c r="A4342" s="14">
        <v>781055</v>
      </c>
      <c r="B4342" s="14" t="s">
        <v>4462</v>
      </c>
      <c r="C4342" s="14" t="s">
        <v>13031</v>
      </c>
      <c r="D4342" s="15">
        <v>10.43</v>
      </c>
      <c r="E4342" s="16" t="s">
        <v>30</v>
      </c>
    </row>
    <row r="4343" spans="1:5" x14ac:dyDescent="0.25">
      <c r="A4343" s="14">
        <v>781068</v>
      </c>
      <c r="B4343" s="14" t="s">
        <v>4463</v>
      </c>
      <c r="C4343" s="14" t="s">
        <v>13031</v>
      </c>
      <c r="D4343" s="15">
        <v>7.96</v>
      </c>
      <c r="E4343" s="16" t="s">
        <v>30</v>
      </c>
    </row>
    <row r="4344" spans="1:5" x14ac:dyDescent="0.25">
      <c r="A4344" s="14">
        <v>781069</v>
      </c>
      <c r="B4344" s="14" t="s">
        <v>4464</v>
      </c>
      <c r="C4344" s="14" t="s">
        <v>13031</v>
      </c>
      <c r="D4344" s="15">
        <v>4.68</v>
      </c>
      <c r="E4344" s="16" t="s">
        <v>30</v>
      </c>
    </row>
    <row r="4345" spans="1:5" x14ac:dyDescent="0.25">
      <c r="A4345" s="14">
        <v>781071</v>
      </c>
      <c r="B4345" s="14" t="s">
        <v>4465</v>
      </c>
      <c r="C4345" s="14" t="s">
        <v>13030</v>
      </c>
      <c r="D4345" s="15">
        <v>5</v>
      </c>
      <c r="E4345" s="16" t="s">
        <v>30</v>
      </c>
    </row>
    <row r="4346" spans="1:5" x14ac:dyDescent="0.25">
      <c r="A4346" s="14">
        <v>781309</v>
      </c>
      <c r="B4346" s="14" t="s">
        <v>4466</v>
      </c>
      <c r="C4346" s="14" t="s">
        <v>13029</v>
      </c>
      <c r="D4346" s="15">
        <v>2.74</v>
      </c>
      <c r="E4346" s="16" t="s">
        <v>30</v>
      </c>
    </row>
    <row r="4347" spans="1:5" x14ac:dyDescent="0.25">
      <c r="A4347" s="14">
        <v>781360</v>
      </c>
      <c r="B4347" s="14" t="s">
        <v>4467</v>
      </c>
      <c r="C4347" s="14" t="s">
        <v>13029</v>
      </c>
      <c r="D4347" s="15">
        <v>10.029999999999999</v>
      </c>
      <c r="E4347" s="16" t="s">
        <v>30</v>
      </c>
    </row>
    <row r="4348" spans="1:5" x14ac:dyDescent="0.25">
      <c r="A4348" s="14">
        <v>782224</v>
      </c>
      <c r="B4348" s="14" t="s">
        <v>4468</v>
      </c>
      <c r="C4348" s="14" t="s">
        <v>13031</v>
      </c>
      <c r="D4348" s="15">
        <v>22.1</v>
      </c>
      <c r="E4348" s="16" t="s">
        <v>30</v>
      </c>
    </row>
    <row r="4349" spans="1:5" x14ac:dyDescent="0.25">
      <c r="A4349" s="14">
        <v>782225</v>
      </c>
      <c r="B4349" s="14" t="s">
        <v>4469</v>
      </c>
      <c r="C4349" s="14" t="s">
        <v>13031</v>
      </c>
      <c r="D4349" s="15">
        <v>15.45</v>
      </c>
      <c r="E4349" s="16" t="s">
        <v>30</v>
      </c>
    </row>
    <row r="4350" spans="1:5" x14ac:dyDescent="0.25">
      <c r="A4350" s="14">
        <v>782391</v>
      </c>
      <c r="B4350" s="14" t="s">
        <v>4470</v>
      </c>
      <c r="C4350" s="14" t="s">
        <v>13029</v>
      </c>
      <c r="D4350" s="15">
        <v>7.16</v>
      </c>
      <c r="E4350" s="16" t="s">
        <v>30</v>
      </c>
    </row>
    <row r="4351" spans="1:5" x14ac:dyDescent="0.25">
      <c r="A4351" s="14">
        <v>782392</v>
      </c>
      <c r="B4351" s="14" t="s">
        <v>4471</v>
      </c>
      <c r="C4351" s="14" t="s">
        <v>13029</v>
      </c>
      <c r="D4351" s="15">
        <v>4.03</v>
      </c>
      <c r="E4351" s="16" t="s">
        <v>30</v>
      </c>
    </row>
    <row r="4352" spans="1:5" x14ac:dyDescent="0.25">
      <c r="A4352" s="14">
        <v>782393</v>
      </c>
      <c r="B4352" s="14" t="s">
        <v>4472</v>
      </c>
      <c r="C4352" s="14" t="s">
        <v>13029</v>
      </c>
      <c r="D4352" s="15">
        <v>7.58</v>
      </c>
      <c r="E4352" s="16" t="s">
        <v>30</v>
      </c>
    </row>
    <row r="4353" spans="1:5" x14ac:dyDescent="0.25">
      <c r="A4353" s="14">
        <v>782394</v>
      </c>
      <c r="B4353" s="14" t="s">
        <v>4473</v>
      </c>
      <c r="C4353" s="14" t="s">
        <v>13029</v>
      </c>
      <c r="D4353" s="15">
        <v>6.31</v>
      </c>
      <c r="E4353" s="16" t="s">
        <v>30</v>
      </c>
    </row>
    <row r="4354" spans="1:5" x14ac:dyDescent="0.25">
      <c r="A4354" s="14">
        <v>782395</v>
      </c>
      <c r="B4354" s="14" t="s">
        <v>4474</v>
      </c>
      <c r="C4354" s="14" t="s">
        <v>13030</v>
      </c>
      <c r="D4354" s="15">
        <v>3.03</v>
      </c>
      <c r="E4354" s="16" t="s">
        <v>30</v>
      </c>
    </row>
    <row r="4355" spans="1:5" x14ac:dyDescent="0.25">
      <c r="A4355" s="14">
        <v>782397</v>
      </c>
      <c r="B4355" s="14" t="s">
        <v>4475</v>
      </c>
      <c r="C4355" s="14" t="s">
        <v>13030</v>
      </c>
      <c r="D4355" s="15">
        <v>178.98</v>
      </c>
      <c r="E4355" s="16" t="s">
        <v>30</v>
      </c>
    </row>
    <row r="4356" spans="1:5" x14ac:dyDescent="0.25">
      <c r="A4356" s="14">
        <v>782398</v>
      </c>
      <c r="B4356" s="14" t="s">
        <v>4476</v>
      </c>
      <c r="C4356" s="14" t="s">
        <v>13031</v>
      </c>
      <c r="D4356" s="15">
        <v>40.21</v>
      </c>
      <c r="E4356" s="16" t="s">
        <v>30</v>
      </c>
    </row>
    <row r="4357" spans="1:5" x14ac:dyDescent="0.25">
      <c r="A4357" s="14">
        <v>782403</v>
      </c>
      <c r="B4357" s="14" t="s">
        <v>4477</v>
      </c>
      <c r="C4357" s="14" t="s">
        <v>13031</v>
      </c>
      <c r="D4357" s="15">
        <v>10.82</v>
      </c>
      <c r="E4357" s="16" t="s">
        <v>30</v>
      </c>
    </row>
    <row r="4358" spans="1:5" x14ac:dyDescent="0.25">
      <c r="A4358" s="14">
        <v>782436</v>
      </c>
      <c r="B4358" s="14" t="s">
        <v>4478</v>
      </c>
      <c r="C4358" s="14" t="s">
        <v>13029</v>
      </c>
      <c r="D4358" s="15">
        <v>23.08</v>
      </c>
      <c r="E4358" s="16" t="s">
        <v>30</v>
      </c>
    </row>
    <row r="4359" spans="1:5" x14ac:dyDescent="0.25">
      <c r="A4359" s="14">
        <v>782437</v>
      </c>
      <c r="B4359" s="14" t="s">
        <v>4479</v>
      </c>
      <c r="C4359" s="14" t="s">
        <v>13029</v>
      </c>
      <c r="D4359" s="15">
        <v>18.47</v>
      </c>
      <c r="E4359" s="16" t="s">
        <v>30</v>
      </c>
    </row>
    <row r="4360" spans="1:5" x14ac:dyDescent="0.25">
      <c r="A4360" s="14">
        <v>782620</v>
      </c>
      <c r="B4360" s="14" t="s">
        <v>4480</v>
      </c>
      <c r="C4360" s="14" t="s">
        <v>13030</v>
      </c>
      <c r="D4360" s="15">
        <v>17.29</v>
      </c>
      <c r="E4360" s="16" t="s">
        <v>30</v>
      </c>
    </row>
    <row r="4361" spans="1:5" x14ac:dyDescent="0.25">
      <c r="A4361" s="14">
        <v>782649</v>
      </c>
      <c r="B4361" s="14" t="s">
        <v>4481</v>
      </c>
      <c r="C4361" s="14" t="s">
        <v>13029</v>
      </c>
      <c r="D4361" s="15">
        <v>30.84</v>
      </c>
      <c r="E4361" s="16" t="s">
        <v>30</v>
      </c>
    </row>
    <row r="4362" spans="1:5" x14ac:dyDescent="0.25">
      <c r="A4362" s="14">
        <v>782653</v>
      </c>
      <c r="B4362" s="14" t="s">
        <v>4482</v>
      </c>
      <c r="C4362" s="14" t="s">
        <v>13029</v>
      </c>
      <c r="D4362" s="15">
        <v>16.97</v>
      </c>
      <c r="E4362" s="16" t="s">
        <v>30</v>
      </c>
    </row>
    <row r="4363" spans="1:5" x14ac:dyDescent="0.25">
      <c r="A4363" s="14">
        <v>783590</v>
      </c>
      <c r="B4363" s="14" t="s">
        <v>4483</v>
      </c>
      <c r="C4363" s="14" t="s">
        <v>13029</v>
      </c>
      <c r="D4363" s="15">
        <v>18.920000000000002</v>
      </c>
      <c r="E4363" s="16" t="s">
        <v>30</v>
      </c>
    </row>
    <row r="4364" spans="1:5" x14ac:dyDescent="0.25">
      <c r="A4364" s="14">
        <v>783592</v>
      </c>
      <c r="B4364" s="14" t="s">
        <v>4484</v>
      </c>
      <c r="C4364" s="14" t="s">
        <v>13029</v>
      </c>
      <c r="D4364" s="15">
        <v>5.34</v>
      </c>
      <c r="E4364" s="16" t="s">
        <v>30</v>
      </c>
    </row>
    <row r="4365" spans="1:5" x14ac:dyDescent="0.25">
      <c r="A4365" s="14">
        <v>783593</v>
      </c>
      <c r="B4365" s="14" t="s">
        <v>4485</v>
      </c>
      <c r="C4365" s="14" t="s">
        <v>13029</v>
      </c>
      <c r="D4365" s="15">
        <v>5.2</v>
      </c>
      <c r="E4365" s="16" t="s">
        <v>30</v>
      </c>
    </row>
    <row r="4366" spans="1:5" x14ac:dyDescent="0.25">
      <c r="A4366" s="14">
        <v>783594</v>
      </c>
      <c r="B4366" s="14" t="s">
        <v>4486</v>
      </c>
      <c r="C4366" s="14" t="s">
        <v>13030</v>
      </c>
      <c r="D4366" s="15">
        <v>4.51</v>
      </c>
      <c r="E4366" s="16" t="s">
        <v>30</v>
      </c>
    </row>
    <row r="4367" spans="1:5" x14ac:dyDescent="0.25">
      <c r="A4367" s="14">
        <v>783595</v>
      </c>
      <c r="B4367" s="14" t="s">
        <v>4487</v>
      </c>
      <c r="C4367" s="14" t="s">
        <v>13030</v>
      </c>
      <c r="D4367" s="15">
        <v>4.51</v>
      </c>
      <c r="E4367" s="16" t="s">
        <v>30</v>
      </c>
    </row>
    <row r="4368" spans="1:5" x14ac:dyDescent="0.25">
      <c r="A4368" s="14">
        <v>783597</v>
      </c>
      <c r="B4368" s="14" t="s">
        <v>4488</v>
      </c>
      <c r="C4368" s="14" t="s">
        <v>13029</v>
      </c>
      <c r="D4368" s="15">
        <v>11.13</v>
      </c>
      <c r="E4368" s="16" t="s">
        <v>30</v>
      </c>
    </row>
    <row r="4369" spans="1:5" x14ac:dyDescent="0.25">
      <c r="A4369" s="14">
        <v>783598</v>
      </c>
      <c r="B4369" s="14" t="s">
        <v>4489</v>
      </c>
      <c r="C4369" s="14" t="s">
        <v>13029</v>
      </c>
      <c r="D4369" s="15">
        <v>11.13</v>
      </c>
      <c r="E4369" s="16" t="s">
        <v>30</v>
      </c>
    </row>
    <row r="4370" spans="1:5" x14ac:dyDescent="0.25">
      <c r="A4370" s="14">
        <v>783648</v>
      </c>
      <c r="B4370" s="14" t="s">
        <v>4490</v>
      </c>
      <c r="C4370" s="14" t="s">
        <v>13029</v>
      </c>
      <c r="D4370" s="15">
        <v>6.94</v>
      </c>
      <c r="E4370" s="16" t="s">
        <v>30</v>
      </c>
    </row>
    <row r="4371" spans="1:5" x14ac:dyDescent="0.25">
      <c r="A4371" s="14">
        <v>783649</v>
      </c>
      <c r="B4371" s="14" t="s">
        <v>4491</v>
      </c>
      <c r="C4371" s="14" t="s">
        <v>13029</v>
      </c>
      <c r="D4371" s="15">
        <v>3.79</v>
      </c>
      <c r="E4371" s="16" t="s">
        <v>30</v>
      </c>
    </row>
    <row r="4372" spans="1:5" x14ac:dyDescent="0.25">
      <c r="A4372" s="14">
        <v>783650</v>
      </c>
      <c r="B4372" s="14" t="s">
        <v>4492</v>
      </c>
      <c r="C4372" s="14" t="s">
        <v>13029</v>
      </c>
      <c r="D4372" s="15">
        <v>9.5</v>
      </c>
      <c r="E4372" s="16" t="s">
        <v>30</v>
      </c>
    </row>
    <row r="4373" spans="1:5" x14ac:dyDescent="0.25">
      <c r="A4373" s="14">
        <v>783655</v>
      </c>
      <c r="B4373" s="14" t="s">
        <v>4493</v>
      </c>
      <c r="C4373" s="14" t="s">
        <v>13029</v>
      </c>
      <c r="D4373" s="15">
        <v>21</v>
      </c>
      <c r="E4373" s="16" t="s">
        <v>30</v>
      </c>
    </row>
    <row r="4374" spans="1:5" x14ac:dyDescent="0.25">
      <c r="A4374" s="14">
        <v>783656</v>
      </c>
      <c r="B4374" s="14" t="s">
        <v>4494</v>
      </c>
      <c r="C4374" s="14" t="s">
        <v>13029</v>
      </c>
      <c r="D4374" s="15">
        <v>21</v>
      </c>
      <c r="E4374" s="16" t="s">
        <v>30</v>
      </c>
    </row>
    <row r="4375" spans="1:5" x14ac:dyDescent="0.25">
      <c r="A4375" s="14">
        <v>784067</v>
      </c>
      <c r="B4375" s="14" t="s">
        <v>4495</v>
      </c>
      <c r="C4375" s="14" t="s">
        <v>13030</v>
      </c>
      <c r="D4375" s="15">
        <v>60.04</v>
      </c>
      <c r="E4375" s="16" t="s">
        <v>30</v>
      </c>
    </row>
    <row r="4376" spans="1:5" x14ac:dyDescent="0.25">
      <c r="A4376" s="14">
        <v>784069</v>
      </c>
      <c r="B4376" s="14" t="s">
        <v>4496</v>
      </c>
      <c r="C4376" s="14" t="s">
        <v>13031</v>
      </c>
      <c r="D4376" s="15">
        <v>61.48</v>
      </c>
      <c r="E4376" s="16" t="s">
        <v>30</v>
      </c>
    </row>
    <row r="4377" spans="1:5" x14ac:dyDescent="0.25">
      <c r="A4377" s="14">
        <v>784070</v>
      </c>
      <c r="B4377" s="14" t="s">
        <v>4497</v>
      </c>
      <c r="C4377" s="14" t="s">
        <v>13031</v>
      </c>
      <c r="D4377" s="15">
        <v>24.4</v>
      </c>
      <c r="E4377" s="16" t="s">
        <v>30</v>
      </c>
    </row>
    <row r="4378" spans="1:5" x14ac:dyDescent="0.25">
      <c r="A4378" s="14">
        <v>784071</v>
      </c>
      <c r="B4378" s="14" t="s">
        <v>4498</v>
      </c>
      <c r="C4378" s="14" t="s">
        <v>13031</v>
      </c>
      <c r="D4378" s="15">
        <v>25.91</v>
      </c>
      <c r="E4378" s="16" t="s">
        <v>30</v>
      </c>
    </row>
    <row r="4379" spans="1:5" x14ac:dyDescent="0.25">
      <c r="A4379" s="14">
        <v>784072</v>
      </c>
      <c r="B4379" s="14" t="s">
        <v>4499</v>
      </c>
      <c r="C4379" s="14" t="s">
        <v>13031</v>
      </c>
      <c r="D4379" s="15">
        <v>66.2</v>
      </c>
      <c r="E4379" s="16" t="s">
        <v>30</v>
      </c>
    </row>
    <row r="4380" spans="1:5" x14ac:dyDescent="0.25">
      <c r="A4380" s="14">
        <v>784076</v>
      </c>
      <c r="B4380" s="14" t="s">
        <v>4500</v>
      </c>
      <c r="C4380" s="14" t="s">
        <v>13029</v>
      </c>
      <c r="D4380" s="15">
        <v>2</v>
      </c>
      <c r="E4380" s="16" t="s">
        <v>30</v>
      </c>
    </row>
    <row r="4381" spans="1:5" x14ac:dyDescent="0.25">
      <c r="A4381" s="14">
        <v>784077</v>
      </c>
      <c r="B4381" s="14" t="s">
        <v>4501</v>
      </c>
      <c r="C4381" s="14" t="s">
        <v>13029</v>
      </c>
      <c r="D4381" s="15">
        <v>2</v>
      </c>
      <c r="E4381" s="16" t="s">
        <v>30</v>
      </c>
    </row>
    <row r="4382" spans="1:5" x14ac:dyDescent="0.25">
      <c r="A4382" s="14">
        <v>784078</v>
      </c>
      <c r="B4382" s="14" t="s">
        <v>4502</v>
      </c>
      <c r="C4382" s="14" t="s">
        <v>13029</v>
      </c>
      <c r="D4382" s="15">
        <v>3.7</v>
      </c>
      <c r="E4382" s="16" t="s">
        <v>30</v>
      </c>
    </row>
    <row r="4383" spans="1:5" x14ac:dyDescent="0.25">
      <c r="A4383" s="14">
        <v>784079</v>
      </c>
      <c r="B4383" s="14" t="s">
        <v>4503</v>
      </c>
      <c r="C4383" s="14" t="s">
        <v>13029</v>
      </c>
      <c r="D4383" s="15">
        <v>3.7</v>
      </c>
      <c r="E4383" s="16" t="s">
        <v>30</v>
      </c>
    </row>
    <row r="4384" spans="1:5" x14ac:dyDescent="0.25">
      <c r="A4384" s="14">
        <v>784090</v>
      </c>
      <c r="B4384" s="14" t="s">
        <v>4504</v>
      </c>
      <c r="C4384" s="14" t="s">
        <v>13029</v>
      </c>
      <c r="D4384" s="15">
        <v>4.7300000000000004</v>
      </c>
      <c r="E4384" s="16" t="s">
        <v>30</v>
      </c>
    </row>
    <row r="4385" spans="1:5" x14ac:dyDescent="0.25">
      <c r="A4385" s="14">
        <v>784091</v>
      </c>
      <c r="B4385" s="14" t="s">
        <v>4505</v>
      </c>
      <c r="C4385" s="14" t="s">
        <v>13029</v>
      </c>
      <c r="D4385" s="15">
        <v>4.7300000000000004</v>
      </c>
      <c r="E4385" s="16" t="s">
        <v>30</v>
      </c>
    </row>
    <row r="4386" spans="1:5" x14ac:dyDescent="0.25">
      <c r="A4386" s="14">
        <v>784092</v>
      </c>
      <c r="B4386" s="14" t="s">
        <v>4506</v>
      </c>
      <c r="C4386" s="14" t="s">
        <v>13029</v>
      </c>
      <c r="D4386" s="15">
        <v>4.7300000000000004</v>
      </c>
      <c r="E4386" s="16" t="s">
        <v>30</v>
      </c>
    </row>
    <row r="4387" spans="1:5" x14ac:dyDescent="0.25">
      <c r="A4387" s="14">
        <v>784093</v>
      </c>
      <c r="B4387" s="14" t="s">
        <v>4507</v>
      </c>
      <c r="C4387" s="14" t="s">
        <v>13029</v>
      </c>
      <c r="D4387" s="15">
        <v>5.25</v>
      </c>
      <c r="E4387" s="16" t="s">
        <v>30</v>
      </c>
    </row>
    <row r="4388" spans="1:5" x14ac:dyDescent="0.25">
      <c r="A4388" s="14">
        <v>768749</v>
      </c>
      <c r="B4388" s="14" t="s">
        <v>4508</v>
      </c>
      <c r="C4388" s="14" t="s">
        <v>13030</v>
      </c>
      <c r="D4388" s="15">
        <v>45.89</v>
      </c>
      <c r="E4388" s="16" t="s">
        <v>20</v>
      </c>
    </row>
    <row r="4389" spans="1:5" x14ac:dyDescent="0.25">
      <c r="A4389" s="14">
        <v>784094</v>
      </c>
      <c r="B4389" s="14" t="s">
        <v>4509</v>
      </c>
      <c r="C4389" s="14" t="s">
        <v>13029</v>
      </c>
      <c r="D4389" s="15">
        <v>4.74</v>
      </c>
      <c r="E4389" s="16" t="s">
        <v>30</v>
      </c>
    </row>
    <row r="4390" spans="1:5" x14ac:dyDescent="0.25">
      <c r="A4390" s="14">
        <v>784095</v>
      </c>
      <c r="B4390" s="14" t="s">
        <v>4510</v>
      </c>
      <c r="C4390" s="14" t="s">
        <v>13029</v>
      </c>
      <c r="D4390" s="15">
        <v>12.87</v>
      </c>
      <c r="E4390" s="16" t="s">
        <v>30</v>
      </c>
    </row>
    <row r="4391" spans="1:5" x14ac:dyDescent="0.25">
      <c r="A4391" s="14">
        <v>784096</v>
      </c>
      <c r="B4391" s="14" t="s">
        <v>4511</v>
      </c>
      <c r="C4391" s="14" t="s">
        <v>13029</v>
      </c>
      <c r="D4391" s="15">
        <v>2.64</v>
      </c>
      <c r="E4391" s="16" t="s">
        <v>30</v>
      </c>
    </row>
    <row r="4392" spans="1:5" x14ac:dyDescent="0.25">
      <c r="A4392" s="14">
        <v>784097</v>
      </c>
      <c r="B4392" s="14" t="s">
        <v>4512</v>
      </c>
      <c r="C4392" s="14" t="s">
        <v>13029</v>
      </c>
      <c r="D4392" s="15">
        <v>2.64</v>
      </c>
      <c r="E4392" s="16" t="s">
        <v>30</v>
      </c>
    </row>
    <row r="4393" spans="1:5" x14ac:dyDescent="0.25">
      <c r="A4393" s="14">
        <v>784098</v>
      </c>
      <c r="B4393" s="14" t="s">
        <v>4513</v>
      </c>
      <c r="C4393" s="14" t="s">
        <v>13029</v>
      </c>
      <c r="D4393" s="15">
        <v>4.8</v>
      </c>
      <c r="E4393" s="16" t="s">
        <v>30</v>
      </c>
    </row>
    <row r="4394" spans="1:5" x14ac:dyDescent="0.25">
      <c r="A4394" s="14">
        <v>784149</v>
      </c>
      <c r="B4394" s="14" t="s">
        <v>4514</v>
      </c>
      <c r="C4394" s="14" t="s">
        <v>13031</v>
      </c>
      <c r="D4394" s="15">
        <v>4.7699999999999996</v>
      </c>
      <c r="E4394" s="16" t="s">
        <v>30</v>
      </c>
    </row>
    <row r="4395" spans="1:5" x14ac:dyDescent="0.25">
      <c r="A4395" s="14">
        <v>784394</v>
      </c>
      <c r="B4395" s="14" t="s">
        <v>4515</v>
      </c>
      <c r="C4395" s="14" t="s">
        <v>13029</v>
      </c>
      <c r="D4395" s="15">
        <v>30.9</v>
      </c>
      <c r="E4395" s="16" t="s">
        <v>30</v>
      </c>
    </row>
    <row r="4396" spans="1:5" x14ac:dyDescent="0.25">
      <c r="A4396" s="14">
        <v>784395</v>
      </c>
      <c r="B4396" s="14" t="s">
        <v>4516</v>
      </c>
      <c r="C4396" s="14" t="s">
        <v>13029</v>
      </c>
      <c r="D4396" s="15">
        <v>33.15</v>
      </c>
      <c r="E4396" s="16" t="s">
        <v>30</v>
      </c>
    </row>
    <row r="4397" spans="1:5" x14ac:dyDescent="0.25">
      <c r="A4397" s="14">
        <v>784396</v>
      </c>
      <c r="B4397" s="14" t="s">
        <v>4517</v>
      </c>
      <c r="C4397" s="14" t="s">
        <v>13029</v>
      </c>
      <c r="D4397" s="15">
        <v>26.3</v>
      </c>
      <c r="E4397" s="16" t="s">
        <v>30</v>
      </c>
    </row>
    <row r="4398" spans="1:5" x14ac:dyDescent="0.25">
      <c r="A4398" s="14">
        <v>784397</v>
      </c>
      <c r="B4398" s="14" t="s">
        <v>4518</v>
      </c>
      <c r="C4398" s="14" t="s">
        <v>13029</v>
      </c>
      <c r="D4398" s="15">
        <v>29.35</v>
      </c>
      <c r="E4398" s="16" t="s">
        <v>30</v>
      </c>
    </row>
    <row r="4399" spans="1:5" x14ac:dyDescent="0.25">
      <c r="A4399" s="14">
        <v>784398</v>
      </c>
      <c r="B4399" s="14" t="s">
        <v>4519</v>
      </c>
      <c r="C4399" s="14" t="s">
        <v>13029</v>
      </c>
      <c r="D4399" s="15">
        <v>32.229999999999997</v>
      </c>
      <c r="E4399" s="16" t="s">
        <v>30</v>
      </c>
    </row>
    <row r="4400" spans="1:5" x14ac:dyDescent="0.25">
      <c r="A4400" s="14">
        <v>771591</v>
      </c>
      <c r="B4400" s="14" t="s">
        <v>4520</v>
      </c>
      <c r="C4400" s="14" t="s">
        <v>13030</v>
      </c>
      <c r="D4400" s="15">
        <v>86.37</v>
      </c>
      <c r="E4400" s="16" t="s">
        <v>30</v>
      </c>
    </row>
    <row r="4401" spans="1:5" x14ac:dyDescent="0.25">
      <c r="A4401" s="14">
        <v>784399</v>
      </c>
      <c r="B4401" s="14" t="s">
        <v>4521</v>
      </c>
      <c r="C4401" s="14" t="s">
        <v>13029</v>
      </c>
      <c r="D4401" s="15">
        <v>24.85</v>
      </c>
      <c r="E4401" s="16" t="s">
        <v>30</v>
      </c>
    </row>
    <row r="4402" spans="1:5" x14ac:dyDescent="0.25">
      <c r="A4402" s="14">
        <v>784400</v>
      </c>
      <c r="B4402" s="14" t="s">
        <v>4522</v>
      </c>
      <c r="C4402" s="14" t="s">
        <v>13029</v>
      </c>
      <c r="D4402" s="15">
        <v>35</v>
      </c>
      <c r="E4402" s="16" t="s">
        <v>30</v>
      </c>
    </row>
    <row r="4403" spans="1:5" x14ac:dyDescent="0.25">
      <c r="A4403" s="14">
        <v>784401</v>
      </c>
      <c r="B4403" s="14" t="s">
        <v>4523</v>
      </c>
      <c r="C4403" s="14" t="s">
        <v>13029</v>
      </c>
      <c r="D4403" s="15">
        <v>22</v>
      </c>
      <c r="E4403" s="16" t="s">
        <v>30</v>
      </c>
    </row>
    <row r="4404" spans="1:5" x14ac:dyDescent="0.25">
      <c r="A4404" s="14">
        <v>784447</v>
      </c>
      <c r="B4404" s="14" t="s">
        <v>4524</v>
      </c>
      <c r="C4404" s="14" t="s">
        <v>13029</v>
      </c>
      <c r="D4404" s="15">
        <v>7.63</v>
      </c>
      <c r="E4404" s="14" t="s">
        <v>30</v>
      </c>
    </row>
    <row r="4405" spans="1:5" x14ac:dyDescent="0.25">
      <c r="A4405" s="14">
        <v>784448</v>
      </c>
      <c r="B4405" s="14" t="s">
        <v>4525</v>
      </c>
      <c r="C4405" s="14" t="s">
        <v>13029</v>
      </c>
      <c r="D4405" s="15">
        <v>7.63</v>
      </c>
      <c r="E4405" s="14" t="s">
        <v>30</v>
      </c>
    </row>
    <row r="4406" spans="1:5" x14ac:dyDescent="0.25">
      <c r="A4406" s="14">
        <v>784462</v>
      </c>
      <c r="B4406" s="14" t="s">
        <v>4526</v>
      </c>
      <c r="C4406" s="14" t="s">
        <v>13029</v>
      </c>
      <c r="D4406" s="15">
        <v>13.42</v>
      </c>
      <c r="E4406" s="14" t="s">
        <v>30</v>
      </c>
    </row>
    <row r="4407" spans="1:5" x14ac:dyDescent="0.25">
      <c r="A4407" s="14">
        <v>784465</v>
      </c>
      <c r="B4407" s="14" t="s">
        <v>4527</v>
      </c>
      <c r="C4407" s="14" t="s">
        <v>13029</v>
      </c>
      <c r="D4407" s="15">
        <v>23.14</v>
      </c>
      <c r="E4407" s="16" t="s">
        <v>30</v>
      </c>
    </row>
    <row r="4408" spans="1:5" x14ac:dyDescent="0.25">
      <c r="A4408" s="14">
        <v>784466</v>
      </c>
      <c r="B4408" s="14" t="s">
        <v>4528</v>
      </c>
      <c r="C4408" s="14" t="s">
        <v>13029</v>
      </c>
      <c r="D4408" s="15">
        <v>20.93</v>
      </c>
      <c r="E4408" s="16" t="s">
        <v>30</v>
      </c>
    </row>
    <row r="4409" spans="1:5" x14ac:dyDescent="0.25">
      <c r="A4409" s="14">
        <v>784467</v>
      </c>
      <c r="B4409" s="14" t="s">
        <v>4529</v>
      </c>
      <c r="C4409" s="14" t="s">
        <v>13029</v>
      </c>
      <c r="D4409" s="15">
        <v>23.14</v>
      </c>
      <c r="E4409" s="16" t="s">
        <v>30</v>
      </c>
    </row>
    <row r="4410" spans="1:5" x14ac:dyDescent="0.25">
      <c r="A4410" s="14">
        <v>784473</v>
      </c>
      <c r="B4410" s="14" t="s">
        <v>4530</v>
      </c>
      <c r="C4410" s="14" t="s">
        <v>13031</v>
      </c>
      <c r="D4410" s="15">
        <v>6.2</v>
      </c>
      <c r="E4410" s="16" t="s">
        <v>30</v>
      </c>
    </row>
    <row r="4411" spans="1:5" x14ac:dyDescent="0.25">
      <c r="A4411" s="14">
        <v>784474</v>
      </c>
      <c r="B4411" s="14" t="s">
        <v>4531</v>
      </c>
      <c r="C4411" s="14" t="s">
        <v>13031</v>
      </c>
      <c r="D4411" s="15">
        <v>4.8</v>
      </c>
      <c r="E4411" s="16" t="s">
        <v>30</v>
      </c>
    </row>
    <row r="4412" spans="1:5" x14ac:dyDescent="0.25">
      <c r="A4412" s="14">
        <v>784582</v>
      </c>
      <c r="B4412" s="14" t="s">
        <v>4532</v>
      </c>
      <c r="C4412" s="14" t="s">
        <v>13030</v>
      </c>
      <c r="D4412" s="15">
        <v>74.47</v>
      </c>
      <c r="E4412" s="16" t="s">
        <v>30</v>
      </c>
    </row>
    <row r="4413" spans="1:5" x14ac:dyDescent="0.25">
      <c r="A4413" s="14">
        <v>784583</v>
      </c>
      <c r="B4413" s="14" t="s">
        <v>4533</v>
      </c>
      <c r="C4413" s="14" t="s">
        <v>13030</v>
      </c>
      <c r="D4413" s="15">
        <v>84.81</v>
      </c>
      <c r="E4413" s="16" t="s">
        <v>30</v>
      </c>
    </row>
    <row r="4414" spans="1:5" x14ac:dyDescent="0.25">
      <c r="A4414" s="14">
        <v>784587</v>
      </c>
      <c r="B4414" s="14" t="s">
        <v>4534</v>
      </c>
      <c r="C4414" s="14" t="s">
        <v>13030</v>
      </c>
      <c r="D4414" s="15">
        <v>42.94</v>
      </c>
      <c r="E4414" s="16" t="s">
        <v>30</v>
      </c>
    </row>
    <row r="4415" spans="1:5" x14ac:dyDescent="0.25">
      <c r="A4415" s="14">
        <v>784592</v>
      </c>
      <c r="B4415" s="14" t="s">
        <v>4535</v>
      </c>
      <c r="C4415" s="14" t="s">
        <v>13031</v>
      </c>
      <c r="D4415" s="15">
        <v>1.48</v>
      </c>
      <c r="E4415" s="16" t="s">
        <v>30</v>
      </c>
    </row>
    <row r="4416" spans="1:5" x14ac:dyDescent="0.25">
      <c r="A4416" s="14">
        <v>784645</v>
      </c>
      <c r="B4416" s="14" t="s">
        <v>4536</v>
      </c>
      <c r="C4416" s="14" t="s">
        <v>13030</v>
      </c>
      <c r="D4416" s="15">
        <v>16.25</v>
      </c>
      <c r="E4416" s="16" t="s">
        <v>30</v>
      </c>
    </row>
    <row r="4417" spans="1:5" x14ac:dyDescent="0.25">
      <c r="A4417" s="14">
        <v>784649</v>
      </c>
      <c r="B4417" s="14" t="s">
        <v>4537</v>
      </c>
      <c r="C4417" s="14" t="s">
        <v>13030</v>
      </c>
      <c r="D4417" s="15">
        <v>8.84</v>
      </c>
      <c r="E4417" s="16" t="s">
        <v>30</v>
      </c>
    </row>
    <row r="4418" spans="1:5" x14ac:dyDescent="0.25">
      <c r="A4418" s="14">
        <v>784667</v>
      </c>
      <c r="B4418" s="14" t="s">
        <v>4538</v>
      </c>
      <c r="C4418" s="14" t="s">
        <v>13030</v>
      </c>
      <c r="D4418" s="15">
        <v>6</v>
      </c>
      <c r="E4418" s="16" t="s">
        <v>30</v>
      </c>
    </row>
    <row r="4419" spans="1:5" x14ac:dyDescent="0.25">
      <c r="A4419" s="14">
        <v>784769</v>
      </c>
      <c r="B4419" s="14" t="s">
        <v>4539</v>
      </c>
      <c r="C4419" s="14" t="s">
        <v>13029</v>
      </c>
      <c r="D4419" s="15">
        <v>34.35</v>
      </c>
      <c r="E4419" s="16" t="s">
        <v>30</v>
      </c>
    </row>
    <row r="4420" spans="1:5" x14ac:dyDescent="0.25">
      <c r="A4420" s="14">
        <v>784773</v>
      </c>
      <c r="B4420" s="14" t="s">
        <v>4540</v>
      </c>
      <c r="C4420" s="14" t="s">
        <v>13029</v>
      </c>
      <c r="D4420" s="15">
        <v>37.74</v>
      </c>
      <c r="E4420" s="14" t="s">
        <v>30</v>
      </c>
    </row>
    <row r="4421" spans="1:5" x14ac:dyDescent="0.25">
      <c r="A4421" s="14">
        <v>784774</v>
      </c>
      <c r="B4421" s="14" t="s">
        <v>4541</v>
      </c>
      <c r="C4421" s="14" t="s">
        <v>13030</v>
      </c>
      <c r="D4421" s="15">
        <v>15.91</v>
      </c>
      <c r="E4421" s="16" t="s">
        <v>30</v>
      </c>
    </row>
    <row r="4422" spans="1:5" x14ac:dyDescent="0.25">
      <c r="A4422" s="14">
        <v>784795</v>
      </c>
      <c r="B4422" s="14" t="s">
        <v>4542</v>
      </c>
      <c r="C4422" s="14" t="s">
        <v>13031</v>
      </c>
      <c r="D4422" s="15">
        <v>5.61</v>
      </c>
      <c r="E4422" s="16" t="s">
        <v>30</v>
      </c>
    </row>
    <row r="4423" spans="1:5" x14ac:dyDescent="0.25">
      <c r="A4423" s="14">
        <v>784796</v>
      </c>
      <c r="B4423" s="14" t="s">
        <v>4543</v>
      </c>
      <c r="C4423" s="14" t="s">
        <v>13031</v>
      </c>
      <c r="D4423" s="15">
        <v>8.89</v>
      </c>
      <c r="E4423" s="16" t="s">
        <v>30</v>
      </c>
    </row>
    <row r="4424" spans="1:5" x14ac:dyDescent="0.25">
      <c r="A4424" s="14">
        <v>784797</v>
      </c>
      <c r="B4424" s="14" t="s">
        <v>4544</v>
      </c>
      <c r="C4424" s="14" t="s">
        <v>13031</v>
      </c>
      <c r="D4424" s="15">
        <v>14.4</v>
      </c>
      <c r="E4424" s="16" t="s">
        <v>30</v>
      </c>
    </row>
    <row r="4425" spans="1:5" x14ac:dyDescent="0.25">
      <c r="A4425" s="14">
        <v>784798</v>
      </c>
      <c r="B4425" s="14" t="s">
        <v>4545</v>
      </c>
      <c r="C4425" s="14" t="s">
        <v>13031</v>
      </c>
      <c r="D4425" s="15">
        <v>11.44</v>
      </c>
      <c r="E4425" s="16" t="s">
        <v>30</v>
      </c>
    </row>
    <row r="4426" spans="1:5" x14ac:dyDescent="0.25">
      <c r="A4426" s="14">
        <v>784799</v>
      </c>
      <c r="B4426" s="14" t="s">
        <v>4546</v>
      </c>
      <c r="C4426" s="14" t="s">
        <v>13031</v>
      </c>
      <c r="D4426" s="15">
        <v>8.0500000000000007</v>
      </c>
      <c r="E4426" s="16" t="s">
        <v>30</v>
      </c>
    </row>
    <row r="4427" spans="1:5" x14ac:dyDescent="0.25">
      <c r="A4427" s="14">
        <v>784803</v>
      </c>
      <c r="B4427" s="14" t="s">
        <v>4547</v>
      </c>
      <c r="C4427" s="14" t="s">
        <v>13030</v>
      </c>
      <c r="D4427" s="15">
        <v>51.03</v>
      </c>
      <c r="E4427" s="16" t="s">
        <v>30</v>
      </c>
    </row>
    <row r="4428" spans="1:5" x14ac:dyDescent="0.25">
      <c r="A4428" s="14">
        <v>784804</v>
      </c>
      <c r="B4428" s="14" t="s">
        <v>4548</v>
      </c>
      <c r="C4428" s="14" t="s">
        <v>13030</v>
      </c>
      <c r="D4428" s="15">
        <v>51.03</v>
      </c>
      <c r="E4428" s="16" t="s">
        <v>30</v>
      </c>
    </row>
    <row r="4429" spans="1:5" x14ac:dyDescent="0.25">
      <c r="A4429" s="14">
        <v>784805</v>
      </c>
      <c r="B4429" s="14" t="s">
        <v>4549</v>
      </c>
      <c r="C4429" s="14" t="s">
        <v>13030</v>
      </c>
      <c r="D4429" s="15">
        <v>4.41</v>
      </c>
      <c r="E4429" s="16" t="s">
        <v>30</v>
      </c>
    </row>
    <row r="4430" spans="1:5" x14ac:dyDescent="0.25">
      <c r="A4430" s="14">
        <v>785008</v>
      </c>
      <c r="B4430" s="14" t="s">
        <v>4550</v>
      </c>
      <c r="C4430" s="14" t="s">
        <v>13030</v>
      </c>
      <c r="D4430" s="15">
        <v>3.32</v>
      </c>
      <c r="E4430" s="16" t="s">
        <v>30</v>
      </c>
    </row>
    <row r="4431" spans="1:5" x14ac:dyDescent="0.25">
      <c r="A4431" s="14">
        <v>785013</v>
      </c>
      <c r="B4431" s="14" t="s">
        <v>4551</v>
      </c>
      <c r="C4431" s="14" t="s">
        <v>13029</v>
      </c>
      <c r="D4431" s="15">
        <v>23.27</v>
      </c>
      <c r="E4431" s="16" t="s">
        <v>30</v>
      </c>
    </row>
    <row r="4432" spans="1:5" x14ac:dyDescent="0.25">
      <c r="A4432" s="14">
        <v>785014</v>
      </c>
      <c r="B4432" s="14" t="s">
        <v>4552</v>
      </c>
      <c r="C4432" s="14" t="s">
        <v>13029</v>
      </c>
      <c r="D4432" s="15">
        <v>23.27</v>
      </c>
      <c r="E4432" s="16" t="s">
        <v>30</v>
      </c>
    </row>
    <row r="4433" spans="1:5" x14ac:dyDescent="0.25">
      <c r="A4433" s="14">
        <v>785212</v>
      </c>
      <c r="B4433" s="14" t="s">
        <v>4553</v>
      </c>
      <c r="C4433" s="14" t="s">
        <v>13029</v>
      </c>
      <c r="D4433" s="15">
        <v>16.39</v>
      </c>
      <c r="E4433" s="16" t="s">
        <v>30</v>
      </c>
    </row>
    <row r="4434" spans="1:5" x14ac:dyDescent="0.25">
      <c r="A4434" s="14">
        <v>785213</v>
      </c>
      <c r="B4434" s="14" t="s">
        <v>4554</v>
      </c>
      <c r="C4434" s="14" t="s">
        <v>13029</v>
      </c>
      <c r="D4434" s="15">
        <v>16.39</v>
      </c>
      <c r="E4434" s="16" t="s">
        <v>30</v>
      </c>
    </row>
    <row r="4435" spans="1:5" x14ac:dyDescent="0.25">
      <c r="A4435" s="14">
        <v>785223</v>
      </c>
      <c r="B4435" s="14" t="s">
        <v>4555</v>
      </c>
      <c r="C4435" s="14" t="s">
        <v>13029</v>
      </c>
      <c r="D4435" s="15">
        <v>13.68</v>
      </c>
      <c r="E4435" s="16" t="s">
        <v>30</v>
      </c>
    </row>
    <row r="4436" spans="1:5" x14ac:dyDescent="0.25">
      <c r="A4436" s="14">
        <v>785230</v>
      </c>
      <c r="B4436" s="14" t="s">
        <v>4556</v>
      </c>
      <c r="C4436" s="14" t="s">
        <v>13029</v>
      </c>
      <c r="D4436" s="15">
        <v>4.09</v>
      </c>
      <c r="E4436" s="16" t="s">
        <v>30</v>
      </c>
    </row>
    <row r="4437" spans="1:5" x14ac:dyDescent="0.25">
      <c r="A4437" s="14">
        <v>785231</v>
      </c>
      <c r="B4437" s="14" t="s">
        <v>4557</v>
      </c>
      <c r="C4437" s="14" t="s">
        <v>13029</v>
      </c>
      <c r="D4437" s="15">
        <v>6.82</v>
      </c>
      <c r="E4437" s="16" t="s">
        <v>30</v>
      </c>
    </row>
    <row r="4438" spans="1:5" x14ac:dyDescent="0.25">
      <c r="A4438" s="14">
        <v>785233</v>
      </c>
      <c r="B4438" s="14" t="s">
        <v>4558</v>
      </c>
      <c r="C4438" s="14" t="s">
        <v>13029</v>
      </c>
      <c r="D4438" s="15">
        <v>32.57</v>
      </c>
      <c r="E4438" s="16" t="s">
        <v>30</v>
      </c>
    </row>
    <row r="4439" spans="1:5" x14ac:dyDescent="0.25">
      <c r="A4439" s="14">
        <v>785234</v>
      </c>
      <c r="B4439" s="14" t="s">
        <v>4559</v>
      </c>
      <c r="C4439" s="14" t="s">
        <v>13029</v>
      </c>
      <c r="D4439" s="15">
        <v>29.6</v>
      </c>
      <c r="E4439" s="16" t="s">
        <v>30</v>
      </c>
    </row>
    <row r="4440" spans="1:5" x14ac:dyDescent="0.25">
      <c r="A4440" s="14">
        <v>785236</v>
      </c>
      <c r="B4440" s="14" t="s">
        <v>4560</v>
      </c>
      <c r="C4440" s="14" t="s">
        <v>13029</v>
      </c>
      <c r="D4440" s="15">
        <v>29.6</v>
      </c>
      <c r="E4440" s="16" t="s">
        <v>30</v>
      </c>
    </row>
    <row r="4441" spans="1:5" x14ac:dyDescent="0.25">
      <c r="A4441" s="14">
        <v>785569</v>
      </c>
      <c r="B4441" s="14" t="s">
        <v>4561</v>
      </c>
      <c r="C4441" s="14" t="s">
        <v>13030</v>
      </c>
      <c r="D4441" s="15">
        <v>41.62</v>
      </c>
      <c r="E4441" s="16" t="s">
        <v>30</v>
      </c>
    </row>
    <row r="4442" spans="1:5" x14ac:dyDescent="0.25">
      <c r="A4442" s="14">
        <v>785581</v>
      </c>
      <c r="B4442" s="14" t="s">
        <v>4562</v>
      </c>
      <c r="C4442" s="14" t="s">
        <v>13029</v>
      </c>
      <c r="D4442" s="15">
        <v>28.21</v>
      </c>
      <c r="E4442" s="16" t="s">
        <v>30</v>
      </c>
    </row>
    <row r="4443" spans="1:5" x14ac:dyDescent="0.25">
      <c r="A4443" s="14">
        <v>785961</v>
      </c>
      <c r="B4443" s="14" t="s">
        <v>4563</v>
      </c>
      <c r="C4443" s="14" t="s">
        <v>13029</v>
      </c>
      <c r="D4443" s="15">
        <v>14.49</v>
      </c>
      <c r="E4443" s="14" t="s">
        <v>30</v>
      </c>
    </row>
    <row r="4444" spans="1:5" x14ac:dyDescent="0.25">
      <c r="A4444" s="14">
        <v>786138</v>
      </c>
      <c r="B4444" s="14" t="s">
        <v>4564</v>
      </c>
      <c r="C4444" s="14" t="s">
        <v>13029</v>
      </c>
      <c r="D4444" s="15">
        <v>7.66</v>
      </c>
      <c r="E4444" s="16" t="s">
        <v>30</v>
      </c>
    </row>
    <row r="4445" spans="1:5" x14ac:dyDescent="0.25">
      <c r="A4445" s="14">
        <v>786145</v>
      </c>
      <c r="B4445" s="14" t="s">
        <v>4565</v>
      </c>
      <c r="C4445" s="14" t="s">
        <v>13029</v>
      </c>
      <c r="D4445" s="15">
        <v>16.399999999999999</v>
      </c>
      <c r="E4445" s="16" t="s">
        <v>30</v>
      </c>
    </row>
    <row r="4446" spans="1:5" x14ac:dyDescent="0.25">
      <c r="A4446" s="14">
        <v>786211</v>
      </c>
      <c r="B4446" s="14" t="s">
        <v>4566</v>
      </c>
      <c r="C4446" s="14" t="s">
        <v>13029</v>
      </c>
      <c r="D4446" s="15">
        <v>6.3</v>
      </c>
      <c r="E4446" s="16" t="s">
        <v>30</v>
      </c>
    </row>
    <row r="4447" spans="1:5" x14ac:dyDescent="0.25">
      <c r="A4447" s="14">
        <v>786212</v>
      </c>
      <c r="B4447" s="14" t="s">
        <v>4567</v>
      </c>
      <c r="C4447" s="14" t="s">
        <v>13029</v>
      </c>
      <c r="D4447" s="15">
        <v>5.67</v>
      </c>
      <c r="E4447" s="16" t="s">
        <v>30</v>
      </c>
    </row>
    <row r="4448" spans="1:5" x14ac:dyDescent="0.25">
      <c r="A4448" s="14">
        <v>786213</v>
      </c>
      <c r="B4448" s="14" t="s">
        <v>4568</v>
      </c>
      <c r="C4448" s="14" t="s">
        <v>13029</v>
      </c>
      <c r="D4448" s="15">
        <v>1.23</v>
      </c>
      <c r="E4448" s="16" t="s">
        <v>30</v>
      </c>
    </row>
    <row r="4449" spans="1:5" x14ac:dyDescent="0.25">
      <c r="A4449" s="14">
        <v>786232</v>
      </c>
      <c r="B4449" s="14" t="s">
        <v>4569</v>
      </c>
      <c r="C4449" s="14" t="s">
        <v>13030</v>
      </c>
      <c r="D4449" s="15">
        <v>103.22</v>
      </c>
      <c r="E4449" s="16" t="s">
        <v>30</v>
      </c>
    </row>
    <row r="4450" spans="1:5" x14ac:dyDescent="0.25">
      <c r="A4450" s="14">
        <v>786274</v>
      </c>
      <c r="B4450" s="14" t="s">
        <v>4570</v>
      </c>
      <c r="C4450" s="14" t="s">
        <v>13030</v>
      </c>
      <c r="D4450" s="15">
        <v>138.9</v>
      </c>
      <c r="E4450" s="16" t="s">
        <v>30</v>
      </c>
    </row>
    <row r="4451" spans="1:5" x14ac:dyDescent="0.25">
      <c r="A4451" s="14">
        <v>786275</v>
      </c>
      <c r="B4451" s="14" t="s">
        <v>4571</v>
      </c>
      <c r="C4451" s="14" t="s">
        <v>13030</v>
      </c>
      <c r="D4451" s="15">
        <v>65.95</v>
      </c>
      <c r="E4451" s="16" t="s">
        <v>30</v>
      </c>
    </row>
    <row r="4452" spans="1:5" x14ac:dyDescent="0.25">
      <c r="A4452" s="14">
        <v>786276</v>
      </c>
      <c r="B4452" s="14" t="s">
        <v>4572</v>
      </c>
      <c r="C4452" s="14" t="s">
        <v>13030</v>
      </c>
      <c r="D4452" s="15">
        <v>65.95</v>
      </c>
      <c r="E4452" s="16" t="s">
        <v>30</v>
      </c>
    </row>
    <row r="4453" spans="1:5" x14ac:dyDescent="0.25">
      <c r="A4453" s="14">
        <v>786343</v>
      </c>
      <c r="B4453" s="14" t="s">
        <v>4573</v>
      </c>
      <c r="C4453" s="14" t="s">
        <v>13029</v>
      </c>
      <c r="D4453" s="15">
        <v>1.93</v>
      </c>
      <c r="E4453" s="16" t="s">
        <v>30</v>
      </c>
    </row>
    <row r="4454" spans="1:5" x14ac:dyDescent="0.25">
      <c r="A4454" s="14">
        <v>786344</v>
      </c>
      <c r="B4454" s="14" t="s">
        <v>4574</v>
      </c>
      <c r="C4454" s="14" t="s">
        <v>13029</v>
      </c>
      <c r="D4454" s="15">
        <v>1.65</v>
      </c>
      <c r="E4454" s="16" t="s">
        <v>30</v>
      </c>
    </row>
    <row r="4455" spans="1:5" x14ac:dyDescent="0.25">
      <c r="A4455" s="14">
        <v>786592</v>
      </c>
      <c r="B4455" s="14" t="s">
        <v>4575</v>
      </c>
      <c r="C4455" s="14" t="s">
        <v>13034</v>
      </c>
      <c r="D4455" s="15">
        <v>6.8</v>
      </c>
      <c r="E4455" s="16" t="s">
        <v>30</v>
      </c>
    </row>
    <row r="4456" spans="1:5" x14ac:dyDescent="0.25">
      <c r="A4456" s="14">
        <v>786593</v>
      </c>
      <c r="B4456" s="14" t="s">
        <v>4576</v>
      </c>
      <c r="C4456" s="14" t="s">
        <v>13034</v>
      </c>
      <c r="D4456" s="15">
        <v>6.8</v>
      </c>
      <c r="E4456" s="16" t="s">
        <v>30</v>
      </c>
    </row>
    <row r="4457" spans="1:5" x14ac:dyDescent="0.25">
      <c r="A4457" s="14">
        <v>786594</v>
      </c>
      <c r="B4457" s="14" t="s">
        <v>4577</v>
      </c>
      <c r="C4457" s="14" t="s">
        <v>13034</v>
      </c>
      <c r="D4457" s="15">
        <v>6.8</v>
      </c>
      <c r="E4457" s="16" t="s">
        <v>30</v>
      </c>
    </row>
    <row r="4458" spans="1:5" x14ac:dyDescent="0.25">
      <c r="A4458" s="14">
        <v>786595</v>
      </c>
      <c r="B4458" s="14" t="s">
        <v>4578</v>
      </c>
      <c r="C4458" s="14" t="s">
        <v>13034</v>
      </c>
      <c r="D4458" s="15">
        <v>6.8</v>
      </c>
      <c r="E4458" s="16" t="s">
        <v>30</v>
      </c>
    </row>
    <row r="4459" spans="1:5" x14ac:dyDescent="0.25">
      <c r="A4459" s="14">
        <v>786596</v>
      </c>
      <c r="B4459" s="14" t="s">
        <v>4579</v>
      </c>
      <c r="C4459" s="14" t="s">
        <v>13034</v>
      </c>
      <c r="D4459" s="15">
        <v>5.6</v>
      </c>
      <c r="E4459" s="16" t="s">
        <v>30</v>
      </c>
    </row>
    <row r="4460" spans="1:5" x14ac:dyDescent="0.25">
      <c r="A4460" s="14">
        <v>786597</v>
      </c>
      <c r="B4460" s="14" t="s">
        <v>4580</v>
      </c>
      <c r="C4460" s="14" t="s">
        <v>13034</v>
      </c>
      <c r="D4460" s="15">
        <v>5.6</v>
      </c>
      <c r="E4460" s="16" t="s">
        <v>30</v>
      </c>
    </row>
    <row r="4461" spans="1:5" x14ac:dyDescent="0.25">
      <c r="A4461" s="14">
        <v>786598</v>
      </c>
      <c r="B4461" s="14" t="s">
        <v>4581</v>
      </c>
      <c r="C4461" s="14" t="s">
        <v>13034</v>
      </c>
      <c r="D4461" s="15">
        <v>5.6</v>
      </c>
      <c r="E4461" s="16" t="s">
        <v>30</v>
      </c>
    </row>
    <row r="4462" spans="1:5" x14ac:dyDescent="0.25">
      <c r="A4462" s="14">
        <v>786599</v>
      </c>
      <c r="B4462" s="14" t="s">
        <v>4582</v>
      </c>
      <c r="C4462" s="14" t="s">
        <v>13034</v>
      </c>
      <c r="D4462" s="15">
        <v>5.6</v>
      </c>
      <c r="E4462" s="16" t="s">
        <v>30</v>
      </c>
    </row>
    <row r="4463" spans="1:5" x14ac:dyDescent="0.25">
      <c r="A4463" s="14">
        <v>786600</v>
      </c>
      <c r="B4463" s="14" t="s">
        <v>4583</v>
      </c>
      <c r="C4463" s="14" t="s">
        <v>13034</v>
      </c>
      <c r="D4463" s="15">
        <v>5.92</v>
      </c>
      <c r="E4463" s="16" t="s">
        <v>30</v>
      </c>
    </row>
    <row r="4464" spans="1:5" x14ac:dyDescent="0.25">
      <c r="A4464" s="14">
        <v>786633</v>
      </c>
      <c r="B4464" s="14" t="s">
        <v>4584</v>
      </c>
      <c r="C4464" s="14" t="s">
        <v>13029</v>
      </c>
      <c r="D4464" s="15">
        <v>6.12</v>
      </c>
      <c r="E4464" s="16" t="s">
        <v>30</v>
      </c>
    </row>
    <row r="4465" spans="1:5" x14ac:dyDescent="0.25">
      <c r="A4465" s="14">
        <v>786635</v>
      </c>
      <c r="B4465" s="14" t="s">
        <v>4585</v>
      </c>
      <c r="C4465" s="14" t="s">
        <v>13029</v>
      </c>
      <c r="D4465" s="15">
        <v>6.12</v>
      </c>
      <c r="E4465" s="16" t="s">
        <v>30</v>
      </c>
    </row>
    <row r="4466" spans="1:5" x14ac:dyDescent="0.25">
      <c r="A4466" s="14">
        <v>786717</v>
      </c>
      <c r="B4466" s="14" t="s">
        <v>4586</v>
      </c>
      <c r="C4466" s="14" t="s">
        <v>13029</v>
      </c>
      <c r="D4466" s="15">
        <v>14.5</v>
      </c>
      <c r="E4466" s="16" t="s">
        <v>30</v>
      </c>
    </row>
    <row r="4467" spans="1:5" x14ac:dyDescent="0.25">
      <c r="A4467" s="14">
        <v>768751</v>
      </c>
      <c r="B4467" s="14" t="s">
        <v>4587</v>
      </c>
      <c r="C4467" s="14" t="s">
        <v>13030</v>
      </c>
      <c r="D4467" s="15">
        <v>54.19</v>
      </c>
      <c r="E4467" s="16" t="s">
        <v>20</v>
      </c>
    </row>
    <row r="4468" spans="1:5" x14ac:dyDescent="0.25">
      <c r="A4468" s="14">
        <v>786718</v>
      </c>
      <c r="B4468" s="14" t="s">
        <v>4588</v>
      </c>
      <c r="C4468" s="14" t="s">
        <v>13029</v>
      </c>
      <c r="D4468" s="15">
        <v>16.059999999999999</v>
      </c>
      <c r="E4468" s="16" t="s">
        <v>30</v>
      </c>
    </row>
    <row r="4469" spans="1:5" x14ac:dyDescent="0.25">
      <c r="A4469" s="14">
        <v>786719</v>
      </c>
      <c r="B4469" s="14" t="s">
        <v>4589</v>
      </c>
      <c r="C4469" s="14" t="s">
        <v>13029</v>
      </c>
      <c r="D4469" s="15">
        <v>15.74</v>
      </c>
      <c r="E4469" s="16" t="s">
        <v>30</v>
      </c>
    </row>
    <row r="4470" spans="1:5" x14ac:dyDescent="0.25">
      <c r="A4470" s="14">
        <v>786763</v>
      </c>
      <c r="B4470" s="14" t="s">
        <v>4590</v>
      </c>
      <c r="C4470" s="14" t="s">
        <v>13029</v>
      </c>
      <c r="D4470" s="15">
        <v>10.32</v>
      </c>
      <c r="E4470" s="16" t="s">
        <v>30</v>
      </c>
    </row>
    <row r="4471" spans="1:5" x14ac:dyDescent="0.25">
      <c r="A4471" s="14">
        <v>786842</v>
      </c>
      <c r="B4471" s="14" t="s">
        <v>4591</v>
      </c>
      <c r="C4471" s="14" t="s">
        <v>13029</v>
      </c>
      <c r="D4471" s="15">
        <v>14.5</v>
      </c>
      <c r="E4471" s="16" t="s">
        <v>30</v>
      </c>
    </row>
    <row r="4472" spans="1:5" x14ac:dyDescent="0.25">
      <c r="A4472" s="14">
        <v>786843</v>
      </c>
      <c r="B4472" s="14" t="s">
        <v>4592</v>
      </c>
      <c r="C4472" s="14" t="s">
        <v>13029</v>
      </c>
      <c r="D4472" s="15">
        <v>58.21</v>
      </c>
      <c r="E4472" s="16" t="s">
        <v>30</v>
      </c>
    </row>
    <row r="4473" spans="1:5" x14ac:dyDescent="0.25">
      <c r="A4473" s="14">
        <v>786844</v>
      </c>
      <c r="B4473" s="14" t="s">
        <v>4593</v>
      </c>
      <c r="C4473" s="14" t="s">
        <v>13029</v>
      </c>
      <c r="D4473" s="15">
        <v>84.47</v>
      </c>
      <c r="E4473" s="16" t="s">
        <v>30</v>
      </c>
    </row>
    <row r="4474" spans="1:5" x14ac:dyDescent="0.25">
      <c r="A4474" s="14">
        <v>786845</v>
      </c>
      <c r="B4474" s="14" t="s">
        <v>4594</v>
      </c>
      <c r="C4474" s="14" t="s">
        <v>13029</v>
      </c>
      <c r="D4474" s="15">
        <v>84.47</v>
      </c>
      <c r="E4474" s="16" t="s">
        <v>30</v>
      </c>
    </row>
    <row r="4475" spans="1:5" x14ac:dyDescent="0.25">
      <c r="A4475" s="14">
        <v>786847</v>
      </c>
      <c r="B4475" s="14" t="s">
        <v>4595</v>
      </c>
      <c r="C4475" s="14" t="s">
        <v>13029</v>
      </c>
      <c r="D4475" s="15">
        <v>32.67</v>
      </c>
      <c r="E4475" s="16" t="s">
        <v>30</v>
      </c>
    </row>
    <row r="4476" spans="1:5" x14ac:dyDescent="0.25">
      <c r="A4476" s="14">
        <v>786848</v>
      </c>
      <c r="B4476" s="14" t="s">
        <v>4596</v>
      </c>
      <c r="C4476" s="14" t="s">
        <v>13029</v>
      </c>
      <c r="D4476" s="15">
        <v>18.88</v>
      </c>
      <c r="E4476" s="16" t="s">
        <v>30</v>
      </c>
    </row>
    <row r="4477" spans="1:5" x14ac:dyDescent="0.25">
      <c r="A4477" s="14">
        <v>786849</v>
      </c>
      <c r="B4477" s="14" t="s">
        <v>4597</v>
      </c>
      <c r="C4477" s="14" t="s">
        <v>13029</v>
      </c>
      <c r="D4477" s="15">
        <v>18.88</v>
      </c>
      <c r="E4477" s="16" t="s">
        <v>30</v>
      </c>
    </row>
    <row r="4478" spans="1:5" x14ac:dyDescent="0.25">
      <c r="A4478" s="14">
        <v>786850</v>
      </c>
      <c r="B4478" s="14" t="s">
        <v>4598</v>
      </c>
      <c r="C4478" s="14" t="s">
        <v>13029</v>
      </c>
      <c r="D4478" s="15">
        <v>18.88</v>
      </c>
      <c r="E4478" s="16" t="s">
        <v>30</v>
      </c>
    </row>
    <row r="4479" spans="1:5" x14ac:dyDescent="0.25">
      <c r="A4479" s="14">
        <v>786852</v>
      </c>
      <c r="B4479" s="14" t="s">
        <v>4599</v>
      </c>
      <c r="C4479" s="14" t="s">
        <v>13029</v>
      </c>
      <c r="D4479" s="15">
        <v>14.5</v>
      </c>
      <c r="E4479" s="16" t="s">
        <v>30</v>
      </c>
    </row>
    <row r="4480" spans="1:5" x14ac:dyDescent="0.25">
      <c r="A4480" s="14">
        <v>757175</v>
      </c>
      <c r="B4480" s="14" t="s">
        <v>4600</v>
      </c>
      <c r="C4480" s="14" t="s">
        <v>13031</v>
      </c>
      <c r="D4480" s="15">
        <v>21</v>
      </c>
      <c r="E4480" s="16" t="s">
        <v>20</v>
      </c>
    </row>
    <row r="4481" spans="1:5" x14ac:dyDescent="0.25">
      <c r="A4481" s="14">
        <v>757452</v>
      </c>
      <c r="B4481" s="14" t="s">
        <v>4601</v>
      </c>
      <c r="C4481" s="14" t="s">
        <v>13031</v>
      </c>
      <c r="D4481" s="15">
        <v>7.5</v>
      </c>
      <c r="E4481" s="16" t="s">
        <v>20</v>
      </c>
    </row>
    <row r="4482" spans="1:5" x14ac:dyDescent="0.25">
      <c r="A4482" s="14">
        <v>757453</v>
      </c>
      <c r="B4482" s="14" t="s">
        <v>4602</v>
      </c>
      <c r="C4482" s="14" t="s">
        <v>13031</v>
      </c>
      <c r="D4482" s="15">
        <v>7.5</v>
      </c>
      <c r="E4482" s="16" t="s">
        <v>20</v>
      </c>
    </row>
    <row r="4483" spans="1:5" x14ac:dyDescent="0.25">
      <c r="A4483" s="14">
        <v>786865</v>
      </c>
      <c r="B4483" s="14" t="s">
        <v>4603</v>
      </c>
      <c r="C4483" s="14" t="s">
        <v>13031</v>
      </c>
      <c r="D4483" s="15">
        <v>5.61</v>
      </c>
      <c r="E4483" s="16" t="s">
        <v>30</v>
      </c>
    </row>
    <row r="4484" spans="1:5" x14ac:dyDescent="0.25">
      <c r="A4484" s="14">
        <v>786866</v>
      </c>
      <c r="B4484" s="14" t="s">
        <v>4604</v>
      </c>
      <c r="C4484" s="14" t="s">
        <v>13031</v>
      </c>
      <c r="D4484" s="15">
        <v>11.48</v>
      </c>
      <c r="E4484" s="16" t="s">
        <v>30</v>
      </c>
    </row>
    <row r="4485" spans="1:5" x14ac:dyDescent="0.25">
      <c r="A4485" s="14">
        <v>786867</v>
      </c>
      <c r="B4485" s="14" t="s">
        <v>4605</v>
      </c>
      <c r="C4485" s="14" t="s">
        <v>13031</v>
      </c>
      <c r="D4485" s="15">
        <v>15.84</v>
      </c>
      <c r="E4485" s="16" t="s">
        <v>30</v>
      </c>
    </row>
    <row r="4486" spans="1:5" x14ac:dyDescent="0.25">
      <c r="A4486" s="14">
        <v>786869</v>
      </c>
      <c r="B4486" s="14" t="s">
        <v>4606</v>
      </c>
      <c r="C4486" s="14" t="s">
        <v>13031</v>
      </c>
      <c r="D4486" s="15">
        <v>23.67</v>
      </c>
      <c r="E4486" s="16" t="s">
        <v>30</v>
      </c>
    </row>
    <row r="4487" spans="1:5" x14ac:dyDescent="0.25">
      <c r="A4487" s="14">
        <v>786871</v>
      </c>
      <c r="B4487" s="14" t="s">
        <v>4607</v>
      </c>
      <c r="C4487" s="14" t="s">
        <v>13031</v>
      </c>
      <c r="D4487" s="15">
        <v>11.5</v>
      </c>
      <c r="E4487" s="16" t="s">
        <v>30</v>
      </c>
    </row>
    <row r="4488" spans="1:5" x14ac:dyDescent="0.25">
      <c r="A4488" s="14">
        <v>786872</v>
      </c>
      <c r="B4488" s="14" t="s">
        <v>4608</v>
      </c>
      <c r="C4488" s="14" t="s">
        <v>13031</v>
      </c>
      <c r="D4488" s="15">
        <v>9.5500000000000007</v>
      </c>
      <c r="E4488" s="16" t="s">
        <v>30</v>
      </c>
    </row>
    <row r="4489" spans="1:5" x14ac:dyDescent="0.25">
      <c r="A4489" s="14">
        <v>786892</v>
      </c>
      <c r="B4489" s="14" t="s">
        <v>4609</v>
      </c>
      <c r="C4489" s="14" t="s">
        <v>13029</v>
      </c>
      <c r="D4489" s="15">
        <v>6.48</v>
      </c>
      <c r="E4489" s="16" t="s">
        <v>30</v>
      </c>
    </row>
    <row r="4490" spans="1:5" x14ac:dyDescent="0.25">
      <c r="A4490" s="14">
        <v>786926</v>
      </c>
      <c r="B4490" s="14" t="s">
        <v>4610</v>
      </c>
      <c r="C4490" s="14" t="s">
        <v>13029</v>
      </c>
      <c r="D4490" s="15">
        <v>8.59</v>
      </c>
      <c r="E4490" s="16" t="s">
        <v>30</v>
      </c>
    </row>
    <row r="4491" spans="1:5" x14ac:dyDescent="0.25">
      <c r="A4491" s="14">
        <v>786927</v>
      </c>
      <c r="B4491" s="14" t="s">
        <v>120</v>
      </c>
      <c r="C4491" s="14" t="s">
        <v>13029</v>
      </c>
      <c r="D4491" s="15">
        <v>8.59</v>
      </c>
      <c r="E4491" s="16" t="s">
        <v>30</v>
      </c>
    </row>
    <row r="4492" spans="1:5" x14ac:dyDescent="0.25">
      <c r="A4492" s="14">
        <v>786940</v>
      </c>
      <c r="B4492" s="14" t="s">
        <v>4611</v>
      </c>
      <c r="C4492" s="14" t="s">
        <v>13029</v>
      </c>
      <c r="D4492" s="15">
        <v>19</v>
      </c>
      <c r="E4492" s="16" t="s">
        <v>30</v>
      </c>
    </row>
    <row r="4493" spans="1:5" x14ac:dyDescent="0.25">
      <c r="A4493" s="14">
        <v>786941</v>
      </c>
      <c r="B4493" s="14" t="s">
        <v>4612</v>
      </c>
      <c r="C4493" s="14" t="s">
        <v>13029</v>
      </c>
      <c r="D4493" s="15">
        <v>19</v>
      </c>
      <c r="E4493" s="16" t="s">
        <v>30</v>
      </c>
    </row>
    <row r="4494" spans="1:5" x14ac:dyDescent="0.25">
      <c r="A4494" s="14">
        <v>786942</v>
      </c>
      <c r="B4494" s="14" t="s">
        <v>4613</v>
      </c>
      <c r="C4494" s="14" t="s">
        <v>13029</v>
      </c>
      <c r="D4494" s="15">
        <v>19</v>
      </c>
      <c r="E4494" s="16" t="s">
        <v>30</v>
      </c>
    </row>
    <row r="4495" spans="1:5" x14ac:dyDescent="0.25">
      <c r="A4495" s="14">
        <v>786943</v>
      </c>
      <c r="B4495" s="14" t="s">
        <v>4614</v>
      </c>
      <c r="C4495" s="14" t="s">
        <v>13029</v>
      </c>
      <c r="D4495" s="15">
        <v>19</v>
      </c>
      <c r="E4495" s="16" t="s">
        <v>30</v>
      </c>
    </row>
    <row r="4496" spans="1:5" x14ac:dyDescent="0.25">
      <c r="A4496" s="14">
        <v>786944</v>
      </c>
      <c r="B4496" s="14" t="s">
        <v>4615</v>
      </c>
      <c r="C4496" s="14" t="s">
        <v>13029</v>
      </c>
      <c r="D4496" s="15">
        <v>19</v>
      </c>
      <c r="E4496" s="16" t="s">
        <v>30</v>
      </c>
    </row>
    <row r="4497" spans="1:5" x14ac:dyDescent="0.25">
      <c r="A4497" s="14">
        <v>786945</v>
      </c>
      <c r="B4497" s="14" t="s">
        <v>4616</v>
      </c>
      <c r="C4497" s="14" t="s">
        <v>13029</v>
      </c>
      <c r="D4497" s="15">
        <v>46.77</v>
      </c>
      <c r="E4497" s="16" t="s">
        <v>30</v>
      </c>
    </row>
    <row r="4498" spans="1:5" x14ac:dyDescent="0.25">
      <c r="A4498" s="14">
        <v>786947</v>
      </c>
      <c r="B4498" s="14" t="s">
        <v>4617</v>
      </c>
      <c r="C4498" s="14" t="s">
        <v>13029</v>
      </c>
      <c r="D4498" s="15">
        <v>31.95</v>
      </c>
      <c r="E4498" s="16" t="s">
        <v>30</v>
      </c>
    </row>
    <row r="4499" spans="1:5" x14ac:dyDescent="0.25">
      <c r="A4499" s="14">
        <v>786948</v>
      </c>
      <c r="B4499" s="14" t="s">
        <v>4618</v>
      </c>
      <c r="C4499" s="14" t="s">
        <v>13029</v>
      </c>
      <c r="D4499" s="15">
        <v>32.99</v>
      </c>
      <c r="E4499" s="16" t="s">
        <v>30</v>
      </c>
    </row>
    <row r="4500" spans="1:5" x14ac:dyDescent="0.25">
      <c r="A4500" s="14">
        <v>786949</v>
      </c>
      <c r="B4500" s="14" t="s">
        <v>4619</v>
      </c>
      <c r="C4500" s="14" t="s">
        <v>13029</v>
      </c>
      <c r="D4500" s="15">
        <v>38.5</v>
      </c>
      <c r="E4500" s="16" t="s">
        <v>30</v>
      </c>
    </row>
    <row r="4501" spans="1:5" x14ac:dyDescent="0.25">
      <c r="A4501" s="14">
        <v>786950</v>
      </c>
      <c r="B4501" s="14" t="s">
        <v>4620</v>
      </c>
      <c r="C4501" s="14" t="s">
        <v>13031</v>
      </c>
      <c r="D4501" s="15">
        <v>3.76</v>
      </c>
      <c r="E4501" s="16" t="s">
        <v>30</v>
      </c>
    </row>
    <row r="4502" spans="1:5" x14ac:dyDescent="0.25">
      <c r="A4502" s="14">
        <v>786951</v>
      </c>
      <c r="B4502" s="14" t="s">
        <v>4621</v>
      </c>
      <c r="C4502" s="14" t="s">
        <v>13031</v>
      </c>
      <c r="D4502" s="15">
        <v>3.99</v>
      </c>
      <c r="E4502" s="16" t="s">
        <v>30</v>
      </c>
    </row>
    <row r="4503" spans="1:5" x14ac:dyDescent="0.25">
      <c r="A4503" s="14">
        <v>786957</v>
      </c>
      <c r="B4503" s="14" t="s">
        <v>4622</v>
      </c>
      <c r="C4503" s="14" t="s">
        <v>13031</v>
      </c>
      <c r="D4503" s="15">
        <v>11.5</v>
      </c>
      <c r="E4503" s="16" t="s">
        <v>30</v>
      </c>
    </row>
    <row r="4504" spans="1:5" x14ac:dyDescent="0.25">
      <c r="A4504" s="14">
        <v>786958</v>
      </c>
      <c r="B4504" s="14" t="s">
        <v>4623</v>
      </c>
      <c r="C4504" s="14" t="s">
        <v>13031</v>
      </c>
      <c r="D4504" s="15">
        <v>13.55</v>
      </c>
      <c r="E4504" s="16" t="s">
        <v>30</v>
      </c>
    </row>
    <row r="4505" spans="1:5" x14ac:dyDescent="0.25">
      <c r="A4505" s="14">
        <v>786959</v>
      </c>
      <c r="B4505" s="14" t="s">
        <v>4624</v>
      </c>
      <c r="C4505" s="14" t="s">
        <v>13031</v>
      </c>
      <c r="D4505" s="15">
        <v>10.52</v>
      </c>
      <c r="E4505" s="16" t="s">
        <v>30</v>
      </c>
    </row>
    <row r="4506" spans="1:5" x14ac:dyDescent="0.25">
      <c r="A4506" s="14">
        <v>787135</v>
      </c>
      <c r="B4506" s="14" t="s">
        <v>4625</v>
      </c>
      <c r="C4506" s="14" t="s">
        <v>13029</v>
      </c>
      <c r="D4506" s="15">
        <v>2.44</v>
      </c>
      <c r="E4506" s="16" t="s">
        <v>30</v>
      </c>
    </row>
    <row r="4507" spans="1:5" x14ac:dyDescent="0.25">
      <c r="A4507" s="14">
        <v>787136</v>
      </c>
      <c r="B4507" s="14" t="s">
        <v>4626</v>
      </c>
      <c r="C4507" s="14" t="s">
        <v>13029</v>
      </c>
      <c r="D4507" s="15">
        <v>7.06</v>
      </c>
      <c r="E4507" s="16" t="s">
        <v>30</v>
      </c>
    </row>
    <row r="4508" spans="1:5" x14ac:dyDescent="0.25">
      <c r="A4508" s="14">
        <v>787185</v>
      </c>
      <c r="B4508" s="14" t="s">
        <v>4627</v>
      </c>
      <c r="C4508" s="14" t="s">
        <v>13029</v>
      </c>
      <c r="D4508" s="15">
        <v>4.45</v>
      </c>
      <c r="E4508" s="16" t="s">
        <v>30</v>
      </c>
    </row>
    <row r="4509" spans="1:5" x14ac:dyDescent="0.25">
      <c r="A4509" s="14">
        <v>787186</v>
      </c>
      <c r="B4509" s="14" t="s">
        <v>4628</v>
      </c>
      <c r="C4509" s="14" t="s">
        <v>13029</v>
      </c>
      <c r="D4509" s="15">
        <v>7.45</v>
      </c>
      <c r="E4509" s="16" t="s">
        <v>30</v>
      </c>
    </row>
    <row r="4510" spans="1:5" x14ac:dyDescent="0.25">
      <c r="A4510" s="14">
        <v>787187</v>
      </c>
      <c r="B4510" s="14" t="s">
        <v>4629</v>
      </c>
      <c r="C4510" s="14" t="s">
        <v>13029</v>
      </c>
      <c r="D4510" s="15">
        <v>6.5</v>
      </c>
      <c r="E4510" s="16" t="s">
        <v>30</v>
      </c>
    </row>
    <row r="4511" spans="1:5" x14ac:dyDescent="0.25">
      <c r="A4511" s="14">
        <v>787443</v>
      </c>
      <c r="B4511" s="14" t="s">
        <v>4630</v>
      </c>
      <c r="C4511" s="14" t="s">
        <v>13029</v>
      </c>
      <c r="D4511" s="15">
        <v>1.1399999999999999</v>
      </c>
      <c r="E4511" s="16" t="s">
        <v>30</v>
      </c>
    </row>
    <row r="4512" spans="1:5" x14ac:dyDescent="0.25">
      <c r="A4512" s="14">
        <v>787444</v>
      </c>
      <c r="B4512" s="14" t="s">
        <v>4631</v>
      </c>
      <c r="C4512" s="14" t="s">
        <v>13029</v>
      </c>
      <c r="D4512" s="15">
        <v>20.11</v>
      </c>
      <c r="E4512" s="16" t="s">
        <v>30</v>
      </c>
    </row>
    <row r="4513" spans="1:5" x14ac:dyDescent="0.25">
      <c r="A4513" s="14">
        <v>787445</v>
      </c>
      <c r="B4513" s="14" t="s">
        <v>4632</v>
      </c>
      <c r="C4513" s="14" t="s">
        <v>13029</v>
      </c>
      <c r="D4513" s="15">
        <v>17.739999999999998</v>
      </c>
      <c r="E4513" s="16" t="s">
        <v>30</v>
      </c>
    </row>
    <row r="4514" spans="1:5" x14ac:dyDescent="0.25">
      <c r="A4514" s="14">
        <v>787448</v>
      </c>
      <c r="B4514" s="14" t="s">
        <v>4633</v>
      </c>
      <c r="C4514" s="14" t="s">
        <v>13029</v>
      </c>
      <c r="D4514" s="15">
        <v>34.4</v>
      </c>
      <c r="E4514" s="16" t="s">
        <v>30</v>
      </c>
    </row>
    <row r="4515" spans="1:5" x14ac:dyDescent="0.25">
      <c r="A4515" s="14">
        <v>787449</v>
      </c>
      <c r="B4515" s="14" t="s">
        <v>4634</v>
      </c>
      <c r="C4515" s="14" t="s">
        <v>13029</v>
      </c>
      <c r="D4515" s="15">
        <v>43.2</v>
      </c>
      <c r="E4515" s="16" t="s">
        <v>30</v>
      </c>
    </row>
    <row r="4516" spans="1:5" x14ac:dyDescent="0.25">
      <c r="A4516" s="14">
        <v>787632</v>
      </c>
      <c r="B4516" s="14" t="s">
        <v>4635</v>
      </c>
      <c r="C4516" s="14" t="s">
        <v>13029</v>
      </c>
      <c r="D4516" s="15">
        <v>29.75</v>
      </c>
      <c r="E4516" s="16" t="s">
        <v>30</v>
      </c>
    </row>
    <row r="4517" spans="1:5" x14ac:dyDescent="0.25">
      <c r="A4517" s="14">
        <v>787633</v>
      </c>
      <c r="B4517" s="14" t="s">
        <v>4636</v>
      </c>
      <c r="C4517" s="14" t="s">
        <v>13029</v>
      </c>
      <c r="D4517" s="15">
        <v>29.75</v>
      </c>
      <c r="E4517" s="16" t="s">
        <v>30</v>
      </c>
    </row>
    <row r="4518" spans="1:5" x14ac:dyDescent="0.25">
      <c r="A4518" s="14">
        <v>787661</v>
      </c>
      <c r="B4518" s="14" t="s">
        <v>4637</v>
      </c>
      <c r="C4518" s="14" t="s">
        <v>13031</v>
      </c>
      <c r="D4518" s="15">
        <v>94.68</v>
      </c>
      <c r="E4518" s="16" t="s">
        <v>30</v>
      </c>
    </row>
    <row r="4519" spans="1:5" x14ac:dyDescent="0.25">
      <c r="A4519" s="14">
        <v>787669</v>
      </c>
      <c r="B4519" s="14" t="s">
        <v>4638</v>
      </c>
      <c r="C4519" s="14" t="s">
        <v>13031</v>
      </c>
      <c r="D4519" s="15">
        <v>9.01</v>
      </c>
      <c r="E4519" s="16" t="s">
        <v>30</v>
      </c>
    </row>
    <row r="4520" spans="1:5" x14ac:dyDescent="0.25">
      <c r="A4520" s="14">
        <v>787707</v>
      </c>
      <c r="B4520" s="14" t="s">
        <v>4639</v>
      </c>
      <c r="C4520" s="14" t="s">
        <v>13029</v>
      </c>
      <c r="D4520" s="15">
        <v>16.47</v>
      </c>
      <c r="E4520" s="16" t="s">
        <v>30</v>
      </c>
    </row>
    <row r="4521" spans="1:5" x14ac:dyDescent="0.25">
      <c r="A4521" s="14">
        <v>787921</v>
      </c>
      <c r="B4521" s="14" t="s">
        <v>4640</v>
      </c>
      <c r="C4521" s="14" t="s">
        <v>13029</v>
      </c>
      <c r="D4521" s="15">
        <v>7.59</v>
      </c>
      <c r="E4521" s="16" t="s">
        <v>30</v>
      </c>
    </row>
    <row r="4522" spans="1:5" x14ac:dyDescent="0.25">
      <c r="A4522" s="14">
        <v>787922</v>
      </c>
      <c r="B4522" s="14" t="s">
        <v>4641</v>
      </c>
      <c r="C4522" s="14" t="s">
        <v>13029</v>
      </c>
      <c r="D4522" s="15">
        <v>7.59</v>
      </c>
      <c r="E4522" s="16" t="s">
        <v>30</v>
      </c>
    </row>
    <row r="4523" spans="1:5" x14ac:dyDescent="0.25">
      <c r="A4523" s="14">
        <v>787923</v>
      </c>
      <c r="B4523" s="14" t="s">
        <v>4642</v>
      </c>
      <c r="C4523" s="14" t="s">
        <v>13029</v>
      </c>
      <c r="D4523" s="15">
        <v>11.4</v>
      </c>
      <c r="E4523" s="16" t="s">
        <v>30</v>
      </c>
    </row>
    <row r="4524" spans="1:5" x14ac:dyDescent="0.25">
      <c r="A4524" s="14">
        <v>787927</v>
      </c>
      <c r="B4524" s="14" t="s">
        <v>4643</v>
      </c>
      <c r="C4524" s="14" t="s">
        <v>13029</v>
      </c>
      <c r="D4524" s="15">
        <v>7.59</v>
      </c>
      <c r="E4524" s="16" t="s">
        <v>30</v>
      </c>
    </row>
    <row r="4525" spans="1:5" x14ac:dyDescent="0.25">
      <c r="A4525" s="14">
        <v>787928</v>
      </c>
      <c r="B4525" s="14" t="s">
        <v>4644</v>
      </c>
      <c r="C4525" s="14" t="s">
        <v>13029</v>
      </c>
      <c r="D4525" s="15">
        <v>7.59</v>
      </c>
      <c r="E4525" s="16" t="s">
        <v>30</v>
      </c>
    </row>
    <row r="4526" spans="1:5" x14ac:dyDescent="0.25">
      <c r="A4526" s="14">
        <v>787929</v>
      </c>
      <c r="B4526" s="14" t="s">
        <v>4645</v>
      </c>
      <c r="C4526" s="14" t="s">
        <v>13029</v>
      </c>
      <c r="D4526" s="15">
        <v>11.4</v>
      </c>
      <c r="E4526" s="16" t="s">
        <v>30</v>
      </c>
    </row>
    <row r="4527" spans="1:5" x14ac:dyDescent="0.25">
      <c r="A4527" s="14">
        <v>787930</v>
      </c>
      <c r="B4527" s="14" t="s">
        <v>4646</v>
      </c>
      <c r="C4527" s="14" t="s">
        <v>13029</v>
      </c>
      <c r="D4527" s="15">
        <v>6.5</v>
      </c>
      <c r="E4527" s="16" t="s">
        <v>30</v>
      </c>
    </row>
    <row r="4528" spans="1:5" x14ac:dyDescent="0.25">
      <c r="A4528" s="14">
        <v>787931</v>
      </c>
      <c r="B4528" s="14" t="s">
        <v>4647</v>
      </c>
      <c r="C4528" s="14" t="s">
        <v>13029</v>
      </c>
      <c r="D4528" s="15">
        <v>3.95</v>
      </c>
      <c r="E4528" s="16" t="s">
        <v>30</v>
      </c>
    </row>
    <row r="4529" spans="1:5" x14ac:dyDescent="0.25">
      <c r="A4529" s="14">
        <v>787932</v>
      </c>
      <c r="B4529" s="14" t="s">
        <v>4648</v>
      </c>
      <c r="C4529" s="14" t="s">
        <v>13029</v>
      </c>
      <c r="D4529" s="15">
        <v>4.55</v>
      </c>
      <c r="E4529" s="16" t="s">
        <v>30</v>
      </c>
    </row>
    <row r="4530" spans="1:5" x14ac:dyDescent="0.25">
      <c r="A4530" s="14">
        <v>787933</v>
      </c>
      <c r="B4530" s="14" t="s">
        <v>4649</v>
      </c>
      <c r="C4530" s="14" t="s">
        <v>13029</v>
      </c>
      <c r="D4530" s="15">
        <v>3.95</v>
      </c>
      <c r="E4530" s="16" t="s">
        <v>30</v>
      </c>
    </row>
    <row r="4531" spans="1:5" x14ac:dyDescent="0.25">
      <c r="A4531" s="14">
        <v>787934</v>
      </c>
      <c r="B4531" s="14" t="s">
        <v>4650</v>
      </c>
      <c r="C4531" s="14" t="s">
        <v>13031</v>
      </c>
      <c r="D4531" s="15">
        <v>9.5</v>
      </c>
      <c r="E4531" s="16" t="s">
        <v>30</v>
      </c>
    </row>
    <row r="4532" spans="1:5" x14ac:dyDescent="0.25">
      <c r="A4532" s="14">
        <v>757454</v>
      </c>
      <c r="B4532" s="14" t="s">
        <v>4651</v>
      </c>
      <c r="C4532" s="14" t="s">
        <v>13031</v>
      </c>
      <c r="D4532" s="15">
        <v>7.5</v>
      </c>
      <c r="E4532" s="16" t="s">
        <v>20</v>
      </c>
    </row>
    <row r="4533" spans="1:5" x14ac:dyDescent="0.25">
      <c r="A4533" s="14">
        <v>768476</v>
      </c>
      <c r="B4533" s="14" t="s">
        <v>4652</v>
      </c>
      <c r="C4533" s="14" t="s">
        <v>13030</v>
      </c>
      <c r="D4533" s="15">
        <v>38.43</v>
      </c>
      <c r="E4533" s="16" t="s">
        <v>20</v>
      </c>
    </row>
    <row r="4534" spans="1:5" x14ac:dyDescent="0.25">
      <c r="A4534" s="14">
        <v>757473</v>
      </c>
      <c r="B4534" s="14" t="s">
        <v>4653</v>
      </c>
      <c r="C4534" s="14" t="s">
        <v>13031</v>
      </c>
      <c r="D4534" s="15">
        <v>6.67</v>
      </c>
      <c r="E4534" s="16" t="s">
        <v>20</v>
      </c>
    </row>
    <row r="4535" spans="1:5" x14ac:dyDescent="0.25">
      <c r="A4535" s="14">
        <v>757474</v>
      </c>
      <c r="B4535" s="14" t="s">
        <v>4654</v>
      </c>
      <c r="C4535" s="14" t="s">
        <v>13031</v>
      </c>
      <c r="D4535" s="15">
        <v>10.55</v>
      </c>
      <c r="E4535" s="16" t="s">
        <v>20</v>
      </c>
    </row>
    <row r="4536" spans="1:5" x14ac:dyDescent="0.25">
      <c r="A4536" s="14">
        <v>787935</v>
      </c>
      <c r="B4536" s="14" t="s">
        <v>4655</v>
      </c>
      <c r="C4536" s="14" t="s">
        <v>13031</v>
      </c>
      <c r="D4536" s="15">
        <v>9.5</v>
      </c>
      <c r="E4536" s="16" t="s">
        <v>30</v>
      </c>
    </row>
    <row r="4537" spans="1:5" x14ac:dyDescent="0.25">
      <c r="A4537" s="14">
        <v>787936</v>
      </c>
      <c r="B4537" s="14" t="s">
        <v>4656</v>
      </c>
      <c r="C4537" s="14" t="s">
        <v>13031</v>
      </c>
      <c r="D4537" s="15">
        <v>9.5</v>
      </c>
      <c r="E4537" s="16" t="s">
        <v>30</v>
      </c>
    </row>
    <row r="4538" spans="1:5" x14ac:dyDescent="0.25">
      <c r="A4538" s="14">
        <v>787937</v>
      </c>
      <c r="B4538" s="14" t="s">
        <v>4657</v>
      </c>
      <c r="C4538" s="14" t="s">
        <v>13031</v>
      </c>
      <c r="D4538" s="15">
        <v>9.5</v>
      </c>
      <c r="E4538" s="16" t="s">
        <v>30</v>
      </c>
    </row>
    <row r="4539" spans="1:5" x14ac:dyDescent="0.25">
      <c r="A4539" s="14">
        <v>787972</v>
      </c>
      <c r="B4539" s="14" t="s">
        <v>4658</v>
      </c>
      <c r="C4539" s="14" t="s">
        <v>13029</v>
      </c>
      <c r="D4539" s="15">
        <v>27.82</v>
      </c>
      <c r="E4539" s="14" t="s">
        <v>30</v>
      </c>
    </row>
    <row r="4540" spans="1:5" x14ac:dyDescent="0.25">
      <c r="A4540" s="14">
        <v>788637</v>
      </c>
      <c r="B4540" s="14" t="s">
        <v>4659</v>
      </c>
      <c r="C4540" s="14" t="s">
        <v>13029</v>
      </c>
      <c r="D4540" s="15">
        <v>327.75</v>
      </c>
      <c r="E4540" s="16" t="s">
        <v>30</v>
      </c>
    </row>
    <row r="4541" spans="1:5" x14ac:dyDescent="0.25">
      <c r="A4541" s="14">
        <v>788670</v>
      </c>
      <c r="B4541" s="14" t="s">
        <v>4660</v>
      </c>
      <c r="C4541" s="14" t="s">
        <v>13030</v>
      </c>
      <c r="D4541" s="15">
        <v>9.73</v>
      </c>
      <c r="E4541" s="16" t="s">
        <v>30</v>
      </c>
    </row>
    <row r="4542" spans="1:5" x14ac:dyDescent="0.25">
      <c r="A4542" s="14">
        <v>788671</v>
      </c>
      <c r="B4542" s="14" t="s">
        <v>4661</v>
      </c>
      <c r="C4542" s="14" t="s">
        <v>13029</v>
      </c>
      <c r="D4542" s="15">
        <v>14.5</v>
      </c>
      <c r="E4542" s="14" t="s">
        <v>30</v>
      </c>
    </row>
    <row r="4543" spans="1:5" x14ac:dyDescent="0.25">
      <c r="A4543" s="14">
        <v>788672</v>
      </c>
      <c r="B4543" s="14" t="s">
        <v>4662</v>
      </c>
      <c r="C4543" s="14" t="s">
        <v>13029</v>
      </c>
      <c r="D4543" s="15">
        <v>14.5</v>
      </c>
      <c r="E4543" s="14" t="s">
        <v>30</v>
      </c>
    </row>
    <row r="4544" spans="1:5" x14ac:dyDescent="0.25">
      <c r="A4544" s="14">
        <v>788916</v>
      </c>
      <c r="B4544" s="14" t="s">
        <v>4663</v>
      </c>
      <c r="C4544" s="14" t="s">
        <v>13029</v>
      </c>
      <c r="D4544" s="15">
        <v>16.61</v>
      </c>
      <c r="E4544" s="16" t="s">
        <v>30</v>
      </c>
    </row>
    <row r="4545" spans="1:5" x14ac:dyDescent="0.25">
      <c r="A4545" s="14">
        <v>788917</v>
      </c>
      <c r="B4545" s="14" t="s">
        <v>4664</v>
      </c>
      <c r="C4545" s="14" t="s">
        <v>13029</v>
      </c>
      <c r="D4545" s="15">
        <v>8.9</v>
      </c>
      <c r="E4545" s="16" t="s">
        <v>30</v>
      </c>
    </row>
    <row r="4546" spans="1:5" x14ac:dyDescent="0.25">
      <c r="A4546" s="14">
        <v>788919</v>
      </c>
      <c r="B4546" s="14" t="s">
        <v>4665</v>
      </c>
      <c r="C4546" s="14" t="s">
        <v>13029</v>
      </c>
      <c r="D4546" s="15">
        <v>8.18</v>
      </c>
      <c r="E4546" s="16" t="s">
        <v>30</v>
      </c>
    </row>
    <row r="4547" spans="1:5" x14ac:dyDescent="0.25">
      <c r="A4547" s="14">
        <v>788920</v>
      </c>
      <c r="B4547" s="14" t="s">
        <v>4666</v>
      </c>
      <c r="C4547" s="14" t="s">
        <v>13029</v>
      </c>
      <c r="D4547" s="15">
        <v>6.62</v>
      </c>
      <c r="E4547" s="16" t="s">
        <v>30</v>
      </c>
    </row>
    <row r="4548" spans="1:5" x14ac:dyDescent="0.25">
      <c r="A4548" s="14">
        <v>788944</v>
      </c>
      <c r="B4548" s="14" t="s">
        <v>4667</v>
      </c>
      <c r="C4548" s="14" t="s">
        <v>13031</v>
      </c>
      <c r="D4548" s="15">
        <v>6.4</v>
      </c>
      <c r="E4548" s="16" t="s">
        <v>30</v>
      </c>
    </row>
    <row r="4549" spans="1:5" x14ac:dyDescent="0.25">
      <c r="A4549" s="14">
        <v>788945</v>
      </c>
      <c r="B4549" s="14" t="s">
        <v>4668</v>
      </c>
      <c r="C4549" s="14" t="s">
        <v>13031</v>
      </c>
      <c r="D4549" s="15">
        <v>12</v>
      </c>
      <c r="E4549" s="16" t="s">
        <v>30</v>
      </c>
    </row>
    <row r="4550" spans="1:5" x14ac:dyDescent="0.25">
      <c r="A4550" s="14">
        <v>788946</v>
      </c>
      <c r="B4550" s="14" t="s">
        <v>4669</v>
      </c>
      <c r="C4550" s="14" t="s">
        <v>13031</v>
      </c>
      <c r="D4550" s="15">
        <v>5.2</v>
      </c>
      <c r="E4550" s="16" t="s">
        <v>30</v>
      </c>
    </row>
    <row r="4551" spans="1:5" x14ac:dyDescent="0.25">
      <c r="A4551" s="14">
        <v>788947</v>
      </c>
      <c r="B4551" s="14" t="s">
        <v>4670</v>
      </c>
      <c r="C4551" s="14" t="s">
        <v>13031</v>
      </c>
      <c r="D4551" s="15">
        <v>1.65</v>
      </c>
      <c r="E4551" s="16" t="s">
        <v>30</v>
      </c>
    </row>
    <row r="4552" spans="1:5" x14ac:dyDescent="0.25">
      <c r="A4552" s="14">
        <v>788948</v>
      </c>
      <c r="B4552" s="14" t="s">
        <v>4671</v>
      </c>
      <c r="C4552" s="14" t="s">
        <v>13031</v>
      </c>
      <c r="D4552" s="15">
        <v>5.3</v>
      </c>
      <c r="E4552" s="16" t="s">
        <v>30</v>
      </c>
    </row>
    <row r="4553" spans="1:5" x14ac:dyDescent="0.25">
      <c r="A4553" s="14">
        <v>788949</v>
      </c>
      <c r="B4553" s="14" t="s">
        <v>4672</v>
      </c>
      <c r="C4553" s="14" t="s">
        <v>13031</v>
      </c>
      <c r="D4553" s="15">
        <v>3.8</v>
      </c>
      <c r="E4553" s="16" t="s">
        <v>30</v>
      </c>
    </row>
    <row r="4554" spans="1:5" x14ac:dyDescent="0.25">
      <c r="A4554" s="14">
        <v>788950</v>
      </c>
      <c r="B4554" s="14" t="s">
        <v>4673</v>
      </c>
      <c r="C4554" s="14" t="s">
        <v>13031</v>
      </c>
      <c r="D4554" s="15">
        <v>1.7</v>
      </c>
      <c r="E4554" s="16" t="s">
        <v>30</v>
      </c>
    </row>
    <row r="4555" spans="1:5" x14ac:dyDescent="0.25">
      <c r="A4555" s="14">
        <v>788951</v>
      </c>
      <c r="B4555" s="14" t="s">
        <v>4674</v>
      </c>
      <c r="C4555" s="14" t="s">
        <v>13031</v>
      </c>
      <c r="D4555" s="15">
        <v>2.1</v>
      </c>
      <c r="E4555" s="16" t="s">
        <v>30</v>
      </c>
    </row>
    <row r="4556" spans="1:5" x14ac:dyDescent="0.25">
      <c r="A4556" s="14">
        <v>788952</v>
      </c>
      <c r="B4556" s="14" t="s">
        <v>4675</v>
      </c>
      <c r="C4556" s="14" t="s">
        <v>13031</v>
      </c>
      <c r="D4556" s="15">
        <v>1.1000000000000001</v>
      </c>
      <c r="E4556" s="16" t="s">
        <v>30</v>
      </c>
    </row>
    <row r="4557" spans="1:5" x14ac:dyDescent="0.25">
      <c r="A4557" s="14">
        <v>788953</v>
      </c>
      <c r="B4557" s="14" t="s">
        <v>4676</v>
      </c>
      <c r="C4557" s="14" t="s">
        <v>13031</v>
      </c>
      <c r="D4557" s="15">
        <v>3.1</v>
      </c>
      <c r="E4557" s="16" t="s">
        <v>30</v>
      </c>
    </row>
    <row r="4558" spans="1:5" x14ac:dyDescent="0.25">
      <c r="A4558" s="14">
        <v>788954</v>
      </c>
      <c r="B4558" s="14" t="s">
        <v>4677</v>
      </c>
      <c r="C4558" s="14" t="s">
        <v>13031</v>
      </c>
      <c r="D4558" s="15">
        <v>3.1</v>
      </c>
      <c r="E4558" s="16" t="s">
        <v>30</v>
      </c>
    </row>
    <row r="4559" spans="1:5" x14ac:dyDescent="0.25">
      <c r="A4559" s="14">
        <v>788994</v>
      </c>
      <c r="B4559" s="14" t="s">
        <v>4678</v>
      </c>
      <c r="C4559" s="14" t="s">
        <v>13029</v>
      </c>
      <c r="D4559" s="15">
        <v>2.2599999999999998</v>
      </c>
      <c r="E4559" s="16" t="s">
        <v>30</v>
      </c>
    </row>
    <row r="4560" spans="1:5" x14ac:dyDescent="0.25">
      <c r="A4560" s="14">
        <v>788995</v>
      </c>
      <c r="B4560" s="14" t="s">
        <v>4679</v>
      </c>
      <c r="C4560" s="14" t="s">
        <v>13029</v>
      </c>
      <c r="D4560" s="15">
        <v>3.7</v>
      </c>
      <c r="E4560" s="16" t="s">
        <v>30</v>
      </c>
    </row>
    <row r="4561" spans="1:5" x14ac:dyDescent="0.25">
      <c r="A4561" s="14">
        <v>788996</v>
      </c>
      <c r="B4561" s="14" t="s">
        <v>4680</v>
      </c>
      <c r="C4561" s="14" t="s">
        <v>13029</v>
      </c>
      <c r="D4561" s="15">
        <v>4.74</v>
      </c>
      <c r="E4561" s="16" t="s">
        <v>30</v>
      </c>
    </row>
    <row r="4562" spans="1:5" x14ac:dyDescent="0.25">
      <c r="A4562" s="14">
        <v>788997</v>
      </c>
      <c r="B4562" s="14" t="s">
        <v>4681</v>
      </c>
      <c r="C4562" s="14" t="s">
        <v>13031</v>
      </c>
      <c r="D4562" s="15">
        <v>8.84</v>
      </c>
      <c r="E4562" s="16" t="s">
        <v>30</v>
      </c>
    </row>
    <row r="4563" spans="1:5" x14ac:dyDescent="0.25">
      <c r="A4563" s="14">
        <v>789001</v>
      </c>
      <c r="B4563" s="14" t="s">
        <v>4682</v>
      </c>
      <c r="C4563" s="14" t="s">
        <v>13029</v>
      </c>
      <c r="D4563" s="15">
        <v>22.09</v>
      </c>
      <c r="E4563" s="14" t="s">
        <v>30</v>
      </c>
    </row>
    <row r="4564" spans="1:5" x14ac:dyDescent="0.25">
      <c r="A4564" s="14">
        <v>789002</v>
      </c>
      <c r="B4564" s="14" t="s">
        <v>4683</v>
      </c>
      <c r="C4564" s="14" t="s">
        <v>13029</v>
      </c>
      <c r="D4564" s="15">
        <v>22.09</v>
      </c>
      <c r="E4564" s="14" t="s">
        <v>30</v>
      </c>
    </row>
    <row r="4565" spans="1:5" x14ac:dyDescent="0.25">
      <c r="A4565" s="14">
        <v>789004</v>
      </c>
      <c r="B4565" s="14" t="s">
        <v>4684</v>
      </c>
      <c r="C4565" s="14" t="s">
        <v>13029</v>
      </c>
      <c r="D4565" s="15">
        <v>22.09</v>
      </c>
      <c r="E4565" s="14" t="s">
        <v>30</v>
      </c>
    </row>
    <row r="4566" spans="1:5" x14ac:dyDescent="0.25">
      <c r="A4566" s="14">
        <v>789005</v>
      </c>
      <c r="B4566" s="14" t="s">
        <v>4685</v>
      </c>
      <c r="C4566" s="14" t="s">
        <v>13029</v>
      </c>
      <c r="D4566" s="15">
        <v>22.09</v>
      </c>
      <c r="E4566" s="14" t="s">
        <v>30</v>
      </c>
    </row>
    <row r="4567" spans="1:5" x14ac:dyDescent="0.25">
      <c r="A4567" s="14">
        <v>789008</v>
      </c>
      <c r="B4567" s="14" t="s">
        <v>4686</v>
      </c>
      <c r="C4567" s="14" t="s">
        <v>13029</v>
      </c>
      <c r="D4567" s="15">
        <v>22.09</v>
      </c>
      <c r="E4567" s="14" t="s">
        <v>30</v>
      </c>
    </row>
    <row r="4568" spans="1:5" x14ac:dyDescent="0.25">
      <c r="A4568" s="14">
        <v>789009</v>
      </c>
      <c r="B4568" s="14" t="s">
        <v>4687</v>
      </c>
      <c r="C4568" s="14" t="s">
        <v>13029</v>
      </c>
      <c r="D4568" s="15">
        <v>22.09</v>
      </c>
      <c r="E4568" s="14" t="s">
        <v>30</v>
      </c>
    </row>
    <row r="4569" spans="1:5" x14ac:dyDescent="0.25">
      <c r="A4569" s="14">
        <v>789010</v>
      </c>
      <c r="B4569" s="14" t="s">
        <v>4688</v>
      </c>
      <c r="C4569" s="14" t="s">
        <v>13029</v>
      </c>
      <c r="D4569" s="15">
        <v>22.09</v>
      </c>
      <c r="E4569" s="14" t="s">
        <v>30</v>
      </c>
    </row>
    <row r="4570" spans="1:5" x14ac:dyDescent="0.25">
      <c r="A4570" s="14">
        <v>789011</v>
      </c>
      <c r="B4570" s="14" t="s">
        <v>4689</v>
      </c>
      <c r="C4570" s="14" t="s">
        <v>13029</v>
      </c>
      <c r="D4570" s="15">
        <v>22.09</v>
      </c>
      <c r="E4570" s="14" t="s">
        <v>30</v>
      </c>
    </row>
    <row r="4571" spans="1:5" x14ac:dyDescent="0.25">
      <c r="A4571" s="14">
        <v>789012</v>
      </c>
      <c r="B4571" s="14" t="s">
        <v>4690</v>
      </c>
      <c r="C4571" s="14" t="s">
        <v>13029</v>
      </c>
      <c r="D4571" s="15">
        <v>25.9</v>
      </c>
      <c r="E4571" s="16" t="s">
        <v>30</v>
      </c>
    </row>
    <row r="4572" spans="1:5" x14ac:dyDescent="0.25">
      <c r="A4572" s="14">
        <v>789013</v>
      </c>
      <c r="B4572" s="14" t="s">
        <v>4691</v>
      </c>
      <c r="C4572" s="14" t="s">
        <v>13029</v>
      </c>
      <c r="D4572" s="15">
        <v>25.9</v>
      </c>
      <c r="E4572" s="16" t="s">
        <v>30</v>
      </c>
    </row>
    <row r="4573" spans="1:5" x14ac:dyDescent="0.25">
      <c r="A4573" s="14">
        <v>789014</v>
      </c>
      <c r="B4573" s="14" t="s">
        <v>4692</v>
      </c>
      <c r="C4573" s="14" t="s">
        <v>13029</v>
      </c>
      <c r="D4573" s="15">
        <v>25.9</v>
      </c>
      <c r="E4573" s="16" t="s">
        <v>30</v>
      </c>
    </row>
    <row r="4574" spans="1:5" x14ac:dyDescent="0.25">
      <c r="A4574" s="14">
        <v>789015</v>
      </c>
      <c r="B4574" s="14" t="s">
        <v>4693</v>
      </c>
      <c r="C4574" s="14" t="s">
        <v>13029</v>
      </c>
      <c r="D4574" s="15">
        <v>25.9</v>
      </c>
      <c r="E4574" s="16" t="s">
        <v>30</v>
      </c>
    </row>
    <row r="4575" spans="1:5" x14ac:dyDescent="0.25">
      <c r="A4575" s="14">
        <v>789016</v>
      </c>
      <c r="B4575" s="14" t="s">
        <v>4694</v>
      </c>
      <c r="C4575" s="14" t="s">
        <v>13029</v>
      </c>
      <c r="D4575" s="15">
        <v>25.9</v>
      </c>
      <c r="E4575" s="16" t="s">
        <v>30</v>
      </c>
    </row>
    <row r="4576" spans="1:5" x14ac:dyDescent="0.25">
      <c r="A4576" s="14">
        <v>789028</v>
      </c>
      <c r="B4576" s="14" t="s">
        <v>4695</v>
      </c>
      <c r="C4576" s="14" t="s">
        <v>13029</v>
      </c>
      <c r="D4576" s="15">
        <v>115.71</v>
      </c>
      <c r="E4576" s="16" t="s">
        <v>30</v>
      </c>
    </row>
    <row r="4577" spans="1:5" x14ac:dyDescent="0.25">
      <c r="A4577" s="14">
        <v>789037</v>
      </c>
      <c r="B4577" s="14" t="s">
        <v>4696</v>
      </c>
      <c r="C4577" s="14" t="s">
        <v>13031</v>
      </c>
      <c r="D4577" s="15">
        <v>6.64</v>
      </c>
      <c r="E4577" s="16" t="s">
        <v>30</v>
      </c>
    </row>
    <row r="4578" spans="1:5" x14ac:dyDescent="0.25">
      <c r="A4578" s="14">
        <v>789038</v>
      </c>
      <c r="B4578" s="14" t="s">
        <v>4697</v>
      </c>
      <c r="C4578" s="14" t="s">
        <v>13031</v>
      </c>
      <c r="D4578" s="15">
        <v>5.29</v>
      </c>
      <c r="E4578" s="16" t="s">
        <v>30</v>
      </c>
    </row>
    <row r="4579" spans="1:5" x14ac:dyDescent="0.25">
      <c r="A4579" s="14">
        <v>789039</v>
      </c>
      <c r="B4579" s="14" t="s">
        <v>4698</v>
      </c>
      <c r="C4579" s="14" t="s">
        <v>13031</v>
      </c>
      <c r="D4579" s="15">
        <v>8.52</v>
      </c>
      <c r="E4579" s="16" t="s">
        <v>30</v>
      </c>
    </row>
    <row r="4580" spans="1:5" x14ac:dyDescent="0.25">
      <c r="A4580" s="14">
        <v>789040</v>
      </c>
      <c r="B4580" s="14" t="s">
        <v>4699</v>
      </c>
      <c r="C4580" s="14" t="s">
        <v>13031</v>
      </c>
      <c r="D4580" s="15">
        <v>7.26</v>
      </c>
      <c r="E4580" s="16" t="s">
        <v>30</v>
      </c>
    </row>
    <row r="4581" spans="1:5" x14ac:dyDescent="0.25">
      <c r="A4581" s="14">
        <v>789041</v>
      </c>
      <c r="B4581" s="14" t="s">
        <v>4700</v>
      </c>
      <c r="C4581" s="14" t="s">
        <v>13031</v>
      </c>
      <c r="D4581" s="15">
        <v>7.97</v>
      </c>
      <c r="E4581" s="16" t="s">
        <v>30</v>
      </c>
    </row>
    <row r="4582" spans="1:5" x14ac:dyDescent="0.25">
      <c r="A4582" s="14">
        <v>789042</v>
      </c>
      <c r="B4582" s="14" t="s">
        <v>4701</v>
      </c>
      <c r="C4582" s="14" t="s">
        <v>13031</v>
      </c>
      <c r="D4582" s="15">
        <v>7.46</v>
      </c>
      <c r="E4582" s="16" t="s">
        <v>30</v>
      </c>
    </row>
    <row r="4583" spans="1:5" x14ac:dyDescent="0.25">
      <c r="A4583" s="14">
        <v>789044</v>
      </c>
      <c r="B4583" s="14" t="s">
        <v>4702</v>
      </c>
      <c r="C4583" s="14" t="s">
        <v>13031</v>
      </c>
      <c r="D4583" s="15">
        <v>5.76</v>
      </c>
      <c r="E4583" s="16" t="s">
        <v>30</v>
      </c>
    </row>
    <row r="4584" spans="1:5" x14ac:dyDescent="0.25">
      <c r="A4584" s="14">
        <v>789056</v>
      </c>
      <c r="B4584" s="14" t="s">
        <v>4703</v>
      </c>
      <c r="C4584" s="14" t="s">
        <v>13029</v>
      </c>
      <c r="D4584" s="15">
        <v>3.9</v>
      </c>
      <c r="E4584" s="16" t="s">
        <v>30</v>
      </c>
    </row>
    <row r="4585" spans="1:5" x14ac:dyDescent="0.25">
      <c r="A4585" s="14">
        <v>789057</v>
      </c>
      <c r="B4585" s="14" t="s">
        <v>4704</v>
      </c>
      <c r="C4585" s="14" t="s">
        <v>13029</v>
      </c>
      <c r="D4585" s="15">
        <v>5.36</v>
      </c>
      <c r="E4585" s="16" t="s">
        <v>30</v>
      </c>
    </row>
    <row r="4586" spans="1:5" x14ac:dyDescent="0.25">
      <c r="A4586" s="14">
        <v>789058</v>
      </c>
      <c r="B4586" s="14" t="s">
        <v>4705</v>
      </c>
      <c r="C4586" s="14" t="s">
        <v>13029</v>
      </c>
      <c r="D4586" s="15">
        <v>8.61</v>
      </c>
      <c r="E4586" s="16" t="s">
        <v>30</v>
      </c>
    </row>
    <row r="4587" spans="1:5" x14ac:dyDescent="0.25">
      <c r="A4587" s="14">
        <v>789060</v>
      </c>
      <c r="B4587" s="14" t="s">
        <v>4706</v>
      </c>
      <c r="C4587" s="14" t="s">
        <v>13029</v>
      </c>
      <c r="D4587" s="15">
        <v>3.52</v>
      </c>
      <c r="E4587" s="16" t="s">
        <v>30</v>
      </c>
    </row>
    <row r="4588" spans="1:5" x14ac:dyDescent="0.25">
      <c r="A4588" s="14">
        <v>789061</v>
      </c>
      <c r="B4588" s="14" t="s">
        <v>4707</v>
      </c>
      <c r="C4588" s="14" t="s">
        <v>13029</v>
      </c>
      <c r="D4588" s="15">
        <v>3.52</v>
      </c>
      <c r="E4588" s="16" t="s">
        <v>30</v>
      </c>
    </row>
    <row r="4589" spans="1:5" x14ac:dyDescent="0.25">
      <c r="A4589" s="14">
        <v>789070</v>
      </c>
      <c r="B4589" s="14" t="s">
        <v>4708</v>
      </c>
      <c r="C4589" s="14" t="s">
        <v>13030</v>
      </c>
      <c r="D4589" s="15">
        <v>17.29</v>
      </c>
      <c r="E4589" s="16" t="s">
        <v>30</v>
      </c>
    </row>
    <row r="4590" spans="1:5" x14ac:dyDescent="0.25">
      <c r="A4590" s="14">
        <v>789071</v>
      </c>
      <c r="B4590" s="14" t="s">
        <v>4709</v>
      </c>
      <c r="C4590" s="14" t="s">
        <v>13030</v>
      </c>
      <c r="D4590" s="15">
        <v>18</v>
      </c>
      <c r="E4590" s="16" t="s">
        <v>30</v>
      </c>
    </row>
    <row r="4591" spans="1:5" x14ac:dyDescent="0.25">
      <c r="A4591" s="14">
        <v>789073</v>
      </c>
      <c r="B4591" s="14" t="s">
        <v>4710</v>
      </c>
      <c r="C4591" s="14" t="s">
        <v>13030</v>
      </c>
      <c r="D4591" s="15">
        <v>29.82</v>
      </c>
      <c r="E4591" s="16" t="s">
        <v>30</v>
      </c>
    </row>
    <row r="4592" spans="1:5" x14ac:dyDescent="0.25">
      <c r="A4592" s="14">
        <v>789074</v>
      </c>
      <c r="B4592" s="14" t="s">
        <v>4711</v>
      </c>
      <c r="C4592" s="14" t="s">
        <v>13030</v>
      </c>
      <c r="D4592" s="15">
        <v>34.630000000000003</v>
      </c>
      <c r="E4592" s="16" t="s">
        <v>30</v>
      </c>
    </row>
    <row r="4593" spans="1:5" x14ac:dyDescent="0.25">
      <c r="A4593" s="14">
        <v>789075</v>
      </c>
      <c r="B4593" s="14" t="s">
        <v>4712</v>
      </c>
      <c r="C4593" s="14" t="s">
        <v>13030</v>
      </c>
      <c r="D4593" s="15">
        <v>28.82</v>
      </c>
      <c r="E4593" s="16" t="s">
        <v>30</v>
      </c>
    </row>
    <row r="4594" spans="1:5" x14ac:dyDescent="0.25">
      <c r="A4594" s="14">
        <v>789158</v>
      </c>
      <c r="B4594" s="14" t="s">
        <v>4713</v>
      </c>
      <c r="C4594" s="14" t="s">
        <v>13036</v>
      </c>
      <c r="D4594" s="15">
        <v>12.16</v>
      </c>
      <c r="E4594" s="16" t="s">
        <v>30</v>
      </c>
    </row>
    <row r="4595" spans="1:5" x14ac:dyDescent="0.25">
      <c r="A4595" s="14">
        <v>789159</v>
      </c>
      <c r="B4595" s="14" t="s">
        <v>4714</v>
      </c>
      <c r="C4595" s="14" t="s">
        <v>13036</v>
      </c>
      <c r="D4595" s="15">
        <v>11.62</v>
      </c>
      <c r="E4595" s="16" t="s">
        <v>30</v>
      </c>
    </row>
    <row r="4596" spans="1:5" x14ac:dyDescent="0.25">
      <c r="A4596" s="14">
        <v>789174</v>
      </c>
      <c r="B4596" s="14" t="s">
        <v>4715</v>
      </c>
      <c r="C4596" s="14" t="s">
        <v>13029</v>
      </c>
      <c r="D4596" s="15">
        <v>21.79</v>
      </c>
      <c r="E4596" s="16" t="s">
        <v>30</v>
      </c>
    </row>
    <row r="4597" spans="1:5" x14ac:dyDescent="0.25">
      <c r="A4597" s="14">
        <v>789175</v>
      </c>
      <c r="B4597" s="14" t="s">
        <v>4716</v>
      </c>
      <c r="C4597" s="14" t="s">
        <v>13029</v>
      </c>
      <c r="D4597" s="15">
        <v>21.79</v>
      </c>
      <c r="E4597" s="16" t="s">
        <v>30</v>
      </c>
    </row>
    <row r="4598" spans="1:5" x14ac:dyDescent="0.25">
      <c r="A4598" s="14">
        <v>789176</v>
      </c>
      <c r="B4598" s="14" t="s">
        <v>4717</v>
      </c>
      <c r="C4598" s="14" t="s">
        <v>13029</v>
      </c>
      <c r="D4598" s="15">
        <v>20.329999999999998</v>
      </c>
      <c r="E4598" s="16" t="s">
        <v>30</v>
      </c>
    </row>
    <row r="4599" spans="1:5" x14ac:dyDescent="0.25">
      <c r="A4599" s="14">
        <v>789715</v>
      </c>
      <c r="B4599" s="14" t="s">
        <v>4718</v>
      </c>
      <c r="C4599" s="14" t="s">
        <v>13031</v>
      </c>
      <c r="D4599" s="15">
        <v>3.92</v>
      </c>
      <c r="E4599" s="16" t="s">
        <v>30</v>
      </c>
    </row>
    <row r="4600" spans="1:5" x14ac:dyDescent="0.25">
      <c r="A4600" s="14">
        <v>789721</v>
      </c>
      <c r="B4600" s="14" t="s">
        <v>4719</v>
      </c>
      <c r="C4600" s="14" t="s">
        <v>13031</v>
      </c>
      <c r="D4600" s="15">
        <v>12.11</v>
      </c>
      <c r="E4600" s="16" t="s">
        <v>30</v>
      </c>
    </row>
    <row r="4601" spans="1:5" x14ac:dyDescent="0.25">
      <c r="A4601" s="14">
        <v>789727</v>
      </c>
      <c r="B4601" s="14" t="s">
        <v>4720</v>
      </c>
      <c r="C4601" s="14" t="s">
        <v>13031</v>
      </c>
      <c r="D4601" s="15">
        <v>9.0399999999999991</v>
      </c>
      <c r="E4601" s="16" t="s">
        <v>30</v>
      </c>
    </row>
    <row r="4602" spans="1:5" x14ac:dyDescent="0.25">
      <c r="A4602" s="14">
        <v>789728</v>
      </c>
      <c r="B4602" s="14" t="s">
        <v>4721</v>
      </c>
      <c r="C4602" s="14" t="s">
        <v>13031</v>
      </c>
      <c r="D4602" s="15">
        <v>14.17</v>
      </c>
      <c r="E4602" s="16" t="s">
        <v>30</v>
      </c>
    </row>
    <row r="4603" spans="1:5" x14ac:dyDescent="0.25">
      <c r="A4603" s="14">
        <v>789733</v>
      </c>
      <c r="B4603" s="14" t="s">
        <v>4722</v>
      </c>
      <c r="C4603" s="14" t="s">
        <v>13031</v>
      </c>
      <c r="D4603" s="15">
        <v>11.14</v>
      </c>
      <c r="E4603" s="16" t="s">
        <v>30</v>
      </c>
    </row>
    <row r="4604" spans="1:5" x14ac:dyDescent="0.25">
      <c r="A4604" s="14">
        <v>789788</v>
      </c>
      <c r="B4604" s="14" t="s">
        <v>4723</v>
      </c>
      <c r="C4604" s="14" t="s">
        <v>13031</v>
      </c>
      <c r="D4604" s="15">
        <v>2.83</v>
      </c>
      <c r="E4604" s="16" t="s">
        <v>30</v>
      </c>
    </row>
    <row r="4605" spans="1:5" x14ac:dyDescent="0.25">
      <c r="A4605" s="14">
        <v>789789</v>
      </c>
      <c r="B4605" s="14" t="s">
        <v>4724</v>
      </c>
      <c r="C4605" s="14" t="s">
        <v>13031</v>
      </c>
      <c r="D4605" s="15">
        <v>8.15</v>
      </c>
      <c r="E4605" s="16" t="s">
        <v>30</v>
      </c>
    </row>
    <row r="4606" spans="1:5" x14ac:dyDescent="0.25">
      <c r="A4606" s="14">
        <v>789790</v>
      </c>
      <c r="B4606" s="14" t="s">
        <v>4725</v>
      </c>
      <c r="C4606" s="14" t="s">
        <v>13031</v>
      </c>
      <c r="D4606" s="15">
        <v>8.15</v>
      </c>
      <c r="E4606" s="16" t="s">
        <v>30</v>
      </c>
    </row>
    <row r="4607" spans="1:5" x14ac:dyDescent="0.25">
      <c r="A4607" s="14">
        <v>789791</v>
      </c>
      <c r="B4607" s="14" t="s">
        <v>4726</v>
      </c>
      <c r="C4607" s="14" t="s">
        <v>13031</v>
      </c>
      <c r="D4607" s="15">
        <v>8.3000000000000007</v>
      </c>
      <c r="E4607" s="16" t="s">
        <v>30</v>
      </c>
    </row>
    <row r="4608" spans="1:5" x14ac:dyDescent="0.25">
      <c r="A4608" s="14">
        <v>789792</v>
      </c>
      <c r="B4608" s="14" t="s">
        <v>4727</v>
      </c>
      <c r="C4608" s="14" t="s">
        <v>13031</v>
      </c>
      <c r="D4608" s="15">
        <v>10.47</v>
      </c>
      <c r="E4608" s="16" t="s">
        <v>30</v>
      </c>
    </row>
    <row r="4609" spans="1:5" x14ac:dyDescent="0.25">
      <c r="A4609" s="14">
        <v>789793</v>
      </c>
      <c r="B4609" s="14" t="s">
        <v>4728</v>
      </c>
      <c r="C4609" s="14" t="s">
        <v>13031</v>
      </c>
      <c r="D4609" s="15">
        <v>8.4600000000000009</v>
      </c>
      <c r="E4609" s="16" t="s">
        <v>30</v>
      </c>
    </row>
    <row r="4610" spans="1:5" x14ac:dyDescent="0.25">
      <c r="A4610" s="14">
        <v>789794</v>
      </c>
      <c r="B4610" s="14" t="s">
        <v>4729</v>
      </c>
      <c r="C4610" s="14" t="s">
        <v>13031</v>
      </c>
      <c r="D4610" s="15">
        <v>8.9700000000000006</v>
      </c>
      <c r="E4610" s="16" t="s">
        <v>30</v>
      </c>
    </row>
    <row r="4611" spans="1:5" x14ac:dyDescent="0.25">
      <c r="A4611" s="14">
        <v>789795</v>
      </c>
      <c r="B4611" s="14" t="s">
        <v>4730</v>
      </c>
      <c r="C4611" s="14" t="s">
        <v>13031</v>
      </c>
      <c r="D4611" s="15">
        <v>5.5</v>
      </c>
      <c r="E4611" s="16" t="s">
        <v>30</v>
      </c>
    </row>
    <row r="4612" spans="1:5" x14ac:dyDescent="0.25">
      <c r="A4612" s="14">
        <v>789805</v>
      </c>
      <c r="B4612" s="14" t="s">
        <v>4731</v>
      </c>
      <c r="C4612" s="14" t="s">
        <v>13029</v>
      </c>
      <c r="D4612" s="15">
        <v>10.1</v>
      </c>
      <c r="E4612" s="16" t="s">
        <v>30</v>
      </c>
    </row>
    <row r="4613" spans="1:5" x14ac:dyDescent="0.25">
      <c r="A4613" s="14">
        <v>789980</v>
      </c>
      <c r="B4613" s="14" t="s">
        <v>4732</v>
      </c>
      <c r="C4613" s="14" t="s">
        <v>13029</v>
      </c>
      <c r="D4613" s="15">
        <v>9.19</v>
      </c>
      <c r="E4613" s="16" t="s">
        <v>30</v>
      </c>
    </row>
    <row r="4614" spans="1:5" x14ac:dyDescent="0.25">
      <c r="A4614" s="14">
        <v>789988</v>
      </c>
      <c r="B4614" s="14" t="s">
        <v>4733</v>
      </c>
      <c r="C4614" s="14" t="s">
        <v>13031</v>
      </c>
      <c r="D4614" s="15">
        <v>13.5</v>
      </c>
      <c r="E4614" s="16" t="s">
        <v>30</v>
      </c>
    </row>
    <row r="4615" spans="1:5" x14ac:dyDescent="0.25">
      <c r="A4615" s="14">
        <v>789989</v>
      </c>
      <c r="B4615" s="14" t="s">
        <v>4734</v>
      </c>
      <c r="C4615" s="14" t="s">
        <v>13031</v>
      </c>
      <c r="D4615" s="15">
        <v>13.5</v>
      </c>
      <c r="E4615" s="16" t="s">
        <v>30</v>
      </c>
    </row>
    <row r="4616" spans="1:5" x14ac:dyDescent="0.25">
      <c r="A4616" s="14">
        <v>789990</v>
      </c>
      <c r="B4616" s="14" t="s">
        <v>4735</v>
      </c>
      <c r="C4616" s="14" t="s">
        <v>13031</v>
      </c>
      <c r="D4616" s="15">
        <v>13.5</v>
      </c>
      <c r="E4616" s="16" t="s">
        <v>30</v>
      </c>
    </row>
    <row r="4617" spans="1:5" x14ac:dyDescent="0.25">
      <c r="A4617" s="14">
        <v>791327</v>
      </c>
      <c r="B4617" s="14" t="s">
        <v>4736</v>
      </c>
      <c r="C4617" s="14" t="s">
        <v>13030</v>
      </c>
      <c r="D4617" s="15">
        <v>76.14</v>
      </c>
      <c r="E4617" s="16" t="s">
        <v>30</v>
      </c>
    </row>
    <row r="4618" spans="1:5" x14ac:dyDescent="0.25">
      <c r="A4618" s="14">
        <v>791328</v>
      </c>
      <c r="B4618" s="14" t="s">
        <v>4737</v>
      </c>
      <c r="C4618" s="14" t="s">
        <v>13030</v>
      </c>
      <c r="D4618" s="15">
        <v>64.69</v>
      </c>
      <c r="E4618" s="16" t="s">
        <v>30</v>
      </c>
    </row>
    <row r="4619" spans="1:5" x14ac:dyDescent="0.25">
      <c r="A4619" s="14">
        <v>791489</v>
      </c>
      <c r="B4619" s="14" t="s">
        <v>4738</v>
      </c>
      <c r="C4619" s="14" t="s">
        <v>13031</v>
      </c>
      <c r="D4619" s="15">
        <v>7</v>
      </c>
      <c r="E4619" s="16" t="s">
        <v>30</v>
      </c>
    </row>
    <row r="4620" spans="1:5" x14ac:dyDescent="0.25">
      <c r="A4620" s="14">
        <v>791581</v>
      </c>
      <c r="B4620" s="14" t="s">
        <v>4739</v>
      </c>
      <c r="C4620" s="14" t="s">
        <v>13029</v>
      </c>
      <c r="D4620" s="15">
        <v>11.7</v>
      </c>
      <c r="E4620" s="16" t="s">
        <v>30</v>
      </c>
    </row>
    <row r="4621" spans="1:5" x14ac:dyDescent="0.25">
      <c r="A4621" s="14">
        <v>791615</v>
      </c>
      <c r="B4621" s="14" t="s">
        <v>4740</v>
      </c>
      <c r="C4621" s="14" t="s">
        <v>13034</v>
      </c>
      <c r="D4621" s="15">
        <v>7.3</v>
      </c>
      <c r="E4621" s="16" t="s">
        <v>30</v>
      </c>
    </row>
    <row r="4622" spans="1:5" x14ac:dyDescent="0.25">
      <c r="A4622" s="14">
        <v>791616</v>
      </c>
      <c r="B4622" s="14" t="s">
        <v>4741</v>
      </c>
      <c r="C4622" s="14" t="s">
        <v>13034</v>
      </c>
      <c r="D4622" s="15">
        <v>21.2</v>
      </c>
      <c r="E4622" s="16" t="s">
        <v>30</v>
      </c>
    </row>
    <row r="4623" spans="1:5" x14ac:dyDescent="0.25">
      <c r="A4623" s="14">
        <v>791617</v>
      </c>
      <c r="B4623" s="14" t="s">
        <v>4742</v>
      </c>
      <c r="C4623" s="14" t="s">
        <v>13034</v>
      </c>
      <c r="D4623" s="15">
        <v>10.199999999999999</v>
      </c>
      <c r="E4623" s="16" t="s">
        <v>30</v>
      </c>
    </row>
    <row r="4624" spans="1:5" x14ac:dyDescent="0.25">
      <c r="A4624" s="14">
        <v>791618</v>
      </c>
      <c r="B4624" s="14" t="s">
        <v>4743</v>
      </c>
      <c r="C4624" s="14" t="s">
        <v>13034</v>
      </c>
      <c r="D4624" s="15">
        <v>9.25</v>
      </c>
      <c r="E4624" s="16" t="s">
        <v>30</v>
      </c>
    </row>
    <row r="4625" spans="1:5" x14ac:dyDescent="0.25">
      <c r="A4625" s="14">
        <v>791619</v>
      </c>
      <c r="B4625" s="14" t="s">
        <v>4744</v>
      </c>
      <c r="C4625" s="14" t="s">
        <v>13034</v>
      </c>
      <c r="D4625" s="15">
        <v>13.25</v>
      </c>
      <c r="E4625" s="16" t="s">
        <v>30</v>
      </c>
    </row>
    <row r="4626" spans="1:5" x14ac:dyDescent="0.25">
      <c r="A4626" s="14">
        <v>791620</v>
      </c>
      <c r="B4626" s="14" t="s">
        <v>4745</v>
      </c>
      <c r="C4626" s="14" t="s">
        <v>13034</v>
      </c>
      <c r="D4626" s="15">
        <v>16.95</v>
      </c>
      <c r="E4626" s="16" t="s">
        <v>30</v>
      </c>
    </row>
    <row r="4627" spans="1:5" x14ac:dyDescent="0.25">
      <c r="A4627" s="14">
        <v>791642</v>
      </c>
      <c r="B4627" s="14" t="s">
        <v>4746</v>
      </c>
      <c r="C4627" s="14" t="s">
        <v>13029</v>
      </c>
      <c r="D4627" s="15">
        <v>8.23</v>
      </c>
      <c r="E4627" s="16" t="s">
        <v>30</v>
      </c>
    </row>
    <row r="4628" spans="1:5" x14ac:dyDescent="0.25">
      <c r="A4628" s="14">
        <v>791643</v>
      </c>
      <c r="B4628" s="14" t="s">
        <v>4747</v>
      </c>
      <c r="C4628" s="14" t="s">
        <v>13029</v>
      </c>
      <c r="D4628" s="15">
        <v>5.87</v>
      </c>
      <c r="E4628" s="16" t="s">
        <v>30</v>
      </c>
    </row>
    <row r="4629" spans="1:5" x14ac:dyDescent="0.25">
      <c r="A4629" s="14">
        <v>791645</v>
      </c>
      <c r="B4629" s="14" t="s">
        <v>4748</v>
      </c>
      <c r="C4629" s="14" t="s">
        <v>13029</v>
      </c>
      <c r="D4629" s="15">
        <v>6.47</v>
      </c>
      <c r="E4629" s="16" t="s">
        <v>30</v>
      </c>
    </row>
    <row r="4630" spans="1:5" x14ac:dyDescent="0.25">
      <c r="A4630" s="14">
        <v>791651</v>
      </c>
      <c r="B4630" s="14" t="s">
        <v>4749</v>
      </c>
      <c r="C4630" s="14" t="s">
        <v>13031</v>
      </c>
      <c r="D4630" s="15">
        <v>2.08</v>
      </c>
      <c r="E4630" s="16" t="s">
        <v>30</v>
      </c>
    </row>
    <row r="4631" spans="1:5" x14ac:dyDescent="0.25">
      <c r="A4631" s="14">
        <v>791652</v>
      </c>
      <c r="B4631" s="14" t="s">
        <v>4750</v>
      </c>
      <c r="C4631" s="14" t="s">
        <v>13031</v>
      </c>
      <c r="D4631" s="15">
        <v>2.2999999999999998</v>
      </c>
      <c r="E4631" s="16" t="s">
        <v>30</v>
      </c>
    </row>
    <row r="4632" spans="1:5" x14ac:dyDescent="0.25">
      <c r="A4632" s="14">
        <v>791752</v>
      </c>
      <c r="B4632" s="14" t="s">
        <v>4751</v>
      </c>
      <c r="C4632" s="14" t="s">
        <v>13031</v>
      </c>
      <c r="D4632" s="15">
        <v>36.5</v>
      </c>
      <c r="E4632" s="16" t="s">
        <v>30</v>
      </c>
    </row>
    <row r="4633" spans="1:5" x14ac:dyDescent="0.25">
      <c r="A4633" s="14">
        <v>791779</v>
      </c>
      <c r="B4633" s="14" t="s">
        <v>4752</v>
      </c>
      <c r="C4633" s="14" t="s">
        <v>13031</v>
      </c>
      <c r="D4633" s="15">
        <v>6.49</v>
      </c>
      <c r="E4633" s="16" t="s">
        <v>30</v>
      </c>
    </row>
    <row r="4634" spans="1:5" x14ac:dyDescent="0.25">
      <c r="A4634" s="14">
        <v>791780</v>
      </c>
      <c r="B4634" s="14" t="s">
        <v>4753</v>
      </c>
      <c r="C4634" s="14" t="s">
        <v>13031</v>
      </c>
      <c r="D4634" s="15">
        <v>8.8000000000000007</v>
      </c>
      <c r="E4634" s="16" t="s">
        <v>30</v>
      </c>
    </row>
    <row r="4635" spans="1:5" x14ac:dyDescent="0.25">
      <c r="A4635" s="14">
        <v>792165</v>
      </c>
      <c r="B4635" s="14" t="s">
        <v>4754</v>
      </c>
      <c r="C4635" s="14" t="s">
        <v>13029</v>
      </c>
      <c r="D4635" s="15">
        <v>58.05</v>
      </c>
      <c r="E4635" s="14" t="s">
        <v>30</v>
      </c>
    </row>
    <row r="4636" spans="1:5" x14ac:dyDescent="0.25">
      <c r="A4636" s="14">
        <v>792219</v>
      </c>
      <c r="B4636" s="14" t="s">
        <v>4755</v>
      </c>
      <c r="C4636" s="14" t="s">
        <v>13029</v>
      </c>
      <c r="D4636" s="15">
        <v>37.880000000000003</v>
      </c>
      <c r="E4636" s="16" t="s">
        <v>30</v>
      </c>
    </row>
    <row r="4637" spans="1:5" x14ac:dyDescent="0.25">
      <c r="A4637" s="14">
        <v>792220</v>
      </c>
      <c r="B4637" s="14" t="s">
        <v>4756</v>
      </c>
      <c r="C4637" s="14" t="s">
        <v>13029</v>
      </c>
      <c r="D4637" s="15">
        <v>36.72</v>
      </c>
      <c r="E4637" s="14" t="s">
        <v>30</v>
      </c>
    </row>
    <row r="4638" spans="1:5" x14ac:dyDescent="0.25">
      <c r="A4638" s="14">
        <v>792227</v>
      </c>
      <c r="B4638" s="14" t="s">
        <v>4757</v>
      </c>
      <c r="C4638" s="14" t="s">
        <v>13029</v>
      </c>
      <c r="D4638" s="15">
        <v>27.27</v>
      </c>
      <c r="E4638" s="16" t="s">
        <v>30</v>
      </c>
    </row>
    <row r="4639" spans="1:5" x14ac:dyDescent="0.25">
      <c r="A4639" s="14">
        <v>792281</v>
      </c>
      <c r="B4639" s="14" t="s">
        <v>4758</v>
      </c>
      <c r="C4639" s="14" t="s">
        <v>13031</v>
      </c>
      <c r="D4639" s="15">
        <v>7.37</v>
      </c>
      <c r="E4639" s="16" t="s">
        <v>30</v>
      </c>
    </row>
    <row r="4640" spans="1:5" x14ac:dyDescent="0.25">
      <c r="A4640" s="14">
        <v>792330</v>
      </c>
      <c r="B4640" s="14" t="s">
        <v>4759</v>
      </c>
      <c r="C4640" s="14" t="s">
        <v>13029</v>
      </c>
      <c r="D4640" s="15">
        <v>11.81</v>
      </c>
      <c r="E4640" s="16" t="s">
        <v>30</v>
      </c>
    </row>
    <row r="4641" spans="1:5" x14ac:dyDescent="0.25">
      <c r="A4641" s="14">
        <v>792332</v>
      </c>
      <c r="B4641" s="14" t="s">
        <v>4760</v>
      </c>
      <c r="C4641" s="14" t="s">
        <v>13029</v>
      </c>
      <c r="D4641" s="15">
        <v>11.81</v>
      </c>
      <c r="E4641" s="16" t="s">
        <v>30</v>
      </c>
    </row>
    <row r="4642" spans="1:5" x14ac:dyDescent="0.25">
      <c r="A4642" s="14">
        <v>792337</v>
      </c>
      <c r="B4642" s="14" t="s">
        <v>4761</v>
      </c>
      <c r="C4642" s="14" t="s">
        <v>13029</v>
      </c>
      <c r="D4642" s="15">
        <v>51</v>
      </c>
      <c r="E4642" s="16" t="s">
        <v>30</v>
      </c>
    </row>
    <row r="4643" spans="1:5" x14ac:dyDescent="0.25">
      <c r="A4643" s="14">
        <v>792354</v>
      </c>
      <c r="B4643" s="14" t="s">
        <v>4762</v>
      </c>
      <c r="C4643" s="14" t="s">
        <v>13030</v>
      </c>
      <c r="D4643" s="15">
        <v>8.9700000000000006</v>
      </c>
      <c r="E4643" s="16" t="s">
        <v>30</v>
      </c>
    </row>
    <row r="4644" spans="1:5" x14ac:dyDescent="0.25">
      <c r="A4644" s="14">
        <v>792365</v>
      </c>
      <c r="B4644" s="14" t="s">
        <v>4763</v>
      </c>
      <c r="C4644" s="14" t="s">
        <v>13029</v>
      </c>
      <c r="D4644" s="15">
        <v>4.09</v>
      </c>
      <c r="E4644" s="16" t="s">
        <v>30</v>
      </c>
    </row>
    <row r="4645" spans="1:5" x14ac:dyDescent="0.25">
      <c r="A4645" s="14">
        <v>792390</v>
      </c>
      <c r="B4645" s="14" t="s">
        <v>4764</v>
      </c>
      <c r="C4645" s="14" t="s">
        <v>13031</v>
      </c>
      <c r="D4645" s="15">
        <v>130.15</v>
      </c>
      <c r="E4645" s="16" t="s">
        <v>30</v>
      </c>
    </row>
    <row r="4646" spans="1:5" x14ac:dyDescent="0.25">
      <c r="A4646" s="14">
        <v>792482</v>
      </c>
      <c r="B4646" s="14" t="s">
        <v>4765</v>
      </c>
      <c r="C4646" s="14" t="s">
        <v>13031</v>
      </c>
      <c r="D4646" s="15">
        <v>46.4</v>
      </c>
      <c r="E4646" s="16" t="s">
        <v>30</v>
      </c>
    </row>
    <row r="4647" spans="1:5" x14ac:dyDescent="0.25">
      <c r="A4647" s="14">
        <v>792553</v>
      </c>
      <c r="B4647" s="14" t="s">
        <v>4766</v>
      </c>
      <c r="C4647" s="14" t="s">
        <v>13031</v>
      </c>
      <c r="D4647" s="15">
        <v>14.03</v>
      </c>
      <c r="E4647" s="16" t="s">
        <v>30</v>
      </c>
    </row>
    <row r="4648" spans="1:5" x14ac:dyDescent="0.25">
      <c r="A4648" s="14">
        <v>792810</v>
      </c>
      <c r="B4648" s="14" t="s">
        <v>4767</v>
      </c>
      <c r="C4648" s="14" t="s">
        <v>13029</v>
      </c>
      <c r="D4648" s="15">
        <v>3.45</v>
      </c>
      <c r="E4648" s="16" t="s">
        <v>30</v>
      </c>
    </row>
    <row r="4649" spans="1:5" x14ac:dyDescent="0.25">
      <c r="A4649" s="14">
        <v>792811</v>
      </c>
      <c r="B4649" s="14" t="s">
        <v>4768</v>
      </c>
      <c r="C4649" s="14" t="s">
        <v>13029</v>
      </c>
      <c r="D4649" s="15">
        <v>149.16</v>
      </c>
      <c r="E4649" s="16" t="s">
        <v>30</v>
      </c>
    </row>
    <row r="4650" spans="1:5" x14ac:dyDescent="0.25">
      <c r="A4650" s="14">
        <v>792937</v>
      </c>
      <c r="B4650" s="14" t="s">
        <v>4769</v>
      </c>
      <c r="C4650" s="14" t="s">
        <v>13030</v>
      </c>
      <c r="D4650" s="15">
        <v>20.27</v>
      </c>
      <c r="E4650" s="16" t="s">
        <v>30</v>
      </c>
    </row>
    <row r="4651" spans="1:5" x14ac:dyDescent="0.25">
      <c r="A4651" s="14">
        <v>792938</v>
      </c>
      <c r="B4651" s="14" t="s">
        <v>4770</v>
      </c>
      <c r="C4651" s="14" t="s">
        <v>13030</v>
      </c>
      <c r="D4651" s="15">
        <v>24.25</v>
      </c>
      <c r="E4651" s="16" t="s">
        <v>30</v>
      </c>
    </row>
    <row r="4652" spans="1:5" x14ac:dyDescent="0.25">
      <c r="A4652" s="14">
        <v>792939</v>
      </c>
      <c r="B4652" s="14" t="s">
        <v>4771</v>
      </c>
      <c r="C4652" s="14" t="s">
        <v>13030</v>
      </c>
      <c r="D4652" s="15">
        <v>17.739999999999998</v>
      </c>
      <c r="E4652" s="16" t="s">
        <v>30</v>
      </c>
    </row>
    <row r="4653" spans="1:5" x14ac:dyDescent="0.25">
      <c r="A4653" s="14">
        <v>793070</v>
      </c>
      <c r="B4653" s="14" t="s">
        <v>4772</v>
      </c>
      <c r="C4653" s="14" t="s">
        <v>13029</v>
      </c>
      <c r="D4653" s="15">
        <v>11.8</v>
      </c>
      <c r="E4653" s="16" t="s">
        <v>30</v>
      </c>
    </row>
    <row r="4654" spans="1:5" x14ac:dyDescent="0.25">
      <c r="A4654" s="14">
        <v>793071</v>
      </c>
      <c r="B4654" s="14" t="s">
        <v>4773</v>
      </c>
      <c r="C4654" s="14" t="s">
        <v>13029</v>
      </c>
      <c r="D4654" s="15">
        <v>8.25</v>
      </c>
      <c r="E4654" s="16" t="s">
        <v>30</v>
      </c>
    </row>
    <row r="4655" spans="1:5" x14ac:dyDescent="0.25">
      <c r="A4655" s="14">
        <v>793072</v>
      </c>
      <c r="B4655" s="14" t="s">
        <v>4774</v>
      </c>
      <c r="C4655" s="14" t="s">
        <v>13029</v>
      </c>
      <c r="D4655" s="15">
        <v>10.02</v>
      </c>
      <c r="E4655" s="16" t="s">
        <v>30</v>
      </c>
    </row>
    <row r="4656" spans="1:5" x14ac:dyDescent="0.25">
      <c r="A4656" s="14">
        <v>793142</v>
      </c>
      <c r="B4656" s="14" t="s">
        <v>4775</v>
      </c>
      <c r="C4656" s="14" t="s">
        <v>13031</v>
      </c>
      <c r="D4656" s="15">
        <v>48</v>
      </c>
      <c r="E4656" s="16" t="s">
        <v>30</v>
      </c>
    </row>
    <row r="4657" spans="1:5" x14ac:dyDescent="0.25">
      <c r="A4657" s="14">
        <v>793143</v>
      </c>
      <c r="B4657" s="14" t="s">
        <v>4776</v>
      </c>
      <c r="C4657" s="14" t="s">
        <v>13031</v>
      </c>
      <c r="D4657" s="15">
        <v>22.96</v>
      </c>
      <c r="E4657" s="16" t="s">
        <v>30</v>
      </c>
    </row>
    <row r="4658" spans="1:5" x14ac:dyDescent="0.25">
      <c r="A4658" s="14">
        <v>793194</v>
      </c>
      <c r="B4658" s="14" t="s">
        <v>4777</v>
      </c>
      <c r="C4658" s="14" t="s">
        <v>13029</v>
      </c>
      <c r="D4658" s="15">
        <v>12.85</v>
      </c>
      <c r="E4658" s="14" t="s">
        <v>30</v>
      </c>
    </row>
    <row r="4659" spans="1:5" x14ac:dyDescent="0.25">
      <c r="A4659" s="14">
        <v>793257</v>
      </c>
      <c r="B4659" s="14" t="s">
        <v>4778</v>
      </c>
      <c r="C4659" s="14" t="s">
        <v>13031</v>
      </c>
      <c r="D4659" s="15">
        <v>3.9</v>
      </c>
      <c r="E4659" s="16" t="s">
        <v>30</v>
      </c>
    </row>
    <row r="4660" spans="1:5" x14ac:dyDescent="0.25">
      <c r="A4660" s="14">
        <v>793258</v>
      </c>
      <c r="B4660" s="14" t="s">
        <v>4779</v>
      </c>
      <c r="C4660" s="14" t="s">
        <v>13031</v>
      </c>
      <c r="D4660" s="15">
        <v>3.9</v>
      </c>
      <c r="E4660" s="16" t="s">
        <v>30</v>
      </c>
    </row>
    <row r="4661" spans="1:5" x14ac:dyDescent="0.25">
      <c r="A4661" s="14">
        <v>793274</v>
      </c>
      <c r="B4661" s="14" t="s">
        <v>4780</v>
      </c>
      <c r="C4661" s="14" t="s">
        <v>13029</v>
      </c>
      <c r="D4661" s="15">
        <v>593.20000000000005</v>
      </c>
      <c r="E4661" s="16" t="s">
        <v>30</v>
      </c>
    </row>
    <row r="4662" spans="1:5" x14ac:dyDescent="0.25">
      <c r="A4662" s="14">
        <v>793275</v>
      </c>
      <c r="B4662" s="14" t="s">
        <v>4781</v>
      </c>
      <c r="C4662" s="14" t="s">
        <v>13029</v>
      </c>
      <c r="D4662" s="15">
        <v>474.6</v>
      </c>
      <c r="E4662" s="16" t="s">
        <v>30</v>
      </c>
    </row>
    <row r="4663" spans="1:5" x14ac:dyDescent="0.25">
      <c r="A4663" s="14">
        <v>793276</v>
      </c>
      <c r="B4663" s="14" t="s">
        <v>4782</v>
      </c>
      <c r="C4663" s="14" t="s">
        <v>13029</v>
      </c>
      <c r="D4663" s="15">
        <v>427.14</v>
      </c>
      <c r="E4663" s="16" t="s">
        <v>30</v>
      </c>
    </row>
    <row r="4664" spans="1:5" x14ac:dyDescent="0.25">
      <c r="A4664" s="14">
        <v>793277</v>
      </c>
      <c r="B4664" s="14" t="s">
        <v>4783</v>
      </c>
      <c r="C4664" s="14" t="s">
        <v>13029</v>
      </c>
      <c r="D4664" s="15">
        <v>622.86</v>
      </c>
      <c r="E4664" s="16" t="s">
        <v>30</v>
      </c>
    </row>
    <row r="4665" spans="1:5" x14ac:dyDescent="0.25">
      <c r="A4665" s="14">
        <v>793278</v>
      </c>
      <c r="B4665" s="14" t="s">
        <v>4784</v>
      </c>
      <c r="C4665" s="14" t="s">
        <v>13029</v>
      </c>
      <c r="D4665" s="15">
        <v>830.48</v>
      </c>
      <c r="E4665" s="16" t="s">
        <v>30</v>
      </c>
    </row>
    <row r="4666" spans="1:5" x14ac:dyDescent="0.25">
      <c r="A4666" s="14">
        <v>793676</v>
      </c>
      <c r="B4666" s="14" t="s">
        <v>4785</v>
      </c>
      <c r="C4666" s="14" t="s">
        <v>13029</v>
      </c>
      <c r="D4666" s="15">
        <v>14.19</v>
      </c>
      <c r="E4666" s="16" t="s">
        <v>30</v>
      </c>
    </row>
    <row r="4667" spans="1:5" x14ac:dyDescent="0.25">
      <c r="A4667" s="14">
        <v>793677</v>
      </c>
      <c r="B4667" s="14" t="s">
        <v>4786</v>
      </c>
      <c r="C4667" s="14" t="s">
        <v>13029</v>
      </c>
      <c r="D4667" s="15">
        <v>14.19</v>
      </c>
      <c r="E4667" s="16" t="s">
        <v>30</v>
      </c>
    </row>
    <row r="4668" spans="1:5" x14ac:dyDescent="0.25">
      <c r="A4668" s="14">
        <v>793683</v>
      </c>
      <c r="B4668" s="14" t="s">
        <v>4787</v>
      </c>
      <c r="C4668" s="14" t="s">
        <v>13029</v>
      </c>
      <c r="D4668" s="15">
        <v>10.86</v>
      </c>
      <c r="E4668" s="16" t="s">
        <v>30</v>
      </c>
    </row>
    <row r="4669" spans="1:5" x14ac:dyDescent="0.25">
      <c r="A4669" s="14">
        <v>793684</v>
      </c>
      <c r="B4669" s="14" t="s">
        <v>4788</v>
      </c>
      <c r="C4669" s="14" t="s">
        <v>13029</v>
      </c>
      <c r="D4669" s="15">
        <v>10.86</v>
      </c>
      <c r="E4669" s="16" t="s">
        <v>30</v>
      </c>
    </row>
    <row r="4670" spans="1:5" x14ac:dyDescent="0.25">
      <c r="A4670" s="14">
        <v>793690</v>
      </c>
      <c r="B4670" s="14" t="s">
        <v>4789</v>
      </c>
      <c r="C4670" s="14" t="s">
        <v>13029</v>
      </c>
      <c r="D4670" s="15">
        <v>13.76</v>
      </c>
      <c r="E4670" s="16" t="s">
        <v>30</v>
      </c>
    </row>
    <row r="4671" spans="1:5" x14ac:dyDescent="0.25">
      <c r="A4671" s="14">
        <v>793694</v>
      </c>
      <c r="B4671" s="14" t="s">
        <v>4790</v>
      </c>
      <c r="C4671" s="14" t="s">
        <v>13029</v>
      </c>
      <c r="D4671" s="15">
        <v>13.65</v>
      </c>
      <c r="E4671" s="16" t="s">
        <v>30</v>
      </c>
    </row>
    <row r="4672" spans="1:5" x14ac:dyDescent="0.25">
      <c r="A4672" s="14">
        <v>793695</v>
      </c>
      <c r="B4672" s="14" t="s">
        <v>4791</v>
      </c>
      <c r="C4672" s="14" t="s">
        <v>13029</v>
      </c>
      <c r="D4672" s="15">
        <v>39.68</v>
      </c>
      <c r="E4672" s="16" t="s">
        <v>30</v>
      </c>
    </row>
    <row r="4673" spans="1:5" x14ac:dyDescent="0.25">
      <c r="A4673" s="14">
        <v>793696</v>
      </c>
      <c r="B4673" s="14" t="s">
        <v>4792</v>
      </c>
      <c r="C4673" s="14" t="s">
        <v>13029</v>
      </c>
      <c r="D4673" s="15">
        <v>39.68</v>
      </c>
      <c r="E4673" s="16" t="s">
        <v>30</v>
      </c>
    </row>
    <row r="4674" spans="1:5" x14ac:dyDescent="0.25">
      <c r="A4674" s="14">
        <v>793703</v>
      </c>
      <c r="B4674" s="14" t="s">
        <v>4793</v>
      </c>
      <c r="C4674" s="14" t="s">
        <v>13031</v>
      </c>
      <c r="D4674" s="15">
        <v>8.5</v>
      </c>
      <c r="E4674" s="16" t="s">
        <v>30</v>
      </c>
    </row>
    <row r="4675" spans="1:5" x14ac:dyDescent="0.25">
      <c r="A4675" s="14">
        <v>793704</v>
      </c>
      <c r="B4675" s="14" t="s">
        <v>4794</v>
      </c>
      <c r="C4675" s="14" t="s">
        <v>13031</v>
      </c>
      <c r="D4675" s="15">
        <v>11.2</v>
      </c>
      <c r="E4675" s="16" t="s">
        <v>30</v>
      </c>
    </row>
    <row r="4676" spans="1:5" x14ac:dyDescent="0.25">
      <c r="A4676" s="14">
        <v>793705</v>
      </c>
      <c r="B4676" s="14" t="s">
        <v>4795</v>
      </c>
      <c r="C4676" s="14" t="s">
        <v>13031</v>
      </c>
      <c r="D4676" s="15">
        <v>6.35</v>
      </c>
      <c r="E4676" s="16" t="s">
        <v>30</v>
      </c>
    </row>
    <row r="4677" spans="1:5" x14ac:dyDescent="0.25">
      <c r="A4677" s="14">
        <v>793706</v>
      </c>
      <c r="B4677" s="14" t="s">
        <v>4796</v>
      </c>
      <c r="C4677" s="14" t="s">
        <v>13031</v>
      </c>
      <c r="D4677" s="15">
        <v>6.2</v>
      </c>
      <c r="E4677" s="16" t="s">
        <v>30</v>
      </c>
    </row>
    <row r="4678" spans="1:5" x14ac:dyDescent="0.25">
      <c r="A4678" s="14">
        <v>793707</v>
      </c>
      <c r="B4678" s="14" t="s">
        <v>4797</v>
      </c>
      <c r="C4678" s="14" t="s">
        <v>13031</v>
      </c>
      <c r="D4678" s="15">
        <v>10.15</v>
      </c>
      <c r="E4678" s="16" t="s">
        <v>30</v>
      </c>
    </row>
    <row r="4679" spans="1:5" x14ac:dyDescent="0.25">
      <c r="A4679" s="14">
        <v>793709</v>
      </c>
      <c r="B4679" s="14" t="s">
        <v>4798</v>
      </c>
      <c r="C4679" s="14" t="s">
        <v>13031</v>
      </c>
      <c r="D4679" s="15">
        <v>5.65</v>
      </c>
      <c r="E4679" s="16" t="s">
        <v>30</v>
      </c>
    </row>
    <row r="4680" spans="1:5" x14ac:dyDescent="0.25">
      <c r="A4680" s="14">
        <v>793711</v>
      </c>
      <c r="B4680" s="14" t="s">
        <v>4799</v>
      </c>
      <c r="C4680" s="14" t="s">
        <v>13031</v>
      </c>
      <c r="D4680" s="15">
        <v>11</v>
      </c>
      <c r="E4680" s="16" t="s">
        <v>30</v>
      </c>
    </row>
    <row r="4681" spans="1:5" x14ac:dyDescent="0.25">
      <c r="A4681" s="14">
        <v>793712</v>
      </c>
      <c r="B4681" s="14" t="s">
        <v>4800</v>
      </c>
      <c r="C4681" s="14" t="s">
        <v>13031</v>
      </c>
      <c r="D4681" s="15">
        <v>6.9</v>
      </c>
      <c r="E4681" s="16" t="s">
        <v>30</v>
      </c>
    </row>
    <row r="4682" spans="1:5" x14ac:dyDescent="0.25">
      <c r="A4682" s="14">
        <v>793713</v>
      </c>
      <c r="B4682" s="14" t="s">
        <v>4801</v>
      </c>
      <c r="C4682" s="14" t="s">
        <v>13031</v>
      </c>
      <c r="D4682" s="15">
        <v>10.15</v>
      </c>
      <c r="E4682" s="16" t="s">
        <v>30</v>
      </c>
    </row>
    <row r="4683" spans="1:5" x14ac:dyDescent="0.25">
      <c r="A4683" s="14">
        <v>793718</v>
      </c>
      <c r="B4683" s="14" t="s">
        <v>4802</v>
      </c>
      <c r="C4683" s="14" t="s">
        <v>13029</v>
      </c>
      <c r="D4683" s="15">
        <v>13</v>
      </c>
      <c r="E4683" s="16" t="s">
        <v>30</v>
      </c>
    </row>
    <row r="4684" spans="1:5" x14ac:dyDescent="0.25">
      <c r="A4684" s="14">
        <v>793719</v>
      </c>
      <c r="B4684" s="14" t="s">
        <v>4803</v>
      </c>
      <c r="C4684" s="14" t="s">
        <v>13029</v>
      </c>
      <c r="D4684" s="15">
        <v>32.5</v>
      </c>
      <c r="E4684" s="16" t="s">
        <v>30</v>
      </c>
    </row>
    <row r="4685" spans="1:5" x14ac:dyDescent="0.25">
      <c r="A4685" s="14">
        <v>793722</v>
      </c>
      <c r="B4685" s="14" t="s">
        <v>4804</v>
      </c>
      <c r="C4685" s="14" t="s">
        <v>13036</v>
      </c>
      <c r="D4685" s="15">
        <v>22.25</v>
      </c>
      <c r="E4685" s="16" t="s">
        <v>30</v>
      </c>
    </row>
    <row r="4686" spans="1:5" x14ac:dyDescent="0.25">
      <c r="A4686" s="14">
        <v>793740</v>
      </c>
      <c r="B4686" s="14" t="s">
        <v>4805</v>
      </c>
      <c r="C4686" s="14" t="s">
        <v>13030</v>
      </c>
      <c r="D4686" s="15">
        <v>39.54</v>
      </c>
      <c r="E4686" s="16" t="s">
        <v>30</v>
      </c>
    </row>
    <row r="4687" spans="1:5" x14ac:dyDescent="0.25">
      <c r="A4687" s="14">
        <v>794234</v>
      </c>
      <c r="B4687" s="14" t="s">
        <v>4806</v>
      </c>
      <c r="C4687" s="14" t="s">
        <v>13029</v>
      </c>
      <c r="D4687" s="15">
        <v>4.12</v>
      </c>
      <c r="E4687" s="16" t="s">
        <v>30</v>
      </c>
    </row>
    <row r="4688" spans="1:5" x14ac:dyDescent="0.25">
      <c r="A4688" s="14">
        <v>794246</v>
      </c>
      <c r="B4688" s="14" t="s">
        <v>4807</v>
      </c>
      <c r="C4688" s="14" t="s">
        <v>13036</v>
      </c>
      <c r="D4688" s="15">
        <v>20.36</v>
      </c>
      <c r="E4688" s="16" t="s">
        <v>30</v>
      </c>
    </row>
    <row r="4689" spans="1:5" x14ac:dyDescent="0.25">
      <c r="A4689" s="14">
        <v>794247</v>
      </c>
      <c r="B4689" s="14" t="s">
        <v>4808</v>
      </c>
      <c r="C4689" s="14" t="s">
        <v>13036</v>
      </c>
      <c r="D4689" s="15">
        <v>19.41</v>
      </c>
      <c r="E4689" s="16" t="s">
        <v>30</v>
      </c>
    </row>
    <row r="4690" spans="1:5" x14ac:dyDescent="0.25">
      <c r="A4690" s="14">
        <v>794275</v>
      </c>
      <c r="B4690" s="14" t="s">
        <v>4809</v>
      </c>
      <c r="C4690" s="14" t="s">
        <v>13029</v>
      </c>
      <c r="D4690" s="15">
        <v>7.12</v>
      </c>
      <c r="E4690" s="16" t="s">
        <v>30</v>
      </c>
    </row>
    <row r="4691" spans="1:5" x14ac:dyDescent="0.25">
      <c r="A4691" s="14">
        <v>794317</v>
      </c>
      <c r="B4691" s="14" t="s">
        <v>4810</v>
      </c>
      <c r="C4691" s="14" t="s">
        <v>13030</v>
      </c>
      <c r="D4691" s="15">
        <v>16.62</v>
      </c>
      <c r="E4691" s="16" t="s">
        <v>30</v>
      </c>
    </row>
    <row r="4692" spans="1:5" x14ac:dyDescent="0.25">
      <c r="A4692" s="14">
        <v>794328</v>
      </c>
      <c r="B4692" s="14" t="s">
        <v>4811</v>
      </c>
      <c r="C4692" s="14" t="s">
        <v>13029</v>
      </c>
      <c r="D4692" s="15">
        <v>24.48</v>
      </c>
      <c r="E4692" s="16" t="s">
        <v>30</v>
      </c>
    </row>
    <row r="4693" spans="1:5" x14ac:dyDescent="0.25">
      <c r="A4693" s="14">
        <v>794357</v>
      </c>
      <c r="B4693" s="14" t="s">
        <v>4812</v>
      </c>
      <c r="C4693" s="14" t="s">
        <v>13031</v>
      </c>
      <c r="D4693" s="15">
        <v>14.8</v>
      </c>
      <c r="E4693" s="16" t="s">
        <v>30</v>
      </c>
    </row>
    <row r="4694" spans="1:5" x14ac:dyDescent="0.25">
      <c r="A4694" s="14">
        <v>794449</v>
      </c>
      <c r="B4694" s="14" t="s">
        <v>4813</v>
      </c>
      <c r="C4694" s="14" t="s">
        <v>13031</v>
      </c>
      <c r="D4694" s="15">
        <v>2.7</v>
      </c>
      <c r="E4694" s="16" t="s">
        <v>30</v>
      </c>
    </row>
    <row r="4695" spans="1:5" x14ac:dyDescent="0.25">
      <c r="A4695" s="14">
        <v>794450</v>
      </c>
      <c r="B4695" s="14" t="s">
        <v>4814</v>
      </c>
      <c r="C4695" s="14" t="s">
        <v>13031</v>
      </c>
      <c r="D4695" s="15">
        <v>2.7</v>
      </c>
      <c r="E4695" s="16" t="s">
        <v>30</v>
      </c>
    </row>
    <row r="4696" spans="1:5" x14ac:dyDescent="0.25">
      <c r="A4696" s="14">
        <v>757475</v>
      </c>
      <c r="B4696" s="14" t="s">
        <v>4815</v>
      </c>
      <c r="C4696" s="14" t="s">
        <v>13031</v>
      </c>
      <c r="D4696" s="15">
        <v>10.55</v>
      </c>
      <c r="E4696" s="16" t="s">
        <v>20</v>
      </c>
    </row>
    <row r="4697" spans="1:5" x14ac:dyDescent="0.25">
      <c r="A4697" s="14">
        <v>794451</v>
      </c>
      <c r="B4697" s="14" t="s">
        <v>4816</v>
      </c>
      <c r="C4697" s="14" t="s">
        <v>13031</v>
      </c>
      <c r="D4697" s="15">
        <v>2.7</v>
      </c>
      <c r="E4697" s="16" t="s">
        <v>30</v>
      </c>
    </row>
    <row r="4698" spans="1:5" x14ac:dyDescent="0.25">
      <c r="A4698" s="14">
        <v>794452</v>
      </c>
      <c r="B4698" s="14" t="s">
        <v>4817</v>
      </c>
      <c r="C4698" s="14" t="s">
        <v>13031</v>
      </c>
      <c r="D4698" s="15">
        <v>2.7</v>
      </c>
      <c r="E4698" s="16" t="s">
        <v>30</v>
      </c>
    </row>
    <row r="4699" spans="1:5" x14ac:dyDescent="0.25">
      <c r="A4699" s="14">
        <v>794453</v>
      </c>
      <c r="B4699" s="14" t="s">
        <v>4818</v>
      </c>
      <c r="C4699" s="14" t="s">
        <v>13031</v>
      </c>
      <c r="D4699" s="15">
        <v>2.7</v>
      </c>
      <c r="E4699" s="16" t="s">
        <v>30</v>
      </c>
    </row>
    <row r="4700" spans="1:5" x14ac:dyDescent="0.25">
      <c r="A4700" s="14">
        <v>794454</v>
      </c>
      <c r="B4700" s="14" t="s">
        <v>4819</v>
      </c>
      <c r="C4700" s="14" t="s">
        <v>13031</v>
      </c>
      <c r="D4700" s="15">
        <v>2.7</v>
      </c>
      <c r="E4700" s="16" t="s">
        <v>30</v>
      </c>
    </row>
    <row r="4701" spans="1:5" x14ac:dyDescent="0.25">
      <c r="A4701" s="14">
        <v>794455</v>
      </c>
      <c r="B4701" s="14" t="s">
        <v>4820</v>
      </c>
      <c r="C4701" s="14" t="s">
        <v>13031</v>
      </c>
      <c r="D4701" s="15">
        <v>2.57</v>
      </c>
      <c r="E4701" s="16" t="s">
        <v>30</v>
      </c>
    </row>
    <row r="4702" spans="1:5" x14ac:dyDescent="0.25">
      <c r="A4702" s="14">
        <v>794456</v>
      </c>
      <c r="B4702" s="14" t="s">
        <v>4821</v>
      </c>
      <c r="C4702" s="14" t="s">
        <v>13031</v>
      </c>
      <c r="D4702" s="15">
        <v>2.57</v>
      </c>
      <c r="E4702" s="16" t="s">
        <v>30</v>
      </c>
    </row>
    <row r="4703" spans="1:5" x14ac:dyDescent="0.25">
      <c r="A4703" s="14">
        <v>794457</v>
      </c>
      <c r="B4703" s="14" t="s">
        <v>4822</v>
      </c>
      <c r="C4703" s="14" t="s">
        <v>13031</v>
      </c>
      <c r="D4703" s="15">
        <v>2.2999999999999998</v>
      </c>
      <c r="E4703" s="16" t="s">
        <v>30</v>
      </c>
    </row>
    <row r="4704" spans="1:5" x14ac:dyDescent="0.25">
      <c r="A4704" s="14">
        <v>794458</v>
      </c>
      <c r="B4704" s="14" t="s">
        <v>4823</v>
      </c>
      <c r="C4704" s="14" t="s">
        <v>13031</v>
      </c>
      <c r="D4704" s="15">
        <v>2.2999999999999998</v>
      </c>
      <c r="E4704" s="16" t="s">
        <v>30</v>
      </c>
    </row>
    <row r="4705" spans="1:5" x14ac:dyDescent="0.25">
      <c r="A4705" s="14">
        <v>794459</v>
      </c>
      <c r="B4705" s="14" t="s">
        <v>4824</v>
      </c>
      <c r="C4705" s="14" t="s">
        <v>13031</v>
      </c>
      <c r="D4705" s="15">
        <v>2.2999999999999998</v>
      </c>
      <c r="E4705" s="16" t="s">
        <v>30</v>
      </c>
    </row>
    <row r="4706" spans="1:5" x14ac:dyDescent="0.25">
      <c r="A4706" s="14">
        <v>794460</v>
      </c>
      <c r="B4706" s="14" t="s">
        <v>4825</v>
      </c>
      <c r="C4706" s="14" t="s">
        <v>13031</v>
      </c>
      <c r="D4706" s="15">
        <v>5.47</v>
      </c>
      <c r="E4706" s="16" t="s">
        <v>30</v>
      </c>
    </row>
    <row r="4707" spans="1:5" x14ac:dyDescent="0.25">
      <c r="A4707" s="14">
        <v>770424</v>
      </c>
      <c r="B4707" s="14" t="s">
        <v>4826</v>
      </c>
      <c r="C4707" s="14" t="s">
        <v>13030</v>
      </c>
      <c r="D4707" s="15">
        <v>17.510000000000002</v>
      </c>
      <c r="E4707" s="16" t="s">
        <v>20</v>
      </c>
    </row>
    <row r="4708" spans="1:5" x14ac:dyDescent="0.25">
      <c r="A4708" s="14">
        <v>770529</v>
      </c>
      <c r="B4708" s="14" t="s">
        <v>4827</v>
      </c>
      <c r="C4708" s="14" t="s">
        <v>13030</v>
      </c>
      <c r="D4708" s="15">
        <v>17.98</v>
      </c>
      <c r="E4708" s="16" t="s">
        <v>20</v>
      </c>
    </row>
    <row r="4709" spans="1:5" x14ac:dyDescent="0.25">
      <c r="A4709" s="14">
        <v>770530</v>
      </c>
      <c r="B4709" s="14" t="s">
        <v>4828</v>
      </c>
      <c r="C4709" s="14" t="s">
        <v>13030</v>
      </c>
      <c r="D4709" s="15">
        <v>28.76</v>
      </c>
      <c r="E4709" s="16" t="s">
        <v>20</v>
      </c>
    </row>
    <row r="4710" spans="1:5" x14ac:dyDescent="0.25">
      <c r="A4710" s="14">
        <v>759409</v>
      </c>
      <c r="B4710" s="14" t="s">
        <v>4829</v>
      </c>
      <c r="C4710" s="14" t="s">
        <v>13031</v>
      </c>
      <c r="D4710" s="15">
        <v>11.55</v>
      </c>
      <c r="E4710" s="16" t="s">
        <v>20</v>
      </c>
    </row>
    <row r="4711" spans="1:5" x14ac:dyDescent="0.25">
      <c r="A4711" s="14">
        <v>794461</v>
      </c>
      <c r="B4711" s="14" t="s">
        <v>4830</v>
      </c>
      <c r="C4711" s="14" t="s">
        <v>13031</v>
      </c>
      <c r="D4711" s="15">
        <v>7.11</v>
      </c>
      <c r="E4711" s="16" t="s">
        <v>30</v>
      </c>
    </row>
    <row r="4712" spans="1:5" x14ac:dyDescent="0.25">
      <c r="A4712" s="14">
        <v>794462</v>
      </c>
      <c r="B4712" s="14" t="s">
        <v>4831</v>
      </c>
      <c r="C4712" s="14" t="s">
        <v>13031</v>
      </c>
      <c r="D4712" s="15">
        <v>2.7</v>
      </c>
      <c r="E4712" s="16" t="s">
        <v>30</v>
      </c>
    </row>
    <row r="4713" spans="1:5" x14ac:dyDescent="0.25">
      <c r="A4713" s="14">
        <v>794463</v>
      </c>
      <c r="B4713" s="14" t="s">
        <v>4832</v>
      </c>
      <c r="C4713" s="14" t="s">
        <v>13031</v>
      </c>
      <c r="D4713" s="15">
        <v>2.7</v>
      </c>
      <c r="E4713" s="16" t="s">
        <v>30</v>
      </c>
    </row>
    <row r="4714" spans="1:5" x14ac:dyDescent="0.25">
      <c r="A4714" s="14">
        <v>794480</v>
      </c>
      <c r="B4714" s="14" t="s">
        <v>4833</v>
      </c>
      <c r="C4714" s="14" t="s">
        <v>13029</v>
      </c>
      <c r="D4714" s="15">
        <v>11.25</v>
      </c>
      <c r="E4714" s="16" t="s">
        <v>30</v>
      </c>
    </row>
    <row r="4715" spans="1:5" x14ac:dyDescent="0.25">
      <c r="A4715" s="14">
        <v>794482</v>
      </c>
      <c r="B4715" s="14" t="s">
        <v>4834</v>
      </c>
      <c r="C4715" s="14" t="s">
        <v>13029</v>
      </c>
      <c r="D4715" s="15">
        <v>7.7</v>
      </c>
      <c r="E4715" s="16" t="s">
        <v>30</v>
      </c>
    </row>
    <row r="4716" spans="1:5" x14ac:dyDescent="0.25">
      <c r="A4716" s="14">
        <v>794837</v>
      </c>
      <c r="B4716" s="14" t="s">
        <v>4835</v>
      </c>
      <c r="C4716" s="14" t="s">
        <v>13029</v>
      </c>
      <c r="D4716" s="15">
        <v>97.2</v>
      </c>
      <c r="E4716" s="16" t="s">
        <v>30</v>
      </c>
    </row>
    <row r="4717" spans="1:5" x14ac:dyDescent="0.25">
      <c r="A4717" s="14">
        <v>794838</v>
      </c>
      <c r="B4717" s="14" t="s">
        <v>4836</v>
      </c>
      <c r="C4717" s="14" t="s">
        <v>13029</v>
      </c>
      <c r="D4717" s="15">
        <v>7.35</v>
      </c>
      <c r="E4717" s="16" t="s">
        <v>30</v>
      </c>
    </row>
    <row r="4718" spans="1:5" x14ac:dyDescent="0.25">
      <c r="A4718" s="14">
        <v>794839</v>
      </c>
      <c r="B4718" s="14" t="s">
        <v>4837</v>
      </c>
      <c r="C4718" s="14" t="s">
        <v>13029</v>
      </c>
      <c r="D4718" s="15">
        <v>8.36</v>
      </c>
      <c r="E4718" s="16" t="s">
        <v>30</v>
      </c>
    </row>
    <row r="4719" spans="1:5" x14ac:dyDescent="0.25">
      <c r="A4719" s="14">
        <v>794840</v>
      </c>
      <c r="B4719" s="14" t="s">
        <v>4838</v>
      </c>
      <c r="C4719" s="14" t="s">
        <v>13029</v>
      </c>
      <c r="D4719" s="15">
        <v>151.19999999999999</v>
      </c>
      <c r="E4719" s="16" t="s">
        <v>30</v>
      </c>
    </row>
    <row r="4720" spans="1:5" x14ac:dyDescent="0.25">
      <c r="A4720" s="14">
        <v>794841</v>
      </c>
      <c r="B4720" s="14" t="s">
        <v>4839</v>
      </c>
      <c r="C4720" s="14" t="s">
        <v>13029</v>
      </c>
      <c r="D4720" s="15">
        <v>9.0299999999999994</v>
      </c>
      <c r="E4720" s="16" t="s">
        <v>30</v>
      </c>
    </row>
    <row r="4721" spans="1:5" x14ac:dyDescent="0.25">
      <c r="A4721" s="14">
        <v>794842</v>
      </c>
      <c r="B4721" s="14" t="s">
        <v>4840</v>
      </c>
      <c r="C4721" s="14" t="s">
        <v>13029</v>
      </c>
      <c r="D4721" s="15">
        <v>6.96</v>
      </c>
      <c r="E4721" s="16" t="s">
        <v>30</v>
      </c>
    </row>
    <row r="4722" spans="1:5" x14ac:dyDescent="0.25">
      <c r="A4722" s="14">
        <v>794843</v>
      </c>
      <c r="B4722" s="14" t="s">
        <v>4841</v>
      </c>
      <c r="C4722" s="14" t="s">
        <v>13029</v>
      </c>
      <c r="D4722" s="15">
        <v>5.88</v>
      </c>
      <c r="E4722" s="16" t="s">
        <v>30</v>
      </c>
    </row>
    <row r="4723" spans="1:5" x14ac:dyDescent="0.25">
      <c r="A4723" s="14">
        <v>794844</v>
      </c>
      <c r="B4723" s="14" t="s">
        <v>4842</v>
      </c>
      <c r="C4723" s="14" t="s">
        <v>13029</v>
      </c>
      <c r="D4723" s="15">
        <v>8.86</v>
      </c>
      <c r="E4723" s="16" t="s">
        <v>30</v>
      </c>
    </row>
    <row r="4724" spans="1:5" x14ac:dyDescent="0.25">
      <c r="A4724" s="14">
        <v>794845</v>
      </c>
      <c r="B4724" s="14" t="s">
        <v>4843</v>
      </c>
      <c r="C4724" s="14" t="s">
        <v>13029</v>
      </c>
      <c r="D4724" s="15">
        <v>9.81</v>
      </c>
      <c r="E4724" s="16" t="s">
        <v>30</v>
      </c>
    </row>
    <row r="4725" spans="1:5" x14ac:dyDescent="0.25">
      <c r="A4725" s="14">
        <v>794846</v>
      </c>
      <c r="B4725" s="14" t="s">
        <v>4844</v>
      </c>
      <c r="C4725" s="14" t="s">
        <v>13029</v>
      </c>
      <c r="D4725" s="15">
        <v>18.579999999999998</v>
      </c>
      <c r="E4725" s="16" t="s">
        <v>30</v>
      </c>
    </row>
    <row r="4726" spans="1:5" x14ac:dyDescent="0.25">
      <c r="A4726" s="14">
        <v>763197</v>
      </c>
      <c r="B4726" s="14" t="s">
        <v>4845</v>
      </c>
      <c r="C4726" s="14" t="s">
        <v>13031</v>
      </c>
      <c r="D4726" s="15">
        <v>9.18</v>
      </c>
      <c r="E4726" s="16" t="s">
        <v>20</v>
      </c>
    </row>
    <row r="4727" spans="1:5" x14ac:dyDescent="0.25">
      <c r="A4727" s="14">
        <v>794847</v>
      </c>
      <c r="B4727" s="14" t="s">
        <v>4846</v>
      </c>
      <c r="C4727" s="14" t="s">
        <v>13029</v>
      </c>
      <c r="D4727" s="15">
        <v>184.8</v>
      </c>
      <c r="E4727" s="16" t="s">
        <v>30</v>
      </c>
    </row>
    <row r="4728" spans="1:5" x14ac:dyDescent="0.25">
      <c r="A4728" s="14">
        <v>794848</v>
      </c>
      <c r="B4728" s="14" t="s">
        <v>4847</v>
      </c>
      <c r="C4728" s="14" t="s">
        <v>13029</v>
      </c>
      <c r="D4728" s="15">
        <v>144</v>
      </c>
      <c r="E4728" s="16" t="s">
        <v>30</v>
      </c>
    </row>
    <row r="4729" spans="1:5" x14ac:dyDescent="0.25">
      <c r="A4729" s="14">
        <v>794849</v>
      </c>
      <c r="B4729" s="14" t="s">
        <v>4848</v>
      </c>
      <c r="C4729" s="14" t="s">
        <v>13029</v>
      </c>
      <c r="D4729" s="15">
        <v>3.89</v>
      </c>
      <c r="E4729" s="16" t="s">
        <v>30</v>
      </c>
    </row>
    <row r="4730" spans="1:5" x14ac:dyDescent="0.25">
      <c r="A4730" s="14">
        <v>794850</v>
      </c>
      <c r="B4730" s="14" t="s">
        <v>4849</v>
      </c>
      <c r="C4730" s="14" t="s">
        <v>13029</v>
      </c>
      <c r="D4730" s="15">
        <v>8.32</v>
      </c>
      <c r="E4730" s="16" t="s">
        <v>30</v>
      </c>
    </row>
    <row r="4731" spans="1:5" x14ac:dyDescent="0.25">
      <c r="A4731" s="14">
        <v>794851</v>
      </c>
      <c r="B4731" s="14" t="s">
        <v>4850</v>
      </c>
      <c r="C4731" s="14" t="s">
        <v>13029</v>
      </c>
      <c r="D4731" s="15">
        <v>181.8</v>
      </c>
      <c r="E4731" s="16" t="s">
        <v>30</v>
      </c>
    </row>
    <row r="4732" spans="1:5" x14ac:dyDescent="0.25">
      <c r="A4732" s="14">
        <v>794852</v>
      </c>
      <c r="B4732" s="14" t="s">
        <v>4851</v>
      </c>
      <c r="C4732" s="14" t="s">
        <v>13029</v>
      </c>
      <c r="D4732" s="15">
        <v>135</v>
      </c>
      <c r="E4732" s="16" t="s">
        <v>30</v>
      </c>
    </row>
    <row r="4733" spans="1:5" x14ac:dyDescent="0.25">
      <c r="A4733" s="14">
        <v>794884</v>
      </c>
      <c r="B4733" s="14" t="s">
        <v>4852</v>
      </c>
      <c r="C4733" s="14" t="s">
        <v>13029</v>
      </c>
      <c r="D4733" s="15">
        <v>18.34</v>
      </c>
      <c r="E4733" s="14" t="s">
        <v>30</v>
      </c>
    </row>
    <row r="4734" spans="1:5" x14ac:dyDescent="0.25">
      <c r="A4734" s="14">
        <v>794885</v>
      </c>
      <c r="B4734" s="14" t="s">
        <v>4853</v>
      </c>
      <c r="C4734" s="14" t="s">
        <v>13029</v>
      </c>
      <c r="D4734" s="15">
        <v>18.34</v>
      </c>
      <c r="E4734" s="16" t="s">
        <v>30</v>
      </c>
    </row>
    <row r="4735" spans="1:5" x14ac:dyDescent="0.25">
      <c r="A4735" s="14">
        <v>794886</v>
      </c>
      <c r="B4735" s="14" t="s">
        <v>4854</v>
      </c>
      <c r="C4735" s="14" t="s">
        <v>13029</v>
      </c>
      <c r="D4735" s="15">
        <v>18.34</v>
      </c>
      <c r="E4735" s="16" t="s">
        <v>30</v>
      </c>
    </row>
    <row r="4736" spans="1:5" x14ac:dyDescent="0.25">
      <c r="A4736" s="14">
        <v>794887</v>
      </c>
      <c r="B4736" s="14" t="s">
        <v>4855</v>
      </c>
      <c r="C4736" s="14" t="s">
        <v>13029</v>
      </c>
      <c r="D4736" s="15">
        <v>18.34</v>
      </c>
      <c r="E4736" s="16" t="s">
        <v>30</v>
      </c>
    </row>
    <row r="4737" spans="1:5" x14ac:dyDescent="0.25">
      <c r="A4737" s="14">
        <v>794888</v>
      </c>
      <c r="B4737" s="14" t="s">
        <v>4856</v>
      </c>
      <c r="C4737" s="14" t="s">
        <v>13029</v>
      </c>
      <c r="D4737" s="15">
        <v>12.4</v>
      </c>
      <c r="E4737" s="16" t="s">
        <v>30</v>
      </c>
    </row>
    <row r="4738" spans="1:5" x14ac:dyDescent="0.25">
      <c r="A4738" s="14">
        <v>794889</v>
      </c>
      <c r="B4738" s="14" t="s">
        <v>4857</v>
      </c>
      <c r="C4738" s="14" t="s">
        <v>13029</v>
      </c>
      <c r="D4738" s="15">
        <v>12.4</v>
      </c>
      <c r="E4738" s="16" t="s">
        <v>30</v>
      </c>
    </row>
    <row r="4739" spans="1:5" x14ac:dyDescent="0.25">
      <c r="A4739" s="14">
        <v>794965</v>
      </c>
      <c r="B4739" s="14" t="s">
        <v>4858</v>
      </c>
      <c r="C4739" s="14" t="s">
        <v>13031</v>
      </c>
      <c r="D4739" s="15">
        <v>4.8</v>
      </c>
      <c r="E4739" s="16" t="s">
        <v>30</v>
      </c>
    </row>
    <row r="4740" spans="1:5" x14ac:dyDescent="0.25">
      <c r="A4740" s="14">
        <v>794966</v>
      </c>
      <c r="B4740" s="14" t="s">
        <v>4859</v>
      </c>
      <c r="C4740" s="14" t="s">
        <v>13031</v>
      </c>
      <c r="D4740" s="15">
        <v>6.8</v>
      </c>
      <c r="E4740" s="16" t="s">
        <v>30</v>
      </c>
    </row>
    <row r="4741" spans="1:5" x14ac:dyDescent="0.25">
      <c r="A4741" s="14">
        <v>794970</v>
      </c>
      <c r="B4741" s="14" t="s">
        <v>4860</v>
      </c>
      <c r="C4741" s="14" t="s">
        <v>13030</v>
      </c>
      <c r="D4741" s="15">
        <v>35.29</v>
      </c>
      <c r="E4741" s="16" t="s">
        <v>30</v>
      </c>
    </row>
    <row r="4742" spans="1:5" x14ac:dyDescent="0.25">
      <c r="A4742" s="14">
        <v>794971</v>
      </c>
      <c r="B4742" s="14" t="s">
        <v>4861</v>
      </c>
      <c r="C4742" s="14" t="s">
        <v>13030</v>
      </c>
      <c r="D4742" s="15">
        <v>35.29</v>
      </c>
      <c r="E4742" s="16" t="s">
        <v>30</v>
      </c>
    </row>
    <row r="4743" spans="1:5" x14ac:dyDescent="0.25">
      <c r="A4743" s="14">
        <v>794972</v>
      </c>
      <c r="B4743" s="14" t="s">
        <v>4862</v>
      </c>
      <c r="C4743" s="14" t="s">
        <v>13030</v>
      </c>
      <c r="D4743" s="15">
        <v>35.29</v>
      </c>
      <c r="E4743" s="16" t="s">
        <v>30</v>
      </c>
    </row>
    <row r="4744" spans="1:5" x14ac:dyDescent="0.25">
      <c r="A4744" s="14">
        <v>794984</v>
      </c>
      <c r="B4744" s="14" t="s">
        <v>4863</v>
      </c>
      <c r="C4744" s="14" t="s">
        <v>13029</v>
      </c>
      <c r="D4744" s="15">
        <v>10.17</v>
      </c>
      <c r="E4744" s="16" t="s">
        <v>30</v>
      </c>
    </row>
    <row r="4745" spans="1:5" x14ac:dyDescent="0.25">
      <c r="A4745" s="14">
        <v>795387</v>
      </c>
      <c r="B4745" s="14" t="s">
        <v>4864</v>
      </c>
      <c r="C4745" s="14" t="s">
        <v>13036</v>
      </c>
      <c r="D4745" s="15">
        <v>8.6300000000000008</v>
      </c>
      <c r="E4745" s="16" t="s">
        <v>30</v>
      </c>
    </row>
    <row r="4746" spans="1:5" x14ac:dyDescent="0.25">
      <c r="A4746" s="14">
        <v>795388</v>
      </c>
      <c r="B4746" s="14" t="s">
        <v>4865</v>
      </c>
      <c r="C4746" s="14" t="s">
        <v>13036</v>
      </c>
      <c r="D4746" s="15">
        <v>14.24</v>
      </c>
      <c r="E4746" s="16" t="s">
        <v>30</v>
      </c>
    </row>
    <row r="4747" spans="1:5" x14ac:dyDescent="0.25">
      <c r="A4747" s="14">
        <v>795389</v>
      </c>
      <c r="B4747" s="14" t="s">
        <v>4866</v>
      </c>
      <c r="C4747" s="14" t="s">
        <v>13036</v>
      </c>
      <c r="D4747" s="15">
        <v>12.58</v>
      </c>
      <c r="E4747" s="16" t="s">
        <v>30</v>
      </c>
    </row>
    <row r="4748" spans="1:5" x14ac:dyDescent="0.25">
      <c r="A4748" s="14">
        <v>795390</v>
      </c>
      <c r="B4748" s="14" t="s">
        <v>4867</v>
      </c>
      <c r="C4748" s="14" t="s">
        <v>13036</v>
      </c>
      <c r="D4748" s="15">
        <v>13.73</v>
      </c>
      <c r="E4748" s="16" t="s">
        <v>30</v>
      </c>
    </row>
    <row r="4749" spans="1:5" x14ac:dyDescent="0.25">
      <c r="A4749" s="14">
        <v>808444</v>
      </c>
      <c r="B4749" s="14" t="s">
        <v>4868</v>
      </c>
      <c r="C4749" s="14" t="s">
        <v>13029</v>
      </c>
      <c r="D4749" s="15">
        <v>11.48</v>
      </c>
      <c r="E4749" s="16" t="s">
        <v>30</v>
      </c>
    </row>
    <row r="4750" spans="1:5" x14ac:dyDescent="0.25">
      <c r="A4750" s="14">
        <v>808445</v>
      </c>
      <c r="B4750" s="14" t="s">
        <v>4869</v>
      </c>
      <c r="C4750" s="14" t="s">
        <v>13029</v>
      </c>
      <c r="D4750" s="15">
        <v>7.85</v>
      </c>
      <c r="E4750" s="16" t="s">
        <v>30</v>
      </c>
    </row>
    <row r="4751" spans="1:5" x14ac:dyDescent="0.25">
      <c r="A4751" s="14">
        <v>808446</v>
      </c>
      <c r="B4751" s="14" t="s">
        <v>4870</v>
      </c>
      <c r="C4751" s="14" t="s">
        <v>13029</v>
      </c>
      <c r="D4751" s="15">
        <v>5.4</v>
      </c>
      <c r="E4751" s="16" t="s">
        <v>30</v>
      </c>
    </row>
    <row r="4752" spans="1:5" x14ac:dyDescent="0.25">
      <c r="A4752" s="14">
        <v>808447</v>
      </c>
      <c r="B4752" s="14" t="s">
        <v>4871</v>
      </c>
      <c r="C4752" s="14" t="s">
        <v>13029</v>
      </c>
      <c r="D4752" s="15">
        <v>15.34</v>
      </c>
      <c r="E4752" s="16" t="s">
        <v>30</v>
      </c>
    </row>
    <row r="4753" spans="1:5" x14ac:dyDescent="0.25">
      <c r="A4753" s="14">
        <v>808448</v>
      </c>
      <c r="B4753" s="14" t="s">
        <v>4872</v>
      </c>
      <c r="C4753" s="14" t="s">
        <v>13029</v>
      </c>
      <c r="D4753" s="15">
        <v>70.44</v>
      </c>
      <c r="E4753" s="16" t="s">
        <v>30</v>
      </c>
    </row>
    <row r="4754" spans="1:5" x14ac:dyDescent="0.25">
      <c r="A4754" s="14">
        <v>814546</v>
      </c>
      <c r="B4754" s="14" t="s">
        <v>4873</v>
      </c>
      <c r="C4754" s="14" t="s">
        <v>13030</v>
      </c>
      <c r="D4754" s="15">
        <v>12.64</v>
      </c>
      <c r="E4754" s="16" t="s">
        <v>30</v>
      </c>
    </row>
    <row r="4755" spans="1:5" x14ac:dyDescent="0.25">
      <c r="A4755" s="14">
        <v>856992</v>
      </c>
      <c r="B4755" s="14" t="s">
        <v>4874</v>
      </c>
      <c r="C4755" s="14" t="s">
        <v>13029</v>
      </c>
      <c r="D4755" s="15">
        <v>7.83</v>
      </c>
      <c r="E4755" s="16" t="s">
        <v>30</v>
      </c>
    </row>
    <row r="4756" spans="1:5" x14ac:dyDescent="0.25">
      <c r="A4756" s="14">
        <v>859431</v>
      </c>
      <c r="B4756" s="14" t="s">
        <v>4875</v>
      </c>
      <c r="C4756" s="14" t="s">
        <v>13030</v>
      </c>
      <c r="D4756" s="15">
        <v>20.79</v>
      </c>
      <c r="E4756" s="16" t="s">
        <v>30</v>
      </c>
    </row>
    <row r="4757" spans="1:5" x14ac:dyDescent="0.25">
      <c r="A4757" s="14">
        <v>861234</v>
      </c>
      <c r="B4757" s="14" t="s">
        <v>4876</v>
      </c>
      <c r="C4757" s="14" t="s">
        <v>13029</v>
      </c>
      <c r="D4757" s="15">
        <v>22.4</v>
      </c>
      <c r="E4757" s="16" t="s">
        <v>30</v>
      </c>
    </row>
    <row r="4758" spans="1:5" x14ac:dyDescent="0.25">
      <c r="A4758" s="14">
        <v>864384</v>
      </c>
      <c r="B4758" s="14" t="s">
        <v>4877</v>
      </c>
      <c r="C4758" s="14" t="s">
        <v>13029</v>
      </c>
      <c r="D4758" s="15">
        <v>5.78</v>
      </c>
      <c r="E4758" s="16" t="s">
        <v>30</v>
      </c>
    </row>
    <row r="4759" spans="1:5" x14ac:dyDescent="0.25">
      <c r="A4759" s="14">
        <v>865339</v>
      </c>
      <c r="B4759" s="14" t="s">
        <v>4878</v>
      </c>
      <c r="C4759" s="14" t="s">
        <v>13030</v>
      </c>
      <c r="D4759" s="15">
        <v>49.61</v>
      </c>
      <c r="E4759" s="16" t="s">
        <v>30</v>
      </c>
    </row>
    <row r="4760" spans="1:5" x14ac:dyDescent="0.25">
      <c r="A4760" s="14">
        <v>865341</v>
      </c>
      <c r="B4760" s="14" t="s">
        <v>4879</v>
      </c>
      <c r="C4760" s="14" t="s">
        <v>13030</v>
      </c>
      <c r="D4760" s="15">
        <v>32.950000000000003</v>
      </c>
      <c r="E4760" s="16" t="s">
        <v>30</v>
      </c>
    </row>
    <row r="4761" spans="1:5" x14ac:dyDescent="0.25">
      <c r="A4761" s="14">
        <v>865349</v>
      </c>
      <c r="B4761" s="14" t="s">
        <v>4880</v>
      </c>
      <c r="C4761" s="14" t="s">
        <v>13030</v>
      </c>
      <c r="D4761" s="15">
        <v>12.68</v>
      </c>
      <c r="E4761" s="16" t="s">
        <v>30</v>
      </c>
    </row>
    <row r="4762" spans="1:5" x14ac:dyDescent="0.25">
      <c r="A4762" s="14">
        <v>865350</v>
      </c>
      <c r="B4762" s="14" t="s">
        <v>4881</v>
      </c>
      <c r="C4762" s="14" t="s">
        <v>13030</v>
      </c>
      <c r="D4762" s="15">
        <v>12.68</v>
      </c>
      <c r="E4762" s="16" t="s">
        <v>30</v>
      </c>
    </row>
    <row r="4763" spans="1:5" x14ac:dyDescent="0.25">
      <c r="A4763" s="14">
        <v>865351</v>
      </c>
      <c r="B4763" s="14" t="s">
        <v>4882</v>
      </c>
      <c r="C4763" s="14" t="s">
        <v>13030</v>
      </c>
      <c r="D4763" s="15">
        <v>12.68</v>
      </c>
      <c r="E4763" s="16" t="s">
        <v>30</v>
      </c>
    </row>
    <row r="4764" spans="1:5" x14ac:dyDescent="0.25">
      <c r="A4764" s="14">
        <v>865352</v>
      </c>
      <c r="B4764" s="14" t="s">
        <v>4883</v>
      </c>
      <c r="C4764" s="14" t="s">
        <v>13031</v>
      </c>
      <c r="D4764" s="15">
        <v>21.89</v>
      </c>
      <c r="E4764" s="16" t="s">
        <v>30</v>
      </c>
    </row>
    <row r="4765" spans="1:5" x14ac:dyDescent="0.25">
      <c r="A4765" s="14">
        <v>865353</v>
      </c>
      <c r="B4765" s="14" t="s">
        <v>4884</v>
      </c>
      <c r="C4765" s="14" t="s">
        <v>13031</v>
      </c>
      <c r="D4765" s="15">
        <v>3.55</v>
      </c>
      <c r="E4765" s="16" t="s">
        <v>30</v>
      </c>
    </row>
    <row r="4766" spans="1:5" x14ac:dyDescent="0.25">
      <c r="A4766" s="14">
        <v>865356</v>
      </c>
      <c r="B4766" s="14" t="s">
        <v>4885</v>
      </c>
      <c r="C4766" s="14" t="s">
        <v>13031</v>
      </c>
      <c r="D4766" s="15">
        <v>5.91</v>
      </c>
      <c r="E4766" s="16" t="s">
        <v>30</v>
      </c>
    </row>
    <row r="4767" spans="1:5" x14ac:dyDescent="0.25">
      <c r="A4767" s="14">
        <v>869131</v>
      </c>
      <c r="B4767" s="14" t="s">
        <v>4886</v>
      </c>
      <c r="C4767" s="14" t="s">
        <v>13031</v>
      </c>
      <c r="D4767" s="15">
        <v>10.029999999999999</v>
      </c>
      <c r="E4767" s="16" t="s">
        <v>30</v>
      </c>
    </row>
    <row r="4768" spans="1:5" x14ac:dyDescent="0.25">
      <c r="A4768" s="14">
        <v>878611</v>
      </c>
      <c r="B4768" s="14" t="s">
        <v>4887</v>
      </c>
      <c r="C4768" s="14" t="s">
        <v>13029</v>
      </c>
      <c r="D4768" s="15">
        <v>12.29</v>
      </c>
      <c r="E4768" s="16" t="s">
        <v>30</v>
      </c>
    </row>
    <row r="4769" spans="1:5" x14ac:dyDescent="0.25">
      <c r="A4769" s="14">
        <v>878612</v>
      </c>
      <c r="B4769" s="14" t="s">
        <v>4888</v>
      </c>
      <c r="C4769" s="14" t="s">
        <v>13029</v>
      </c>
      <c r="D4769" s="15">
        <v>10.17</v>
      </c>
      <c r="E4769" s="16" t="s">
        <v>30</v>
      </c>
    </row>
    <row r="4770" spans="1:5" x14ac:dyDescent="0.25">
      <c r="A4770" s="14">
        <v>886685</v>
      </c>
      <c r="B4770" s="14" t="s">
        <v>4889</v>
      </c>
      <c r="C4770" s="14" t="s">
        <v>13031</v>
      </c>
      <c r="D4770" s="15">
        <v>9.01</v>
      </c>
      <c r="E4770" s="16" t="s">
        <v>30</v>
      </c>
    </row>
    <row r="4771" spans="1:5" x14ac:dyDescent="0.25">
      <c r="A4771" s="14">
        <v>886687</v>
      </c>
      <c r="B4771" s="14" t="s">
        <v>4890</v>
      </c>
      <c r="C4771" s="14" t="s">
        <v>13031</v>
      </c>
      <c r="D4771" s="15">
        <v>2.15</v>
      </c>
      <c r="E4771" s="16" t="s">
        <v>30</v>
      </c>
    </row>
    <row r="4772" spans="1:5" x14ac:dyDescent="0.25">
      <c r="A4772" s="14">
        <v>886688</v>
      </c>
      <c r="B4772" s="14" t="s">
        <v>4891</v>
      </c>
      <c r="C4772" s="14" t="s">
        <v>13031</v>
      </c>
      <c r="D4772" s="15">
        <v>2.15</v>
      </c>
      <c r="E4772" s="16" t="s">
        <v>30</v>
      </c>
    </row>
    <row r="4773" spans="1:5" x14ac:dyDescent="0.25">
      <c r="A4773" s="14">
        <v>886886</v>
      </c>
      <c r="B4773" s="14" t="s">
        <v>4892</v>
      </c>
      <c r="C4773" s="14" t="s">
        <v>13030</v>
      </c>
      <c r="D4773" s="15">
        <v>105.83</v>
      </c>
      <c r="E4773" s="16" t="s">
        <v>30</v>
      </c>
    </row>
    <row r="4774" spans="1:5" x14ac:dyDescent="0.25">
      <c r="A4774" s="14">
        <v>886887</v>
      </c>
      <c r="B4774" s="14" t="s">
        <v>4893</v>
      </c>
      <c r="C4774" s="14" t="s">
        <v>13030</v>
      </c>
      <c r="D4774" s="15">
        <v>66.900000000000006</v>
      </c>
      <c r="E4774" s="16" t="s">
        <v>30</v>
      </c>
    </row>
    <row r="4775" spans="1:5" x14ac:dyDescent="0.25">
      <c r="A4775" s="14">
        <v>886899</v>
      </c>
      <c r="B4775" s="14" t="s">
        <v>4894</v>
      </c>
      <c r="C4775" s="14" t="s">
        <v>13030</v>
      </c>
      <c r="D4775" s="15">
        <v>4.26</v>
      </c>
      <c r="E4775" s="16" t="s">
        <v>30</v>
      </c>
    </row>
    <row r="4776" spans="1:5" x14ac:dyDescent="0.25">
      <c r="A4776" s="14">
        <v>886900</v>
      </c>
      <c r="B4776" s="14" t="s">
        <v>4895</v>
      </c>
      <c r="C4776" s="14" t="s">
        <v>13030</v>
      </c>
      <c r="D4776" s="15">
        <v>4.26</v>
      </c>
      <c r="E4776" s="16" t="s">
        <v>30</v>
      </c>
    </row>
    <row r="4777" spans="1:5" x14ac:dyDescent="0.25">
      <c r="A4777" s="14">
        <v>886901</v>
      </c>
      <c r="B4777" s="14" t="s">
        <v>4896</v>
      </c>
      <c r="C4777" s="14" t="s">
        <v>13030</v>
      </c>
      <c r="D4777" s="15">
        <v>155.51</v>
      </c>
      <c r="E4777" s="14" t="s">
        <v>30</v>
      </c>
    </row>
    <row r="4778" spans="1:5" x14ac:dyDescent="0.25">
      <c r="A4778" s="14">
        <v>886902</v>
      </c>
      <c r="B4778" s="14" t="s">
        <v>4897</v>
      </c>
      <c r="C4778" s="14" t="s">
        <v>13030</v>
      </c>
      <c r="D4778" s="15">
        <v>6.48</v>
      </c>
      <c r="E4778" s="16" t="s">
        <v>30</v>
      </c>
    </row>
    <row r="4779" spans="1:5" x14ac:dyDescent="0.25">
      <c r="A4779" s="14">
        <v>886903</v>
      </c>
      <c r="B4779" s="14" t="s">
        <v>31</v>
      </c>
      <c r="C4779" s="14" t="s">
        <v>13030</v>
      </c>
      <c r="D4779" s="15">
        <v>6.48</v>
      </c>
      <c r="E4779" s="16" t="s">
        <v>30</v>
      </c>
    </row>
    <row r="4780" spans="1:5" x14ac:dyDescent="0.25">
      <c r="A4780" s="14">
        <v>886904</v>
      </c>
      <c r="B4780" s="14" t="s">
        <v>23</v>
      </c>
      <c r="C4780" s="14" t="s">
        <v>13030</v>
      </c>
      <c r="D4780" s="15">
        <v>6.48</v>
      </c>
      <c r="E4780" s="16" t="s">
        <v>30</v>
      </c>
    </row>
    <row r="4781" spans="1:5" x14ac:dyDescent="0.25">
      <c r="A4781" s="14">
        <v>886905</v>
      </c>
      <c r="B4781" s="14" t="s">
        <v>4898</v>
      </c>
      <c r="C4781" s="14" t="s">
        <v>13030</v>
      </c>
      <c r="D4781" s="15">
        <v>6.48</v>
      </c>
      <c r="E4781" s="16" t="s">
        <v>30</v>
      </c>
    </row>
    <row r="4782" spans="1:5" x14ac:dyDescent="0.25">
      <c r="A4782" s="14">
        <v>886906</v>
      </c>
      <c r="B4782" s="14" t="s">
        <v>4899</v>
      </c>
      <c r="C4782" s="14" t="s">
        <v>13030</v>
      </c>
      <c r="D4782" s="15">
        <v>7.14</v>
      </c>
      <c r="E4782" s="16" t="s">
        <v>30</v>
      </c>
    </row>
    <row r="4783" spans="1:5" x14ac:dyDescent="0.25">
      <c r="A4783" s="14">
        <v>763198</v>
      </c>
      <c r="B4783" s="14" t="s">
        <v>4900</v>
      </c>
      <c r="C4783" s="14" t="s">
        <v>13031</v>
      </c>
      <c r="D4783" s="15">
        <v>8.76</v>
      </c>
      <c r="E4783" s="16" t="s">
        <v>20</v>
      </c>
    </row>
    <row r="4784" spans="1:5" x14ac:dyDescent="0.25">
      <c r="A4784" s="14">
        <v>886907</v>
      </c>
      <c r="B4784" s="14" t="s">
        <v>4901</v>
      </c>
      <c r="C4784" s="14" t="s">
        <v>13030</v>
      </c>
      <c r="D4784" s="15">
        <v>7.14</v>
      </c>
      <c r="E4784" s="16" t="s">
        <v>30</v>
      </c>
    </row>
    <row r="4785" spans="1:5" x14ac:dyDescent="0.25">
      <c r="A4785" s="14">
        <v>886995</v>
      </c>
      <c r="B4785" s="14" t="s">
        <v>4902</v>
      </c>
      <c r="C4785" s="14" t="s">
        <v>13036</v>
      </c>
      <c r="D4785" s="15">
        <v>0.97</v>
      </c>
      <c r="E4785" s="16" t="s">
        <v>30</v>
      </c>
    </row>
    <row r="4786" spans="1:5" x14ac:dyDescent="0.25">
      <c r="A4786" s="14">
        <v>887140</v>
      </c>
      <c r="B4786" s="14" t="s">
        <v>4903</v>
      </c>
      <c r="C4786" s="14" t="s">
        <v>13031</v>
      </c>
      <c r="D4786" s="15">
        <v>4.8</v>
      </c>
      <c r="E4786" s="16" t="s">
        <v>30</v>
      </c>
    </row>
    <row r="4787" spans="1:5" x14ac:dyDescent="0.25">
      <c r="A4787" s="14">
        <v>887141</v>
      </c>
      <c r="B4787" s="14" t="s">
        <v>4904</v>
      </c>
      <c r="C4787" s="14" t="s">
        <v>13031</v>
      </c>
      <c r="D4787" s="15">
        <v>4.33</v>
      </c>
      <c r="E4787" s="16" t="s">
        <v>30</v>
      </c>
    </row>
    <row r="4788" spans="1:5" x14ac:dyDescent="0.25">
      <c r="A4788" s="14">
        <v>887142</v>
      </c>
      <c r="B4788" s="14" t="s">
        <v>4905</v>
      </c>
      <c r="C4788" s="14" t="s">
        <v>13031</v>
      </c>
      <c r="D4788" s="15">
        <v>3.53</v>
      </c>
      <c r="E4788" s="16" t="s">
        <v>30</v>
      </c>
    </row>
    <row r="4789" spans="1:5" x14ac:dyDescent="0.25">
      <c r="A4789" s="14">
        <v>887143</v>
      </c>
      <c r="B4789" s="14" t="s">
        <v>4906</v>
      </c>
      <c r="C4789" s="14" t="s">
        <v>13031</v>
      </c>
      <c r="D4789" s="15">
        <v>4.33</v>
      </c>
      <c r="E4789" s="16" t="s">
        <v>30</v>
      </c>
    </row>
    <row r="4790" spans="1:5" x14ac:dyDescent="0.25">
      <c r="A4790" s="14">
        <v>887145</v>
      </c>
      <c r="B4790" s="14" t="s">
        <v>4907</v>
      </c>
      <c r="C4790" s="14" t="s">
        <v>13031</v>
      </c>
      <c r="D4790" s="15">
        <v>15.17</v>
      </c>
      <c r="E4790" s="16" t="s">
        <v>30</v>
      </c>
    </row>
    <row r="4791" spans="1:5" x14ac:dyDescent="0.25">
      <c r="A4791" s="14">
        <v>887146</v>
      </c>
      <c r="B4791" s="14" t="s">
        <v>4908</v>
      </c>
      <c r="C4791" s="14" t="s">
        <v>13031</v>
      </c>
      <c r="D4791" s="15">
        <v>12.72</v>
      </c>
      <c r="E4791" s="16" t="s">
        <v>30</v>
      </c>
    </row>
    <row r="4792" spans="1:5" x14ac:dyDescent="0.25">
      <c r="A4792" s="14">
        <v>768104</v>
      </c>
      <c r="B4792" s="14" t="s">
        <v>4909</v>
      </c>
      <c r="C4792" s="14" t="s">
        <v>13031</v>
      </c>
      <c r="D4792" s="15">
        <v>16.02</v>
      </c>
      <c r="E4792" s="16" t="s">
        <v>20</v>
      </c>
    </row>
    <row r="4793" spans="1:5" x14ac:dyDescent="0.25">
      <c r="A4793" s="14">
        <v>768105</v>
      </c>
      <c r="B4793" s="14" t="s">
        <v>4910</v>
      </c>
      <c r="C4793" s="14" t="s">
        <v>13031</v>
      </c>
      <c r="D4793" s="15">
        <v>16.02</v>
      </c>
      <c r="E4793" s="16" t="s">
        <v>20</v>
      </c>
    </row>
    <row r="4794" spans="1:5" x14ac:dyDescent="0.25">
      <c r="A4794" s="14">
        <v>887164</v>
      </c>
      <c r="B4794" s="14" t="s">
        <v>4911</v>
      </c>
      <c r="C4794" s="14" t="s">
        <v>13029</v>
      </c>
      <c r="D4794" s="15">
        <v>4.7</v>
      </c>
      <c r="E4794" s="16" t="s">
        <v>30</v>
      </c>
    </row>
    <row r="4795" spans="1:5" x14ac:dyDescent="0.25">
      <c r="A4795" s="14">
        <v>887172</v>
      </c>
      <c r="B4795" s="14" t="s">
        <v>4912</v>
      </c>
      <c r="C4795" s="14" t="s">
        <v>13029</v>
      </c>
      <c r="D4795" s="15">
        <v>4.09</v>
      </c>
      <c r="E4795" s="16" t="s">
        <v>30</v>
      </c>
    </row>
    <row r="4796" spans="1:5" x14ac:dyDescent="0.25">
      <c r="A4796" s="14">
        <v>887173</v>
      </c>
      <c r="B4796" s="14" t="s">
        <v>4913</v>
      </c>
      <c r="C4796" s="14" t="s">
        <v>13029</v>
      </c>
      <c r="D4796" s="15">
        <v>4.09</v>
      </c>
      <c r="E4796" s="16" t="s">
        <v>30</v>
      </c>
    </row>
    <row r="4797" spans="1:5" x14ac:dyDescent="0.25">
      <c r="A4797" s="14">
        <v>887224</v>
      </c>
      <c r="B4797" s="14" t="s">
        <v>4914</v>
      </c>
      <c r="C4797" s="14" t="s">
        <v>13029</v>
      </c>
      <c r="D4797" s="15">
        <v>2.36</v>
      </c>
      <c r="E4797" s="16" t="s">
        <v>30</v>
      </c>
    </row>
    <row r="4798" spans="1:5" x14ac:dyDescent="0.25">
      <c r="A4798" s="14">
        <v>887225</v>
      </c>
      <c r="B4798" s="14" t="s">
        <v>4915</v>
      </c>
      <c r="C4798" s="14" t="s">
        <v>13029</v>
      </c>
      <c r="D4798" s="15">
        <v>5.52</v>
      </c>
      <c r="E4798" s="16" t="s">
        <v>30</v>
      </c>
    </row>
    <row r="4799" spans="1:5" x14ac:dyDescent="0.25">
      <c r="A4799" s="14">
        <v>887226</v>
      </c>
      <c r="B4799" s="14" t="s">
        <v>4916</v>
      </c>
      <c r="C4799" s="14" t="s">
        <v>13029</v>
      </c>
      <c r="D4799" s="15">
        <v>2.19</v>
      </c>
      <c r="E4799" s="16" t="s">
        <v>30</v>
      </c>
    </row>
    <row r="4800" spans="1:5" x14ac:dyDescent="0.25">
      <c r="A4800" s="14">
        <v>887227</v>
      </c>
      <c r="B4800" s="14" t="s">
        <v>4917</v>
      </c>
      <c r="C4800" s="14" t="s">
        <v>13029</v>
      </c>
      <c r="D4800" s="15">
        <v>4.04</v>
      </c>
      <c r="E4800" s="16" t="s">
        <v>30</v>
      </c>
    </row>
    <row r="4801" spans="1:5" x14ac:dyDescent="0.25">
      <c r="A4801" s="14">
        <v>887228</v>
      </c>
      <c r="B4801" s="14" t="s">
        <v>4918</v>
      </c>
      <c r="C4801" s="14" t="s">
        <v>13029</v>
      </c>
      <c r="D4801" s="15">
        <v>7</v>
      </c>
      <c r="E4801" s="16" t="s">
        <v>30</v>
      </c>
    </row>
    <row r="4802" spans="1:5" x14ac:dyDescent="0.25">
      <c r="A4802" s="14">
        <v>887229</v>
      </c>
      <c r="B4802" s="14" t="s">
        <v>4919</v>
      </c>
      <c r="C4802" s="14" t="s">
        <v>13029</v>
      </c>
      <c r="D4802" s="15">
        <v>1.6</v>
      </c>
      <c r="E4802" s="16" t="s">
        <v>30</v>
      </c>
    </row>
    <row r="4803" spans="1:5" x14ac:dyDescent="0.25">
      <c r="A4803" s="14">
        <v>887230</v>
      </c>
      <c r="B4803" s="14" t="s">
        <v>4920</v>
      </c>
      <c r="C4803" s="14" t="s">
        <v>13029</v>
      </c>
      <c r="D4803" s="15">
        <v>2.5299999999999998</v>
      </c>
      <c r="E4803" s="16" t="s">
        <v>30</v>
      </c>
    </row>
    <row r="4804" spans="1:5" x14ac:dyDescent="0.25">
      <c r="A4804" s="14">
        <v>887231</v>
      </c>
      <c r="B4804" s="14" t="s">
        <v>4921</v>
      </c>
      <c r="C4804" s="14" t="s">
        <v>13029</v>
      </c>
      <c r="D4804" s="15">
        <v>2.14</v>
      </c>
      <c r="E4804" s="16" t="s">
        <v>30</v>
      </c>
    </row>
    <row r="4805" spans="1:5" x14ac:dyDescent="0.25">
      <c r="A4805" s="14">
        <v>887829</v>
      </c>
      <c r="B4805" s="14" t="s">
        <v>4922</v>
      </c>
      <c r="C4805" s="14" t="s">
        <v>13029</v>
      </c>
      <c r="D4805" s="15">
        <v>376</v>
      </c>
      <c r="E4805" s="16" t="s">
        <v>30</v>
      </c>
    </row>
    <row r="4806" spans="1:5" x14ac:dyDescent="0.25">
      <c r="A4806" s="14">
        <v>773307</v>
      </c>
      <c r="B4806" s="14" t="s">
        <v>4923</v>
      </c>
      <c r="C4806" s="14" t="s">
        <v>13030</v>
      </c>
      <c r="D4806" s="15">
        <v>49.48</v>
      </c>
      <c r="E4806" s="16" t="s">
        <v>20</v>
      </c>
    </row>
    <row r="4807" spans="1:5" x14ac:dyDescent="0.25">
      <c r="A4807" s="14">
        <v>779259</v>
      </c>
      <c r="B4807" s="14" t="s">
        <v>4924</v>
      </c>
      <c r="C4807" s="14" t="s">
        <v>13030</v>
      </c>
      <c r="D4807" s="15">
        <v>121.88</v>
      </c>
      <c r="E4807" s="16" t="s">
        <v>20</v>
      </c>
    </row>
    <row r="4808" spans="1:5" x14ac:dyDescent="0.25">
      <c r="A4808" s="14">
        <v>887935</v>
      </c>
      <c r="B4808" s="14" t="s">
        <v>4925</v>
      </c>
      <c r="C4808" s="14" t="s">
        <v>13029</v>
      </c>
      <c r="D4808" s="15">
        <v>12.57</v>
      </c>
      <c r="E4808" s="16" t="s">
        <v>30</v>
      </c>
    </row>
    <row r="4809" spans="1:5" x14ac:dyDescent="0.25">
      <c r="A4809" s="14">
        <v>887936</v>
      </c>
      <c r="B4809" s="14" t="s">
        <v>4926</v>
      </c>
      <c r="C4809" s="14" t="s">
        <v>13029</v>
      </c>
      <c r="D4809" s="15">
        <v>123.01</v>
      </c>
      <c r="E4809" s="16" t="s">
        <v>30</v>
      </c>
    </row>
    <row r="4810" spans="1:5" x14ac:dyDescent="0.25">
      <c r="A4810" s="14">
        <v>887937</v>
      </c>
      <c r="B4810" s="14" t="s">
        <v>4927</v>
      </c>
      <c r="C4810" s="14" t="s">
        <v>13029</v>
      </c>
      <c r="D4810" s="15">
        <v>34.53</v>
      </c>
      <c r="E4810" s="16" t="s">
        <v>30</v>
      </c>
    </row>
    <row r="4811" spans="1:5" x14ac:dyDescent="0.25">
      <c r="A4811" s="14">
        <v>888050</v>
      </c>
      <c r="B4811" s="14" t="s">
        <v>4928</v>
      </c>
      <c r="C4811" s="14" t="s">
        <v>13030</v>
      </c>
      <c r="D4811" s="15">
        <v>50.78</v>
      </c>
      <c r="E4811" s="16" t="s">
        <v>30</v>
      </c>
    </row>
    <row r="4812" spans="1:5" x14ac:dyDescent="0.25">
      <c r="A4812" s="14">
        <v>888051</v>
      </c>
      <c r="B4812" s="14" t="s">
        <v>4929</v>
      </c>
      <c r="C4812" s="14" t="s">
        <v>13030</v>
      </c>
      <c r="D4812" s="15">
        <v>50.78</v>
      </c>
      <c r="E4812" s="16" t="s">
        <v>30</v>
      </c>
    </row>
    <row r="4813" spans="1:5" x14ac:dyDescent="0.25">
      <c r="A4813" s="14">
        <v>888052</v>
      </c>
      <c r="B4813" s="14" t="s">
        <v>4930</v>
      </c>
      <c r="C4813" s="14" t="s">
        <v>13030</v>
      </c>
      <c r="D4813" s="15">
        <v>50.78</v>
      </c>
      <c r="E4813" s="16" t="s">
        <v>30</v>
      </c>
    </row>
    <row r="4814" spans="1:5" x14ac:dyDescent="0.25">
      <c r="A4814" s="14">
        <v>888053</v>
      </c>
      <c r="B4814" s="14" t="s">
        <v>4931</v>
      </c>
      <c r="C4814" s="14" t="s">
        <v>13030</v>
      </c>
      <c r="D4814" s="15">
        <v>44.43</v>
      </c>
      <c r="E4814" s="16" t="s">
        <v>30</v>
      </c>
    </row>
    <row r="4815" spans="1:5" x14ac:dyDescent="0.25">
      <c r="A4815" s="14">
        <v>888062</v>
      </c>
      <c r="B4815" s="14" t="s">
        <v>4932</v>
      </c>
      <c r="C4815" s="14" t="s">
        <v>13030</v>
      </c>
      <c r="D4815" s="15">
        <v>55.52</v>
      </c>
      <c r="E4815" s="16" t="s">
        <v>30</v>
      </c>
    </row>
    <row r="4816" spans="1:5" x14ac:dyDescent="0.25">
      <c r="A4816" s="14">
        <v>888063</v>
      </c>
      <c r="B4816" s="14" t="s">
        <v>4933</v>
      </c>
      <c r="C4816" s="14" t="s">
        <v>13029</v>
      </c>
      <c r="D4816" s="15">
        <v>11.81</v>
      </c>
      <c r="E4816" s="16" t="s">
        <v>30</v>
      </c>
    </row>
    <row r="4817" spans="1:5" x14ac:dyDescent="0.25">
      <c r="A4817" s="14">
        <v>888114</v>
      </c>
      <c r="B4817" s="14" t="s">
        <v>4934</v>
      </c>
      <c r="C4817" s="14" t="s">
        <v>13029</v>
      </c>
      <c r="D4817" s="15">
        <v>1.46</v>
      </c>
      <c r="E4817" s="16" t="s">
        <v>30</v>
      </c>
    </row>
    <row r="4818" spans="1:5" x14ac:dyDescent="0.25">
      <c r="A4818" s="14">
        <v>888115</v>
      </c>
      <c r="B4818" s="14" t="s">
        <v>4935</v>
      </c>
      <c r="C4818" s="14" t="s">
        <v>13029</v>
      </c>
      <c r="D4818" s="15">
        <v>4.32</v>
      </c>
      <c r="E4818" s="16" t="s">
        <v>30</v>
      </c>
    </row>
    <row r="4819" spans="1:5" x14ac:dyDescent="0.25">
      <c r="A4819" s="14">
        <v>888128</v>
      </c>
      <c r="B4819" s="14" t="s">
        <v>4936</v>
      </c>
      <c r="C4819" s="14" t="s">
        <v>13029</v>
      </c>
      <c r="D4819" s="15">
        <v>22.32</v>
      </c>
      <c r="E4819" s="16" t="s">
        <v>30</v>
      </c>
    </row>
    <row r="4820" spans="1:5" x14ac:dyDescent="0.25">
      <c r="A4820" s="14">
        <v>888129</v>
      </c>
      <c r="B4820" s="14" t="s">
        <v>4937</v>
      </c>
      <c r="C4820" s="14" t="s">
        <v>13029</v>
      </c>
      <c r="D4820" s="15">
        <v>20.29</v>
      </c>
      <c r="E4820" s="16" t="s">
        <v>30</v>
      </c>
    </row>
    <row r="4821" spans="1:5" x14ac:dyDescent="0.25">
      <c r="A4821" s="14">
        <v>888130</v>
      </c>
      <c r="B4821" s="14" t="s">
        <v>4938</v>
      </c>
      <c r="C4821" s="14" t="s">
        <v>13029</v>
      </c>
      <c r="D4821" s="15">
        <v>23.44</v>
      </c>
      <c r="E4821" s="16" t="s">
        <v>30</v>
      </c>
    </row>
    <row r="4822" spans="1:5" x14ac:dyDescent="0.25">
      <c r="A4822" s="14">
        <v>888131</v>
      </c>
      <c r="B4822" s="14" t="s">
        <v>4939</v>
      </c>
      <c r="C4822" s="14" t="s">
        <v>13029</v>
      </c>
      <c r="D4822" s="15">
        <v>23.44</v>
      </c>
      <c r="E4822" s="16" t="s">
        <v>30</v>
      </c>
    </row>
    <row r="4823" spans="1:5" x14ac:dyDescent="0.25">
      <c r="A4823" s="14">
        <v>888132</v>
      </c>
      <c r="B4823" s="14" t="s">
        <v>4940</v>
      </c>
      <c r="C4823" s="14" t="s">
        <v>13029</v>
      </c>
      <c r="D4823" s="15">
        <v>23.44</v>
      </c>
      <c r="E4823" s="16" t="s">
        <v>30</v>
      </c>
    </row>
    <row r="4824" spans="1:5" x14ac:dyDescent="0.25">
      <c r="A4824" s="14">
        <v>888133</v>
      </c>
      <c r="B4824" s="14" t="s">
        <v>4941</v>
      </c>
      <c r="C4824" s="14" t="s">
        <v>13029</v>
      </c>
      <c r="D4824" s="15">
        <v>23.44</v>
      </c>
      <c r="E4824" s="16" t="s">
        <v>30</v>
      </c>
    </row>
    <row r="4825" spans="1:5" x14ac:dyDescent="0.25">
      <c r="A4825" s="14">
        <v>888153</v>
      </c>
      <c r="B4825" s="14" t="s">
        <v>4942</v>
      </c>
      <c r="C4825" s="14" t="s">
        <v>13029</v>
      </c>
      <c r="D4825" s="15">
        <v>4.6900000000000004</v>
      </c>
      <c r="E4825" s="16" t="s">
        <v>30</v>
      </c>
    </row>
    <row r="4826" spans="1:5" x14ac:dyDescent="0.25">
      <c r="A4826" s="14">
        <v>888154</v>
      </c>
      <c r="B4826" s="14" t="s">
        <v>4943</v>
      </c>
      <c r="C4826" s="14" t="s">
        <v>13029</v>
      </c>
      <c r="D4826" s="15">
        <v>4.6900000000000004</v>
      </c>
      <c r="E4826" s="16" t="s">
        <v>30</v>
      </c>
    </row>
    <row r="4827" spans="1:5" x14ac:dyDescent="0.25">
      <c r="A4827" s="14">
        <v>888416</v>
      </c>
      <c r="B4827" s="14" t="s">
        <v>4944</v>
      </c>
      <c r="C4827" s="14" t="s">
        <v>13030</v>
      </c>
      <c r="D4827" s="15">
        <v>176.18</v>
      </c>
      <c r="E4827" s="16" t="s">
        <v>30</v>
      </c>
    </row>
    <row r="4828" spans="1:5" x14ac:dyDescent="0.25">
      <c r="A4828" s="14">
        <v>888417</v>
      </c>
      <c r="B4828" s="14" t="s">
        <v>4945</v>
      </c>
      <c r="C4828" s="14" t="s">
        <v>13029</v>
      </c>
      <c r="D4828" s="15">
        <v>37.880000000000003</v>
      </c>
      <c r="E4828" s="16" t="s">
        <v>30</v>
      </c>
    </row>
    <row r="4829" spans="1:5" x14ac:dyDescent="0.25">
      <c r="A4829" s="14">
        <v>888418</v>
      </c>
      <c r="B4829" s="14" t="s">
        <v>4946</v>
      </c>
      <c r="C4829" s="14" t="s">
        <v>13029</v>
      </c>
      <c r="D4829" s="15">
        <v>32.57</v>
      </c>
      <c r="E4829" s="16" t="s">
        <v>30</v>
      </c>
    </row>
    <row r="4830" spans="1:5" x14ac:dyDescent="0.25">
      <c r="A4830" s="14">
        <v>888425</v>
      </c>
      <c r="B4830" s="14" t="s">
        <v>4947</v>
      </c>
      <c r="C4830" s="14" t="s">
        <v>13029</v>
      </c>
      <c r="D4830" s="15">
        <v>28.65</v>
      </c>
      <c r="E4830" s="14" t="s">
        <v>30</v>
      </c>
    </row>
    <row r="4831" spans="1:5" x14ac:dyDescent="0.25">
      <c r="A4831" s="14">
        <v>888431</v>
      </c>
      <c r="B4831" s="14" t="s">
        <v>4948</v>
      </c>
      <c r="C4831" s="14" t="s">
        <v>13029</v>
      </c>
      <c r="D4831" s="15">
        <v>25.49</v>
      </c>
      <c r="E4831" s="14" t="s">
        <v>30</v>
      </c>
    </row>
    <row r="4832" spans="1:5" x14ac:dyDescent="0.25">
      <c r="A4832" s="14">
        <v>888435</v>
      </c>
      <c r="B4832" s="14" t="s">
        <v>4949</v>
      </c>
      <c r="C4832" s="14" t="s">
        <v>13029</v>
      </c>
      <c r="D4832" s="15">
        <v>13.37</v>
      </c>
      <c r="E4832" s="14" t="s">
        <v>30</v>
      </c>
    </row>
    <row r="4833" spans="1:5" x14ac:dyDescent="0.25">
      <c r="A4833" s="14">
        <v>888436</v>
      </c>
      <c r="B4833" s="14" t="s">
        <v>4950</v>
      </c>
      <c r="C4833" s="14" t="s">
        <v>13029</v>
      </c>
      <c r="D4833" s="15">
        <v>11.8</v>
      </c>
      <c r="E4833" s="14" t="s">
        <v>30</v>
      </c>
    </row>
    <row r="4834" spans="1:5" x14ac:dyDescent="0.25">
      <c r="A4834" s="14">
        <v>888437</v>
      </c>
      <c r="B4834" s="14" t="s">
        <v>4951</v>
      </c>
      <c r="C4834" s="14" t="s">
        <v>13029</v>
      </c>
      <c r="D4834" s="15">
        <v>23.63</v>
      </c>
      <c r="E4834" s="16" t="s">
        <v>30</v>
      </c>
    </row>
    <row r="4835" spans="1:5" x14ac:dyDescent="0.25">
      <c r="A4835" s="14">
        <v>888438</v>
      </c>
      <c r="B4835" s="14" t="s">
        <v>4952</v>
      </c>
      <c r="C4835" s="14" t="s">
        <v>13029</v>
      </c>
      <c r="D4835" s="15">
        <v>24.86</v>
      </c>
      <c r="E4835" s="14" t="s">
        <v>30</v>
      </c>
    </row>
    <row r="4836" spans="1:5" x14ac:dyDescent="0.25">
      <c r="A4836" s="14">
        <v>888449</v>
      </c>
      <c r="B4836" s="14" t="s">
        <v>4953</v>
      </c>
      <c r="C4836" s="14" t="s">
        <v>13030</v>
      </c>
      <c r="D4836" s="15">
        <v>29.12</v>
      </c>
      <c r="E4836" s="16" t="s">
        <v>30</v>
      </c>
    </row>
    <row r="4837" spans="1:5" x14ac:dyDescent="0.25">
      <c r="A4837" s="14">
        <v>888718</v>
      </c>
      <c r="B4837" s="14" t="s">
        <v>4954</v>
      </c>
      <c r="C4837" s="14" t="s">
        <v>13029</v>
      </c>
      <c r="D4837" s="15">
        <v>9.66</v>
      </c>
      <c r="E4837" s="16" t="s">
        <v>30</v>
      </c>
    </row>
    <row r="4838" spans="1:5" x14ac:dyDescent="0.25">
      <c r="A4838" s="14">
        <v>888719</v>
      </c>
      <c r="B4838" s="14" t="s">
        <v>4955</v>
      </c>
      <c r="C4838" s="14" t="s">
        <v>13031</v>
      </c>
      <c r="D4838" s="15">
        <v>4.66</v>
      </c>
      <c r="E4838" s="16" t="s">
        <v>30</v>
      </c>
    </row>
    <row r="4839" spans="1:5" x14ac:dyDescent="0.25">
      <c r="A4839" s="14">
        <v>888720</v>
      </c>
      <c r="B4839" s="14" t="s">
        <v>4956</v>
      </c>
      <c r="C4839" s="14" t="s">
        <v>13031</v>
      </c>
      <c r="D4839" s="15">
        <v>7.8</v>
      </c>
      <c r="E4839" s="16" t="s">
        <v>30</v>
      </c>
    </row>
    <row r="4840" spans="1:5" x14ac:dyDescent="0.25">
      <c r="A4840" s="14">
        <v>889189</v>
      </c>
      <c r="B4840" s="14" t="s">
        <v>4957</v>
      </c>
      <c r="C4840" s="14" t="s">
        <v>13031</v>
      </c>
      <c r="D4840" s="15">
        <v>5.93</v>
      </c>
      <c r="E4840" s="16" t="s">
        <v>30</v>
      </c>
    </row>
    <row r="4841" spans="1:5" x14ac:dyDescent="0.25">
      <c r="A4841" s="14">
        <v>889191</v>
      </c>
      <c r="B4841" s="14" t="s">
        <v>4958</v>
      </c>
      <c r="C4841" s="14" t="s">
        <v>13031</v>
      </c>
      <c r="D4841" s="15">
        <v>6.12</v>
      </c>
      <c r="E4841" s="16" t="s">
        <v>30</v>
      </c>
    </row>
    <row r="4842" spans="1:5" x14ac:dyDescent="0.25">
      <c r="A4842" s="14">
        <v>889202</v>
      </c>
      <c r="B4842" s="14" t="s">
        <v>4959</v>
      </c>
      <c r="C4842" s="14" t="s">
        <v>13030</v>
      </c>
      <c r="D4842" s="15">
        <v>22.83</v>
      </c>
      <c r="E4842" s="16" t="s">
        <v>30</v>
      </c>
    </row>
    <row r="4843" spans="1:5" x14ac:dyDescent="0.25">
      <c r="A4843" s="14">
        <v>889203</v>
      </c>
      <c r="B4843" s="14" t="s">
        <v>4960</v>
      </c>
      <c r="C4843" s="14" t="s">
        <v>13030</v>
      </c>
      <c r="D4843" s="15">
        <v>22.83</v>
      </c>
      <c r="E4843" s="16" t="s">
        <v>30</v>
      </c>
    </row>
    <row r="4844" spans="1:5" x14ac:dyDescent="0.25">
      <c r="A4844" s="14">
        <v>889204</v>
      </c>
      <c r="B4844" s="14" t="s">
        <v>4961</v>
      </c>
      <c r="C4844" s="14" t="s">
        <v>13030</v>
      </c>
      <c r="D4844" s="15">
        <v>22.83</v>
      </c>
      <c r="E4844" s="16" t="s">
        <v>30</v>
      </c>
    </row>
    <row r="4845" spans="1:5" x14ac:dyDescent="0.25">
      <c r="A4845" s="14">
        <v>889205</v>
      </c>
      <c r="B4845" s="14" t="s">
        <v>4962</v>
      </c>
      <c r="C4845" s="14" t="s">
        <v>13030</v>
      </c>
      <c r="D4845" s="15">
        <v>172.81</v>
      </c>
      <c r="E4845" s="14" t="s">
        <v>30</v>
      </c>
    </row>
    <row r="4846" spans="1:5" x14ac:dyDescent="0.25">
      <c r="A4846" s="14">
        <v>889206</v>
      </c>
      <c r="B4846" s="14" t="s">
        <v>4963</v>
      </c>
      <c r="C4846" s="14" t="s">
        <v>13030</v>
      </c>
      <c r="D4846" s="15">
        <v>33.19</v>
      </c>
      <c r="E4846" s="16" t="s">
        <v>30</v>
      </c>
    </row>
    <row r="4847" spans="1:5" x14ac:dyDescent="0.25">
      <c r="A4847" s="14">
        <v>889207</v>
      </c>
      <c r="B4847" s="14" t="s">
        <v>4964</v>
      </c>
      <c r="C4847" s="14" t="s">
        <v>13030</v>
      </c>
      <c r="D4847" s="15">
        <v>52.9</v>
      </c>
      <c r="E4847" s="16" t="s">
        <v>30</v>
      </c>
    </row>
    <row r="4848" spans="1:5" x14ac:dyDescent="0.25">
      <c r="A4848" s="14">
        <v>889208</v>
      </c>
      <c r="B4848" s="14" t="s">
        <v>4965</v>
      </c>
      <c r="C4848" s="14" t="s">
        <v>13030</v>
      </c>
      <c r="D4848" s="15">
        <v>19.89</v>
      </c>
      <c r="E4848" s="16" t="s">
        <v>30</v>
      </c>
    </row>
    <row r="4849" spans="1:5" x14ac:dyDescent="0.25">
      <c r="A4849" s="14">
        <v>889209</v>
      </c>
      <c r="B4849" s="14" t="s">
        <v>4966</v>
      </c>
      <c r="C4849" s="14" t="s">
        <v>13030</v>
      </c>
      <c r="D4849" s="15">
        <v>46.35</v>
      </c>
      <c r="E4849" s="16" t="s">
        <v>30</v>
      </c>
    </row>
    <row r="4850" spans="1:5" x14ac:dyDescent="0.25">
      <c r="A4850" s="14">
        <v>889210</v>
      </c>
      <c r="B4850" s="14" t="s">
        <v>4967</v>
      </c>
      <c r="C4850" s="14" t="s">
        <v>13030</v>
      </c>
      <c r="D4850" s="15">
        <v>32.35</v>
      </c>
      <c r="E4850" s="16" t="s">
        <v>30</v>
      </c>
    </row>
    <row r="4851" spans="1:5" x14ac:dyDescent="0.25">
      <c r="A4851" s="14">
        <v>889212</v>
      </c>
      <c r="B4851" s="14" t="s">
        <v>4968</v>
      </c>
      <c r="C4851" s="14" t="s">
        <v>13031</v>
      </c>
      <c r="D4851" s="15">
        <v>8.91</v>
      </c>
      <c r="E4851" s="16" t="s">
        <v>30</v>
      </c>
    </row>
    <row r="4852" spans="1:5" x14ac:dyDescent="0.25">
      <c r="A4852" s="14">
        <v>889213</v>
      </c>
      <c r="B4852" s="14" t="s">
        <v>4969</v>
      </c>
      <c r="C4852" s="14" t="s">
        <v>13031</v>
      </c>
      <c r="D4852" s="15">
        <v>12.13</v>
      </c>
      <c r="E4852" s="16" t="s">
        <v>30</v>
      </c>
    </row>
    <row r="4853" spans="1:5" x14ac:dyDescent="0.25">
      <c r="A4853" s="14">
        <v>889261</v>
      </c>
      <c r="B4853" s="14" t="s">
        <v>4970</v>
      </c>
      <c r="C4853" s="14" t="s">
        <v>13031</v>
      </c>
      <c r="D4853" s="15">
        <v>7.46</v>
      </c>
      <c r="E4853" s="16" t="s">
        <v>30</v>
      </c>
    </row>
    <row r="4854" spans="1:5" x14ac:dyDescent="0.25">
      <c r="A4854" s="14">
        <v>889652</v>
      </c>
      <c r="B4854" s="14" t="s">
        <v>4971</v>
      </c>
      <c r="C4854" s="14" t="s">
        <v>13031</v>
      </c>
      <c r="D4854" s="15">
        <v>13.58</v>
      </c>
      <c r="E4854" s="16" t="s">
        <v>30</v>
      </c>
    </row>
    <row r="4855" spans="1:5" x14ac:dyDescent="0.25">
      <c r="A4855" s="14">
        <v>890228</v>
      </c>
      <c r="B4855" s="14" t="s">
        <v>4972</v>
      </c>
      <c r="C4855" s="14" t="s">
        <v>13029</v>
      </c>
      <c r="D4855" s="15">
        <v>8.27</v>
      </c>
      <c r="E4855" s="14" t="s">
        <v>30</v>
      </c>
    </row>
    <row r="4856" spans="1:5" x14ac:dyDescent="0.25">
      <c r="A4856" s="14">
        <v>890229</v>
      </c>
      <c r="B4856" s="14" t="s">
        <v>4973</v>
      </c>
      <c r="C4856" s="14" t="s">
        <v>13029</v>
      </c>
      <c r="D4856" s="15">
        <v>28.19</v>
      </c>
      <c r="E4856" s="14" t="s">
        <v>30</v>
      </c>
    </row>
    <row r="4857" spans="1:5" x14ac:dyDescent="0.25">
      <c r="A4857" s="14">
        <v>890230</v>
      </c>
      <c r="B4857" s="14" t="s">
        <v>4974</v>
      </c>
      <c r="C4857" s="14" t="s">
        <v>13029</v>
      </c>
      <c r="D4857" s="15">
        <v>21.92</v>
      </c>
      <c r="E4857" s="14" t="s">
        <v>30</v>
      </c>
    </row>
    <row r="4858" spans="1:5" x14ac:dyDescent="0.25">
      <c r="A4858" s="14">
        <v>890231</v>
      </c>
      <c r="B4858" s="14" t="s">
        <v>4975</v>
      </c>
      <c r="C4858" s="14" t="s">
        <v>13029</v>
      </c>
      <c r="D4858" s="15">
        <v>21.3</v>
      </c>
      <c r="E4858" s="14" t="s">
        <v>30</v>
      </c>
    </row>
    <row r="4859" spans="1:5" x14ac:dyDescent="0.25">
      <c r="A4859" s="14">
        <v>890263</v>
      </c>
      <c r="B4859" s="14" t="s">
        <v>4976</v>
      </c>
      <c r="C4859" s="14" t="s">
        <v>13030</v>
      </c>
      <c r="D4859" s="15">
        <v>10.69</v>
      </c>
      <c r="E4859" s="16" t="s">
        <v>30</v>
      </c>
    </row>
    <row r="4860" spans="1:5" x14ac:dyDescent="0.25">
      <c r="A4860" s="14">
        <v>890264</v>
      </c>
      <c r="B4860" s="14" t="s">
        <v>4977</v>
      </c>
      <c r="C4860" s="14" t="s">
        <v>13030</v>
      </c>
      <c r="D4860" s="15">
        <v>10.69</v>
      </c>
      <c r="E4860" s="16" t="s">
        <v>30</v>
      </c>
    </row>
    <row r="4861" spans="1:5" x14ac:dyDescent="0.25">
      <c r="A4861" s="14">
        <v>890735</v>
      </c>
      <c r="B4861" s="14" t="s">
        <v>4978</v>
      </c>
      <c r="C4861" s="14" t="s">
        <v>13031</v>
      </c>
      <c r="D4861" s="15">
        <v>4.3</v>
      </c>
      <c r="E4861" s="16" t="s">
        <v>30</v>
      </c>
    </row>
    <row r="4862" spans="1:5" x14ac:dyDescent="0.25">
      <c r="A4862" s="14">
        <v>890736</v>
      </c>
      <c r="B4862" s="14" t="s">
        <v>4979</v>
      </c>
      <c r="C4862" s="14" t="s">
        <v>13031</v>
      </c>
      <c r="D4862" s="15">
        <v>8.7799999999999994</v>
      </c>
      <c r="E4862" s="16" t="s">
        <v>30</v>
      </c>
    </row>
    <row r="4863" spans="1:5" x14ac:dyDescent="0.25">
      <c r="A4863" s="14">
        <v>890738</v>
      </c>
      <c r="B4863" s="14" t="s">
        <v>4980</v>
      </c>
      <c r="C4863" s="14" t="s">
        <v>13031</v>
      </c>
      <c r="D4863" s="15">
        <v>8.91</v>
      </c>
      <c r="E4863" s="16" t="s">
        <v>30</v>
      </c>
    </row>
    <row r="4864" spans="1:5" x14ac:dyDescent="0.25">
      <c r="A4864" s="14">
        <v>890740</v>
      </c>
      <c r="B4864" s="14" t="s">
        <v>4981</v>
      </c>
      <c r="C4864" s="14" t="s">
        <v>13031</v>
      </c>
      <c r="D4864" s="15">
        <v>6</v>
      </c>
      <c r="E4864" s="16" t="s">
        <v>30</v>
      </c>
    </row>
    <row r="4865" spans="1:5" x14ac:dyDescent="0.25">
      <c r="A4865" s="14">
        <v>890742</v>
      </c>
      <c r="B4865" s="14" t="s">
        <v>4982</v>
      </c>
      <c r="C4865" s="14" t="s">
        <v>13031</v>
      </c>
      <c r="D4865" s="15">
        <v>5.5</v>
      </c>
      <c r="E4865" s="16" t="s">
        <v>30</v>
      </c>
    </row>
    <row r="4866" spans="1:5" x14ac:dyDescent="0.25">
      <c r="A4866" s="14">
        <v>890743</v>
      </c>
      <c r="B4866" s="14" t="s">
        <v>4983</v>
      </c>
      <c r="C4866" s="14" t="s">
        <v>13031</v>
      </c>
      <c r="D4866" s="15">
        <v>3.88</v>
      </c>
      <c r="E4866" s="16" t="s">
        <v>30</v>
      </c>
    </row>
    <row r="4867" spans="1:5" x14ac:dyDescent="0.25">
      <c r="A4867" s="14">
        <v>890744</v>
      </c>
      <c r="B4867" s="14" t="s">
        <v>4984</v>
      </c>
      <c r="C4867" s="14" t="s">
        <v>13031</v>
      </c>
      <c r="D4867" s="15">
        <v>3.4</v>
      </c>
      <c r="E4867" s="16" t="s">
        <v>30</v>
      </c>
    </row>
    <row r="4868" spans="1:5" x14ac:dyDescent="0.25">
      <c r="A4868" s="14">
        <v>890745</v>
      </c>
      <c r="B4868" s="14" t="s">
        <v>4985</v>
      </c>
      <c r="C4868" s="14" t="s">
        <v>13031</v>
      </c>
      <c r="D4868" s="15">
        <v>6.63</v>
      </c>
      <c r="E4868" s="16" t="s">
        <v>30</v>
      </c>
    </row>
    <row r="4869" spans="1:5" x14ac:dyDescent="0.25">
      <c r="A4869" s="14">
        <v>890746</v>
      </c>
      <c r="B4869" s="14" t="s">
        <v>4986</v>
      </c>
      <c r="C4869" s="14" t="s">
        <v>13031</v>
      </c>
      <c r="D4869" s="15">
        <v>9</v>
      </c>
      <c r="E4869" s="16" t="s">
        <v>30</v>
      </c>
    </row>
    <row r="4870" spans="1:5" x14ac:dyDescent="0.25">
      <c r="A4870" s="14">
        <v>890747</v>
      </c>
      <c r="B4870" s="14" t="s">
        <v>4987</v>
      </c>
      <c r="C4870" s="14" t="s">
        <v>13031</v>
      </c>
      <c r="D4870" s="15">
        <v>7</v>
      </c>
      <c r="E4870" s="16" t="s">
        <v>30</v>
      </c>
    </row>
    <row r="4871" spans="1:5" x14ac:dyDescent="0.25">
      <c r="A4871" s="14">
        <v>890748</v>
      </c>
      <c r="B4871" s="14" t="s">
        <v>4988</v>
      </c>
      <c r="C4871" s="14" t="s">
        <v>13031</v>
      </c>
      <c r="D4871" s="15">
        <v>3.6</v>
      </c>
      <c r="E4871" s="16" t="s">
        <v>30</v>
      </c>
    </row>
    <row r="4872" spans="1:5" x14ac:dyDescent="0.25">
      <c r="A4872" s="14">
        <v>890749</v>
      </c>
      <c r="B4872" s="14" t="s">
        <v>4989</v>
      </c>
      <c r="C4872" s="14" t="s">
        <v>13031</v>
      </c>
      <c r="D4872" s="15">
        <v>3.9</v>
      </c>
      <c r="E4872" s="16" t="s">
        <v>30</v>
      </c>
    </row>
    <row r="4873" spans="1:5" x14ac:dyDescent="0.25">
      <c r="A4873" s="14">
        <v>890750</v>
      </c>
      <c r="B4873" s="14" t="s">
        <v>4990</v>
      </c>
      <c r="C4873" s="14" t="s">
        <v>13031</v>
      </c>
      <c r="D4873" s="15">
        <v>1.43</v>
      </c>
      <c r="E4873" s="16" t="s">
        <v>30</v>
      </c>
    </row>
    <row r="4874" spans="1:5" x14ac:dyDescent="0.25">
      <c r="A4874" s="14">
        <v>890751</v>
      </c>
      <c r="B4874" s="14" t="s">
        <v>4991</v>
      </c>
      <c r="C4874" s="14" t="s">
        <v>13031</v>
      </c>
      <c r="D4874" s="15">
        <v>4.2</v>
      </c>
      <c r="E4874" s="16" t="s">
        <v>30</v>
      </c>
    </row>
    <row r="4875" spans="1:5" x14ac:dyDescent="0.25">
      <c r="A4875" s="14">
        <v>890752</v>
      </c>
      <c r="B4875" s="14" t="s">
        <v>4992</v>
      </c>
      <c r="C4875" s="14" t="s">
        <v>13031</v>
      </c>
      <c r="D4875" s="15">
        <v>4.5</v>
      </c>
      <c r="E4875" s="16" t="s">
        <v>30</v>
      </c>
    </row>
    <row r="4876" spans="1:5" x14ac:dyDescent="0.25">
      <c r="A4876" s="14">
        <v>768766</v>
      </c>
      <c r="B4876" s="14" t="s">
        <v>4993</v>
      </c>
      <c r="C4876" s="14" t="s">
        <v>13031</v>
      </c>
      <c r="D4876" s="15">
        <v>25.08</v>
      </c>
      <c r="E4876" s="16" t="s">
        <v>20</v>
      </c>
    </row>
    <row r="4877" spans="1:5" x14ac:dyDescent="0.25">
      <c r="A4877" s="14">
        <v>890753</v>
      </c>
      <c r="B4877" s="14" t="s">
        <v>4994</v>
      </c>
      <c r="C4877" s="14" t="s">
        <v>13031</v>
      </c>
      <c r="D4877" s="15">
        <v>4.9000000000000004</v>
      </c>
      <c r="E4877" s="16" t="s">
        <v>30</v>
      </c>
    </row>
    <row r="4878" spans="1:5" x14ac:dyDescent="0.25">
      <c r="A4878" s="14">
        <v>890754</v>
      </c>
      <c r="B4878" s="14" t="s">
        <v>4995</v>
      </c>
      <c r="C4878" s="14" t="s">
        <v>13031</v>
      </c>
      <c r="D4878" s="15">
        <v>2.59</v>
      </c>
      <c r="E4878" s="16" t="s">
        <v>30</v>
      </c>
    </row>
    <row r="4879" spans="1:5" x14ac:dyDescent="0.25">
      <c r="A4879" s="14">
        <v>890755</v>
      </c>
      <c r="B4879" s="14" t="s">
        <v>4996</v>
      </c>
      <c r="C4879" s="14" t="s">
        <v>13031</v>
      </c>
      <c r="D4879" s="15">
        <v>2.23</v>
      </c>
      <c r="E4879" s="16" t="s">
        <v>30</v>
      </c>
    </row>
    <row r="4880" spans="1:5" x14ac:dyDescent="0.25">
      <c r="A4880" s="14">
        <v>890758</v>
      </c>
      <c r="B4880" s="14" t="s">
        <v>4997</v>
      </c>
      <c r="C4880" s="14" t="s">
        <v>13031</v>
      </c>
      <c r="D4880" s="15">
        <v>2</v>
      </c>
      <c r="E4880" s="16" t="s">
        <v>30</v>
      </c>
    </row>
    <row r="4881" spans="1:5" x14ac:dyDescent="0.25">
      <c r="A4881" s="14">
        <v>890759</v>
      </c>
      <c r="B4881" s="14" t="s">
        <v>4998</v>
      </c>
      <c r="C4881" s="14" t="s">
        <v>13031</v>
      </c>
      <c r="D4881" s="15">
        <v>4.53</v>
      </c>
      <c r="E4881" s="16" t="s">
        <v>30</v>
      </c>
    </row>
    <row r="4882" spans="1:5" x14ac:dyDescent="0.25">
      <c r="A4882" s="14">
        <v>890760</v>
      </c>
      <c r="B4882" s="14" t="s">
        <v>4999</v>
      </c>
      <c r="C4882" s="14" t="s">
        <v>13031</v>
      </c>
      <c r="D4882" s="15">
        <v>5.15</v>
      </c>
      <c r="E4882" s="16" t="s">
        <v>30</v>
      </c>
    </row>
    <row r="4883" spans="1:5" x14ac:dyDescent="0.25">
      <c r="A4883" s="14">
        <v>890761</v>
      </c>
      <c r="B4883" s="14" t="s">
        <v>5000</v>
      </c>
      <c r="C4883" s="14" t="s">
        <v>13031</v>
      </c>
      <c r="D4883" s="15">
        <v>2</v>
      </c>
      <c r="E4883" s="16" t="s">
        <v>30</v>
      </c>
    </row>
    <row r="4884" spans="1:5" x14ac:dyDescent="0.25">
      <c r="A4884" s="14">
        <v>890762</v>
      </c>
      <c r="B4884" s="14" t="s">
        <v>5001</v>
      </c>
      <c r="C4884" s="14" t="s">
        <v>13031</v>
      </c>
      <c r="D4884" s="15">
        <v>4.95</v>
      </c>
      <c r="E4884" s="16" t="s">
        <v>30</v>
      </c>
    </row>
    <row r="4885" spans="1:5" x14ac:dyDescent="0.25">
      <c r="A4885" s="14">
        <v>890763</v>
      </c>
      <c r="B4885" s="14" t="s">
        <v>5002</v>
      </c>
      <c r="C4885" s="14" t="s">
        <v>13031</v>
      </c>
      <c r="D4885" s="15">
        <v>5.92</v>
      </c>
      <c r="E4885" s="16" t="s">
        <v>30</v>
      </c>
    </row>
    <row r="4886" spans="1:5" x14ac:dyDescent="0.25">
      <c r="A4886" s="14">
        <v>890764</v>
      </c>
      <c r="B4886" s="14" t="s">
        <v>5003</v>
      </c>
      <c r="C4886" s="14" t="s">
        <v>13031</v>
      </c>
      <c r="D4886" s="15">
        <v>6.68</v>
      </c>
      <c r="E4886" s="16" t="s">
        <v>30</v>
      </c>
    </row>
    <row r="4887" spans="1:5" x14ac:dyDescent="0.25">
      <c r="A4887" s="14">
        <v>890765</v>
      </c>
      <c r="B4887" s="14" t="s">
        <v>5004</v>
      </c>
      <c r="C4887" s="14" t="s">
        <v>13031</v>
      </c>
      <c r="D4887" s="15">
        <v>3.82</v>
      </c>
      <c r="E4887" s="16" t="s">
        <v>30</v>
      </c>
    </row>
    <row r="4888" spans="1:5" x14ac:dyDescent="0.25">
      <c r="A4888" s="14">
        <v>890766</v>
      </c>
      <c r="B4888" s="14" t="s">
        <v>5005</v>
      </c>
      <c r="C4888" s="14" t="s">
        <v>13031</v>
      </c>
      <c r="D4888" s="15">
        <v>4.5</v>
      </c>
      <c r="E4888" s="16" t="s">
        <v>30</v>
      </c>
    </row>
    <row r="4889" spans="1:5" x14ac:dyDescent="0.25">
      <c r="A4889" s="14">
        <v>890771</v>
      </c>
      <c r="B4889" s="14" t="s">
        <v>5006</v>
      </c>
      <c r="C4889" s="14" t="s">
        <v>13031</v>
      </c>
      <c r="D4889" s="15">
        <v>64.959999999999994</v>
      </c>
      <c r="E4889" s="16" t="s">
        <v>30</v>
      </c>
    </row>
    <row r="4890" spans="1:5" x14ac:dyDescent="0.25">
      <c r="A4890" s="14">
        <v>890772</v>
      </c>
      <c r="B4890" s="14" t="s">
        <v>5007</v>
      </c>
      <c r="C4890" s="14" t="s">
        <v>13031</v>
      </c>
      <c r="D4890" s="15">
        <v>64.959999999999994</v>
      </c>
      <c r="E4890" s="16" t="s">
        <v>30</v>
      </c>
    </row>
    <row r="4891" spans="1:5" x14ac:dyDescent="0.25">
      <c r="A4891" s="14">
        <v>890773</v>
      </c>
      <c r="B4891" s="14" t="s">
        <v>5008</v>
      </c>
      <c r="C4891" s="14" t="s">
        <v>13031</v>
      </c>
      <c r="D4891" s="15">
        <v>46.4</v>
      </c>
      <c r="E4891" s="16" t="s">
        <v>30</v>
      </c>
    </row>
    <row r="4892" spans="1:5" x14ac:dyDescent="0.25">
      <c r="A4892" s="14">
        <v>890782</v>
      </c>
      <c r="B4892" s="14" t="s">
        <v>5009</v>
      </c>
      <c r="C4892" s="14" t="s">
        <v>13031</v>
      </c>
      <c r="D4892" s="15">
        <v>11.81</v>
      </c>
      <c r="E4892" s="16" t="s">
        <v>30</v>
      </c>
    </row>
    <row r="4893" spans="1:5" x14ac:dyDescent="0.25">
      <c r="A4893" s="14">
        <v>890783</v>
      </c>
      <c r="B4893" s="14" t="s">
        <v>5010</v>
      </c>
      <c r="C4893" s="14" t="s">
        <v>13031</v>
      </c>
      <c r="D4893" s="15">
        <v>11.81</v>
      </c>
      <c r="E4893" s="16" t="s">
        <v>30</v>
      </c>
    </row>
    <row r="4894" spans="1:5" x14ac:dyDescent="0.25">
      <c r="A4894" s="14">
        <v>890784</v>
      </c>
      <c r="B4894" s="14" t="s">
        <v>5011</v>
      </c>
      <c r="C4894" s="14" t="s">
        <v>13031</v>
      </c>
      <c r="D4894" s="15">
        <v>11.81</v>
      </c>
      <c r="E4894" s="16" t="s">
        <v>30</v>
      </c>
    </row>
    <row r="4895" spans="1:5" x14ac:dyDescent="0.25">
      <c r="A4895" s="14">
        <v>890785</v>
      </c>
      <c r="B4895" s="14" t="s">
        <v>5012</v>
      </c>
      <c r="C4895" s="14" t="s">
        <v>13031</v>
      </c>
      <c r="D4895" s="15">
        <v>11.81</v>
      </c>
      <c r="E4895" s="16" t="s">
        <v>30</v>
      </c>
    </row>
    <row r="4896" spans="1:5" x14ac:dyDescent="0.25">
      <c r="A4896" s="14">
        <v>890866</v>
      </c>
      <c r="B4896" s="14" t="s">
        <v>5013</v>
      </c>
      <c r="C4896" s="14" t="s">
        <v>13029</v>
      </c>
      <c r="D4896" s="15">
        <v>16.5</v>
      </c>
      <c r="E4896" s="16" t="s">
        <v>30</v>
      </c>
    </row>
    <row r="4897" spans="1:5" x14ac:dyDescent="0.25">
      <c r="A4897" s="14">
        <v>891737</v>
      </c>
      <c r="B4897" s="14" t="s">
        <v>5014</v>
      </c>
      <c r="C4897" s="14" t="s">
        <v>13031</v>
      </c>
      <c r="D4897" s="15">
        <v>5.2</v>
      </c>
      <c r="E4897" s="16" t="s">
        <v>30</v>
      </c>
    </row>
    <row r="4898" spans="1:5" x14ac:dyDescent="0.25">
      <c r="A4898" s="14">
        <v>891738</v>
      </c>
      <c r="B4898" s="14" t="s">
        <v>5015</v>
      </c>
      <c r="C4898" s="14" t="s">
        <v>13031</v>
      </c>
      <c r="D4898" s="15">
        <v>9.86</v>
      </c>
      <c r="E4898" s="16" t="s">
        <v>30</v>
      </c>
    </row>
    <row r="4899" spans="1:5" x14ac:dyDescent="0.25">
      <c r="A4899" s="14">
        <v>891739</v>
      </c>
      <c r="B4899" s="14" t="s">
        <v>5016</v>
      </c>
      <c r="C4899" s="14" t="s">
        <v>13031</v>
      </c>
      <c r="D4899" s="15">
        <v>9.32</v>
      </c>
      <c r="E4899" s="16" t="s">
        <v>30</v>
      </c>
    </row>
    <row r="4900" spans="1:5" x14ac:dyDescent="0.25">
      <c r="A4900" s="14">
        <v>891740</v>
      </c>
      <c r="B4900" s="14" t="s">
        <v>5017</v>
      </c>
      <c r="C4900" s="14" t="s">
        <v>13031</v>
      </c>
      <c r="D4900" s="15">
        <v>9.32</v>
      </c>
      <c r="E4900" s="16" t="s">
        <v>30</v>
      </c>
    </row>
    <row r="4901" spans="1:5" x14ac:dyDescent="0.25">
      <c r="A4901" s="14">
        <v>891741</v>
      </c>
      <c r="B4901" s="14" t="s">
        <v>5018</v>
      </c>
      <c r="C4901" s="14" t="s">
        <v>13031</v>
      </c>
      <c r="D4901" s="15">
        <v>5.87</v>
      </c>
      <c r="E4901" s="16" t="s">
        <v>30</v>
      </c>
    </row>
    <row r="4902" spans="1:5" x14ac:dyDescent="0.25">
      <c r="A4902" s="14">
        <v>892471</v>
      </c>
      <c r="B4902" s="14" t="s">
        <v>5019</v>
      </c>
      <c r="C4902" s="14" t="s">
        <v>13031</v>
      </c>
      <c r="D4902" s="15">
        <v>4.45</v>
      </c>
      <c r="E4902" s="16" t="s">
        <v>30</v>
      </c>
    </row>
    <row r="4903" spans="1:5" x14ac:dyDescent="0.25">
      <c r="A4903" s="14">
        <v>892472</v>
      </c>
      <c r="B4903" s="14" t="s">
        <v>5020</v>
      </c>
      <c r="C4903" s="14" t="s">
        <v>13031</v>
      </c>
      <c r="D4903" s="15">
        <v>4.45</v>
      </c>
      <c r="E4903" s="16" t="s">
        <v>30</v>
      </c>
    </row>
    <row r="4904" spans="1:5" x14ac:dyDescent="0.25">
      <c r="A4904" s="14">
        <v>892473</v>
      </c>
      <c r="B4904" s="14" t="s">
        <v>5021</v>
      </c>
      <c r="C4904" s="14" t="s">
        <v>13031</v>
      </c>
      <c r="D4904" s="15">
        <v>4.45</v>
      </c>
      <c r="E4904" s="16" t="s">
        <v>30</v>
      </c>
    </row>
    <row r="4905" spans="1:5" x14ac:dyDescent="0.25">
      <c r="A4905" s="14">
        <v>892482</v>
      </c>
      <c r="B4905" s="14" t="s">
        <v>5022</v>
      </c>
      <c r="C4905" s="14" t="s">
        <v>13031</v>
      </c>
      <c r="D4905" s="15">
        <v>17.739999999999998</v>
      </c>
      <c r="E4905" s="16" t="s">
        <v>30</v>
      </c>
    </row>
    <row r="4906" spans="1:5" x14ac:dyDescent="0.25">
      <c r="A4906" s="14">
        <v>892509</v>
      </c>
      <c r="B4906" s="14" t="s">
        <v>5023</v>
      </c>
      <c r="C4906" s="14" t="s">
        <v>13030</v>
      </c>
      <c r="D4906" s="15">
        <v>17.8</v>
      </c>
      <c r="E4906" s="16" t="s">
        <v>30</v>
      </c>
    </row>
    <row r="4907" spans="1:5" x14ac:dyDescent="0.25">
      <c r="A4907" s="14">
        <v>892521</v>
      </c>
      <c r="B4907" s="14" t="s">
        <v>5024</v>
      </c>
      <c r="C4907" s="14" t="s">
        <v>13029</v>
      </c>
      <c r="D4907" s="15">
        <v>14.88</v>
      </c>
      <c r="E4907" s="16" t="s">
        <v>30</v>
      </c>
    </row>
    <row r="4908" spans="1:5" x14ac:dyDescent="0.25">
      <c r="A4908" s="14">
        <v>894666</v>
      </c>
      <c r="B4908" s="14" t="s">
        <v>5025</v>
      </c>
      <c r="C4908" s="14" t="s">
        <v>13029</v>
      </c>
      <c r="D4908" s="15">
        <v>22</v>
      </c>
      <c r="E4908" s="16" t="s">
        <v>30</v>
      </c>
    </row>
    <row r="4909" spans="1:5" x14ac:dyDescent="0.25">
      <c r="A4909" s="14">
        <v>894667</v>
      </c>
      <c r="B4909" s="14" t="s">
        <v>5026</v>
      </c>
      <c r="C4909" s="14" t="s">
        <v>13029</v>
      </c>
      <c r="D4909" s="15">
        <v>22</v>
      </c>
      <c r="E4909" s="16" t="s">
        <v>30</v>
      </c>
    </row>
    <row r="4910" spans="1:5" x14ac:dyDescent="0.25">
      <c r="A4910" s="14">
        <v>894669</v>
      </c>
      <c r="B4910" s="14" t="s">
        <v>5027</v>
      </c>
      <c r="C4910" s="14" t="s">
        <v>13029</v>
      </c>
      <c r="D4910" s="15">
        <v>18.600000000000001</v>
      </c>
      <c r="E4910" s="16" t="s">
        <v>30</v>
      </c>
    </row>
    <row r="4911" spans="1:5" x14ac:dyDescent="0.25">
      <c r="A4911" s="14">
        <v>894670</v>
      </c>
      <c r="B4911" s="14" t="s">
        <v>5028</v>
      </c>
      <c r="C4911" s="14" t="s">
        <v>13029</v>
      </c>
      <c r="D4911" s="15">
        <v>51.3</v>
      </c>
      <c r="E4911" s="16" t="s">
        <v>30</v>
      </c>
    </row>
    <row r="4912" spans="1:5" x14ac:dyDescent="0.25">
      <c r="A4912" s="14">
        <v>896269</v>
      </c>
      <c r="B4912" s="14" t="s">
        <v>5029</v>
      </c>
      <c r="C4912" s="14" t="s">
        <v>13029</v>
      </c>
      <c r="D4912" s="15">
        <v>17.739999999999998</v>
      </c>
      <c r="E4912" s="16" t="s">
        <v>30</v>
      </c>
    </row>
    <row r="4913" spans="1:5" x14ac:dyDescent="0.25">
      <c r="A4913" s="14">
        <v>896270</v>
      </c>
      <c r="B4913" s="14" t="s">
        <v>5030</v>
      </c>
      <c r="C4913" s="14" t="s">
        <v>13029</v>
      </c>
      <c r="D4913" s="15">
        <v>17.739999999999998</v>
      </c>
      <c r="E4913" s="16" t="s">
        <v>30</v>
      </c>
    </row>
    <row r="4914" spans="1:5" x14ac:dyDescent="0.25">
      <c r="A4914" s="14">
        <v>896271</v>
      </c>
      <c r="B4914" s="14" t="s">
        <v>5031</v>
      </c>
      <c r="C4914" s="14" t="s">
        <v>13029</v>
      </c>
      <c r="D4914" s="15">
        <v>17.739999999999998</v>
      </c>
      <c r="E4914" s="16" t="s">
        <v>30</v>
      </c>
    </row>
    <row r="4915" spans="1:5" x14ac:dyDescent="0.25">
      <c r="A4915" s="14">
        <v>896272</v>
      </c>
      <c r="B4915" s="14" t="s">
        <v>5032</v>
      </c>
      <c r="C4915" s="14" t="s">
        <v>13029</v>
      </c>
      <c r="D4915" s="15">
        <v>17.739999999999998</v>
      </c>
      <c r="E4915" s="16" t="s">
        <v>30</v>
      </c>
    </row>
    <row r="4916" spans="1:5" x14ac:dyDescent="0.25">
      <c r="A4916" s="14">
        <v>896273</v>
      </c>
      <c r="B4916" s="14" t="s">
        <v>5033</v>
      </c>
      <c r="C4916" s="14" t="s">
        <v>13029</v>
      </c>
      <c r="D4916" s="15">
        <v>15.96</v>
      </c>
      <c r="E4916" s="16" t="s">
        <v>30</v>
      </c>
    </row>
    <row r="4917" spans="1:5" x14ac:dyDescent="0.25">
      <c r="A4917" s="14">
        <v>896274</v>
      </c>
      <c r="B4917" s="14" t="s">
        <v>5034</v>
      </c>
      <c r="C4917" s="14" t="s">
        <v>13029</v>
      </c>
      <c r="D4917" s="15">
        <v>15.96</v>
      </c>
      <c r="E4917" s="16" t="s">
        <v>30</v>
      </c>
    </row>
    <row r="4918" spans="1:5" x14ac:dyDescent="0.25">
      <c r="A4918" s="14">
        <v>896275</v>
      </c>
      <c r="B4918" s="14" t="s">
        <v>5035</v>
      </c>
      <c r="C4918" s="14" t="s">
        <v>13029</v>
      </c>
      <c r="D4918" s="15">
        <v>17.739999999999998</v>
      </c>
      <c r="E4918" s="16" t="s">
        <v>30</v>
      </c>
    </row>
    <row r="4919" spans="1:5" x14ac:dyDescent="0.25">
      <c r="A4919" s="14">
        <v>896276</v>
      </c>
      <c r="B4919" s="14" t="s">
        <v>5036</v>
      </c>
      <c r="C4919" s="14" t="s">
        <v>13029</v>
      </c>
      <c r="D4919" s="15">
        <v>11.81</v>
      </c>
      <c r="E4919" s="16" t="s">
        <v>30</v>
      </c>
    </row>
    <row r="4920" spans="1:5" x14ac:dyDescent="0.25">
      <c r="A4920" s="14">
        <v>896277</v>
      </c>
      <c r="B4920" s="14" t="s">
        <v>5037</v>
      </c>
      <c r="C4920" s="14" t="s">
        <v>13029</v>
      </c>
      <c r="D4920" s="15">
        <v>5.87</v>
      </c>
      <c r="E4920" s="16" t="s">
        <v>30</v>
      </c>
    </row>
    <row r="4921" spans="1:5" x14ac:dyDescent="0.25">
      <c r="A4921" s="14">
        <v>896588</v>
      </c>
      <c r="B4921" s="14" t="s">
        <v>5038</v>
      </c>
      <c r="C4921" s="14" t="s">
        <v>13031</v>
      </c>
      <c r="D4921" s="15">
        <v>8.85</v>
      </c>
      <c r="E4921" s="16" t="s">
        <v>30</v>
      </c>
    </row>
    <row r="4922" spans="1:5" x14ac:dyDescent="0.25">
      <c r="A4922" s="14">
        <v>896589</v>
      </c>
      <c r="B4922" s="14" t="s">
        <v>5039</v>
      </c>
      <c r="C4922" s="14" t="s">
        <v>13031</v>
      </c>
      <c r="D4922" s="15">
        <v>8.85</v>
      </c>
      <c r="E4922" s="16" t="s">
        <v>30</v>
      </c>
    </row>
    <row r="4923" spans="1:5" x14ac:dyDescent="0.25">
      <c r="A4923" s="14">
        <v>897279</v>
      </c>
      <c r="B4923" s="14" t="s">
        <v>5040</v>
      </c>
      <c r="C4923" s="14" t="s">
        <v>13031</v>
      </c>
      <c r="D4923" s="15">
        <v>0.71</v>
      </c>
      <c r="E4923" s="16" t="s">
        <v>30</v>
      </c>
    </row>
    <row r="4924" spans="1:5" x14ac:dyDescent="0.25">
      <c r="A4924" s="14">
        <v>897280</v>
      </c>
      <c r="B4924" s="14" t="s">
        <v>5041</v>
      </c>
      <c r="C4924" s="14" t="s">
        <v>13031</v>
      </c>
      <c r="D4924" s="15">
        <v>0.71</v>
      </c>
      <c r="E4924" s="16" t="s">
        <v>30</v>
      </c>
    </row>
    <row r="4925" spans="1:5" x14ac:dyDescent="0.25">
      <c r="A4925" s="14">
        <v>897281</v>
      </c>
      <c r="B4925" s="14" t="s">
        <v>5042</v>
      </c>
      <c r="C4925" s="14" t="s">
        <v>13031</v>
      </c>
      <c r="D4925" s="15">
        <v>6.46</v>
      </c>
      <c r="E4925" s="16" t="s">
        <v>30</v>
      </c>
    </row>
    <row r="4926" spans="1:5" x14ac:dyDescent="0.25">
      <c r="A4926" s="14">
        <v>897282</v>
      </c>
      <c r="B4926" s="14" t="s">
        <v>5043</v>
      </c>
      <c r="C4926" s="14" t="s">
        <v>13031</v>
      </c>
      <c r="D4926" s="15">
        <v>7.76</v>
      </c>
      <c r="E4926" s="16" t="s">
        <v>30</v>
      </c>
    </row>
    <row r="4927" spans="1:5" x14ac:dyDescent="0.25">
      <c r="A4927" s="14">
        <v>897526</v>
      </c>
      <c r="B4927" s="14" t="s">
        <v>5044</v>
      </c>
      <c r="C4927" s="14" t="s">
        <v>13031</v>
      </c>
      <c r="D4927" s="15">
        <v>8.4600000000000009</v>
      </c>
      <c r="E4927" s="16" t="s">
        <v>30</v>
      </c>
    </row>
    <row r="4928" spans="1:5" x14ac:dyDescent="0.25">
      <c r="A4928" s="14">
        <v>774005</v>
      </c>
      <c r="B4928" s="14" t="s">
        <v>5045</v>
      </c>
      <c r="C4928" s="14" t="s">
        <v>13030</v>
      </c>
      <c r="D4928" s="15">
        <v>65.55</v>
      </c>
      <c r="E4928" s="16" t="s">
        <v>20</v>
      </c>
    </row>
    <row r="4929" spans="1:5" x14ac:dyDescent="0.25">
      <c r="A4929" s="14">
        <v>774006</v>
      </c>
      <c r="B4929" s="14" t="s">
        <v>5046</v>
      </c>
      <c r="C4929" s="14" t="s">
        <v>13030</v>
      </c>
      <c r="D4929" s="15">
        <v>103.79</v>
      </c>
      <c r="E4929" s="16" t="s">
        <v>20</v>
      </c>
    </row>
    <row r="4930" spans="1:5" x14ac:dyDescent="0.25">
      <c r="A4930" s="14">
        <v>897556</v>
      </c>
      <c r="B4930" s="14" t="s">
        <v>5047</v>
      </c>
      <c r="C4930" s="14" t="s">
        <v>13031</v>
      </c>
      <c r="D4930" s="15">
        <v>7.65</v>
      </c>
      <c r="E4930" s="16" t="s">
        <v>30</v>
      </c>
    </row>
    <row r="4931" spans="1:5" x14ac:dyDescent="0.25">
      <c r="A4931" s="14">
        <v>897753</v>
      </c>
      <c r="B4931" s="14" t="s">
        <v>5048</v>
      </c>
      <c r="C4931" s="14" t="s">
        <v>13033</v>
      </c>
      <c r="D4931" s="15">
        <v>17.25</v>
      </c>
      <c r="E4931" s="16" t="s">
        <v>30</v>
      </c>
    </row>
    <row r="4932" spans="1:5" x14ac:dyDescent="0.25">
      <c r="A4932" s="14">
        <v>897754</v>
      </c>
      <c r="B4932" s="14" t="s">
        <v>5049</v>
      </c>
      <c r="C4932" s="14" t="s">
        <v>13033</v>
      </c>
      <c r="D4932" s="15">
        <v>11.2</v>
      </c>
      <c r="E4932" s="16" t="s">
        <v>30</v>
      </c>
    </row>
    <row r="4933" spans="1:5" x14ac:dyDescent="0.25">
      <c r="A4933" s="14">
        <v>897755</v>
      </c>
      <c r="B4933" s="14" t="s">
        <v>5050</v>
      </c>
      <c r="C4933" s="14" t="s">
        <v>13033</v>
      </c>
      <c r="D4933" s="15">
        <v>11.2</v>
      </c>
      <c r="E4933" s="16" t="s">
        <v>30</v>
      </c>
    </row>
    <row r="4934" spans="1:5" x14ac:dyDescent="0.25">
      <c r="A4934" s="14">
        <v>897756</v>
      </c>
      <c r="B4934" s="14" t="s">
        <v>5051</v>
      </c>
      <c r="C4934" s="14" t="s">
        <v>13033</v>
      </c>
      <c r="D4934" s="15">
        <v>11.2</v>
      </c>
      <c r="E4934" s="16" t="s">
        <v>30</v>
      </c>
    </row>
    <row r="4935" spans="1:5" x14ac:dyDescent="0.25">
      <c r="A4935" s="14">
        <v>897757</v>
      </c>
      <c r="B4935" s="14" t="s">
        <v>5052</v>
      </c>
      <c r="C4935" s="14" t="s">
        <v>13033</v>
      </c>
      <c r="D4935" s="15">
        <v>5.89</v>
      </c>
      <c r="E4935" s="16" t="s">
        <v>30</v>
      </c>
    </row>
    <row r="4936" spans="1:5" x14ac:dyDescent="0.25">
      <c r="A4936" s="14">
        <v>897758</v>
      </c>
      <c r="B4936" s="14" t="s">
        <v>5053</v>
      </c>
      <c r="C4936" s="14" t="s">
        <v>13033</v>
      </c>
      <c r="D4936" s="15">
        <v>10.41</v>
      </c>
      <c r="E4936" s="16" t="s">
        <v>30</v>
      </c>
    </row>
    <row r="4937" spans="1:5" x14ac:dyDescent="0.25">
      <c r="A4937" s="14">
        <v>897759</v>
      </c>
      <c r="B4937" s="14" t="s">
        <v>5054</v>
      </c>
      <c r="C4937" s="14" t="s">
        <v>13033</v>
      </c>
      <c r="D4937" s="15">
        <v>12.07</v>
      </c>
      <c r="E4937" s="16" t="s">
        <v>30</v>
      </c>
    </row>
    <row r="4938" spans="1:5" x14ac:dyDescent="0.25">
      <c r="A4938" s="14">
        <v>897760</v>
      </c>
      <c r="B4938" s="14" t="s">
        <v>5055</v>
      </c>
      <c r="C4938" s="14" t="s">
        <v>13033</v>
      </c>
      <c r="D4938" s="15">
        <v>19.23</v>
      </c>
      <c r="E4938" s="16" t="s">
        <v>30</v>
      </c>
    </row>
    <row r="4939" spans="1:5" x14ac:dyDescent="0.25">
      <c r="A4939" s="14">
        <v>897761</v>
      </c>
      <c r="B4939" s="14" t="s">
        <v>5056</v>
      </c>
      <c r="C4939" s="14" t="s">
        <v>13033</v>
      </c>
      <c r="D4939" s="15">
        <v>13.16</v>
      </c>
      <c r="E4939" s="16" t="s">
        <v>30</v>
      </c>
    </row>
    <row r="4940" spans="1:5" x14ac:dyDescent="0.25">
      <c r="A4940" s="14">
        <v>897762</v>
      </c>
      <c r="B4940" s="14" t="s">
        <v>5057</v>
      </c>
      <c r="C4940" s="14" t="s">
        <v>13033</v>
      </c>
      <c r="D4940" s="15">
        <v>5.45</v>
      </c>
      <c r="E4940" s="16" t="s">
        <v>30</v>
      </c>
    </row>
    <row r="4941" spans="1:5" x14ac:dyDescent="0.25">
      <c r="A4941" s="14">
        <v>897763</v>
      </c>
      <c r="B4941" s="14" t="s">
        <v>5058</v>
      </c>
      <c r="C4941" s="14" t="s">
        <v>13033</v>
      </c>
      <c r="D4941" s="15">
        <v>6.55</v>
      </c>
      <c r="E4941" s="16" t="s">
        <v>30</v>
      </c>
    </row>
    <row r="4942" spans="1:5" x14ac:dyDescent="0.25">
      <c r="A4942" s="14">
        <v>897764</v>
      </c>
      <c r="B4942" s="14" t="s">
        <v>5059</v>
      </c>
      <c r="C4942" s="14" t="s">
        <v>13033</v>
      </c>
      <c r="D4942" s="15">
        <v>13.16</v>
      </c>
      <c r="E4942" s="16" t="s">
        <v>30</v>
      </c>
    </row>
    <row r="4943" spans="1:5" x14ac:dyDescent="0.25">
      <c r="A4943" s="14">
        <v>897766</v>
      </c>
      <c r="B4943" s="14" t="s">
        <v>5060</v>
      </c>
      <c r="C4943" s="14" t="s">
        <v>13033</v>
      </c>
      <c r="D4943" s="15">
        <v>11.81</v>
      </c>
      <c r="E4943" s="16" t="s">
        <v>30</v>
      </c>
    </row>
    <row r="4944" spans="1:5" x14ac:dyDescent="0.25">
      <c r="A4944" s="14">
        <v>897767</v>
      </c>
      <c r="B4944" s="14" t="s">
        <v>5061</v>
      </c>
      <c r="C4944" s="14" t="s">
        <v>13033</v>
      </c>
      <c r="D4944" s="15">
        <v>11.81</v>
      </c>
      <c r="E4944" s="16" t="s">
        <v>30</v>
      </c>
    </row>
    <row r="4945" spans="1:5" x14ac:dyDescent="0.25">
      <c r="A4945" s="14">
        <v>897768</v>
      </c>
      <c r="B4945" s="14" t="s">
        <v>5062</v>
      </c>
      <c r="C4945" s="14" t="s">
        <v>13033</v>
      </c>
      <c r="D4945" s="15">
        <v>11.81</v>
      </c>
      <c r="E4945" s="16" t="s">
        <v>30</v>
      </c>
    </row>
    <row r="4946" spans="1:5" x14ac:dyDescent="0.25">
      <c r="A4946" s="14">
        <v>897769</v>
      </c>
      <c r="B4946" s="14" t="s">
        <v>5063</v>
      </c>
      <c r="C4946" s="14" t="s">
        <v>13033</v>
      </c>
      <c r="D4946" s="15">
        <v>11.81</v>
      </c>
      <c r="E4946" s="16" t="s">
        <v>30</v>
      </c>
    </row>
    <row r="4947" spans="1:5" x14ac:dyDescent="0.25">
      <c r="A4947" s="14">
        <v>897882</v>
      </c>
      <c r="B4947" s="14" t="s">
        <v>5064</v>
      </c>
      <c r="C4947" s="14" t="s">
        <v>13029</v>
      </c>
      <c r="D4947" s="15">
        <v>15.8</v>
      </c>
      <c r="E4947" s="16" t="s">
        <v>30</v>
      </c>
    </row>
    <row r="4948" spans="1:5" x14ac:dyDescent="0.25">
      <c r="A4948" s="14">
        <v>897912</v>
      </c>
      <c r="B4948" s="14" t="s">
        <v>5065</v>
      </c>
      <c r="C4948" s="14" t="s">
        <v>13031</v>
      </c>
      <c r="D4948" s="15">
        <v>8.4499999999999993</v>
      </c>
      <c r="E4948" s="16" t="s">
        <v>30</v>
      </c>
    </row>
    <row r="4949" spans="1:5" x14ac:dyDescent="0.25">
      <c r="A4949" s="14">
        <v>897913</v>
      </c>
      <c r="B4949" s="14" t="s">
        <v>5066</v>
      </c>
      <c r="C4949" s="14" t="s">
        <v>13031</v>
      </c>
      <c r="D4949" s="15">
        <v>11.86</v>
      </c>
      <c r="E4949" s="16" t="s">
        <v>30</v>
      </c>
    </row>
    <row r="4950" spans="1:5" x14ac:dyDescent="0.25">
      <c r="A4950" s="14">
        <v>897917</v>
      </c>
      <c r="B4950" s="14" t="s">
        <v>5067</v>
      </c>
      <c r="C4950" s="14" t="s">
        <v>13031</v>
      </c>
      <c r="D4950" s="15">
        <v>19.5</v>
      </c>
      <c r="E4950" s="14" t="s">
        <v>30</v>
      </c>
    </row>
    <row r="4951" spans="1:5" x14ac:dyDescent="0.25">
      <c r="A4951" s="14">
        <v>897918</v>
      </c>
      <c r="B4951" s="14" t="s">
        <v>5068</v>
      </c>
      <c r="C4951" s="14" t="s">
        <v>13031</v>
      </c>
      <c r="D4951" s="15">
        <v>11.7</v>
      </c>
      <c r="E4951" s="16" t="s">
        <v>30</v>
      </c>
    </row>
    <row r="4952" spans="1:5" x14ac:dyDescent="0.25">
      <c r="A4952" s="14">
        <v>897919</v>
      </c>
      <c r="B4952" s="14" t="s">
        <v>5069</v>
      </c>
      <c r="C4952" s="14" t="s">
        <v>13031</v>
      </c>
      <c r="D4952" s="15">
        <v>11.7</v>
      </c>
      <c r="E4952" s="16" t="s">
        <v>30</v>
      </c>
    </row>
    <row r="4953" spans="1:5" x14ac:dyDescent="0.25">
      <c r="A4953" s="14">
        <v>897920</v>
      </c>
      <c r="B4953" s="14" t="s">
        <v>5070</v>
      </c>
      <c r="C4953" s="14" t="s">
        <v>13031</v>
      </c>
      <c r="D4953" s="15">
        <v>11.7</v>
      </c>
      <c r="E4953" s="16" t="s">
        <v>30</v>
      </c>
    </row>
    <row r="4954" spans="1:5" x14ac:dyDescent="0.25">
      <c r="A4954" s="14">
        <v>897921</v>
      </c>
      <c r="B4954" s="14" t="s">
        <v>5071</v>
      </c>
      <c r="C4954" s="14" t="s">
        <v>13031</v>
      </c>
      <c r="D4954" s="15">
        <v>11.7</v>
      </c>
      <c r="E4954" s="16" t="s">
        <v>30</v>
      </c>
    </row>
    <row r="4955" spans="1:5" x14ac:dyDescent="0.25">
      <c r="A4955" s="14">
        <v>897930</v>
      </c>
      <c r="B4955" s="14" t="s">
        <v>5072</v>
      </c>
      <c r="C4955" s="14" t="s">
        <v>13029</v>
      </c>
      <c r="D4955" s="15">
        <v>14.33</v>
      </c>
      <c r="E4955" s="16" t="s">
        <v>30</v>
      </c>
    </row>
    <row r="4956" spans="1:5" x14ac:dyDescent="0.25">
      <c r="A4956" s="14">
        <v>897931</v>
      </c>
      <c r="B4956" s="14" t="s">
        <v>5073</v>
      </c>
      <c r="C4956" s="14" t="s">
        <v>13031</v>
      </c>
      <c r="D4956" s="15">
        <v>2.64</v>
      </c>
      <c r="E4956" s="16" t="s">
        <v>30</v>
      </c>
    </row>
    <row r="4957" spans="1:5" x14ac:dyDescent="0.25">
      <c r="A4957" s="14">
        <v>897932</v>
      </c>
      <c r="B4957" s="14" t="s">
        <v>5074</v>
      </c>
      <c r="C4957" s="14" t="s">
        <v>13029</v>
      </c>
      <c r="D4957" s="15">
        <v>13</v>
      </c>
      <c r="E4957" s="16" t="s">
        <v>30</v>
      </c>
    </row>
    <row r="4958" spans="1:5" x14ac:dyDescent="0.25">
      <c r="A4958" s="14">
        <v>897936</v>
      </c>
      <c r="B4958" s="14" t="s">
        <v>5075</v>
      </c>
      <c r="C4958" s="14" t="s">
        <v>13030</v>
      </c>
      <c r="D4958" s="15">
        <v>82.12</v>
      </c>
      <c r="E4958" s="16" t="s">
        <v>30</v>
      </c>
    </row>
    <row r="4959" spans="1:5" x14ac:dyDescent="0.25">
      <c r="A4959" s="14">
        <v>897937</v>
      </c>
      <c r="B4959" s="14" t="s">
        <v>5076</v>
      </c>
      <c r="C4959" s="14" t="s">
        <v>13030</v>
      </c>
      <c r="D4959" s="15">
        <v>129.33000000000001</v>
      </c>
      <c r="E4959" s="16" t="s">
        <v>30</v>
      </c>
    </row>
    <row r="4960" spans="1:5" x14ac:dyDescent="0.25">
      <c r="A4960" s="14">
        <v>898534</v>
      </c>
      <c r="B4960" s="14" t="s">
        <v>5077</v>
      </c>
      <c r="C4960" s="14" t="s">
        <v>13029</v>
      </c>
      <c r="D4960" s="15">
        <v>2.5499999999999998</v>
      </c>
      <c r="E4960" s="16" t="s">
        <v>30</v>
      </c>
    </row>
    <row r="4961" spans="1:5" x14ac:dyDescent="0.25">
      <c r="A4961" s="14">
        <v>898535</v>
      </c>
      <c r="B4961" s="14" t="s">
        <v>5078</v>
      </c>
      <c r="C4961" s="14" t="s">
        <v>13029</v>
      </c>
      <c r="D4961" s="15">
        <v>3.95</v>
      </c>
      <c r="E4961" s="16" t="s">
        <v>30</v>
      </c>
    </row>
    <row r="4962" spans="1:5" x14ac:dyDescent="0.25">
      <c r="A4962" s="14">
        <v>898536</v>
      </c>
      <c r="B4962" s="14" t="s">
        <v>5079</v>
      </c>
      <c r="C4962" s="14" t="s">
        <v>13029</v>
      </c>
      <c r="D4962" s="15">
        <v>2.95</v>
      </c>
      <c r="E4962" s="16" t="s">
        <v>30</v>
      </c>
    </row>
    <row r="4963" spans="1:5" x14ac:dyDescent="0.25">
      <c r="A4963" s="14">
        <v>898537</v>
      </c>
      <c r="B4963" s="14" t="s">
        <v>5080</v>
      </c>
      <c r="C4963" s="14" t="s">
        <v>13029</v>
      </c>
      <c r="D4963" s="15">
        <v>5.99</v>
      </c>
      <c r="E4963" s="16" t="s">
        <v>30</v>
      </c>
    </row>
    <row r="4964" spans="1:5" x14ac:dyDescent="0.25">
      <c r="A4964" s="14">
        <v>898538</v>
      </c>
      <c r="B4964" s="14" t="s">
        <v>5081</v>
      </c>
      <c r="C4964" s="14" t="s">
        <v>13029</v>
      </c>
      <c r="D4964" s="15">
        <v>5.55</v>
      </c>
      <c r="E4964" s="16" t="s">
        <v>30</v>
      </c>
    </row>
    <row r="4965" spans="1:5" x14ac:dyDescent="0.25">
      <c r="A4965" s="14">
        <v>898539</v>
      </c>
      <c r="B4965" s="14" t="s">
        <v>5082</v>
      </c>
      <c r="C4965" s="14" t="s">
        <v>13029</v>
      </c>
      <c r="D4965" s="15">
        <v>6.95</v>
      </c>
      <c r="E4965" s="16" t="s">
        <v>30</v>
      </c>
    </row>
    <row r="4966" spans="1:5" x14ac:dyDescent="0.25">
      <c r="A4966" s="14">
        <v>898540</v>
      </c>
      <c r="B4966" s="14" t="s">
        <v>5083</v>
      </c>
      <c r="C4966" s="14" t="s">
        <v>13029</v>
      </c>
      <c r="D4966" s="15">
        <v>7.95</v>
      </c>
      <c r="E4966" s="16" t="s">
        <v>30</v>
      </c>
    </row>
    <row r="4967" spans="1:5" x14ac:dyDescent="0.25">
      <c r="A4967" s="14">
        <v>898544</v>
      </c>
      <c r="B4967" s="14" t="s">
        <v>5084</v>
      </c>
      <c r="C4967" s="14" t="s">
        <v>13031</v>
      </c>
      <c r="D4967" s="15">
        <v>3</v>
      </c>
      <c r="E4967" s="16" t="s">
        <v>30</v>
      </c>
    </row>
    <row r="4968" spans="1:5" x14ac:dyDescent="0.25">
      <c r="A4968" s="14">
        <v>898546</v>
      </c>
      <c r="B4968" s="14" t="s">
        <v>5085</v>
      </c>
      <c r="C4968" s="14" t="s">
        <v>13031</v>
      </c>
      <c r="D4968" s="15">
        <v>3.65</v>
      </c>
      <c r="E4968" s="16" t="s">
        <v>30</v>
      </c>
    </row>
    <row r="4969" spans="1:5" x14ac:dyDescent="0.25">
      <c r="A4969" s="14">
        <v>898547</v>
      </c>
      <c r="B4969" s="14" t="s">
        <v>5086</v>
      </c>
      <c r="C4969" s="14" t="s">
        <v>13031</v>
      </c>
      <c r="D4969" s="15">
        <v>3.65</v>
      </c>
      <c r="E4969" s="16" t="s">
        <v>30</v>
      </c>
    </row>
    <row r="4970" spans="1:5" x14ac:dyDescent="0.25">
      <c r="A4970" s="14">
        <v>898550</v>
      </c>
      <c r="B4970" s="14" t="s">
        <v>5087</v>
      </c>
      <c r="C4970" s="14" t="s">
        <v>13029</v>
      </c>
      <c r="D4970" s="15">
        <v>21.87</v>
      </c>
      <c r="E4970" s="16" t="s">
        <v>30</v>
      </c>
    </row>
    <row r="4971" spans="1:5" x14ac:dyDescent="0.25">
      <c r="A4971" s="14">
        <v>898551</v>
      </c>
      <c r="B4971" s="14" t="s">
        <v>5088</v>
      </c>
      <c r="C4971" s="14" t="s">
        <v>13029</v>
      </c>
      <c r="D4971" s="15">
        <v>19.5</v>
      </c>
      <c r="E4971" s="16" t="s">
        <v>30</v>
      </c>
    </row>
    <row r="4972" spans="1:5" x14ac:dyDescent="0.25">
      <c r="A4972" s="14">
        <v>898552</v>
      </c>
      <c r="B4972" s="14" t="s">
        <v>5089</v>
      </c>
      <c r="C4972" s="14" t="s">
        <v>13029</v>
      </c>
      <c r="D4972" s="15">
        <v>17.28</v>
      </c>
      <c r="E4972" s="16" t="s">
        <v>30</v>
      </c>
    </row>
    <row r="4973" spans="1:5" x14ac:dyDescent="0.25">
      <c r="A4973" s="14">
        <v>898554</v>
      </c>
      <c r="B4973" s="14" t="s">
        <v>5090</v>
      </c>
      <c r="C4973" s="14" t="s">
        <v>13029</v>
      </c>
      <c r="D4973" s="15">
        <v>38.049999999999997</v>
      </c>
      <c r="E4973" s="16" t="s">
        <v>30</v>
      </c>
    </row>
    <row r="4974" spans="1:5" x14ac:dyDescent="0.25">
      <c r="A4974" s="14">
        <v>774007</v>
      </c>
      <c r="B4974" s="14" t="s">
        <v>5091</v>
      </c>
      <c r="C4974" s="14" t="s">
        <v>13030</v>
      </c>
      <c r="D4974" s="15">
        <v>181.53</v>
      </c>
      <c r="E4974" s="16" t="s">
        <v>20</v>
      </c>
    </row>
    <row r="4975" spans="1:5" x14ac:dyDescent="0.25">
      <c r="A4975" s="14">
        <v>898556</v>
      </c>
      <c r="B4975" s="14" t="s">
        <v>5092</v>
      </c>
      <c r="C4975" s="14" t="s">
        <v>13029</v>
      </c>
      <c r="D4975" s="15">
        <v>45.34</v>
      </c>
      <c r="E4975" s="16" t="s">
        <v>30</v>
      </c>
    </row>
    <row r="4976" spans="1:5" x14ac:dyDescent="0.25">
      <c r="A4976" s="14">
        <v>899060</v>
      </c>
      <c r="B4976" s="14" t="s">
        <v>5093</v>
      </c>
      <c r="C4976" s="14" t="s">
        <v>13029</v>
      </c>
      <c r="D4976" s="15">
        <v>15.38</v>
      </c>
      <c r="E4976" s="16" t="s">
        <v>30</v>
      </c>
    </row>
    <row r="4977" spans="1:5" x14ac:dyDescent="0.25">
      <c r="A4977" s="14">
        <v>899264</v>
      </c>
      <c r="B4977" s="14" t="s">
        <v>5094</v>
      </c>
      <c r="C4977" s="14" t="s">
        <v>13031</v>
      </c>
      <c r="D4977" s="15">
        <v>12.6</v>
      </c>
      <c r="E4977" s="16" t="s">
        <v>30</v>
      </c>
    </row>
    <row r="4978" spans="1:5" x14ac:dyDescent="0.25">
      <c r="A4978" s="14">
        <v>899265</v>
      </c>
      <c r="B4978" s="14" t="s">
        <v>5095</v>
      </c>
      <c r="C4978" s="14" t="s">
        <v>13031</v>
      </c>
      <c r="D4978" s="15">
        <v>3.39</v>
      </c>
      <c r="E4978" s="16" t="s">
        <v>30</v>
      </c>
    </row>
    <row r="4979" spans="1:5" x14ac:dyDescent="0.25">
      <c r="A4979" s="14">
        <v>899331</v>
      </c>
      <c r="B4979" s="14" t="s">
        <v>5096</v>
      </c>
      <c r="C4979" s="14" t="s">
        <v>13031</v>
      </c>
      <c r="D4979" s="15">
        <v>4.63</v>
      </c>
      <c r="E4979" s="14" t="s">
        <v>30</v>
      </c>
    </row>
    <row r="4980" spans="1:5" x14ac:dyDescent="0.25">
      <c r="A4980" s="14">
        <v>768767</v>
      </c>
      <c r="B4980" s="14" t="s">
        <v>5097</v>
      </c>
      <c r="C4980" s="14" t="s">
        <v>13031</v>
      </c>
      <c r="D4980" s="15">
        <v>14.31</v>
      </c>
      <c r="E4980" s="16" t="s">
        <v>20</v>
      </c>
    </row>
    <row r="4981" spans="1:5" x14ac:dyDescent="0.25">
      <c r="A4981" s="14">
        <v>768768</v>
      </c>
      <c r="B4981" s="14" t="s">
        <v>5098</v>
      </c>
      <c r="C4981" s="14" t="s">
        <v>13031</v>
      </c>
      <c r="D4981" s="15">
        <v>14.31</v>
      </c>
      <c r="E4981" s="16" t="s">
        <v>20</v>
      </c>
    </row>
    <row r="4982" spans="1:5" x14ac:dyDescent="0.25">
      <c r="A4982" s="14">
        <v>768769</v>
      </c>
      <c r="B4982" s="14" t="s">
        <v>5099</v>
      </c>
      <c r="C4982" s="14" t="s">
        <v>13031</v>
      </c>
      <c r="D4982" s="15">
        <v>14.34</v>
      </c>
      <c r="E4982" s="16" t="s">
        <v>20</v>
      </c>
    </row>
    <row r="4983" spans="1:5" x14ac:dyDescent="0.25">
      <c r="A4983" s="14">
        <v>899332</v>
      </c>
      <c r="B4983" s="14" t="s">
        <v>5100</v>
      </c>
      <c r="C4983" s="14" t="s">
        <v>13029</v>
      </c>
      <c r="D4983" s="15">
        <v>32.89</v>
      </c>
      <c r="E4983" s="16" t="s">
        <v>30</v>
      </c>
    </row>
    <row r="4984" spans="1:5" x14ac:dyDescent="0.25">
      <c r="A4984" s="14">
        <v>899333</v>
      </c>
      <c r="B4984" s="14" t="s">
        <v>5101</v>
      </c>
      <c r="C4984" s="14" t="s">
        <v>13029</v>
      </c>
      <c r="D4984" s="15">
        <v>30.45</v>
      </c>
      <c r="E4984" s="16" t="s">
        <v>30</v>
      </c>
    </row>
    <row r="4985" spans="1:5" x14ac:dyDescent="0.25">
      <c r="A4985" s="14">
        <v>899337</v>
      </c>
      <c r="B4985" s="14" t="s">
        <v>5102</v>
      </c>
      <c r="C4985" s="14" t="s">
        <v>13029</v>
      </c>
      <c r="D4985" s="15">
        <v>17.329999999999998</v>
      </c>
      <c r="E4985" s="16" t="s">
        <v>30</v>
      </c>
    </row>
    <row r="4986" spans="1:5" x14ac:dyDescent="0.25">
      <c r="A4986" s="14">
        <v>899390</v>
      </c>
      <c r="B4986" s="14" t="s">
        <v>5103</v>
      </c>
      <c r="C4986" s="14" t="s">
        <v>13031</v>
      </c>
      <c r="D4986" s="15">
        <v>8.8800000000000008</v>
      </c>
      <c r="E4986" s="16" t="s">
        <v>30</v>
      </c>
    </row>
    <row r="4987" spans="1:5" x14ac:dyDescent="0.25">
      <c r="A4987" s="14">
        <v>899391</v>
      </c>
      <c r="B4987" s="14" t="s">
        <v>5104</v>
      </c>
      <c r="C4987" s="14" t="s">
        <v>13031</v>
      </c>
      <c r="D4987" s="15">
        <v>10.49</v>
      </c>
      <c r="E4987" s="16" t="s">
        <v>30</v>
      </c>
    </row>
    <row r="4988" spans="1:5" x14ac:dyDescent="0.25">
      <c r="A4988" s="14">
        <v>899768</v>
      </c>
      <c r="B4988" s="14" t="s">
        <v>5105</v>
      </c>
      <c r="C4988" s="14" t="s">
        <v>13029</v>
      </c>
      <c r="D4988" s="15">
        <v>28.32</v>
      </c>
      <c r="E4988" s="16" t="s">
        <v>30</v>
      </c>
    </row>
    <row r="4989" spans="1:5" x14ac:dyDescent="0.25">
      <c r="A4989" s="14">
        <v>899772</v>
      </c>
      <c r="B4989" s="14" t="s">
        <v>5106</v>
      </c>
      <c r="C4989" s="14" t="s">
        <v>13029</v>
      </c>
      <c r="D4989" s="15">
        <v>37.31</v>
      </c>
      <c r="E4989" s="16" t="s">
        <v>30</v>
      </c>
    </row>
    <row r="4990" spans="1:5" x14ac:dyDescent="0.25">
      <c r="A4990" s="14">
        <v>899775</v>
      </c>
      <c r="B4990" s="14" t="s">
        <v>5107</v>
      </c>
      <c r="C4990" s="14" t="s">
        <v>13030</v>
      </c>
      <c r="D4990" s="15">
        <v>22.23</v>
      </c>
      <c r="E4990" s="16" t="s">
        <v>30</v>
      </c>
    </row>
    <row r="4991" spans="1:5" x14ac:dyDescent="0.25">
      <c r="A4991" s="14">
        <v>899806</v>
      </c>
      <c r="B4991" s="14" t="s">
        <v>5108</v>
      </c>
      <c r="C4991" s="14" t="s">
        <v>13029</v>
      </c>
      <c r="D4991" s="15">
        <v>23.58</v>
      </c>
      <c r="E4991" s="16" t="s">
        <v>30</v>
      </c>
    </row>
    <row r="4992" spans="1:5" x14ac:dyDescent="0.25">
      <c r="A4992" s="14">
        <v>899985</v>
      </c>
      <c r="B4992" s="14" t="s">
        <v>5109</v>
      </c>
      <c r="C4992" s="14" t="s">
        <v>13029</v>
      </c>
      <c r="D4992" s="15">
        <v>30.32</v>
      </c>
      <c r="E4992" s="16" t="s">
        <v>30</v>
      </c>
    </row>
    <row r="4993" spans="1:5" x14ac:dyDescent="0.25">
      <c r="A4993" s="14">
        <v>899986</v>
      </c>
      <c r="B4993" s="14" t="s">
        <v>5110</v>
      </c>
      <c r="C4993" s="14" t="s">
        <v>13029</v>
      </c>
      <c r="D4993" s="15">
        <v>36.200000000000003</v>
      </c>
      <c r="E4993" s="16" t="s">
        <v>30</v>
      </c>
    </row>
    <row r="4994" spans="1:5" x14ac:dyDescent="0.25">
      <c r="A4994" s="14">
        <v>899987</v>
      </c>
      <c r="B4994" s="14" t="s">
        <v>5111</v>
      </c>
      <c r="C4994" s="14" t="s">
        <v>13029</v>
      </c>
      <c r="D4994" s="15">
        <v>28.48</v>
      </c>
      <c r="E4994" s="16" t="s">
        <v>30</v>
      </c>
    </row>
    <row r="4995" spans="1:5" x14ac:dyDescent="0.25">
      <c r="A4995" s="14">
        <v>899988</v>
      </c>
      <c r="B4995" s="14" t="s">
        <v>5112</v>
      </c>
      <c r="C4995" s="14" t="s">
        <v>13029</v>
      </c>
      <c r="D4995" s="15">
        <v>49.88</v>
      </c>
      <c r="E4995" s="16" t="s">
        <v>30</v>
      </c>
    </row>
    <row r="4996" spans="1:5" x14ac:dyDescent="0.25">
      <c r="A4996" s="14">
        <v>900217</v>
      </c>
      <c r="B4996" s="14" t="s">
        <v>5113</v>
      </c>
      <c r="C4996" s="14" t="s">
        <v>13031</v>
      </c>
      <c r="D4996" s="15">
        <v>20</v>
      </c>
      <c r="E4996" s="16" t="s">
        <v>30</v>
      </c>
    </row>
    <row r="4997" spans="1:5" x14ac:dyDescent="0.25">
      <c r="A4997" s="14">
        <v>771246</v>
      </c>
      <c r="B4997" s="14" t="s">
        <v>5114</v>
      </c>
      <c r="C4997" s="14" t="s">
        <v>13031</v>
      </c>
      <c r="D4997" s="15">
        <v>11.1</v>
      </c>
      <c r="E4997" s="16" t="s">
        <v>20</v>
      </c>
    </row>
    <row r="4998" spans="1:5" x14ac:dyDescent="0.25">
      <c r="A4998" s="14">
        <v>771247</v>
      </c>
      <c r="B4998" s="14" t="s">
        <v>5115</v>
      </c>
      <c r="C4998" s="14" t="s">
        <v>13031</v>
      </c>
      <c r="D4998" s="15">
        <v>17.5</v>
      </c>
      <c r="E4998" s="16" t="s">
        <v>20</v>
      </c>
    </row>
    <row r="4999" spans="1:5" x14ac:dyDescent="0.25">
      <c r="A4999" s="14">
        <v>772720</v>
      </c>
      <c r="B4999" s="14" t="s">
        <v>5116</v>
      </c>
      <c r="C4999" s="14" t="s">
        <v>13030</v>
      </c>
      <c r="D4999" s="15">
        <v>28.9</v>
      </c>
      <c r="E4999" s="16" t="s">
        <v>20</v>
      </c>
    </row>
    <row r="5000" spans="1:5" x14ac:dyDescent="0.25">
      <c r="A5000" s="14">
        <v>900218</v>
      </c>
      <c r="B5000" s="14" t="s">
        <v>5117</v>
      </c>
      <c r="C5000" s="14" t="s">
        <v>13031</v>
      </c>
      <c r="D5000" s="15">
        <v>20</v>
      </c>
      <c r="E5000" s="16" t="s">
        <v>30</v>
      </c>
    </row>
    <row r="5001" spans="1:5" x14ac:dyDescent="0.25">
      <c r="A5001" s="14">
        <v>900219</v>
      </c>
      <c r="B5001" s="14" t="s">
        <v>5118</v>
      </c>
      <c r="C5001" s="14" t="s">
        <v>13031</v>
      </c>
      <c r="D5001" s="15">
        <v>20</v>
      </c>
      <c r="E5001" s="16" t="s">
        <v>30</v>
      </c>
    </row>
    <row r="5002" spans="1:5" x14ac:dyDescent="0.25">
      <c r="A5002" s="14">
        <v>900220</v>
      </c>
      <c r="B5002" s="14" t="s">
        <v>5119</v>
      </c>
      <c r="C5002" s="14" t="s">
        <v>13031</v>
      </c>
      <c r="D5002" s="15">
        <v>20</v>
      </c>
      <c r="E5002" s="16" t="s">
        <v>30</v>
      </c>
    </row>
    <row r="5003" spans="1:5" x14ac:dyDescent="0.25">
      <c r="A5003" s="14">
        <v>900268</v>
      </c>
      <c r="B5003" s="14" t="s">
        <v>5120</v>
      </c>
      <c r="C5003" s="14" t="s">
        <v>13029</v>
      </c>
      <c r="D5003" s="15">
        <v>63.31</v>
      </c>
      <c r="E5003" s="16" t="s">
        <v>30</v>
      </c>
    </row>
    <row r="5004" spans="1:5" x14ac:dyDescent="0.25">
      <c r="A5004" s="14">
        <v>900371</v>
      </c>
      <c r="B5004" s="14" t="s">
        <v>5121</v>
      </c>
      <c r="C5004" s="14" t="s">
        <v>13029</v>
      </c>
      <c r="D5004" s="15">
        <v>21.05</v>
      </c>
      <c r="E5004" s="16" t="s">
        <v>30</v>
      </c>
    </row>
    <row r="5005" spans="1:5" x14ac:dyDescent="0.25">
      <c r="A5005" s="14">
        <v>900383</v>
      </c>
      <c r="B5005" s="14" t="s">
        <v>5122</v>
      </c>
      <c r="C5005" s="14" t="s">
        <v>13029</v>
      </c>
      <c r="D5005" s="15">
        <v>9.59</v>
      </c>
      <c r="E5005" s="16" t="s">
        <v>30</v>
      </c>
    </row>
    <row r="5006" spans="1:5" x14ac:dyDescent="0.25">
      <c r="A5006" s="14">
        <v>900384</v>
      </c>
      <c r="B5006" s="14" t="s">
        <v>5123</v>
      </c>
      <c r="C5006" s="14" t="s">
        <v>13029</v>
      </c>
      <c r="D5006" s="15">
        <v>8.84</v>
      </c>
      <c r="E5006" s="16" t="s">
        <v>30</v>
      </c>
    </row>
    <row r="5007" spans="1:5" x14ac:dyDescent="0.25">
      <c r="A5007" s="14">
        <v>773303</v>
      </c>
      <c r="B5007" s="14" t="s">
        <v>5124</v>
      </c>
      <c r="C5007" s="14" t="s">
        <v>13031</v>
      </c>
      <c r="D5007" s="15">
        <v>10.5</v>
      </c>
      <c r="E5007" s="16" t="s">
        <v>20</v>
      </c>
    </row>
    <row r="5008" spans="1:5" x14ac:dyDescent="0.25">
      <c r="A5008" s="14">
        <v>900386</v>
      </c>
      <c r="B5008" s="14" t="s">
        <v>5125</v>
      </c>
      <c r="C5008" s="14" t="s">
        <v>13029</v>
      </c>
      <c r="D5008" s="15">
        <v>4.09</v>
      </c>
      <c r="E5008" s="16" t="s">
        <v>30</v>
      </c>
    </row>
    <row r="5009" spans="1:5" x14ac:dyDescent="0.25">
      <c r="A5009" s="14">
        <v>900442</v>
      </c>
      <c r="B5009" s="14" t="s">
        <v>5126</v>
      </c>
      <c r="C5009" s="14" t="s">
        <v>13031</v>
      </c>
      <c r="D5009" s="15">
        <v>12.71</v>
      </c>
      <c r="E5009" s="16" t="s">
        <v>30</v>
      </c>
    </row>
    <row r="5010" spans="1:5" x14ac:dyDescent="0.25">
      <c r="A5010" s="14">
        <v>900443</v>
      </c>
      <c r="B5010" s="14" t="s">
        <v>5127</v>
      </c>
      <c r="C5010" s="14" t="s">
        <v>13031</v>
      </c>
      <c r="D5010" s="15">
        <v>3.45</v>
      </c>
      <c r="E5010" s="16" t="s">
        <v>30</v>
      </c>
    </row>
    <row r="5011" spans="1:5" x14ac:dyDescent="0.25">
      <c r="A5011" s="14">
        <v>900447</v>
      </c>
      <c r="B5011" s="14" t="s">
        <v>5128</v>
      </c>
      <c r="C5011" s="14" t="s">
        <v>13031</v>
      </c>
      <c r="D5011" s="15">
        <v>3.04</v>
      </c>
      <c r="E5011" s="16" t="s">
        <v>30</v>
      </c>
    </row>
    <row r="5012" spans="1:5" x14ac:dyDescent="0.25">
      <c r="A5012" s="14">
        <v>900463</v>
      </c>
      <c r="B5012" s="14" t="s">
        <v>5129</v>
      </c>
      <c r="C5012" s="14" t="s">
        <v>13031</v>
      </c>
      <c r="D5012" s="15">
        <v>70.83</v>
      </c>
      <c r="E5012" s="16" t="s">
        <v>30</v>
      </c>
    </row>
    <row r="5013" spans="1:5" x14ac:dyDescent="0.25">
      <c r="A5013" s="14">
        <v>900464</v>
      </c>
      <c r="B5013" s="14" t="s">
        <v>5130</v>
      </c>
      <c r="C5013" s="14" t="s">
        <v>13031</v>
      </c>
      <c r="D5013" s="15">
        <v>70.83</v>
      </c>
      <c r="E5013" s="16" t="s">
        <v>30</v>
      </c>
    </row>
    <row r="5014" spans="1:5" x14ac:dyDescent="0.25">
      <c r="A5014" s="14">
        <v>900587</v>
      </c>
      <c r="B5014" s="14" t="s">
        <v>5131</v>
      </c>
      <c r="C5014" s="14" t="s">
        <v>13031</v>
      </c>
      <c r="D5014" s="15">
        <v>2.31</v>
      </c>
      <c r="E5014" s="16" t="s">
        <v>30</v>
      </c>
    </row>
    <row r="5015" spans="1:5" x14ac:dyDescent="0.25">
      <c r="A5015" s="14">
        <v>900588</v>
      </c>
      <c r="B5015" s="14" t="s">
        <v>5132</v>
      </c>
      <c r="C5015" s="14" t="s">
        <v>13031</v>
      </c>
      <c r="D5015" s="15">
        <v>2.67</v>
      </c>
      <c r="E5015" s="16" t="s">
        <v>30</v>
      </c>
    </row>
    <row r="5016" spans="1:5" x14ac:dyDescent="0.25">
      <c r="A5016" s="14">
        <v>900589</v>
      </c>
      <c r="B5016" s="14" t="s">
        <v>5133</v>
      </c>
      <c r="C5016" s="14" t="s">
        <v>13031</v>
      </c>
      <c r="D5016" s="15">
        <v>5.87</v>
      </c>
      <c r="E5016" s="16" t="s">
        <v>30</v>
      </c>
    </row>
    <row r="5017" spans="1:5" x14ac:dyDescent="0.25">
      <c r="A5017" s="14">
        <v>900590</v>
      </c>
      <c r="B5017" s="14" t="s">
        <v>5134</v>
      </c>
      <c r="C5017" s="14" t="s">
        <v>13031</v>
      </c>
      <c r="D5017" s="15">
        <v>5.87</v>
      </c>
      <c r="E5017" s="16" t="s">
        <v>30</v>
      </c>
    </row>
    <row r="5018" spans="1:5" x14ac:dyDescent="0.25">
      <c r="A5018" s="14">
        <v>900592</v>
      </c>
      <c r="B5018" s="14" t="s">
        <v>5135</v>
      </c>
      <c r="C5018" s="14" t="s">
        <v>13030</v>
      </c>
      <c r="D5018" s="15">
        <v>83.32</v>
      </c>
      <c r="E5018" s="16" t="s">
        <v>30</v>
      </c>
    </row>
    <row r="5019" spans="1:5" x14ac:dyDescent="0.25">
      <c r="A5019" s="14">
        <v>900848</v>
      </c>
      <c r="B5019" s="14" t="s">
        <v>5136</v>
      </c>
      <c r="C5019" s="14" t="s">
        <v>13029</v>
      </c>
      <c r="D5019" s="15">
        <v>40.43</v>
      </c>
      <c r="E5019" s="16" t="s">
        <v>30</v>
      </c>
    </row>
    <row r="5020" spans="1:5" x14ac:dyDescent="0.25">
      <c r="A5020" s="14">
        <v>900849</v>
      </c>
      <c r="B5020" s="14" t="s">
        <v>5137</v>
      </c>
      <c r="C5020" s="14" t="s">
        <v>13029</v>
      </c>
      <c r="D5020" s="15">
        <v>40.43</v>
      </c>
      <c r="E5020" s="16" t="s">
        <v>30</v>
      </c>
    </row>
    <row r="5021" spans="1:5" x14ac:dyDescent="0.25">
      <c r="A5021" s="14">
        <v>900850</v>
      </c>
      <c r="B5021" s="14" t="s">
        <v>5138</v>
      </c>
      <c r="C5021" s="14" t="s">
        <v>13029</v>
      </c>
      <c r="D5021" s="15">
        <v>38.5</v>
      </c>
      <c r="E5021" s="16" t="s">
        <v>30</v>
      </c>
    </row>
    <row r="5022" spans="1:5" x14ac:dyDescent="0.25">
      <c r="A5022" s="14">
        <v>900851</v>
      </c>
      <c r="B5022" s="14" t="s">
        <v>5139</v>
      </c>
      <c r="C5022" s="14" t="s">
        <v>13029</v>
      </c>
      <c r="D5022" s="15">
        <v>38.5</v>
      </c>
      <c r="E5022" s="16" t="s">
        <v>30</v>
      </c>
    </row>
    <row r="5023" spans="1:5" x14ac:dyDescent="0.25">
      <c r="A5023" s="14">
        <v>900852</v>
      </c>
      <c r="B5023" s="14" t="s">
        <v>5140</v>
      </c>
      <c r="C5023" s="14" t="s">
        <v>13029</v>
      </c>
      <c r="D5023" s="15">
        <v>38.5</v>
      </c>
      <c r="E5023" s="16" t="s">
        <v>30</v>
      </c>
    </row>
    <row r="5024" spans="1:5" x14ac:dyDescent="0.25">
      <c r="A5024" s="14">
        <v>774198</v>
      </c>
      <c r="B5024" s="14" t="s">
        <v>5141</v>
      </c>
      <c r="C5024" s="14" t="s">
        <v>13031</v>
      </c>
      <c r="D5024" s="15">
        <v>29.54</v>
      </c>
      <c r="E5024" s="16" t="s">
        <v>20</v>
      </c>
    </row>
    <row r="5025" spans="1:5" x14ac:dyDescent="0.25">
      <c r="A5025" s="14">
        <v>900853</v>
      </c>
      <c r="B5025" s="14" t="s">
        <v>5142</v>
      </c>
      <c r="C5025" s="14" t="s">
        <v>13029</v>
      </c>
      <c r="D5025" s="15">
        <v>29.6</v>
      </c>
      <c r="E5025" s="16" t="s">
        <v>30</v>
      </c>
    </row>
    <row r="5026" spans="1:5" x14ac:dyDescent="0.25">
      <c r="A5026" s="14">
        <v>900854</v>
      </c>
      <c r="B5026" s="14" t="s">
        <v>5143</v>
      </c>
      <c r="C5026" s="14" t="s">
        <v>13029</v>
      </c>
      <c r="D5026" s="15">
        <v>34.31</v>
      </c>
      <c r="E5026" s="16" t="s">
        <v>30</v>
      </c>
    </row>
    <row r="5027" spans="1:5" x14ac:dyDescent="0.25">
      <c r="A5027" s="14">
        <v>900855</v>
      </c>
      <c r="B5027" s="14" t="s">
        <v>5144</v>
      </c>
      <c r="C5027" s="14" t="s">
        <v>13029</v>
      </c>
      <c r="D5027" s="15">
        <v>23.67</v>
      </c>
      <c r="E5027" s="16" t="s">
        <v>30</v>
      </c>
    </row>
    <row r="5028" spans="1:5" x14ac:dyDescent="0.25">
      <c r="A5028" s="14">
        <v>900856</v>
      </c>
      <c r="B5028" s="14" t="s">
        <v>5145</v>
      </c>
      <c r="C5028" s="14" t="s">
        <v>13029</v>
      </c>
      <c r="D5028" s="15">
        <v>17.739999999999998</v>
      </c>
      <c r="E5028" s="16" t="s">
        <v>30</v>
      </c>
    </row>
    <row r="5029" spans="1:5" x14ac:dyDescent="0.25">
      <c r="A5029" s="14">
        <v>900857</v>
      </c>
      <c r="B5029" s="14" t="s">
        <v>5146</v>
      </c>
      <c r="C5029" s="14" t="s">
        <v>13029</v>
      </c>
      <c r="D5029" s="15">
        <v>17.739999999999998</v>
      </c>
      <c r="E5029" s="16" t="s">
        <v>30</v>
      </c>
    </row>
    <row r="5030" spans="1:5" x14ac:dyDescent="0.25">
      <c r="A5030" s="14">
        <v>900858</v>
      </c>
      <c r="B5030" s="14" t="s">
        <v>5147</v>
      </c>
      <c r="C5030" s="14" t="s">
        <v>13029</v>
      </c>
      <c r="D5030" s="15">
        <v>17.739999999999998</v>
      </c>
      <c r="E5030" s="16" t="s">
        <v>30</v>
      </c>
    </row>
    <row r="5031" spans="1:5" x14ac:dyDescent="0.25">
      <c r="A5031" s="14">
        <v>900859</v>
      </c>
      <c r="B5031" s="14" t="s">
        <v>5148</v>
      </c>
      <c r="C5031" s="14" t="s">
        <v>13029</v>
      </c>
      <c r="D5031" s="15">
        <v>17.739999999999998</v>
      </c>
      <c r="E5031" s="16" t="s">
        <v>30</v>
      </c>
    </row>
    <row r="5032" spans="1:5" x14ac:dyDescent="0.25">
      <c r="A5032" s="14">
        <v>900860</v>
      </c>
      <c r="B5032" s="14" t="s">
        <v>5149</v>
      </c>
      <c r="C5032" s="14" t="s">
        <v>13029</v>
      </c>
      <c r="D5032" s="15">
        <v>29.6</v>
      </c>
      <c r="E5032" s="16" t="s">
        <v>30</v>
      </c>
    </row>
    <row r="5033" spans="1:5" x14ac:dyDescent="0.25">
      <c r="A5033" s="14">
        <v>900861</v>
      </c>
      <c r="B5033" s="14" t="s">
        <v>5150</v>
      </c>
      <c r="C5033" s="14" t="s">
        <v>13029</v>
      </c>
      <c r="D5033" s="15">
        <v>11.81</v>
      </c>
      <c r="E5033" s="16" t="s">
        <v>30</v>
      </c>
    </row>
    <row r="5034" spans="1:5" x14ac:dyDescent="0.25">
      <c r="A5034" s="14">
        <v>900863</v>
      </c>
      <c r="B5034" s="14" t="s">
        <v>5151</v>
      </c>
      <c r="C5034" s="14" t="s">
        <v>13029</v>
      </c>
      <c r="D5034" s="15">
        <v>7.06</v>
      </c>
      <c r="E5034" s="16" t="s">
        <v>30</v>
      </c>
    </row>
    <row r="5035" spans="1:5" x14ac:dyDescent="0.25">
      <c r="A5035" s="14">
        <v>901178</v>
      </c>
      <c r="B5035" s="14" t="s">
        <v>5152</v>
      </c>
      <c r="C5035" s="14" t="s">
        <v>13031</v>
      </c>
      <c r="D5035" s="15">
        <v>15.39</v>
      </c>
      <c r="E5035" s="16" t="s">
        <v>30</v>
      </c>
    </row>
    <row r="5036" spans="1:5" x14ac:dyDescent="0.25">
      <c r="A5036" s="14">
        <v>901179</v>
      </c>
      <c r="B5036" s="14" t="s">
        <v>5153</v>
      </c>
      <c r="C5036" s="14" t="s">
        <v>13031</v>
      </c>
      <c r="D5036" s="15">
        <v>15.39</v>
      </c>
      <c r="E5036" s="16" t="s">
        <v>30</v>
      </c>
    </row>
    <row r="5037" spans="1:5" x14ac:dyDescent="0.25">
      <c r="A5037" s="14">
        <v>901180</v>
      </c>
      <c r="B5037" s="14" t="s">
        <v>5154</v>
      </c>
      <c r="C5037" s="14" t="s">
        <v>13031</v>
      </c>
      <c r="D5037" s="15">
        <v>15.39</v>
      </c>
      <c r="E5037" s="16" t="s">
        <v>30</v>
      </c>
    </row>
    <row r="5038" spans="1:5" x14ac:dyDescent="0.25">
      <c r="A5038" s="14">
        <v>901183</v>
      </c>
      <c r="B5038" s="14" t="s">
        <v>5155</v>
      </c>
      <c r="C5038" s="14" t="s">
        <v>13029</v>
      </c>
      <c r="D5038" s="15">
        <v>32</v>
      </c>
      <c r="E5038" s="16" t="s">
        <v>30</v>
      </c>
    </row>
    <row r="5039" spans="1:5" x14ac:dyDescent="0.25">
      <c r="A5039" s="14">
        <v>901184</v>
      </c>
      <c r="B5039" s="14" t="s">
        <v>5156</v>
      </c>
      <c r="C5039" s="14" t="s">
        <v>13029</v>
      </c>
      <c r="D5039" s="15">
        <v>14.7</v>
      </c>
      <c r="E5039" s="16" t="s">
        <v>30</v>
      </c>
    </row>
    <row r="5040" spans="1:5" x14ac:dyDescent="0.25">
      <c r="A5040" s="14">
        <v>901621</v>
      </c>
      <c r="B5040" s="14" t="s">
        <v>5157</v>
      </c>
      <c r="C5040" s="14" t="s">
        <v>13031</v>
      </c>
      <c r="D5040" s="15">
        <v>8.25</v>
      </c>
      <c r="E5040" s="16" t="s">
        <v>30</v>
      </c>
    </row>
    <row r="5041" spans="1:5" x14ac:dyDescent="0.25">
      <c r="A5041" s="14">
        <v>901623</v>
      </c>
      <c r="B5041" s="14" t="s">
        <v>5158</v>
      </c>
      <c r="C5041" s="14" t="s">
        <v>13031</v>
      </c>
      <c r="D5041" s="15">
        <v>9.91</v>
      </c>
      <c r="E5041" s="16" t="s">
        <v>30</v>
      </c>
    </row>
    <row r="5042" spans="1:5" x14ac:dyDescent="0.25">
      <c r="A5042" s="14">
        <v>901624</v>
      </c>
      <c r="B5042" s="14" t="s">
        <v>5159</v>
      </c>
      <c r="C5042" s="14" t="s">
        <v>13031</v>
      </c>
      <c r="D5042" s="15">
        <v>10.44</v>
      </c>
      <c r="E5042" s="16" t="s">
        <v>30</v>
      </c>
    </row>
    <row r="5043" spans="1:5" x14ac:dyDescent="0.25">
      <c r="A5043" s="14">
        <v>901714</v>
      </c>
      <c r="B5043" s="14" t="s">
        <v>5160</v>
      </c>
      <c r="C5043" s="14" t="s">
        <v>13030</v>
      </c>
      <c r="D5043" s="15">
        <v>0.01</v>
      </c>
      <c r="E5043" s="16" t="s">
        <v>30</v>
      </c>
    </row>
    <row r="5044" spans="1:5" x14ac:dyDescent="0.25">
      <c r="A5044" s="14">
        <v>901749</v>
      </c>
      <c r="B5044" s="14" t="s">
        <v>5161</v>
      </c>
      <c r="C5044" s="14" t="s">
        <v>13030</v>
      </c>
      <c r="D5044" s="15">
        <v>76.37</v>
      </c>
      <c r="E5044" s="16" t="s">
        <v>30</v>
      </c>
    </row>
    <row r="5045" spans="1:5" x14ac:dyDescent="0.25">
      <c r="A5045" s="14">
        <v>902149</v>
      </c>
      <c r="B5045" s="14" t="s">
        <v>5162</v>
      </c>
      <c r="C5045" s="14" t="s">
        <v>13030</v>
      </c>
      <c r="D5045" s="15">
        <v>32.22</v>
      </c>
      <c r="E5045" s="16" t="s">
        <v>30</v>
      </c>
    </row>
    <row r="5046" spans="1:5" x14ac:dyDescent="0.25">
      <c r="A5046" s="14">
        <v>902183</v>
      </c>
      <c r="B5046" s="14" t="s">
        <v>5163</v>
      </c>
      <c r="C5046" s="14" t="s">
        <v>13029</v>
      </c>
      <c r="D5046" s="15">
        <v>5.25</v>
      </c>
      <c r="E5046" s="16" t="s">
        <v>30</v>
      </c>
    </row>
    <row r="5047" spans="1:5" x14ac:dyDescent="0.25">
      <c r="A5047" s="14">
        <v>902184</v>
      </c>
      <c r="B5047" s="14" t="s">
        <v>5164</v>
      </c>
      <c r="C5047" s="14" t="s">
        <v>13029</v>
      </c>
      <c r="D5047" s="15">
        <v>5.25</v>
      </c>
      <c r="E5047" s="16" t="s">
        <v>30</v>
      </c>
    </row>
    <row r="5048" spans="1:5" x14ac:dyDescent="0.25">
      <c r="A5048" s="14">
        <v>902185</v>
      </c>
      <c r="B5048" s="14" t="s">
        <v>5165</v>
      </c>
      <c r="C5048" s="14" t="s">
        <v>13029</v>
      </c>
      <c r="D5048" s="15">
        <v>5.25</v>
      </c>
      <c r="E5048" s="16" t="s">
        <v>30</v>
      </c>
    </row>
    <row r="5049" spans="1:5" x14ac:dyDescent="0.25">
      <c r="A5049" s="14">
        <v>902186</v>
      </c>
      <c r="B5049" s="14" t="s">
        <v>5166</v>
      </c>
      <c r="C5049" s="14" t="s">
        <v>13029</v>
      </c>
      <c r="D5049" s="15">
        <v>3.74</v>
      </c>
      <c r="E5049" s="16" t="s">
        <v>30</v>
      </c>
    </row>
    <row r="5050" spans="1:5" x14ac:dyDescent="0.25">
      <c r="A5050" s="14">
        <v>902187</v>
      </c>
      <c r="B5050" s="14" t="s">
        <v>5167</v>
      </c>
      <c r="C5050" s="14" t="s">
        <v>13029</v>
      </c>
      <c r="D5050" s="15">
        <v>3.74</v>
      </c>
      <c r="E5050" s="16" t="s">
        <v>30</v>
      </c>
    </row>
    <row r="5051" spans="1:5" x14ac:dyDescent="0.25">
      <c r="A5051" s="14">
        <v>902188</v>
      </c>
      <c r="B5051" s="14" t="s">
        <v>5168</v>
      </c>
      <c r="C5051" s="14" t="s">
        <v>13029</v>
      </c>
      <c r="D5051" s="15">
        <v>3.74</v>
      </c>
      <c r="E5051" s="16" t="s">
        <v>30</v>
      </c>
    </row>
    <row r="5052" spans="1:5" x14ac:dyDescent="0.25">
      <c r="A5052" s="14">
        <v>902189</v>
      </c>
      <c r="B5052" s="14" t="s">
        <v>5169</v>
      </c>
      <c r="C5052" s="14" t="s">
        <v>13029</v>
      </c>
      <c r="D5052" s="15">
        <v>8.85</v>
      </c>
      <c r="E5052" s="16" t="s">
        <v>30</v>
      </c>
    </row>
    <row r="5053" spans="1:5" x14ac:dyDescent="0.25">
      <c r="A5053" s="14">
        <v>902190</v>
      </c>
      <c r="B5053" s="14" t="s">
        <v>5170</v>
      </c>
      <c r="C5053" s="14" t="s">
        <v>13029</v>
      </c>
      <c r="D5053" s="15">
        <v>8.85</v>
      </c>
      <c r="E5053" s="16" t="s">
        <v>30</v>
      </c>
    </row>
    <row r="5054" spans="1:5" x14ac:dyDescent="0.25">
      <c r="A5054" s="14">
        <v>902191</v>
      </c>
      <c r="B5054" s="14" t="s">
        <v>5171</v>
      </c>
      <c r="C5054" s="14" t="s">
        <v>13029</v>
      </c>
      <c r="D5054" s="15">
        <v>8.85</v>
      </c>
      <c r="E5054" s="16" t="s">
        <v>30</v>
      </c>
    </row>
    <row r="5055" spans="1:5" x14ac:dyDescent="0.25">
      <c r="A5055" s="14">
        <v>902235</v>
      </c>
      <c r="B5055" s="14" t="s">
        <v>5172</v>
      </c>
      <c r="C5055" s="14" t="s">
        <v>13029</v>
      </c>
      <c r="D5055" s="15">
        <v>10.1</v>
      </c>
      <c r="E5055" s="16" t="s">
        <v>30</v>
      </c>
    </row>
    <row r="5056" spans="1:5" x14ac:dyDescent="0.25">
      <c r="A5056" s="14">
        <v>902243</v>
      </c>
      <c r="B5056" s="14" t="s">
        <v>5173</v>
      </c>
      <c r="C5056" s="14" t="s">
        <v>13031</v>
      </c>
      <c r="D5056" s="15">
        <v>15.68</v>
      </c>
      <c r="E5056" s="16" t="s">
        <v>30</v>
      </c>
    </row>
    <row r="5057" spans="1:5" x14ac:dyDescent="0.25">
      <c r="A5057" s="14">
        <v>902566</v>
      </c>
      <c r="B5057" s="14" t="s">
        <v>5174</v>
      </c>
      <c r="C5057" s="14" t="s">
        <v>13030</v>
      </c>
      <c r="D5057" s="15">
        <v>20.78</v>
      </c>
      <c r="E5057" s="16" t="s">
        <v>30</v>
      </c>
    </row>
    <row r="5058" spans="1:5" x14ac:dyDescent="0.25">
      <c r="A5058" s="14">
        <v>902570</v>
      </c>
      <c r="B5058" s="14" t="s">
        <v>5175</v>
      </c>
      <c r="C5058" s="14" t="s">
        <v>13030</v>
      </c>
      <c r="D5058" s="15">
        <v>36.07</v>
      </c>
      <c r="E5058" s="16" t="s">
        <v>30</v>
      </c>
    </row>
    <row r="5059" spans="1:5" x14ac:dyDescent="0.25">
      <c r="A5059" s="14">
        <v>902584</v>
      </c>
      <c r="B5059" s="14" t="s">
        <v>5176</v>
      </c>
      <c r="C5059" s="14" t="s">
        <v>13031</v>
      </c>
      <c r="D5059" s="15">
        <v>4.8499999999999996</v>
      </c>
      <c r="E5059" s="16" t="s">
        <v>30</v>
      </c>
    </row>
    <row r="5060" spans="1:5" x14ac:dyDescent="0.25">
      <c r="A5060" s="14">
        <v>902639</v>
      </c>
      <c r="B5060" s="14" t="s">
        <v>5177</v>
      </c>
      <c r="C5060" s="14" t="s">
        <v>13031</v>
      </c>
      <c r="D5060" s="15">
        <v>22.46</v>
      </c>
      <c r="E5060" s="16" t="s">
        <v>30</v>
      </c>
    </row>
    <row r="5061" spans="1:5" x14ac:dyDescent="0.25">
      <c r="A5061" s="14">
        <v>902640</v>
      </c>
      <c r="B5061" s="14" t="s">
        <v>5178</v>
      </c>
      <c r="C5061" s="14" t="s">
        <v>13031</v>
      </c>
      <c r="D5061" s="15">
        <v>7.65</v>
      </c>
      <c r="E5061" s="16" t="s">
        <v>30</v>
      </c>
    </row>
    <row r="5062" spans="1:5" x14ac:dyDescent="0.25">
      <c r="A5062" s="14">
        <v>902641</v>
      </c>
      <c r="B5062" s="14" t="s">
        <v>5179</v>
      </c>
      <c r="C5062" s="14" t="s">
        <v>13031</v>
      </c>
      <c r="D5062" s="15">
        <v>9.43</v>
      </c>
      <c r="E5062" s="16" t="s">
        <v>30</v>
      </c>
    </row>
    <row r="5063" spans="1:5" x14ac:dyDescent="0.25">
      <c r="A5063" s="14">
        <v>902642</v>
      </c>
      <c r="B5063" s="14" t="s">
        <v>5180</v>
      </c>
      <c r="C5063" s="14" t="s">
        <v>13031</v>
      </c>
      <c r="D5063" s="15">
        <v>7.65</v>
      </c>
      <c r="E5063" s="16" t="s">
        <v>30</v>
      </c>
    </row>
    <row r="5064" spans="1:5" x14ac:dyDescent="0.25">
      <c r="A5064" s="14">
        <v>902644</v>
      </c>
      <c r="B5064" s="14" t="s">
        <v>5181</v>
      </c>
      <c r="C5064" s="14" t="s">
        <v>13031</v>
      </c>
      <c r="D5064" s="15">
        <v>5.34</v>
      </c>
      <c r="E5064" s="16" t="s">
        <v>30</v>
      </c>
    </row>
    <row r="5065" spans="1:5" x14ac:dyDescent="0.25">
      <c r="A5065" s="14">
        <v>903357</v>
      </c>
      <c r="B5065" s="14" t="s">
        <v>5182</v>
      </c>
      <c r="C5065" s="14" t="s">
        <v>13029</v>
      </c>
      <c r="D5065" s="15">
        <v>14.05</v>
      </c>
      <c r="E5065" s="14" t="s">
        <v>30</v>
      </c>
    </row>
    <row r="5066" spans="1:5" x14ac:dyDescent="0.25">
      <c r="A5066" s="14">
        <v>903358</v>
      </c>
      <c r="B5066" s="14" t="s">
        <v>5183</v>
      </c>
      <c r="C5066" s="14" t="s">
        <v>13029</v>
      </c>
      <c r="D5066" s="15">
        <v>14.05</v>
      </c>
      <c r="E5066" s="14" t="s">
        <v>30</v>
      </c>
    </row>
    <row r="5067" spans="1:5" x14ac:dyDescent="0.25">
      <c r="A5067" s="14">
        <v>903359</v>
      </c>
      <c r="B5067" s="14" t="s">
        <v>5184</v>
      </c>
      <c r="C5067" s="14" t="s">
        <v>13029</v>
      </c>
      <c r="D5067" s="15">
        <v>14.05</v>
      </c>
      <c r="E5067" s="14" t="s">
        <v>30</v>
      </c>
    </row>
    <row r="5068" spans="1:5" x14ac:dyDescent="0.25">
      <c r="A5068" s="14">
        <v>903368</v>
      </c>
      <c r="B5068" s="14" t="s">
        <v>5185</v>
      </c>
      <c r="C5068" s="14" t="s">
        <v>13031</v>
      </c>
      <c r="D5068" s="15">
        <v>7.3</v>
      </c>
      <c r="E5068" s="16" t="s">
        <v>30</v>
      </c>
    </row>
    <row r="5069" spans="1:5" x14ac:dyDescent="0.25">
      <c r="A5069" s="14">
        <v>903369</v>
      </c>
      <c r="B5069" s="14" t="s">
        <v>5186</v>
      </c>
      <c r="C5069" s="14" t="s">
        <v>13036</v>
      </c>
      <c r="D5069" s="15">
        <v>8.31</v>
      </c>
      <c r="E5069" s="16" t="s">
        <v>30</v>
      </c>
    </row>
    <row r="5070" spans="1:5" x14ac:dyDescent="0.25">
      <c r="A5070" s="14">
        <v>903373</v>
      </c>
      <c r="B5070" s="14" t="s">
        <v>5187</v>
      </c>
      <c r="C5070" s="14" t="s">
        <v>13029</v>
      </c>
      <c r="D5070" s="15">
        <v>18.57</v>
      </c>
      <c r="E5070" s="16" t="s">
        <v>30</v>
      </c>
    </row>
    <row r="5071" spans="1:5" x14ac:dyDescent="0.25">
      <c r="A5071" s="14">
        <v>903374</v>
      </c>
      <c r="B5071" s="14" t="s">
        <v>5188</v>
      </c>
      <c r="C5071" s="14" t="s">
        <v>13029</v>
      </c>
      <c r="D5071" s="15">
        <v>18.57</v>
      </c>
      <c r="E5071" s="16" t="s">
        <v>30</v>
      </c>
    </row>
    <row r="5072" spans="1:5" x14ac:dyDescent="0.25">
      <c r="A5072" s="14">
        <v>903381</v>
      </c>
      <c r="B5072" s="14" t="s">
        <v>5189</v>
      </c>
      <c r="C5072" s="14" t="s">
        <v>13029</v>
      </c>
      <c r="D5072" s="15">
        <v>27.28</v>
      </c>
      <c r="E5072" s="14" t="s">
        <v>30</v>
      </c>
    </row>
    <row r="5073" spans="1:5" x14ac:dyDescent="0.25">
      <c r="A5073" s="14">
        <v>903393</v>
      </c>
      <c r="B5073" s="14" t="s">
        <v>5190</v>
      </c>
      <c r="C5073" s="14" t="s">
        <v>13031</v>
      </c>
      <c r="D5073" s="15">
        <v>21.5</v>
      </c>
      <c r="E5073" s="16" t="s">
        <v>30</v>
      </c>
    </row>
    <row r="5074" spans="1:5" x14ac:dyDescent="0.25">
      <c r="A5074" s="14">
        <v>903394</v>
      </c>
      <c r="B5074" s="14" t="s">
        <v>5191</v>
      </c>
      <c r="C5074" s="14" t="s">
        <v>13029</v>
      </c>
      <c r="D5074" s="15">
        <v>36.130000000000003</v>
      </c>
      <c r="E5074" s="14" t="s">
        <v>30</v>
      </c>
    </row>
    <row r="5075" spans="1:5" x14ac:dyDescent="0.25">
      <c r="A5075" s="14">
        <v>903395</v>
      </c>
      <c r="B5075" s="14" t="s">
        <v>5192</v>
      </c>
      <c r="C5075" s="14" t="s">
        <v>13029</v>
      </c>
      <c r="D5075" s="15">
        <v>36.130000000000003</v>
      </c>
      <c r="E5075" s="16" t="s">
        <v>30</v>
      </c>
    </row>
    <row r="5076" spans="1:5" x14ac:dyDescent="0.25">
      <c r="A5076" s="14">
        <v>903397</v>
      </c>
      <c r="B5076" s="14" t="s">
        <v>5193</v>
      </c>
      <c r="C5076" s="14" t="s">
        <v>13029</v>
      </c>
      <c r="D5076" s="15">
        <v>36.130000000000003</v>
      </c>
      <c r="E5076" s="16" t="s">
        <v>30</v>
      </c>
    </row>
    <row r="5077" spans="1:5" x14ac:dyDescent="0.25">
      <c r="A5077" s="14">
        <v>903450</v>
      </c>
      <c r="B5077" s="14" t="s">
        <v>5194</v>
      </c>
      <c r="C5077" s="14" t="s">
        <v>13031</v>
      </c>
      <c r="D5077" s="15">
        <v>11.02</v>
      </c>
      <c r="E5077" s="16" t="s">
        <v>30</v>
      </c>
    </row>
    <row r="5078" spans="1:5" x14ac:dyDescent="0.25">
      <c r="A5078" s="14">
        <v>903451</v>
      </c>
      <c r="B5078" s="14" t="s">
        <v>5195</v>
      </c>
      <c r="C5078" s="14" t="s">
        <v>13031</v>
      </c>
      <c r="D5078" s="15">
        <v>17.309999999999999</v>
      </c>
      <c r="E5078" s="16" t="s">
        <v>30</v>
      </c>
    </row>
    <row r="5079" spans="1:5" x14ac:dyDescent="0.25">
      <c r="A5079" s="14">
        <v>903452</v>
      </c>
      <c r="B5079" s="14" t="s">
        <v>5196</v>
      </c>
      <c r="C5079" s="14" t="s">
        <v>13031</v>
      </c>
      <c r="D5079" s="15">
        <v>25.76</v>
      </c>
      <c r="E5079" s="16" t="s">
        <v>30</v>
      </c>
    </row>
    <row r="5080" spans="1:5" x14ac:dyDescent="0.25">
      <c r="A5080" s="14">
        <v>903453</v>
      </c>
      <c r="B5080" s="14" t="s">
        <v>5197</v>
      </c>
      <c r="C5080" s="14" t="s">
        <v>13031</v>
      </c>
      <c r="D5080" s="15">
        <v>22.88</v>
      </c>
      <c r="E5080" s="16" t="s">
        <v>30</v>
      </c>
    </row>
    <row r="5081" spans="1:5" x14ac:dyDescent="0.25">
      <c r="A5081" s="14">
        <v>903454</v>
      </c>
      <c r="B5081" s="14" t="s">
        <v>5198</v>
      </c>
      <c r="C5081" s="14" t="s">
        <v>13031</v>
      </c>
      <c r="D5081" s="15">
        <v>40</v>
      </c>
      <c r="E5081" s="16" t="s">
        <v>30</v>
      </c>
    </row>
    <row r="5082" spans="1:5" x14ac:dyDescent="0.25">
      <c r="A5082" s="14">
        <v>903459</v>
      </c>
      <c r="B5082" s="14" t="s">
        <v>5199</v>
      </c>
      <c r="C5082" s="14" t="s">
        <v>13030</v>
      </c>
      <c r="D5082" s="15">
        <v>27.73</v>
      </c>
      <c r="E5082" s="16" t="s">
        <v>30</v>
      </c>
    </row>
    <row r="5083" spans="1:5" x14ac:dyDescent="0.25">
      <c r="A5083" s="14">
        <v>903460</v>
      </c>
      <c r="B5083" s="14" t="s">
        <v>5200</v>
      </c>
      <c r="C5083" s="14" t="s">
        <v>13030</v>
      </c>
      <c r="D5083" s="15">
        <v>27.73</v>
      </c>
      <c r="E5083" s="16" t="s">
        <v>30</v>
      </c>
    </row>
    <row r="5084" spans="1:5" x14ac:dyDescent="0.25">
      <c r="A5084" s="14">
        <v>904702</v>
      </c>
      <c r="B5084" s="14" t="s">
        <v>5201</v>
      </c>
      <c r="C5084" s="14" t="s">
        <v>13030</v>
      </c>
      <c r="D5084" s="15">
        <v>97.91</v>
      </c>
      <c r="E5084" s="14" t="s">
        <v>30</v>
      </c>
    </row>
    <row r="5085" spans="1:5" x14ac:dyDescent="0.25">
      <c r="A5085" s="14">
        <v>904709</v>
      </c>
      <c r="B5085" s="14" t="s">
        <v>5202</v>
      </c>
      <c r="C5085" s="14" t="s">
        <v>13030</v>
      </c>
      <c r="D5085" s="15">
        <v>32.35</v>
      </c>
      <c r="E5085" s="14" t="s">
        <v>30</v>
      </c>
    </row>
    <row r="5086" spans="1:5" x14ac:dyDescent="0.25">
      <c r="A5086" s="14">
        <v>904710</v>
      </c>
      <c r="B5086" s="14" t="s">
        <v>5203</v>
      </c>
      <c r="C5086" s="14" t="s">
        <v>13030</v>
      </c>
      <c r="D5086" s="15">
        <v>43.15</v>
      </c>
      <c r="E5086" s="14" t="s">
        <v>30</v>
      </c>
    </row>
    <row r="5087" spans="1:5" x14ac:dyDescent="0.25">
      <c r="A5087" s="14">
        <v>904712</v>
      </c>
      <c r="B5087" s="14" t="s">
        <v>5204</v>
      </c>
      <c r="C5087" s="14" t="s">
        <v>13030</v>
      </c>
      <c r="D5087" s="15">
        <v>107.99</v>
      </c>
      <c r="E5087" s="16" t="s">
        <v>30</v>
      </c>
    </row>
    <row r="5088" spans="1:5" x14ac:dyDescent="0.25">
      <c r="A5088" s="14">
        <v>904713</v>
      </c>
      <c r="B5088" s="14" t="s">
        <v>5205</v>
      </c>
      <c r="C5088" s="14" t="s">
        <v>13030</v>
      </c>
      <c r="D5088" s="15">
        <v>69.8</v>
      </c>
      <c r="E5088" s="14" t="s">
        <v>30</v>
      </c>
    </row>
    <row r="5089" spans="1:5" x14ac:dyDescent="0.25">
      <c r="A5089" s="14">
        <v>904714</v>
      </c>
      <c r="B5089" s="14" t="s">
        <v>5206</v>
      </c>
      <c r="C5089" s="14" t="s">
        <v>13030</v>
      </c>
      <c r="D5089" s="15">
        <v>69.8</v>
      </c>
      <c r="E5089" s="14" t="s">
        <v>30</v>
      </c>
    </row>
    <row r="5090" spans="1:5" x14ac:dyDescent="0.25">
      <c r="A5090" s="14">
        <v>904715</v>
      </c>
      <c r="B5090" s="14" t="s">
        <v>5207</v>
      </c>
      <c r="C5090" s="14" t="s">
        <v>13030</v>
      </c>
      <c r="D5090" s="15">
        <v>7.06</v>
      </c>
      <c r="E5090" s="16" t="s">
        <v>30</v>
      </c>
    </row>
    <row r="5091" spans="1:5" x14ac:dyDescent="0.25">
      <c r="A5091" s="14">
        <v>904716</v>
      </c>
      <c r="B5091" s="14" t="s">
        <v>5208</v>
      </c>
      <c r="C5091" s="14" t="s">
        <v>13030</v>
      </c>
      <c r="D5091" s="15">
        <v>7.06</v>
      </c>
      <c r="E5091" s="16" t="s">
        <v>30</v>
      </c>
    </row>
    <row r="5092" spans="1:5" x14ac:dyDescent="0.25">
      <c r="A5092" s="14">
        <v>904717</v>
      </c>
      <c r="B5092" s="14" t="s">
        <v>5209</v>
      </c>
      <c r="C5092" s="14" t="s">
        <v>13030</v>
      </c>
      <c r="D5092" s="15">
        <v>7.06</v>
      </c>
      <c r="E5092" s="16" t="s">
        <v>30</v>
      </c>
    </row>
    <row r="5093" spans="1:5" x14ac:dyDescent="0.25">
      <c r="A5093" s="14">
        <v>904718</v>
      </c>
      <c r="B5093" s="14" t="s">
        <v>5210</v>
      </c>
      <c r="C5093" s="14" t="s">
        <v>13030</v>
      </c>
      <c r="D5093" s="15">
        <v>7.06</v>
      </c>
      <c r="E5093" s="16" t="s">
        <v>30</v>
      </c>
    </row>
    <row r="5094" spans="1:5" x14ac:dyDescent="0.25">
      <c r="A5094" s="14">
        <v>904719</v>
      </c>
      <c r="B5094" s="14" t="s">
        <v>5211</v>
      </c>
      <c r="C5094" s="14" t="s">
        <v>13030</v>
      </c>
      <c r="D5094" s="15">
        <v>7.06</v>
      </c>
      <c r="E5094" s="16" t="s">
        <v>30</v>
      </c>
    </row>
    <row r="5095" spans="1:5" x14ac:dyDescent="0.25">
      <c r="A5095" s="14">
        <v>904722</v>
      </c>
      <c r="B5095" s="14" t="s">
        <v>5212</v>
      </c>
      <c r="C5095" s="14" t="s">
        <v>13031</v>
      </c>
      <c r="D5095" s="15">
        <v>4.4000000000000004</v>
      </c>
      <c r="E5095" s="16" t="s">
        <v>30</v>
      </c>
    </row>
    <row r="5096" spans="1:5" x14ac:dyDescent="0.25">
      <c r="A5096" s="14">
        <v>904723</v>
      </c>
      <c r="B5096" s="14" t="s">
        <v>5213</v>
      </c>
      <c r="C5096" s="14" t="s">
        <v>13031</v>
      </c>
      <c r="D5096" s="15">
        <v>4.1900000000000004</v>
      </c>
      <c r="E5096" s="16" t="s">
        <v>30</v>
      </c>
    </row>
    <row r="5097" spans="1:5" x14ac:dyDescent="0.25">
      <c r="A5097" s="14">
        <v>904724</v>
      </c>
      <c r="B5097" s="14" t="s">
        <v>5214</v>
      </c>
      <c r="C5097" s="14" t="s">
        <v>13031</v>
      </c>
      <c r="D5097" s="15">
        <v>4.4000000000000004</v>
      </c>
      <c r="E5097" s="16" t="s">
        <v>30</v>
      </c>
    </row>
    <row r="5098" spans="1:5" x14ac:dyDescent="0.25">
      <c r="A5098" s="14">
        <v>904725</v>
      </c>
      <c r="B5098" s="14" t="s">
        <v>5215</v>
      </c>
      <c r="C5098" s="14" t="s">
        <v>13031</v>
      </c>
      <c r="D5098" s="15">
        <v>5.04</v>
      </c>
      <c r="E5098" s="16" t="s">
        <v>30</v>
      </c>
    </row>
    <row r="5099" spans="1:5" x14ac:dyDescent="0.25">
      <c r="A5099" s="14">
        <v>904726</v>
      </c>
      <c r="B5099" s="14" t="s">
        <v>5216</v>
      </c>
      <c r="C5099" s="14" t="s">
        <v>13031</v>
      </c>
      <c r="D5099" s="15">
        <v>5.04</v>
      </c>
      <c r="E5099" s="16" t="s">
        <v>30</v>
      </c>
    </row>
    <row r="5100" spans="1:5" x14ac:dyDescent="0.25">
      <c r="A5100" s="14">
        <v>904816</v>
      </c>
      <c r="B5100" s="14" t="s">
        <v>5217</v>
      </c>
      <c r="C5100" s="14" t="s">
        <v>13031</v>
      </c>
      <c r="D5100" s="15">
        <v>21.19</v>
      </c>
      <c r="E5100" s="16" t="s">
        <v>30</v>
      </c>
    </row>
    <row r="5101" spans="1:5" x14ac:dyDescent="0.25">
      <c r="A5101" s="14">
        <v>904817</v>
      </c>
      <c r="B5101" s="14" t="s">
        <v>5218</v>
      </c>
      <c r="C5101" s="14" t="s">
        <v>13031</v>
      </c>
      <c r="D5101" s="15">
        <v>15.39</v>
      </c>
      <c r="E5101" s="16" t="s">
        <v>30</v>
      </c>
    </row>
    <row r="5102" spans="1:5" x14ac:dyDescent="0.25">
      <c r="A5102" s="14">
        <v>904861</v>
      </c>
      <c r="B5102" s="14" t="s">
        <v>5219</v>
      </c>
      <c r="C5102" s="14" t="s">
        <v>13030</v>
      </c>
      <c r="D5102" s="15">
        <v>61.54</v>
      </c>
      <c r="E5102" s="16" t="s">
        <v>30</v>
      </c>
    </row>
    <row r="5103" spans="1:5" x14ac:dyDescent="0.25">
      <c r="A5103" s="14">
        <v>904862</v>
      </c>
      <c r="B5103" s="14" t="s">
        <v>5220</v>
      </c>
      <c r="C5103" s="14" t="s">
        <v>13030</v>
      </c>
      <c r="D5103" s="15">
        <v>61.54</v>
      </c>
      <c r="E5103" s="16" t="s">
        <v>30</v>
      </c>
    </row>
    <row r="5104" spans="1:5" x14ac:dyDescent="0.25">
      <c r="A5104" s="14">
        <v>904863</v>
      </c>
      <c r="B5104" s="14" t="s">
        <v>5221</v>
      </c>
      <c r="C5104" s="14" t="s">
        <v>13030</v>
      </c>
      <c r="D5104" s="15">
        <v>61.54</v>
      </c>
      <c r="E5104" s="16" t="s">
        <v>30</v>
      </c>
    </row>
    <row r="5105" spans="1:5" x14ac:dyDescent="0.25">
      <c r="A5105" s="14">
        <v>904864</v>
      </c>
      <c r="B5105" s="14" t="s">
        <v>5222</v>
      </c>
      <c r="C5105" s="14" t="s">
        <v>13030</v>
      </c>
      <c r="D5105" s="15">
        <v>43.73</v>
      </c>
      <c r="E5105" s="16" t="s">
        <v>30</v>
      </c>
    </row>
    <row r="5106" spans="1:5" x14ac:dyDescent="0.25">
      <c r="A5106" s="14">
        <v>905465</v>
      </c>
      <c r="B5106" s="14" t="s">
        <v>5223</v>
      </c>
      <c r="C5106" s="14" t="s">
        <v>13029</v>
      </c>
      <c r="D5106" s="15">
        <v>19.89</v>
      </c>
      <c r="E5106" s="16" t="s">
        <v>30</v>
      </c>
    </row>
    <row r="5107" spans="1:5" x14ac:dyDescent="0.25">
      <c r="A5107" s="14">
        <v>905468</v>
      </c>
      <c r="B5107" s="14" t="s">
        <v>5224</v>
      </c>
      <c r="C5107" s="14" t="s">
        <v>13036</v>
      </c>
      <c r="D5107" s="15">
        <v>0.95</v>
      </c>
      <c r="E5107" s="16" t="s">
        <v>30</v>
      </c>
    </row>
    <row r="5108" spans="1:5" x14ac:dyDescent="0.25">
      <c r="A5108" s="14">
        <v>905507</v>
      </c>
      <c r="B5108" s="14" t="s">
        <v>5225</v>
      </c>
      <c r="C5108" s="14" t="s">
        <v>13031</v>
      </c>
      <c r="D5108" s="15">
        <v>26.1</v>
      </c>
      <c r="E5108" s="16" t="s">
        <v>30</v>
      </c>
    </row>
    <row r="5109" spans="1:5" x14ac:dyDescent="0.25">
      <c r="A5109" s="14">
        <v>905510</v>
      </c>
      <c r="B5109" s="14" t="s">
        <v>5226</v>
      </c>
      <c r="C5109" s="14" t="s">
        <v>13031</v>
      </c>
      <c r="D5109" s="15">
        <v>16.55</v>
      </c>
      <c r="E5109" s="16" t="s">
        <v>30</v>
      </c>
    </row>
    <row r="5110" spans="1:5" x14ac:dyDescent="0.25">
      <c r="A5110" s="14">
        <v>905511</v>
      </c>
      <c r="B5110" s="14" t="s">
        <v>5227</v>
      </c>
      <c r="C5110" s="14" t="s">
        <v>13031</v>
      </c>
      <c r="D5110" s="15">
        <v>28.77</v>
      </c>
      <c r="E5110" s="16" t="s">
        <v>30</v>
      </c>
    </row>
    <row r="5111" spans="1:5" x14ac:dyDescent="0.25">
      <c r="A5111" s="14">
        <v>905512</v>
      </c>
      <c r="B5111" s="14" t="s">
        <v>5228</v>
      </c>
      <c r="C5111" s="14" t="s">
        <v>13031</v>
      </c>
      <c r="D5111" s="15">
        <v>16.55</v>
      </c>
      <c r="E5111" s="16" t="s">
        <v>30</v>
      </c>
    </row>
    <row r="5112" spans="1:5" x14ac:dyDescent="0.25">
      <c r="A5112" s="14">
        <v>905513</v>
      </c>
      <c r="B5112" s="14" t="s">
        <v>5229</v>
      </c>
      <c r="C5112" s="14" t="s">
        <v>13031</v>
      </c>
      <c r="D5112" s="15">
        <v>28.77</v>
      </c>
      <c r="E5112" s="16" t="s">
        <v>30</v>
      </c>
    </row>
    <row r="5113" spans="1:5" x14ac:dyDescent="0.25">
      <c r="A5113" s="14">
        <v>905783</v>
      </c>
      <c r="B5113" s="14" t="s">
        <v>5230</v>
      </c>
      <c r="C5113" s="14" t="s">
        <v>13030</v>
      </c>
      <c r="D5113" s="15">
        <v>57.55</v>
      </c>
      <c r="E5113" s="16" t="s">
        <v>30</v>
      </c>
    </row>
    <row r="5114" spans="1:5" x14ac:dyDescent="0.25">
      <c r="A5114" s="14">
        <v>905825</v>
      </c>
      <c r="B5114" s="14" t="s">
        <v>5231</v>
      </c>
      <c r="C5114" s="14" t="s">
        <v>13031</v>
      </c>
      <c r="D5114" s="15">
        <v>0.59</v>
      </c>
      <c r="E5114" s="16" t="s">
        <v>30</v>
      </c>
    </row>
    <row r="5115" spans="1:5" x14ac:dyDescent="0.25">
      <c r="A5115" s="14">
        <v>905826</v>
      </c>
      <c r="B5115" s="14" t="s">
        <v>5232</v>
      </c>
      <c r="C5115" s="14" t="s">
        <v>13031</v>
      </c>
      <c r="D5115" s="15">
        <v>22.46</v>
      </c>
      <c r="E5115" s="16" t="s">
        <v>30</v>
      </c>
    </row>
    <row r="5116" spans="1:5" x14ac:dyDescent="0.25">
      <c r="A5116" s="14">
        <v>905827</v>
      </c>
      <c r="B5116" s="14" t="s">
        <v>5233</v>
      </c>
      <c r="C5116" s="14" t="s">
        <v>13031</v>
      </c>
      <c r="D5116" s="15">
        <v>2.15</v>
      </c>
      <c r="E5116" s="16" t="s">
        <v>30</v>
      </c>
    </row>
    <row r="5117" spans="1:5" x14ac:dyDescent="0.25">
      <c r="A5117" s="14">
        <v>906063</v>
      </c>
      <c r="B5117" s="14" t="s">
        <v>5234</v>
      </c>
      <c r="C5117" s="14" t="s">
        <v>13029</v>
      </c>
      <c r="D5117" s="15">
        <v>9.44</v>
      </c>
      <c r="E5117" s="16" t="s">
        <v>30</v>
      </c>
    </row>
    <row r="5118" spans="1:5" x14ac:dyDescent="0.25">
      <c r="A5118" s="14">
        <v>906064</v>
      </c>
      <c r="B5118" s="14" t="s">
        <v>5235</v>
      </c>
      <c r="C5118" s="14" t="s">
        <v>13029</v>
      </c>
      <c r="D5118" s="15">
        <v>9.44</v>
      </c>
      <c r="E5118" s="16" t="s">
        <v>30</v>
      </c>
    </row>
    <row r="5119" spans="1:5" x14ac:dyDescent="0.25">
      <c r="A5119" s="14">
        <v>906315</v>
      </c>
      <c r="B5119" s="14" t="s">
        <v>5236</v>
      </c>
      <c r="C5119" s="14" t="s">
        <v>13029</v>
      </c>
      <c r="D5119" s="15">
        <v>19.11</v>
      </c>
      <c r="E5119" s="16" t="s">
        <v>30</v>
      </c>
    </row>
    <row r="5120" spans="1:5" x14ac:dyDescent="0.25">
      <c r="A5120" s="14">
        <v>906318</v>
      </c>
      <c r="B5120" s="14" t="s">
        <v>5237</v>
      </c>
      <c r="C5120" s="14" t="s">
        <v>13029</v>
      </c>
      <c r="D5120" s="15">
        <v>14.05</v>
      </c>
      <c r="E5120" s="14" t="s">
        <v>30</v>
      </c>
    </row>
    <row r="5121" spans="1:5" x14ac:dyDescent="0.25">
      <c r="A5121" s="14">
        <v>906319</v>
      </c>
      <c r="B5121" s="14" t="s">
        <v>5238</v>
      </c>
      <c r="C5121" s="14" t="s">
        <v>13029</v>
      </c>
      <c r="D5121" s="15">
        <v>14.05</v>
      </c>
      <c r="E5121" s="14" t="s">
        <v>30</v>
      </c>
    </row>
    <row r="5122" spans="1:5" x14ac:dyDescent="0.25">
      <c r="A5122" s="14">
        <v>906320</v>
      </c>
      <c r="B5122" s="14" t="s">
        <v>5239</v>
      </c>
      <c r="C5122" s="14" t="s">
        <v>13029</v>
      </c>
      <c r="D5122" s="15">
        <v>14.05</v>
      </c>
      <c r="E5122" s="14" t="s">
        <v>30</v>
      </c>
    </row>
    <row r="5123" spans="1:5" x14ac:dyDescent="0.25">
      <c r="A5123" s="14">
        <v>784584</v>
      </c>
      <c r="B5123" s="14" t="s">
        <v>5240</v>
      </c>
      <c r="C5123" s="14" t="s">
        <v>13031</v>
      </c>
      <c r="D5123" s="15">
        <v>11.21</v>
      </c>
      <c r="E5123" s="16" t="s">
        <v>20</v>
      </c>
    </row>
    <row r="5124" spans="1:5" x14ac:dyDescent="0.25">
      <c r="A5124" s="14">
        <v>907982</v>
      </c>
      <c r="B5124" s="14" t="s">
        <v>5241</v>
      </c>
      <c r="C5124" s="14" t="s">
        <v>13029</v>
      </c>
      <c r="D5124" s="15">
        <v>15.38</v>
      </c>
      <c r="E5124" s="16" t="s">
        <v>30</v>
      </c>
    </row>
    <row r="5125" spans="1:5" x14ac:dyDescent="0.25">
      <c r="A5125" s="14">
        <v>785237</v>
      </c>
      <c r="B5125" s="14" t="s">
        <v>5242</v>
      </c>
      <c r="C5125" s="14" t="s">
        <v>13030</v>
      </c>
      <c r="D5125" s="15">
        <v>47.99</v>
      </c>
      <c r="E5125" s="16" t="s">
        <v>20</v>
      </c>
    </row>
    <row r="5126" spans="1:5" x14ac:dyDescent="0.25">
      <c r="A5126" s="14">
        <v>907983</v>
      </c>
      <c r="B5126" s="14" t="s">
        <v>5243</v>
      </c>
      <c r="C5126" s="14" t="s">
        <v>13029</v>
      </c>
      <c r="D5126" s="15">
        <v>15.38</v>
      </c>
      <c r="E5126" s="16" t="s">
        <v>30</v>
      </c>
    </row>
    <row r="5127" spans="1:5" x14ac:dyDescent="0.25">
      <c r="A5127" s="14">
        <v>907984</v>
      </c>
      <c r="B5127" s="14" t="s">
        <v>5244</v>
      </c>
      <c r="C5127" s="14" t="s">
        <v>13029</v>
      </c>
      <c r="D5127" s="15">
        <v>15.38</v>
      </c>
      <c r="E5127" s="16" t="s">
        <v>30</v>
      </c>
    </row>
    <row r="5128" spans="1:5" x14ac:dyDescent="0.25">
      <c r="A5128" s="14">
        <v>787636</v>
      </c>
      <c r="B5128" s="14" t="s">
        <v>5245</v>
      </c>
      <c r="C5128" s="14" t="s">
        <v>13031</v>
      </c>
      <c r="D5128" s="15">
        <v>7.75</v>
      </c>
      <c r="E5128" s="16" t="s">
        <v>20</v>
      </c>
    </row>
    <row r="5129" spans="1:5" x14ac:dyDescent="0.25">
      <c r="A5129" s="14">
        <v>907985</v>
      </c>
      <c r="B5129" s="14" t="s">
        <v>5246</v>
      </c>
      <c r="C5129" s="14" t="s">
        <v>13031</v>
      </c>
      <c r="D5129" s="15">
        <v>1.49</v>
      </c>
      <c r="E5129" s="16" t="s">
        <v>30</v>
      </c>
    </row>
    <row r="5130" spans="1:5" x14ac:dyDescent="0.25">
      <c r="A5130" s="14">
        <v>907995</v>
      </c>
      <c r="B5130" s="14" t="s">
        <v>5247</v>
      </c>
      <c r="C5130" s="14" t="s">
        <v>13031</v>
      </c>
      <c r="D5130" s="15">
        <v>7.08</v>
      </c>
      <c r="E5130" s="16" t="s">
        <v>30</v>
      </c>
    </row>
    <row r="5131" spans="1:5" x14ac:dyDescent="0.25">
      <c r="A5131" s="14">
        <v>907996</v>
      </c>
      <c r="B5131" s="14" t="s">
        <v>5248</v>
      </c>
      <c r="C5131" s="14" t="s">
        <v>13031</v>
      </c>
      <c r="D5131" s="15">
        <v>13.5</v>
      </c>
      <c r="E5131" s="16" t="s">
        <v>30</v>
      </c>
    </row>
    <row r="5132" spans="1:5" x14ac:dyDescent="0.25">
      <c r="A5132" s="14">
        <v>907997</v>
      </c>
      <c r="B5132" s="14" t="s">
        <v>5249</v>
      </c>
      <c r="C5132" s="14" t="s">
        <v>13031</v>
      </c>
      <c r="D5132" s="15">
        <v>2.4</v>
      </c>
      <c r="E5132" s="16" t="s">
        <v>30</v>
      </c>
    </row>
    <row r="5133" spans="1:5" x14ac:dyDescent="0.25">
      <c r="A5133" s="14">
        <v>907998</v>
      </c>
      <c r="B5133" s="14" t="s">
        <v>5250</v>
      </c>
      <c r="C5133" s="14" t="s">
        <v>13031</v>
      </c>
      <c r="D5133" s="15">
        <v>7.2</v>
      </c>
      <c r="E5133" s="16" t="s">
        <v>30</v>
      </c>
    </row>
    <row r="5134" spans="1:5" x14ac:dyDescent="0.25">
      <c r="A5134" s="14">
        <v>907999</v>
      </c>
      <c r="B5134" s="14" t="s">
        <v>5251</v>
      </c>
      <c r="C5134" s="14" t="s">
        <v>13031</v>
      </c>
      <c r="D5134" s="15">
        <v>6.9</v>
      </c>
      <c r="E5134" s="16" t="s">
        <v>30</v>
      </c>
    </row>
    <row r="5135" spans="1:5" x14ac:dyDescent="0.25">
      <c r="A5135" s="14">
        <v>908000</v>
      </c>
      <c r="B5135" s="14" t="s">
        <v>5252</v>
      </c>
      <c r="C5135" s="14" t="s">
        <v>13031</v>
      </c>
      <c r="D5135" s="15">
        <v>12.25</v>
      </c>
      <c r="E5135" s="16" t="s">
        <v>30</v>
      </c>
    </row>
    <row r="5136" spans="1:5" x14ac:dyDescent="0.25">
      <c r="A5136" s="14">
        <v>908001</v>
      </c>
      <c r="B5136" s="14" t="s">
        <v>5253</v>
      </c>
      <c r="C5136" s="14" t="s">
        <v>13029</v>
      </c>
      <c r="D5136" s="15">
        <v>25.64</v>
      </c>
      <c r="E5136" s="14" t="s">
        <v>30</v>
      </c>
    </row>
    <row r="5137" spans="1:5" x14ac:dyDescent="0.25">
      <c r="A5137" s="14">
        <v>908002</v>
      </c>
      <c r="B5137" s="14" t="s">
        <v>5254</v>
      </c>
      <c r="C5137" s="14" t="s">
        <v>13029</v>
      </c>
      <c r="D5137" s="15">
        <v>25.64</v>
      </c>
      <c r="E5137" s="14" t="s">
        <v>30</v>
      </c>
    </row>
    <row r="5138" spans="1:5" x14ac:dyDescent="0.25">
      <c r="A5138" s="14">
        <v>908003</v>
      </c>
      <c r="B5138" s="14" t="s">
        <v>5255</v>
      </c>
      <c r="C5138" s="14" t="s">
        <v>13029</v>
      </c>
      <c r="D5138" s="15">
        <v>25.64</v>
      </c>
      <c r="E5138" s="14" t="s">
        <v>30</v>
      </c>
    </row>
    <row r="5139" spans="1:5" x14ac:dyDescent="0.25">
      <c r="A5139" s="14">
        <v>908004</v>
      </c>
      <c r="B5139" s="14" t="s">
        <v>5256</v>
      </c>
      <c r="C5139" s="14" t="s">
        <v>13029</v>
      </c>
      <c r="D5139" s="15">
        <v>25.64</v>
      </c>
      <c r="E5139" s="14" t="s">
        <v>30</v>
      </c>
    </row>
    <row r="5140" spans="1:5" x14ac:dyDescent="0.25">
      <c r="A5140" s="14">
        <v>908005</v>
      </c>
      <c r="B5140" s="14" t="s">
        <v>5257</v>
      </c>
      <c r="C5140" s="14" t="s">
        <v>13029</v>
      </c>
      <c r="D5140" s="15">
        <v>25.64</v>
      </c>
      <c r="E5140" s="14" t="s">
        <v>30</v>
      </c>
    </row>
    <row r="5141" spans="1:5" x14ac:dyDescent="0.25">
      <c r="A5141" s="14">
        <v>908006</v>
      </c>
      <c r="B5141" s="14" t="s">
        <v>5258</v>
      </c>
      <c r="C5141" s="14" t="s">
        <v>13029</v>
      </c>
      <c r="D5141" s="15">
        <v>25.64</v>
      </c>
      <c r="E5141" s="14" t="s">
        <v>30</v>
      </c>
    </row>
    <row r="5142" spans="1:5" x14ac:dyDescent="0.25">
      <c r="A5142" s="14">
        <v>908007</v>
      </c>
      <c r="B5142" s="14" t="s">
        <v>5259</v>
      </c>
      <c r="C5142" s="14" t="s">
        <v>13029</v>
      </c>
      <c r="D5142" s="15">
        <v>53.92</v>
      </c>
      <c r="E5142" s="14" t="s">
        <v>30</v>
      </c>
    </row>
    <row r="5143" spans="1:5" x14ac:dyDescent="0.25">
      <c r="A5143" s="14">
        <v>908008</v>
      </c>
      <c r="B5143" s="14" t="s">
        <v>5260</v>
      </c>
      <c r="C5143" s="14" t="s">
        <v>13029</v>
      </c>
      <c r="D5143" s="15">
        <v>58.08</v>
      </c>
      <c r="E5143" s="14" t="s">
        <v>30</v>
      </c>
    </row>
    <row r="5144" spans="1:5" x14ac:dyDescent="0.25">
      <c r="A5144" s="14">
        <v>908063</v>
      </c>
      <c r="B5144" s="14" t="s">
        <v>5261</v>
      </c>
      <c r="C5144" s="14" t="s">
        <v>13030</v>
      </c>
      <c r="D5144" s="15">
        <v>103.49</v>
      </c>
      <c r="E5144" s="16" t="s">
        <v>30</v>
      </c>
    </row>
    <row r="5145" spans="1:5" x14ac:dyDescent="0.25">
      <c r="A5145" s="14">
        <v>908067</v>
      </c>
      <c r="B5145" s="14" t="s">
        <v>5262</v>
      </c>
      <c r="C5145" s="14" t="s">
        <v>13031</v>
      </c>
      <c r="D5145" s="15">
        <v>16.25</v>
      </c>
      <c r="E5145" s="16" t="s">
        <v>30</v>
      </c>
    </row>
    <row r="5146" spans="1:5" x14ac:dyDescent="0.25">
      <c r="A5146" s="14">
        <v>908189</v>
      </c>
      <c r="B5146" s="14" t="s">
        <v>5263</v>
      </c>
      <c r="C5146" s="14" t="s">
        <v>13030</v>
      </c>
      <c r="D5146" s="15">
        <v>61.02</v>
      </c>
      <c r="E5146" s="16" t="s">
        <v>30</v>
      </c>
    </row>
    <row r="5147" spans="1:5" x14ac:dyDescent="0.25">
      <c r="A5147" s="14">
        <v>908190</v>
      </c>
      <c r="B5147" s="14" t="s">
        <v>5264</v>
      </c>
      <c r="C5147" s="14" t="s">
        <v>13030</v>
      </c>
      <c r="D5147" s="15">
        <v>45.16</v>
      </c>
      <c r="E5147" s="16" t="s">
        <v>30</v>
      </c>
    </row>
    <row r="5148" spans="1:5" x14ac:dyDescent="0.25">
      <c r="A5148" s="14">
        <v>908206</v>
      </c>
      <c r="B5148" s="14" t="s">
        <v>5265</v>
      </c>
      <c r="C5148" s="14" t="s">
        <v>13029</v>
      </c>
      <c r="D5148" s="15">
        <v>14.77</v>
      </c>
      <c r="E5148" s="16" t="s">
        <v>30</v>
      </c>
    </row>
    <row r="5149" spans="1:5" x14ac:dyDescent="0.25">
      <c r="A5149" s="14">
        <v>908207</v>
      </c>
      <c r="B5149" s="14" t="s">
        <v>5266</v>
      </c>
      <c r="C5149" s="14" t="s">
        <v>13029</v>
      </c>
      <c r="D5149" s="15">
        <v>14.77</v>
      </c>
      <c r="E5149" s="16" t="s">
        <v>30</v>
      </c>
    </row>
    <row r="5150" spans="1:5" x14ac:dyDescent="0.25">
      <c r="A5150" s="14">
        <v>908895</v>
      </c>
      <c r="B5150" s="14" t="s">
        <v>5267</v>
      </c>
      <c r="C5150" s="14" t="s">
        <v>13029</v>
      </c>
      <c r="D5150" s="15">
        <v>11.1</v>
      </c>
      <c r="E5150" s="16" t="s">
        <v>30</v>
      </c>
    </row>
    <row r="5151" spans="1:5" x14ac:dyDescent="0.25">
      <c r="A5151" s="14">
        <v>909000</v>
      </c>
      <c r="B5151" s="14" t="s">
        <v>5268</v>
      </c>
      <c r="C5151" s="14" t="s">
        <v>13031</v>
      </c>
      <c r="D5151" s="15">
        <v>3.56</v>
      </c>
      <c r="E5151" s="16" t="s">
        <v>30</v>
      </c>
    </row>
    <row r="5152" spans="1:5" x14ac:dyDescent="0.25">
      <c r="A5152" s="14">
        <v>909001</v>
      </c>
      <c r="B5152" s="14" t="s">
        <v>5269</v>
      </c>
      <c r="C5152" s="14" t="s">
        <v>13031</v>
      </c>
      <c r="D5152" s="15">
        <v>3.56</v>
      </c>
      <c r="E5152" s="16" t="s">
        <v>30</v>
      </c>
    </row>
    <row r="5153" spans="1:5" x14ac:dyDescent="0.25">
      <c r="A5153" s="14">
        <v>909002</v>
      </c>
      <c r="B5153" s="14" t="s">
        <v>5270</v>
      </c>
      <c r="C5153" s="14" t="s">
        <v>13031</v>
      </c>
      <c r="D5153" s="15">
        <v>2.17</v>
      </c>
      <c r="E5153" s="16" t="s">
        <v>30</v>
      </c>
    </row>
    <row r="5154" spans="1:5" x14ac:dyDescent="0.25">
      <c r="A5154" s="14">
        <v>909164</v>
      </c>
      <c r="B5154" s="14" t="s">
        <v>5271</v>
      </c>
      <c r="C5154" s="14" t="s">
        <v>13033</v>
      </c>
      <c r="D5154" s="15">
        <v>10.97</v>
      </c>
      <c r="E5154" s="16" t="s">
        <v>30</v>
      </c>
    </row>
    <row r="5155" spans="1:5" x14ac:dyDescent="0.25">
      <c r="A5155" s="14">
        <v>909165</v>
      </c>
      <c r="B5155" s="14" t="s">
        <v>5272</v>
      </c>
      <c r="C5155" s="14" t="s">
        <v>13033</v>
      </c>
      <c r="D5155" s="15">
        <v>10.97</v>
      </c>
      <c r="E5155" s="16" t="s">
        <v>30</v>
      </c>
    </row>
    <row r="5156" spans="1:5" x14ac:dyDescent="0.25">
      <c r="A5156" s="14">
        <v>787637</v>
      </c>
      <c r="B5156" s="14" t="s">
        <v>5273</v>
      </c>
      <c r="C5156" s="14" t="s">
        <v>13031</v>
      </c>
      <c r="D5156" s="15">
        <v>10.58</v>
      </c>
      <c r="E5156" s="16" t="s">
        <v>20</v>
      </c>
    </row>
    <row r="5157" spans="1:5" x14ac:dyDescent="0.25">
      <c r="A5157" s="14">
        <v>909168</v>
      </c>
      <c r="B5157" s="14" t="s">
        <v>5274</v>
      </c>
      <c r="C5157" s="14" t="s">
        <v>13033</v>
      </c>
      <c r="D5157" s="15">
        <v>10.97</v>
      </c>
      <c r="E5157" s="16" t="s">
        <v>30</v>
      </c>
    </row>
    <row r="5158" spans="1:5" x14ac:dyDescent="0.25">
      <c r="A5158" s="14">
        <v>909169</v>
      </c>
      <c r="B5158" s="14" t="s">
        <v>5275</v>
      </c>
      <c r="C5158" s="14" t="s">
        <v>13033</v>
      </c>
      <c r="D5158" s="15">
        <v>10.97</v>
      </c>
      <c r="E5158" s="16" t="s">
        <v>30</v>
      </c>
    </row>
    <row r="5159" spans="1:5" x14ac:dyDescent="0.25">
      <c r="A5159" s="14">
        <v>909172</v>
      </c>
      <c r="B5159" s="14" t="s">
        <v>5276</v>
      </c>
      <c r="C5159" s="14" t="s">
        <v>13033</v>
      </c>
      <c r="D5159" s="15">
        <v>9.9</v>
      </c>
      <c r="E5159" s="16" t="s">
        <v>30</v>
      </c>
    </row>
    <row r="5160" spans="1:5" x14ac:dyDescent="0.25">
      <c r="A5160" s="14">
        <v>909289</v>
      </c>
      <c r="B5160" s="14" t="s">
        <v>5277</v>
      </c>
      <c r="C5160" s="14" t="s">
        <v>13029</v>
      </c>
      <c r="D5160" s="15">
        <v>4.3</v>
      </c>
      <c r="E5160" s="16" t="s">
        <v>30</v>
      </c>
    </row>
    <row r="5161" spans="1:5" x14ac:dyDescent="0.25">
      <c r="A5161" s="14">
        <v>909582</v>
      </c>
      <c r="B5161" s="14" t="s">
        <v>5278</v>
      </c>
      <c r="C5161" s="14" t="s">
        <v>13029</v>
      </c>
      <c r="D5161" s="15">
        <v>8.3000000000000007</v>
      </c>
      <c r="E5161" s="16" t="s">
        <v>30</v>
      </c>
    </row>
    <row r="5162" spans="1:5" x14ac:dyDescent="0.25">
      <c r="A5162" s="14">
        <v>909583</v>
      </c>
      <c r="B5162" s="14" t="s">
        <v>5279</v>
      </c>
      <c r="C5162" s="14" t="s">
        <v>13029</v>
      </c>
      <c r="D5162" s="15">
        <v>8.3000000000000007</v>
      </c>
      <c r="E5162" s="16" t="s">
        <v>30</v>
      </c>
    </row>
    <row r="5163" spans="1:5" x14ac:dyDescent="0.25">
      <c r="A5163" s="14">
        <v>909584</v>
      </c>
      <c r="B5163" s="14" t="s">
        <v>5280</v>
      </c>
      <c r="C5163" s="14" t="s">
        <v>13029</v>
      </c>
      <c r="D5163" s="15">
        <v>11.13</v>
      </c>
      <c r="E5163" s="16" t="s">
        <v>30</v>
      </c>
    </row>
    <row r="5164" spans="1:5" x14ac:dyDescent="0.25">
      <c r="A5164" s="14">
        <v>909585</v>
      </c>
      <c r="B5164" s="14" t="s">
        <v>5281</v>
      </c>
      <c r="C5164" s="14" t="s">
        <v>13029</v>
      </c>
      <c r="D5164" s="15">
        <v>11.13</v>
      </c>
      <c r="E5164" s="16" t="s">
        <v>30</v>
      </c>
    </row>
    <row r="5165" spans="1:5" x14ac:dyDescent="0.25">
      <c r="A5165" s="14">
        <v>909613</v>
      </c>
      <c r="B5165" s="14" t="s">
        <v>5282</v>
      </c>
      <c r="C5165" s="14" t="s">
        <v>13029</v>
      </c>
      <c r="D5165" s="15">
        <v>7.31</v>
      </c>
      <c r="E5165" s="16" t="s">
        <v>30</v>
      </c>
    </row>
    <row r="5166" spans="1:5" x14ac:dyDescent="0.25">
      <c r="A5166" s="14">
        <v>909614</v>
      </c>
      <c r="B5166" s="14" t="s">
        <v>5283</v>
      </c>
      <c r="C5166" s="14" t="s">
        <v>13029</v>
      </c>
      <c r="D5166" s="15">
        <v>5.38</v>
      </c>
      <c r="E5166" s="16" t="s">
        <v>30</v>
      </c>
    </row>
    <row r="5167" spans="1:5" x14ac:dyDescent="0.25">
      <c r="A5167" s="14">
        <v>909615</v>
      </c>
      <c r="B5167" s="14" t="s">
        <v>5284</v>
      </c>
      <c r="C5167" s="14" t="s">
        <v>13029</v>
      </c>
      <c r="D5167" s="15">
        <v>5.38</v>
      </c>
      <c r="E5167" s="16" t="s">
        <v>30</v>
      </c>
    </row>
    <row r="5168" spans="1:5" x14ac:dyDescent="0.25">
      <c r="A5168" s="14">
        <v>910947</v>
      </c>
      <c r="B5168" s="14" t="s">
        <v>5285</v>
      </c>
      <c r="C5168" s="14" t="s">
        <v>13036</v>
      </c>
      <c r="D5168" s="15">
        <v>7.78</v>
      </c>
      <c r="E5168" s="16" t="s">
        <v>30</v>
      </c>
    </row>
    <row r="5169" spans="1:5" x14ac:dyDescent="0.25">
      <c r="A5169" s="14">
        <v>910948</v>
      </c>
      <c r="B5169" s="14" t="s">
        <v>5286</v>
      </c>
      <c r="C5169" s="14" t="s">
        <v>13036</v>
      </c>
      <c r="D5169" s="15">
        <v>7.97</v>
      </c>
      <c r="E5169" s="16" t="s">
        <v>30</v>
      </c>
    </row>
    <row r="5170" spans="1:5" x14ac:dyDescent="0.25">
      <c r="A5170" s="14">
        <v>910949</v>
      </c>
      <c r="B5170" s="14" t="s">
        <v>5287</v>
      </c>
      <c r="C5170" s="14" t="s">
        <v>13036</v>
      </c>
      <c r="D5170" s="15">
        <v>5.87</v>
      </c>
      <c r="E5170" s="16" t="s">
        <v>30</v>
      </c>
    </row>
    <row r="5171" spans="1:5" x14ac:dyDescent="0.25">
      <c r="A5171" s="14">
        <v>910950</v>
      </c>
      <c r="B5171" s="14" t="s">
        <v>5288</v>
      </c>
      <c r="C5171" s="14" t="s">
        <v>13036</v>
      </c>
      <c r="D5171" s="15">
        <v>9.83</v>
      </c>
      <c r="E5171" s="16" t="s">
        <v>30</v>
      </c>
    </row>
    <row r="5172" spans="1:5" x14ac:dyDescent="0.25">
      <c r="A5172" s="14">
        <v>910951</v>
      </c>
      <c r="B5172" s="14" t="s">
        <v>5289</v>
      </c>
      <c r="C5172" s="14" t="s">
        <v>13036</v>
      </c>
      <c r="D5172" s="15">
        <v>6.97</v>
      </c>
      <c r="E5172" s="16" t="s">
        <v>30</v>
      </c>
    </row>
    <row r="5173" spans="1:5" x14ac:dyDescent="0.25">
      <c r="A5173" s="14">
        <v>910952</v>
      </c>
      <c r="B5173" s="14" t="s">
        <v>5290</v>
      </c>
      <c r="C5173" s="14" t="s">
        <v>13036</v>
      </c>
      <c r="D5173" s="15">
        <v>9.25</v>
      </c>
      <c r="E5173" s="16" t="s">
        <v>30</v>
      </c>
    </row>
    <row r="5174" spans="1:5" x14ac:dyDescent="0.25">
      <c r="A5174" s="14">
        <v>910953</v>
      </c>
      <c r="B5174" s="14" t="s">
        <v>5291</v>
      </c>
      <c r="C5174" s="14" t="s">
        <v>13036</v>
      </c>
      <c r="D5174" s="15">
        <v>6.2</v>
      </c>
      <c r="E5174" s="16" t="s">
        <v>30</v>
      </c>
    </row>
    <row r="5175" spans="1:5" x14ac:dyDescent="0.25">
      <c r="A5175" s="14">
        <v>910956</v>
      </c>
      <c r="B5175" s="14" t="s">
        <v>5292</v>
      </c>
      <c r="C5175" s="14" t="s">
        <v>13036</v>
      </c>
      <c r="D5175" s="15">
        <v>6.56</v>
      </c>
      <c r="E5175" s="16" t="s">
        <v>30</v>
      </c>
    </row>
    <row r="5176" spans="1:5" x14ac:dyDescent="0.25">
      <c r="A5176" s="14">
        <v>910958</v>
      </c>
      <c r="B5176" s="14" t="s">
        <v>5293</v>
      </c>
      <c r="C5176" s="14" t="s">
        <v>13036</v>
      </c>
      <c r="D5176" s="15">
        <v>6.99</v>
      </c>
      <c r="E5176" s="16" t="s">
        <v>30</v>
      </c>
    </row>
    <row r="5177" spans="1:5" x14ac:dyDescent="0.25">
      <c r="A5177" s="14">
        <v>911828</v>
      </c>
      <c r="B5177" s="14" t="s">
        <v>5294</v>
      </c>
      <c r="C5177" s="14" t="s">
        <v>13030</v>
      </c>
      <c r="D5177" s="15">
        <v>56.35</v>
      </c>
      <c r="E5177" s="16" t="s">
        <v>30</v>
      </c>
    </row>
    <row r="5178" spans="1:5" x14ac:dyDescent="0.25">
      <c r="A5178" s="14">
        <v>911845</v>
      </c>
      <c r="B5178" s="14" t="s">
        <v>5295</v>
      </c>
      <c r="C5178" s="14" t="s">
        <v>13030</v>
      </c>
      <c r="D5178" s="15">
        <v>57.54</v>
      </c>
      <c r="E5178" s="16" t="s">
        <v>30</v>
      </c>
    </row>
    <row r="5179" spans="1:5" x14ac:dyDescent="0.25">
      <c r="A5179" s="14">
        <v>911846</v>
      </c>
      <c r="B5179" s="14" t="s">
        <v>5296</v>
      </c>
      <c r="C5179" s="14" t="s">
        <v>13030</v>
      </c>
      <c r="D5179" s="15">
        <v>90.27</v>
      </c>
      <c r="E5179" s="16" t="s">
        <v>30</v>
      </c>
    </row>
    <row r="5180" spans="1:5" x14ac:dyDescent="0.25">
      <c r="A5180" s="14">
        <v>911848</v>
      </c>
      <c r="B5180" s="14" t="s">
        <v>5297</v>
      </c>
      <c r="C5180" s="14" t="s">
        <v>13030</v>
      </c>
      <c r="D5180" s="15">
        <v>8.25</v>
      </c>
      <c r="E5180" s="16" t="s">
        <v>30</v>
      </c>
    </row>
    <row r="5181" spans="1:5" x14ac:dyDescent="0.25">
      <c r="A5181" s="14">
        <v>911849</v>
      </c>
      <c r="B5181" s="14" t="s">
        <v>5298</v>
      </c>
      <c r="C5181" s="14" t="s">
        <v>13030</v>
      </c>
      <c r="D5181" s="15">
        <v>5.3</v>
      </c>
      <c r="E5181" s="16" t="s">
        <v>30</v>
      </c>
    </row>
    <row r="5182" spans="1:5" x14ac:dyDescent="0.25">
      <c r="A5182" s="14">
        <v>911850</v>
      </c>
      <c r="B5182" s="14" t="s">
        <v>5299</v>
      </c>
      <c r="C5182" s="14" t="s">
        <v>13030</v>
      </c>
      <c r="D5182" s="15">
        <v>5.3</v>
      </c>
      <c r="E5182" s="16" t="s">
        <v>30</v>
      </c>
    </row>
    <row r="5183" spans="1:5" x14ac:dyDescent="0.25">
      <c r="A5183" s="14">
        <v>888428</v>
      </c>
      <c r="B5183" s="14" t="s">
        <v>5300</v>
      </c>
      <c r="C5183" s="14" t="s">
        <v>13030</v>
      </c>
      <c r="D5183" s="15">
        <v>178.97</v>
      </c>
      <c r="E5183" s="16" t="s">
        <v>20</v>
      </c>
    </row>
    <row r="5184" spans="1:5" x14ac:dyDescent="0.25">
      <c r="A5184" s="14">
        <v>789725</v>
      </c>
      <c r="B5184" s="14" t="s">
        <v>5301</v>
      </c>
      <c r="C5184" s="14" t="s">
        <v>13031</v>
      </c>
      <c r="D5184" s="15">
        <v>5.95</v>
      </c>
      <c r="E5184" s="16" t="s">
        <v>20</v>
      </c>
    </row>
    <row r="5185" spans="1:5" x14ac:dyDescent="0.25">
      <c r="A5185" s="14">
        <v>789726</v>
      </c>
      <c r="B5185" s="14" t="s">
        <v>5302</v>
      </c>
      <c r="C5185" s="14" t="s">
        <v>13031</v>
      </c>
      <c r="D5185" s="15">
        <v>5.95</v>
      </c>
      <c r="E5185" s="16" t="s">
        <v>20</v>
      </c>
    </row>
    <row r="5186" spans="1:5" x14ac:dyDescent="0.25">
      <c r="A5186" s="14">
        <v>789796</v>
      </c>
      <c r="B5186" s="14" t="s">
        <v>5303</v>
      </c>
      <c r="C5186" s="14" t="s">
        <v>13031</v>
      </c>
      <c r="D5186" s="15">
        <v>10.19</v>
      </c>
      <c r="E5186" s="16" t="s">
        <v>20</v>
      </c>
    </row>
    <row r="5187" spans="1:5" x14ac:dyDescent="0.25">
      <c r="A5187" s="14">
        <v>789798</v>
      </c>
      <c r="B5187" s="14" t="s">
        <v>5304</v>
      </c>
      <c r="C5187" s="14" t="s">
        <v>13031</v>
      </c>
      <c r="D5187" s="15">
        <v>9.83</v>
      </c>
      <c r="E5187" s="16" t="s">
        <v>20</v>
      </c>
    </row>
    <row r="5188" spans="1:5" x14ac:dyDescent="0.25">
      <c r="A5188" s="14">
        <v>789800</v>
      </c>
      <c r="B5188" s="14" t="s">
        <v>5305</v>
      </c>
      <c r="C5188" s="14" t="s">
        <v>13031</v>
      </c>
      <c r="D5188" s="15">
        <v>7.81</v>
      </c>
      <c r="E5188" s="16" t="s">
        <v>20</v>
      </c>
    </row>
    <row r="5189" spans="1:5" x14ac:dyDescent="0.25">
      <c r="A5189" s="14">
        <v>911961</v>
      </c>
      <c r="B5189" s="14" t="s">
        <v>5306</v>
      </c>
      <c r="C5189" s="14" t="s">
        <v>13030</v>
      </c>
      <c r="D5189" s="15">
        <v>41.63</v>
      </c>
      <c r="E5189" s="16" t="s">
        <v>30</v>
      </c>
    </row>
    <row r="5190" spans="1:5" x14ac:dyDescent="0.25">
      <c r="A5190" s="14">
        <v>912508</v>
      </c>
      <c r="B5190" s="14" t="s">
        <v>5307</v>
      </c>
      <c r="C5190" s="14" t="s">
        <v>13029</v>
      </c>
      <c r="D5190" s="15">
        <v>6.9</v>
      </c>
      <c r="E5190" s="16" t="s">
        <v>30</v>
      </c>
    </row>
    <row r="5191" spans="1:5" x14ac:dyDescent="0.25">
      <c r="A5191" s="14">
        <v>912509</v>
      </c>
      <c r="B5191" s="14" t="s">
        <v>5308</v>
      </c>
      <c r="C5191" s="14" t="s">
        <v>13029</v>
      </c>
      <c r="D5191" s="15">
        <v>7.27</v>
      </c>
      <c r="E5191" s="16" t="s">
        <v>30</v>
      </c>
    </row>
    <row r="5192" spans="1:5" x14ac:dyDescent="0.25">
      <c r="A5192" s="14">
        <v>912525</v>
      </c>
      <c r="B5192" s="14" t="s">
        <v>5309</v>
      </c>
      <c r="C5192" s="14" t="s">
        <v>13029</v>
      </c>
      <c r="D5192" s="15">
        <v>20.170000000000002</v>
      </c>
      <c r="E5192" s="16" t="s">
        <v>30</v>
      </c>
    </row>
    <row r="5193" spans="1:5" x14ac:dyDescent="0.25">
      <c r="A5193" s="14">
        <v>912526</v>
      </c>
      <c r="B5193" s="14" t="s">
        <v>5310</v>
      </c>
      <c r="C5193" s="14" t="s">
        <v>13029</v>
      </c>
      <c r="D5193" s="15">
        <v>16.489999999999998</v>
      </c>
      <c r="E5193" s="16" t="s">
        <v>30</v>
      </c>
    </row>
    <row r="5194" spans="1:5" x14ac:dyDescent="0.25">
      <c r="A5194" s="14">
        <v>912559</v>
      </c>
      <c r="B5194" s="14" t="s">
        <v>5311</v>
      </c>
      <c r="C5194" s="14" t="s">
        <v>13031</v>
      </c>
      <c r="D5194" s="15">
        <v>18.53</v>
      </c>
      <c r="E5194" s="16" t="s">
        <v>30</v>
      </c>
    </row>
    <row r="5195" spans="1:5" x14ac:dyDescent="0.25">
      <c r="A5195" s="14">
        <v>912560</v>
      </c>
      <c r="B5195" s="14" t="s">
        <v>5312</v>
      </c>
      <c r="C5195" s="14" t="s">
        <v>13031</v>
      </c>
      <c r="D5195" s="15">
        <v>18.53</v>
      </c>
      <c r="E5195" s="16" t="s">
        <v>30</v>
      </c>
    </row>
    <row r="5196" spans="1:5" x14ac:dyDescent="0.25">
      <c r="A5196" s="14">
        <v>912561</v>
      </c>
      <c r="B5196" s="14" t="s">
        <v>5313</v>
      </c>
      <c r="C5196" s="14" t="s">
        <v>13031</v>
      </c>
      <c r="D5196" s="15">
        <v>24.7</v>
      </c>
      <c r="E5196" s="16" t="s">
        <v>30</v>
      </c>
    </row>
    <row r="5197" spans="1:5" x14ac:dyDescent="0.25">
      <c r="A5197" s="14">
        <v>912563</v>
      </c>
      <c r="B5197" s="14" t="s">
        <v>5314</v>
      </c>
      <c r="C5197" s="14" t="s">
        <v>13031</v>
      </c>
      <c r="D5197" s="15">
        <v>15.04</v>
      </c>
      <c r="E5197" s="16" t="s">
        <v>30</v>
      </c>
    </row>
    <row r="5198" spans="1:5" x14ac:dyDescent="0.25">
      <c r="A5198" s="14">
        <v>912564</v>
      </c>
      <c r="B5198" s="14" t="s">
        <v>5315</v>
      </c>
      <c r="C5198" s="14" t="s">
        <v>13031</v>
      </c>
      <c r="D5198" s="15">
        <v>8.0299999999999994</v>
      </c>
      <c r="E5198" s="16" t="s">
        <v>30</v>
      </c>
    </row>
    <row r="5199" spans="1:5" x14ac:dyDescent="0.25">
      <c r="A5199" s="14">
        <v>912565</v>
      </c>
      <c r="B5199" s="14" t="s">
        <v>5316</v>
      </c>
      <c r="C5199" s="14" t="s">
        <v>13031</v>
      </c>
      <c r="D5199" s="15">
        <v>8.0299999999999994</v>
      </c>
      <c r="E5199" s="16" t="s">
        <v>30</v>
      </c>
    </row>
    <row r="5200" spans="1:5" x14ac:dyDescent="0.25">
      <c r="A5200" s="14">
        <v>912671</v>
      </c>
      <c r="B5200" s="14" t="s">
        <v>5317</v>
      </c>
      <c r="C5200" s="14" t="s">
        <v>13031</v>
      </c>
      <c r="D5200" s="15">
        <v>8.68</v>
      </c>
      <c r="E5200" s="16" t="s">
        <v>30</v>
      </c>
    </row>
    <row r="5201" spans="1:5" x14ac:dyDescent="0.25">
      <c r="A5201" s="14">
        <v>912758</v>
      </c>
      <c r="B5201" s="14" t="s">
        <v>5318</v>
      </c>
      <c r="C5201" s="14" t="s">
        <v>13029</v>
      </c>
      <c r="D5201" s="15">
        <v>9.43</v>
      </c>
      <c r="E5201" s="16" t="s">
        <v>30</v>
      </c>
    </row>
    <row r="5202" spans="1:5" x14ac:dyDescent="0.25">
      <c r="A5202" s="14">
        <v>913104</v>
      </c>
      <c r="B5202" s="14" t="s">
        <v>5319</v>
      </c>
      <c r="C5202" s="14" t="s">
        <v>13031</v>
      </c>
      <c r="D5202" s="15">
        <v>17.14</v>
      </c>
      <c r="E5202" s="16" t="s">
        <v>30</v>
      </c>
    </row>
    <row r="5203" spans="1:5" x14ac:dyDescent="0.25">
      <c r="A5203" s="14">
        <v>913105</v>
      </c>
      <c r="B5203" s="14" t="s">
        <v>5320</v>
      </c>
      <c r="C5203" s="14" t="s">
        <v>13031</v>
      </c>
      <c r="D5203" s="15">
        <v>17.14</v>
      </c>
      <c r="E5203" s="16" t="s">
        <v>30</v>
      </c>
    </row>
    <row r="5204" spans="1:5" x14ac:dyDescent="0.25">
      <c r="A5204" s="14">
        <v>913106</v>
      </c>
      <c r="B5204" s="14" t="s">
        <v>5321</v>
      </c>
      <c r="C5204" s="14" t="s">
        <v>13031</v>
      </c>
      <c r="D5204" s="15">
        <v>14.78</v>
      </c>
      <c r="E5204" s="16" t="s">
        <v>30</v>
      </c>
    </row>
    <row r="5205" spans="1:5" x14ac:dyDescent="0.25">
      <c r="A5205" s="14">
        <v>913108</v>
      </c>
      <c r="B5205" s="14" t="s">
        <v>5322</v>
      </c>
      <c r="C5205" s="14" t="s">
        <v>13031</v>
      </c>
      <c r="D5205" s="15">
        <v>13</v>
      </c>
      <c r="E5205" s="16" t="s">
        <v>30</v>
      </c>
    </row>
    <row r="5206" spans="1:5" x14ac:dyDescent="0.25">
      <c r="A5206" s="14">
        <v>913110</v>
      </c>
      <c r="B5206" s="14" t="s">
        <v>5323</v>
      </c>
      <c r="C5206" s="14" t="s">
        <v>13031</v>
      </c>
      <c r="D5206" s="15">
        <v>14.78</v>
      </c>
      <c r="E5206" s="16" t="s">
        <v>30</v>
      </c>
    </row>
    <row r="5207" spans="1:5" x14ac:dyDescent="0.25">
      <c r="A5207" s="14">
        <v>913111</v>
      </c>
      <c r="B5207" s="14" t="s">
        <v>5324</v>
      </c>
      <c r="C5207" s="14" t="s">
        <v>13031</v>
      </c>
      <c r="D5207" s="15">
        <v>14.78</v>
      </c>
      <c r="E5207" s="16" t="s">
        <v>30</v>
      </c>
    </row>
    <row r="5208" spans="1:5" x14ac:dyDescent="0.25">
      <c r="A5208" s="14">
        <v>913112</v>
      </c>
      <c r="B5208" s="14" t="s">
        <v>5325</v>
      </c>
      <c r="C5208" s="14" t="s">
        <v>13031</v>
      </c>
      <c r="D5208" s="15">
        <v>14.78</v>
      </c>
      <c r="E5208" s="16" t="s">
        <v>30</v>
      </c>
    </row>
    <row r="5209" spans="1:5" x14ac:dyDescent="0.25">
      <c r="A5209" s="14">
        <v>913113</v>
      </c>
      <c r="B5209" s="14" t="s">
        <v>5326</v>
      </c>
      <c r="C5209" s="14" t="s">
        <v>13031</v>
      </c>
      <c r="D5209" s="15">
        <v>15.37</v>
      </c>
      <c r="E5209" s="16" t="s">
        <v>30</v>
      </c>
    </row>
    <row r="5210" spans="1:5" x14ac:dyDescent="0.25">
      <c r="A5210" s="14">
        <v>913117</v>
      </c>
      <c r="B5210" s="14" t="s">
        <v>5327</v>
      </c>
      <c r="C5210" s="14" t="s">
        <v>13031</v>
      </c>
      <c r="D5210" s="15">
        <v>5.45</v>
      </c>
      <c r="E5210" s="16" t="s">
        <v>30</v>
      </c>
    </row>
    <row r="5211" spans="1:5" x14ac:dyDescent="0.25">
      <c r="A5211" s="14">
        <v>913118</v>
      </c>
      <c r="B5211" s="14" t="s">
        <v>5328</v>
      </c>
      <c r="C5211" s="14" t="s">
        <v>13031</v>
      </c>
      <c r="D5211" s="15">
        <v>5.76</v>
      </c>
      <c r="E5211" s="16" t="s">
        <v>30</v>
      </c>
    </row>
    <row r="5212" spans="1:5" x14ac:dyDescent="0.25">
      <c r="A5212" s="14">
        <v>913121</v>
      </c>
      <c r="B5212" s="14" t="s">
        <v>5329</v>
      </c>
      <c r="C5212" s="14" t="s">
        <v>13029</v>
      </c>
      <c r="D5212" s="15">
        <v>21.3</v>
      </c>
      <c r="E5212" s="16" t="s">
        <v>30</v>
      </c>
    </row>
    <row r="5213" spans="1:5" x14ac:dyDescent="0.25">
      <c r="A5213" s="14">
        <v>913123</v>
      </c>
      <c r="B5213" s="14" t="s">
        <v>5330</v>
      </c>
      <c r="C5213" s="14" t="s">
        <v>13029</v>
      </c>
      <c r="D5213" s="15">
        <v>21.3</v>
      </c>
      <c r="E5213" s="14" t="s">
        <v>30</v>
      </c>
    </row>
    <row r="5214" spans="1:5" x14ac:dyDescent="0.25">
      <c r="A5214" s="14">
        <v>913475</v>
      </c>
      <c r="B5214" s="14" t="s">
        <v>5331</v>
      </c>
      <c r="C5214" s="14" t="s">
        <v>13030</v>
      </c>
      <c r="D5214" s="15">
        <v>0.1</v>
      </c>
      <c r="E5214" s="16" t="s">
        <v>30</v>
      </c>
    </row>
    <row r="5215" spans="1:5" x14ac:dyDescent="0.25">
      <c r="A5215" s="14">
        <v>913476</v>
      </c>
      <c r="B5215" s="14" t="s">
        <v>5332</v>
      </c>
      <c r="C5215" s="14" t="s">
        <v>13030</v>
      </c>
      <c r="D5215" s="15">
        <v>17.3</v>
      </c>
      <c r="E5215" s="16" t="s">
        <v>30</v>
      </c>
    </row>
    <row r="5216" spans="1:5" x14ac:dyDescent="0.25">
      <c r="A5216" s="14">
        <v>913477</v>
      </c>
      <c r="B5216" s="14" t="s">
        <v>5333</v>
      </c>
      <c r="C5216" s="14" t="s">
        <v>13030</v>
      </c>
      <c r="D5216" s="15">
        <v>20.77</v>
      </c>
      <c r="E5216" s="16" t="s">
        <v>30</v>
      </c>
    </row>
    <row r="5217" spans="1:5" x14ac:dyDescent="0.25">
      <c r="A5217" s="14">
        <v>913478</v>
      </c>
      <c r="B5217" s="14" t="s">
        <v>5334</v>
      </c>
      <c r="C5217" s="14" t="s">
        <v>13030</v>
      </c>
      <c r="D5217" s="15">
        <v>4.3</v>
      </c>
      <c r="E5217" s="16" t="s">
        <v>30</v>
      </c>
    </row>
    <row r="5218" spans="1:5" x14ac:dyDescent="0.25">
      <c r="A5218" s="14">
        <v>913479</v>
      </c>
      <c r="B5218" s="14" t="s">
        <v>5335</v>
      </c>
      <c r="C5218" s="14" t="s">
        <v>13030</v>
      </c>
      <c r="D5218" s="15">
        <v>12.96</v>
      </c>
      <c r="E5218" s="16" t="s">
        <v>30</v>
      </c>
    </row>
    <row r="5219" spans="1:5" x14ac:dyDescent="0.25">
      <c r="A5219" s="14">
        <v>913698</v>
      </c>
      <c r="B5219" s="14" t="s">
        <v>5336</v>
      </c>
      <c r="C5219" s="14" t="s">
        <v>13030</v>
      </c>
      <c r="D5219" s="15">
        <v>152.82</v>
      </c>
      <c r="E5219" s="16" t="s">
        <v>30</v>
      </c>
    </row>
    <row r="5220" spans="1:5" x14ac:dyDescent="0.25">
      <c r="A5220" s="14">
        <v>913699</v>
      </c>
      <c r="B5220" s="14" t="s">
        <v>5337</v>
      </c>
      <c r="C5220" s="14" t="s">
        <v>13030</v>
      </c>
      <c r="D5220" s="15">
        <v>100.69</v>
      </c>
      <c r="E5220" s="16" t="s">
        <v>30</v>
      </c>
    </row>
    <row r="5221" spans="1:5" x14ac:dyDescent="0.25">
      <c r="A5221" s="14">
        <v>913725</v>
      </c>
      <c r="B5221" s="14" t="s">
        <v>5338</v>
      </c>
      <c r="C5221" s="14" t="s">
        <v>13029</v>
      </c>
      <c r="D5221" s="15">
        <v>19</v>
      </c>
      <c r="E5221" s="16" t="s">
        <v>30</v>
      </c>
    </row>
    <row r="5222" spans="1:5" x14ac:dyDescent="0.25">
      <c r="A5222" s="14">
        <v>913726</v>
      </c>
      <c r="B5222" s="14" t="s">
        <v>5339</v>
      </c>
      <c r="C5222" s="14" t="s">
        <v>13029</v>
      </c>
      <c r="D5222" s="15">
        <v>22.18</v>
      </c>
      <c r="E5222" s="16" t="s">
        <v>30</v>
      </c>
    </row>
    <row r="5223" spans="1:5" x14ac:dyDescent="0.25">
      <c r="A5223" s="14">
        <v>913743</v>
      </c>
      <c r="B5223" s="14" t="s">
        <v>5340</v>
      </c>
      <c r="C5223" s="14" t="s">
        <v>13030</v>
      </c>
      <c r="D5223" s="15">
        <v>19.39</v>
      </c>
      <c r="E5223" s="16" t="s">
        <v>30</v>
      </c>
    </row>
    <row r="5224" spans="1:5" x14ac:dyDescent="0.25">
      <c r="A5224" s="14">
        <v>913744</v>
      </c>
      <c r="B5224" s="14" t="s">
        <v>5341</v>
      </c>
      <c r="C5224" s="14" t="s">
        <v>13030</v>
      </c>
      <c r="D5224" s="15">
        <v>17.73</v>
      </c>
      <c r="E5224" s="16" t="s">
        <v>30</v>
      </c>
    </row>
    <row r="5225" spans="1:5" x14ac:dyDescent="0.25">
      <c r="A5225" s="14">
        <v>913745</v>
      </c>
      <c r="B5225" s="14" t="s">
        <v>5342</v>
      </c>
      <c r="C5225" s="14" t="s">
        <v>13030</v>
      </c>
      <c r="D5225" s="15">
        <v>19.38</v>
      </c>
      <c r="E5225" s="16" t="s">
        <v>30</v>
      </c>
    </row>
    <row r="5226" spans="1:5" x14ac:dyDescent="0.25">
      <c r="A5226" s="14">
        <v>914632</v>
      </c>
      <c r="B5226" s="14" t="s">
        <v>5343</v>
      </c>
      <c r="C5226" s="14" t="s">
        <v>13029</v>
      </c>
      <c r="D5226" s="15">
        <v>7.46</v>
      </c>
      <c r="E5226" s="16" t="s">
        <v>30</v>
      </c>
    </row>
    <row r="5227" spans="1:5" x14ac:dyDescent="0.25">
      <c r="A5227" s="14">
        <v>914633</v>
      </c>
      <c r="B5227" s="14" t="s">
        <v>5344</v>
      </c>
      <c r="C5227" s="14" t="s">
        <v>13029</v>
      </c>
      <c r="D5227" s="15">
        <v>16.11</v>
      </c>
      <c r="E5227" s="16" t="s">
        <v>30</v>
      </c>
    </row>
    <row r="5228" spans="1:5" x14ac:dyDescent="0.25">
      <c r="A5228" s="14">
        <v>914634</v>
      </c>
      <c r="B5228" s="14" t="s">
        <v>5345</v>
      </c>
      <c r="C5228" s="14" t="s">
        <v>13029</v>
      </c>
      <c r="D5228" s="15">
        <v>26.66</v>
      </c>
      <c r="E5228" s="16" t="s">
        <v>30</v>
      </c>
    </row>
    <row r="5229" spans="1:5" x14ac:dyDescent="0.25">
      <c r="A5229" s="14">
        <v>914637</v>
      </c>
      <c r="B5229" s="14" t="s">
        <v>5346</v>
      </c>
      <c r="C5229" s="14" t="s">
        <v>13031</v>
      </c>
      <c r="D5229" s="15">
        <v>18.5</v>
      </c>
      <c r="E5229" s="16" t="s">
        <v>30</v>
      </c>
    </row>
    <row r="5230" spans="1:5" x14ac:dyDescent="0.25">
      <c r="A5230" s="14">
        <v>914643</v>
      </c>
      <c r="B5230" s="14" t="s">
        <v>5347</v>
      </c>
      <c r="C5230" s="14" t="s">
        <v>13029</v>
      </c>
      <c r="D5230" s="15">
        <v>7.69</v>
      </c>
      <c r="E5230" s="16" t="s">
        <v>30</v>
      </c>
    </row>
    <row r="5231" spans="1:5" x14ac:dyDescent="0.25">
      <c r="A5231" s="14">
        <v>914644</v>
      </c>
      <c r="B5231" s="14" t="s">
        <v>5348</v>
      </c>
      <c r="C5231" s="14" t="s">
        <v>13029</v>
      </c>
      <c r="D5231" s="15">
        <v>7.42</v>
      </c>
      <c r="E5231" s="16" t="s">
        <v>30</v>
      </c>
    </row>
    <row r="5232" spans="1:5" x14ac:dyDescent="0.25">
      <c r="A5232" s="14">
        <v>914645</v>
      </c>
      <c r="B5232" s="14" t="s">
        <v>5349</v>
      </c>
      <c r="C5232" s="14" t="s">
        <v>13029</v>
      </c>
      <c r="D5232" s="15">
        <v>10.78</v>
      </c>
      <c r="E5232" s="16" t="s">
        <v>30</v>
      </c>
    </row>
    <row r="5233" spans="1:5" x14ac:dyDescent="0.25">
      <c r="A5233" s="14">
        <v>914646</v>
      </c>
      <c r="B5233" s="14" t="s">
        <v>5350</v>
      </c>
      <c r="C5233" s="14" t="s">
        <v>13029</v>
      </c>
      <c r="D5233" s="15">
        <v>10.92</v>
      </c>
      <c r="E5233" s="16" t="s">
        <v>30</v>
      </c>
    </row>
    <row r="5234" spans="1:5" x14ac:dyDescent="0.25">
      <c r="A5234" s="14">
        <v>914704</v>
      </c>
      <c r="B5234" s="14" t="s">
        <v>5351</v>
      </c>
      <c r="C5234" s="14" t="s">
        <v>13030</v>
      </c>
      <c r="D5234" s="15">
        <v>16.600000000000001</v>
      </c>
      <c r="E5234" s="16" t="s">
        <v>30</v>
      </c>
    </row>
    <row r="5235" spans="1:5" x14ac:dyDescent="0.25">
      <c r="A5235" s="14">
        <v>914705</v>
      </c>
      <c r="B5235" s="14" t="s">
        <v>5352</v>
      </c>
      <c r="C5235" s="14" t="s">
        <v>13029</v>
      </c>
      <c r="D5235" s="15">
        <v>19.600000000000001</v>
      </c>
      <c r="E5235" s="16" t="s">
        <v>30</v>
      </c>
    </row>
    <row r="5236" spans="1:5" x14ac:dyDescent="0.25">
      <c r="A5236" s="14">
        <v>915007</v>
      </c>
      <c r="B5236" s="14" t="s">
        <v>5353</v>
      </c>
      <c r="C5236" s="14" t="s">
        <v>13029</v>
      </c>
      <c r="D5236" s="15">
        <v>19.16</v>
      </c>
      <c r="E5236" s="16" t="s">
        <v>30</v>
      </c>
    </row>
    <row r="5237" spans="1:5" x14ac:dyDescent="0.25">
      <c r="A5237" s="14">
        <v>915008</v>
      </c>
      <c r="B5237" s="14" t="s">
        <v>5354</v>
      </c>
      <c r="C5237" s="14" t="s">
        <v>13029</v>
      </c>
      <c r="D5237" s="15">
        <v>19.16</v>
      </c>
      <c r="E5237" s="16" t="s">
        <v>30</v>
      </c>
    </row>
    <row r="5238" spans="1:5" x14ac:dyDescent="0.25">
      <c r="A5238" s="14">
        <v>915009</v>
      </c>
      <c r="B5238" s="14" t="s">
        <v>5355</v>
      </c>
      <c r="C5238" s="14" t="s">
        <v>13029</v>
      </c>
      <c r="D5238" s="15">
        <v>11.8</v>
      </c>
      <c r="E5238" s="16" t="s">
        <v>30</v>
      </c>
    </row>
    <row r="5239" spans="1:5" x14ac:dyDescent="0.25">
      <c r="A5239" s="14">
        <v>915010</v>
      </c>
      <c r="B5239" s="14" t="s">
        <v>5356</v>
      </c>
      <c r="C5239" s="14" t="s">
        <v>13029</v>
      </c>
      <c r="D5239" s="15">
        <v>11.8</v>
      </c>
      <c r="E5239" s="16" t="s">
        <v>30</v>
      </c>
    </row>
    <row r="5240" spans="1:5" x14ac:dyDescent="0.25">
      <c r="A5240" s="14">
        <v>915011</v>
      </c>
      <c r="B5240" s="14" t="s">
        <v>5357</v>
      </c>
      <c r="C5240" s="14" t="s">
        <v>13029</v>
      </c>
      <c r="D5240" s="15">
        <v>10.029999999999999</v>
      </c>
      <c r="E5240" s="16" t="s">
        <v>30</v>
      </c>
    </row>
    <row r="5241" spans="1:5" x14ac:dyDescent="0.25">
      <c r="A5241" s="14">
        <v>916669</v>
      </c>
      <c r="B5241" s="14" t="s">
        <v>5358</v>
      </c>
      <c r="C5241" s="14" t="s">
        <v>13031</v>
      </c>
      <c r="D5241" s="15">
        <v>2.7</v>
      </c>
      <c r="E5241" s="16" t="s">
        <v>30</v>
      </c>
    </row>
    <row r="5242" spans="1:5" x14ac:dyDescent="0.25">
      <c r="A5242" s="14">
        <v>916670</v>
      </c>
      <c r="B5242" s="14" t="s">
        <v>5359</v>
      </c>
      <c r="C5242" s="14" t="s">
        <v>13031</v>
      </c>
      <c r="D5242" s="15">
        <v>3.8</v>
      </c>
      <c r="E5242" s="16" t="s">
        <v>30</v>
      </c>
    </row>
    <row r="5243" spans="1:5" x14ac:dyDescent="0.25">
      <c r="A5243" s="14">
        <v>916691</v>
      </c>
      <c r="B5243" s="14" t="s">
        <v>5360</v>
      </c>
      <c r="C5243" s="14" t="s">
        <v>13030</v>
      </c>
      <c r="D5243" s="15">
        <v>76.37</v>
      </c>
      <c r="E5243" s="16" t="s">
        <v>30</v>
      </c>
    </row>
    <row r="5244" spans="1:5" x14ac:dyDescent="0.25">
      <c r="A5244" s="14">
        <v>916692</v>
      </c>
      <c r="B5244" s="14" t="s">
        <v>5361</v>
      </c>
      <c r="C5244" s="14" t="s">
        <v>13030</v>
      </c>
      <c r="D5244" s="15">
        <v>62.48</v>
      </c>
      <c r="E5244" s="16" t="s">
        <v>30</v>
      </c>
    </row>
    <row r="5245" spans="1:5" x14ac:dyDescent="0.25">
      <c r="A5245" s="14">
        <v>917552</v>
      </c>
      <c r="B5245" s="14" t="s">
        <v>5362</v>
      </c>
      <c r="C5245" s="14" t="s">
        <v>13029</v>
      </c>
      <c r="D5245" s="15">
        <v>10.15</v>
      </c>
      <c r="E5245" s="14" t="s">
        <v>30</v>
      </c>
    </row>
    <row r="5246" spans="1:5" x14ac:dyDescent="0.25">
      <c r="A5246" s="14">
        <v>918110</v>
      </c>
      <c r="B5246" s="14" t="s">
        <v>5363</v>
      </c>
      <c r="C5246" s="14" t="s">
        <v>13031</v>
      </c>
      <c r="D5246" s="15">
        <v>28.6</v>
      </c>
      <c r="E5246" s="16" t="s">
        <v>30</v>
      </c>
    </row>
    <row r="5247" spans="1:5" x14ac:dyDescent="0.25">
      <c r="A5247" s="14">
        <v>919134</v>
      </c>
      <c r="B5247" s="14" t="s">
        <v>5364</v>
      </c>
      <c r="C5247" s="14" t="s">
        <v>13031</v>
      </c>
      <c r="D5247" s="15">
        <v>2.31</v>
      </c>
      <c r="E5247" s="16" t="s">
        <v>30</v>
      </c>
    </row>
    <row r="5248" spans="1:5" x14ac:dyDescent="0.25">
      <c r="A5248" s="14">
        <v>919135</v>
      </c>
      <c r="B5248" s="14" t="s">
        <v>5365</v>
      </c>
      <c r="C5248" s="14" t="s">
        <v>13031</v>
      </c>
      <c r="D5248" s="15">
        <v>2.08</v>
      </c>
      <c r="E5248" s="16" t="s">
        <v>30</v>
      </c>
    </row>
    <row r="5249" spans="1:5" x14ac:dyDescent="0.25">
      <c r="A5249" s="14">
        <v>920399</v>
      </c>
      <c r="B5249" s="14" t="s">
        <v>5366</v>
      </c>
      <c r="C5249" s="14" t="s">
        <v>13031</v>
      </c>
      <c r="D5249" s="15">
        <v>40.21</v>
      </c>
      <c r="E5249" s="16" t="s">
        <v>30</v>
      </c>
    </row>
    <row r="5250" spans="1:5" x14ac:dyDescent="0.25">
      <c r="A5250" s="14">
        <v>920400</v>
      </c>
      <c r="B5250" s="14" t="s">
        <v>5367</v>
      </c>
      <c r="C5250" s="14" t="s">
        <v>13031</v>
      </c>
      <c r="D5250" s="15">
        <v>48.87</v>
      </c>
      <c r="E5250" s="16" t="s">
        <v>30</v>
      </c>
    </row>
    <row r="5251" spans="1:5" x14ac:dyDescent="0.25">
      <c r="A5251" s="14">
        <v>920402</v>
      </c>
      <c r="B5251" s="14" t="s">
        <v>5368</v>
      </c>
      <c r="C5251" s="14" t="s">
        <v>13029</v>
      </c>
      <c r="D5251" s="15">
        <v>29.62</v>
      </c>
      <c r="E5251" s="16" t="s">
        <v>30</v>
      </c>
    </row>
    <row r="5252" spans="1:5" x14ac:dyDescent="0.25">
      <c r="A5252" s="14">
        <v>920403</v>
      </c>
      <c r="B5252" s="14" t="s">
        <v>5369</v>
      </c>
      <c r="C5252" s="14" t="s">
        <v>13029</v>
      </c>
      <c r="D5252" s="15">
        <v>16.59</v>
      </c>
      <c r="E5252" s="16" t="s">
        <v>30</v>
      </c>
    </row>
    <row r="5253" spans="1:5" x14ac:dyDescent="0.25">
      <c r="A5253" s="14">
        <v>920404</v>
      </c>
      <c r="B5253" s="14" t="s">
        <v>5370</v>
      </c>
      <c r="C5253" s="14" t="s">
        <v>13029</v>
      </c>
      <c r="D5253" s="15">
        <v>11.26</v>
      </c>
      <c r="E5253" s="16" t="s">
        <v>30</v>
      </c>
    </row>
    <row r="5254" spans="1:5" x14ac:dyDescent="0.25">
      <c r="A5254" s="14">
        <v>920405</v>
      </c>
      <c r="B5254" s="14" t="s">
        <v>5371</v>
      </c>
      <c r="C5254" s="14" t="s">
        <v>13029</v>
      </c>
      <c r="D5254" s="15">
        <v>29.67</v>
      </c>
      <c r="E5254" s="16" t="s">
        <v>30</v>
      </c>
    </row>
    <row r="5255" spans="1:5" x14ac:dyDescent="0.25">
      <c r="A5255" s="14">
        <v>920406</v>
      </c>
      <c r="B5255" s="14" t="s">
        <v>5372</v>
      </c>
      <c r="C5255" s="14" t="s">
        <v>13029</v>
      </c>
      <c r="D5255" s="15">
        <v>10.61</v>
      </c>
      <c r="E5255" s="16" t="s">
        <v>30</v>
      </c>
    </row>
    <row r="5256" spans="1:5" x14ac:dyDescent="0.25">
      <c r="A5256" s="14">
        <v>920407</v>
      </c>
      <c r="B5256" s="14" t="s">
        <v>5373</v>
      </c>
      <c r="C5256" s="14" t="s">
        <v>13029</v>
      </c>
      <c r="D5256" s="15">
        <v>11.21</v>
      </c>
      <c r="E5256" s="16" t="s">
        <v>30</v>
      </c>
    </row>
    <row r="5257" spans="1:5" x14ac:dyDescent="0.25">
      <c r="A5257" s="14">
        <v>920408</v>
      </c>
      <c r="B5257" s="14" t="s">
        <v>5374</v>
      </c>
      <c r="C5257" s="14" t="s">
        <v>13029</v>
      </c>
      <c r="D5257" s="15">
        <v>10.029999999999999</v>
      </c>
      <c r="E5257" s="16" t="s">
        <v>30</v>
      </c>
    </row>
    <row r="5258" spans="1:5" x14ac:dyDescent="0.25">
      <c r="A5258" s="14">
        <v>920409</v>
      </c>
      <c r="B5258" s="14" t="s">
        <v>5375</v>
      </c>
      <c r="C5258" s="14" t="s">
        <v>13029</v>
      </c>
      <c r="D5258" s="15">
        <v>10.1</v>
      </c>
      <c r="E5258" s="16" t="s">
        <v>30</v>
      </c>
    </row>
    <row r="5259" spans="1:5" x14ac:dyDescent="0.25">
      <c r="A5259" s="14">
        <v>920410</v>
      </c>
      <c r="B5259" s="14" t="s">
        <v>5376</v>
      </c>
      <c r="C5259" s="14" t="s">
        <v>13029</v>
      </c>
      <c r="D5259" s="15">
        <v>8.2799999999999994</v>
      </c>
      <c r="E5259" s="16" t="s">
        <v>30</v>
      </c>
    </row>
    <row r="5260" spans="1:5" x14ac:dyDescent="0.25">
      <c r="A5260" s="14">
        <v>920411</v>
      </c>
      <c r="B5260" s="14" t="s">
        <v>5377</v>
      </c>
      <c r="C5260" s="14" t="s">
        <v>13029</v>
      </c>
      <c r="D5260" s="15">
        <v>6.52</v>
      </c>
      <c r="E5260" s="16" t="s">
        <v>30</v>
      </c>
    </row>
    <row r="5261" spans="1:5" x14ac:dyDescent="0.25">
      <c r="A5261" s="14">
        <v>814547</v>
      </c>
      <c r="B5261" s="14" t="s">
        <v>5378</v>
      </c>
      <c r="C5261" s="14" t="s">
        <v>13031</v>
      </c>
      <c r="D5261" s="15">
        <v>14.79</v>
      </c>
      <c r="E5261" s="16" t="s">
        <v>20</v>
      </c>
    </row>
    <row r="5262" spans="1:5" x14ac:dyDescent="0.25">
      <c r="A5262" s="14">
        <v>920885</v>
      </c>
      <c r="B5262" s="14" t="s">
        <v>5379</v>
      </c>
      <c r="C5262" s="14" t="s">
        <v>13030</v>
      </c>
      <c r="D5262" s="15">
        <v>33.979999999999997</v>
      </c>
      <c r="E5262" s="16" t="s">
        <v>30</v>
      </c>
    </row>
    <row r="5263" spans="1:5" x14ac:dyDescent="0.25">
      <c r="A5263" s="14">
        <v>920897</v>
      </c>
      <c r="B5263" s="14" t="s">
        <v>5380</v>
      </c>
      <c r="C5263" s="14" t="s">
        <v>13030</v>
      </c>
      <c r="D5263" s="15">
        <v>19.39</v>
      </c>
      <c r="E5263" s="16" t="s">
        <v>30</v>
      </c>
    </row>
    <row r="5264" spans="1:5" x14ac:dyDescent="0.25">
      <c r="A5264" s="14">
        <v>920898</v>
      </c>
      <c r="B5264" s="14" t="s">
        <v>5381</v>
      </c>
      <c r="C5264" s="14" t="s">
        <v>13030</v>
      </c>
      <c r="D5264" s="15">
        <v>22.58</v>
      </c>
      <c r="E5264" s="16" t="s">
        <v>30</v>
      </c>
    </row>
    <row r="5265" spans="1:5" x14ac:dyDescent="0.25">
      <c r="A5265" s="14">
        <v>920899</v>
      </c>
      <c r="B5265" s="14" t="s">
        <v>5382</v>
      </c>
      <c r="C5265" s="14" t="s">
        <v>13030</v>
      </c>
      <c r="D5265" s="15">
        <v>42.32</v>
      </c>
      <c r="E5265" s="16" t="s">
        <v>30</v>
      </c>
    </row>
    <row r="5266" spans="1:5" x14ac:dyDescent="0.25">
      <c r="A5266" s="14">
        <v>920900</v>
      </c>
      <c r="B5266" s="14" t="s">
        <v>5383</v>
      </c>
      <c r="C5266" s="14" t="s">
        <v>13030</v>
      </c>
      <c r="D5266" s="15">
        <v>8.27</v>
      </c>
      <c r="E5266" s="16" t="s">
        <v>30</v>
      </c>
    </row>
    <row r="5267" spans="1:5" x14ac:dyDescent="0.25">
      <c r="A5267" s="14">
        <v>920901</v>
      </c>
      <c r="B5267" s="14" t="s">
        <v>5384</v>
      </c>
      <c r="C5267" s="14" t="s">
        <v>13030</v>
      </c>
      <c r="D5267" s="15">
        <v>8.27</v>
      </c>
      <c r="E5267" s="16" t="s">
        <v>30</v>
      </c>
    </row>
    <row r="5268" spans="1:5" x14ac:dyDescent="0.25">
      <c r="A5268" s="14">
        <v>920902</v>
      </c>
      <c r="B5268" s="14" t="s">
        <v>5385</v>
      </c>
      <c r="C5268" s="14" t="s">
        <v>13030</v>
      </c>
      <c r="D5268" s="15">
        <v>4.09</v>
      </c>
      <c r="E5268" s="16" t="s">
        <v>30</v>
      </c>
    </row>
    <row r="5269" spans="1:5" x14ac:dyDescent="0.25">
      <c r="A5269" s="14">
        <v>920934</v>
      </c>
      <c r="B5269" s="14" t="s">
        <v>5386</v>
      </c>
      <c r="C5269" s="14" t="s">
        <v>13030</v>
      </c>
      <c r="D5269" s="15">
        <v>18.170000000000002</v>
      </c>
      <c r="E5269" s="16" t="s">
        <v>30</v>
      </c>
    </row>
    <row r="5270" spans="1:5" x14ac:dyDescent="0.25">
      <c r="A5270" s="14">
        <v>921569</v>
      </c>
      <c r="B5270" s="14" t="s">
        <v>5387</v>
      </c>
      <c r="C5270" s="14" t="s">
        <v>13030</v>
      </c>
      <c r="D5270" s="15">
        <v>110.17</v>
      </c>
      <c r="E5270" s="16" t="s">
        <v>30</v>
      </c>
    </row>
    <row r="5271" spans="1:5" x14ac:dyDescent="0.25">
      <c r="A5271" s="14">
        <v>921570</v>
      </c>
      <c r="B5271" s="14" t="s">
        <v>5388</v>
      </c>
      <c r="C5271" s="14" t="s">
        <v>13030</v>
      </c>
      <c r="D5271" s="15">
        <v>131.36000000000001</v>
      </c>
      <c r="E5271" s="16" t="s">
        <v>30</v>
      </c>
    </row>
    <row r="5272" spans="1:5" x14ac:dyDescent="0.25">
      <c r="A5272" s="14">
        <v>921571</v>
      </c>
      <c r="B5272" s="14" t="s">
        <v>5389</v>
      </c>
      <c r="C5272" s="14" t="s">
        <v>13030</v>
      </c>
      <c r="D5272" s="15">
        <v>118.64</v>
      </c>
      <c r="E5272" s="16" t="s">
        <v>30</v>
      </c>
    </row>
    <row r="5273" spans="1:5" x14ac:dyDescent="0.25">
      <c r="A5273" s="14">
        <v>921572</v>
      </c>
      <c r="B5273" s="14" t="s">
        <v>5390</v>
      </c>
      <c r="C5273" s="14" t="s">
        <v>13030</v>
      </c>
      <c r="D5273" s="15">
        <v>118.79</v>
      </c>
      <c r="E5273" s="16" t="s">
        <v>30</v>
      </c>
    </row>
    <row r="5274" spans="1:5" x14ac:dyDescent="0.25">
      <c r="A5274" s="14">
        <v>921573</v>
      </c>
      <c r="B5274" s="14" t="s">
        <v>5391</v>
      </c>
      <c r="C5274" s="14" t="s">
        <v>13030</v>
      </c>
      <c r="D5274" s="15">
        <v>61.41</v>
      </c>
      <c r="E5274" s="16" t="s">
        <v>30</v>
      </c>
    </row>
    <row r="5275" spans="1:5" x14ac:dyDescent="0.25">
      <c r="A5275" s="14">
        <v>922251</v>
      </c>
      <c r="B5275" s="14" t="s">
        <v>5392</v>
      </c>
      <c r="C5275" s="14" t="s">
        <v>13030</v>
      </c>
      <c r="D5275" s="15">
        <v>5</v>
      </c>
      <c r="E5275" s="16" t="s">
        <v>30</v>
      </c>
    </row>
    <row r="5276" spans="1:5" x14ac:dyDescent="0.25">
      <c r="A5276" s="14">
        <v>922252</v>
      </c>
      <c r="B5276" s="14" t="s">
        <v>5393</v>
      </c>
      <c r="C5276" s="14" t="s">
        <v>13030</v>
      </c>
      <c r="D5276" s="15">
        <v>4.1399999999999997</v>
      </c>
      <c r="E5276" s="16" t="s">
        <v>30</v>
      </c>
    </row>
    <row r="5277" spans="1:5" x14ac:dyDescent="0.25">
      <c r="A5277" s="14">
        <v>923118</v>
      </c>
      <c r="B5277" s="14" t="s">
        <v>5394</v>
      </c>
      <c r="C5277" s="14" t="s">
        <v>13031</v>
      </c>
      <c r="D5277" s="15">
        <v>25.6</v>
      </c>
      <c r="E5277" s="16" t="s">
        <v>30</v>
      </c>
    </row>
    <row r="5278" spans="1:5" x14ac:dyDescent="0.25">
      <c r="A5278" s="14">
        <v>923119</v>
      </c>
      <c r="B5278" s="14" t="s">
        <v>5395</v>
      </c>
      <c r="C5278" s="14" t="s">
        <v>13031</v>
      </c>
      <c r="D5278" s="15">
        <v>4.88</v>
      </c>
      <c r="E5278" s="16" t="s">
        <v>30</v>
      </c>
    </row>
    <row r="5279" spans="1:5" x14ac:dyDescent="0.25">
      <c r="A5279" s="14">
        <v>923124</v>
      </c>
      <c r="B5279" s="14" t="s">
        <v>5396</v>
      </c>
      <c r="C5279" s="14" t="s">
        <v>13031</v>
      </c>
      <c r="D5279" s="15">
        <v>14.57</v>
      </c>
      <c r="E5279" s="16" t="s">
        <v>30</v>
      </c>
    </row>
    <row r="5280" spans="1:5" x14ac:dyDescent="0.25">
      <c r="A5280" s="14">
        <v>923667</v>
      </c>
      <c r="B5280" s="14" t="s">
        <v>5397</v>
      </c>
      <c r="C5280" s="14" t="s">
        <v>13031</v>
      </c>
      <c r="D5280" s="15">
        <v>13.5</v>
      </c>
      <c r="E5280" s="16" t="s">
        <v>30</v>
      </c>
    </row>
    <row r="5281" spans="1:5" x14ac:dyDescent="0.25">
      <c r="A5281" s="14">
        <v>923825</v>
      </c>
      <c r="B5281" s="14" t="s">
        <v>5398</v>
      </c>
      <c r="C5281" s="14" t="s">
        <v>13034</v>
      </c>
      <c r="D5281" s="15">
        <v>3.38</v>
      </c>
      <c r="E5281" s="16" t="s">
        <v>30</v>
      </c>
    </row>
    <row r="5282" spans="1:5" x14ac:dyDescent="0.25">
      <c r="A5282" s="14">
        <v>889221</v>
      </c>
      <c r="B5282" s="14" t="s">
        <v>5399</v>
      </c>
      <c r="C5282" s="14" t="s">
        <v>13030</v>
      </c>
      <c r="D5282" s="15">
        <v>8.8800000000000008</v>
      </c>
      <c r="E5282" s="16" t="s">
        <v>20</v>
      </c>
    </row>
    <row r="5283" spans="1:5" x14ac:dyDescent="0.25">
      <c r="A5283" s="14">
        <v>889222</v>
      </c>
      <c r="B5283" s="14" t="s">
        <v>5400</v>
      </c>
      <c r="C5283" s="14" t="s">
        <v>13030</v>
      </c>
      <c r="D5283" s="15">
        <v>8.8800000000000008</v>
      </c>
      <c r="E5283" s="16" t="s">
        <v>20</v>
      </c>
    </row>
    <row r="5284" spans="1:5" x14ac:dyDescent="0.25">
      <c r="A5284" s="14">
        <v>923871</v>
      </c>
      <c r="B5284" s="14" t="s">
        <v>5401</v>
      </c>
      <c r="C5284" s="14" t="s">
        <v>13030</v>
      </c>
      <c r="D5284" s="15">
        <v>131.96</v>
      </c>
      <c r="E5284" s="16" t="s">
        <v>30</v>
      </c>
    </row>
    <row r="5285" spans="1:5" x14ac:dyDescent="0.25">
      <c r="A5285" s="14">
        <v>923886</v>
      </c>
      <c r="B5285" s="14" t="s">
        <v>5402</v>
      </c>
      <c r="C5285" s="14" t="s">
        <v>13030</v>
      </c>
      <c r="D5285" s="15">
        <v>16.579999999999998</v>
      </c>
      <c r="E5285" s="16" t="s">
        <v>30</v>
      </c>
    </row>
    <row r="5286" spans="1:5" x14ac:dyDescent="0.25">
      <c r="A5286" s="14">
        <v>923887</v>
      </c>
      <c r="B5286" s="14" t="s">
        <v>5403</v>
      </c>
      <c r="C5286" s="14" t="s">
        <v>13030</v>
      </c>
      <c r="D5286" s="15">
        <v>33.76</v>
      </c>
      <c r="E5286" s="16" t="s">
        <v>30</v>
      </c>
    </row>
    <row r="5287" spans="1:5" x14ac:dyDescent="0.25">
      <c r="A5287" s="14">
        <v>923888</v>
      </c>
      <c r="B5287" s="14" t="s">
        <v>5404</v>
      </c>
      <c r="C5287" s="14" t="s">
        <v>13030</v>
      </c>
      <c r="D5287" s="15">
        <v>12.66</v>
      </c>
      <c r="E5287" s="16" t="s">
        <v>30</v>
      </c>
    </row>
    <row r="5288" spans="1:5" x14ac:dyDescent="0.25">
      <c r="A5288" s="14">
        <v>923889</v>
      </c>
      <c r="B5288" s="14" t="s">
        <v>5405</v>
      </c>
      <c r="C5288" s="14" t="s">
        <v>13030</v>
      </c>
      <c r="D5288" s="15">
        <v>14.77</v>
      </c>
      <c r="E5288" s="16" t="s">
        <v>30</v>
      </c>
    </row>
    <row r="5289" spans="1:5" x14ac:dyDescent="0.25">
      <c r="A5289" s="14">
        <v>923890</v>
      </c>
      <c r="B5289" s="14" t="s">
        <v>5406</v>
      </c>
      <c r="C5289" s="14" t="s">
        <v>13030</v>
      </c>
      <c r="D5289" s="15">
        <v>24.62</v>
      </c>
      <c r="E5289" s="16" t="s">
        <v>30</v>
      </c>
    </row>
    <row r="5290" spans="1:5" x14ac:dyDescent="0.25">
      <c r="A5290" s="14">
        <v>923891</v>
      </c>
      <c r="B5290" s="14" t="s">
        <v>5407</v>
      </c>
      <c r="C5290" s="14" t="s">
        <v>13030</v>
      </c>
      <c r="D5290" s="15">
        <v>16.18</v>
      </c>
      <c r="E5290" s="16" t="s">
        <v>30</v>
      </c>
    </row>
    <row r="5291" spans="1:5" x14ac:dyDescent="0.25">
      <c r="A5291" s="14">
        <v>923892</v>
      </c>
      <c r="B5291" s="14" t="s">
        <v>5408</v>
      </c>
      <c r="C5291" s="14" t="s">
        <v>13030</v>
      </c>
      <c r="D5291" s="15">
        <v>12.66</v>
      </c>
      <c r="E5291" s="16" t="s">
        <v>30</v>
      </c>
    </row>
    <row r="5292" spans="1:5" x14ac:dyDescent="0.25">
      <c r="A5292" s="14">
        <v>924087</v>
      </c>
      <c r="B5292" s="14" t="s">
        <v>5409</v>
      </c>
      <c r="C5292" s="14" t="s">
        <v>13029</v>
      </c>
      <c r="D5292" s="15">
        <v>4.1500000000000004</v>
      </c>
      <c r="E5292" s="16" t="s">
        <v>30</v>
      </c>
    </row>
    <row r="5293" spans="1:5" x14ac:dyDescent="0.25">
      <c r="A5293" s="14">
        <v>924148</v>
      </c>
      <c r="B5293" s="14" t="s">
        <v>5410</v>
      </c>
      <c r="C5293" s="14" t="s">
        <v>13031</v>
      </c>
      <c r="D5293" s="15">
        <v>2.97</v>
      </c>
      <c r="E5293" s="16" t="s">
        <v>30</v>
      </c>
    </row>
    <row r="5294" spans="1:5" x14ac:dyDescent="0.25">
      <c r="A5294" s="14">
        <v>924195</v>
      </c>
      <c r="B5294" s="14" t="s">
        <v>5411</v>
      </c>
      <c r="C5294" s="14" t="s">
        <v>13031</v>
      </c>
      <c r="D5294" s="15">
        <v>2.64</v>
      </c>
      <c r="E5294" s="16" t="s">
        <v>30</v>
      </c>
    </row>
    <row r="5295" spans="1:5" x14ac:dyDescent="0.25">
      <c r="A5295" s="14">
        <v>924196</v>
      </c>
      <c r="B5295" s="14" t="s">
        <v>5412</v>
      </c>
      <c r="C5295" s="14" t="s">
        <v>13031</v>
      </c>
      <c r="D5295" s="15">
        <v>2.64</v>
      </c>
      <c r="E5295" s="16" t="s">
        <v>30</v>
      </c>
    </row>
    <row r="5296" spans="1:5" x14ac:dyDescent="0.25">
      <c r="A5296" s="14">
        <v>924241</v>
      </c>
      <c r="B5296" s="14" t="s">
        <v>5413</v>
      </c>
      <c r="C5296" s="14" t="s">
        <v>13029</v>
      </c>
      <c r="D5296" s="15">
        <v>18.88</v>
      </c>
      <c r="E5296" s="16" t="s">
        <v>30</v>
      </c>
    </row>
    <row r="5297" spans="1:5" x14ac:dyDescent="0.25">
      <c r="A5297" s="14">
        <v>924243</v>
      </c>
      <c r="B5297" s="14" t="s">
        <v>5414</v>
      </c>
      <c r="C5297" s="14" t="s">
        <v>13029</v>
      </c>
      <c r="D5297" s="15">
        <v>18.88</v>
      </c>
      <c r="E5297" s="16" t="s">
        <v>30</v>
      </c>
    </row>
    <row r="5298" spans="1:5" x14ac:dyDescent="0.25">
      <c r="A5298" s="14">
        <v>924244</v>
      </c>
      <c r="B5298" s="14" t="s">
        <v>5415</v>
      </c>
      <c r="C5298" s="14" t="s">
        <v>13030</v>
      </c>
      <c r="D5298" s="15">
        <v>10.029999999999999</v>
      </c>
      <c r="E5298" s="16" t="s">
        <v>30</v>
      </c>
    </row>
    <row r="5299" spans="1:5" x14ac:dyDescent="0.25">
      <c r="A5299" s="14">
        <v>924250</v>
      </c>
      <c r="B5299" s="14" t="s">
        <v>5416</v>
      </c>
      <c r="C5299" s="14" t="s">
        <v>13030</v>
      </c>
      <c r="D5299" s="15">
        <v>15.84</v>
      </c>
      <c r="E5299" s="16" t="s">
        <v>30</v>
      </c>
    </row>
    <row r="5300" spans="1:5" x14ac:dyDescent="0.25">
      <c r="A5300" s="14">
        <v>924252</v>
      </c>
      <c r="B5300" s="14" t="s">
        <v>5417</v>
      </c>
      <c r="C5300" s="14" t="s">
        <v>13030</v>
      </c>
      <c r="D5300" s="15">
        <v>32.950000000000003</v>
      </c>
      <c r="E5300" s="16" t="s">
        <v>30</v>
      </c>
    </row>
    <row r="5301" spans="1:5" x14ac:dyDescent="0.25">
      <c r="A5301" s="14">
        <v>924257</v>
      </c>
      <c r="B5301" s="14" t="s">
        <v>5418</v>
      </c>
      <c r="C5301" s="14" t="s">
        <v>13030</v>
      </c>
      <c r="D5301" s="15">
        <v>50.29</v>
      </c>
      <c r="E5301" s="16" t="s">
        <v>30</v>
      </c>
    </row>
    <row r="5302" spans="1:5" x14ac:dyDescent="0.25">
      <c r="A5302" s="14">
        <v>924258</v>
      </c>
      <c r="B5302" s="14" t="s">
        <v>5419</v>
      </c>
      <c r="C5302" s="14" t="s">
        <v>13030</v>
      </c>
      <c r="D5302" s="15">
        <v>50.29</v>
      </c>
      <c r="E5302" s="16" t="s">
        <v>30</v>
      </c>
    </row>
    <row r="5303" spans="1:5" x14ac:dyDescent="0.25">
      <c r="A5303" s="14">
        <v>924270</v>
      </c>
      <c r="B5303" s="14" t="s">
        <v>5420</v>
      </c>
      <c r="C5303" s="14" t="s">
        <v>13030</v>
      </c>
      <c r="D5303" s="15">
        <v>15.96</v>
      </c>
      <c r="E5303" s="16" t="s">
        <v>30</v>
      </c>
    </row>
    <row r="5304" spans="1:5" x14ac:dyDescent="0.25">
      <c r="A5304" s="14">
        <v>924271</v>
      </c>
      <c r="B5304" s="14" t="s">
        <v>5421</v>
      </c>
      <c r="C5304" s="14" t="s">
        <v>13030</v>
      </c>
      <c r="D5304" s="15">
        <v>15.96</v>
      </c>
      <c r="E5304" s="16" t="s">
        <v>30</v>
      </c>
    </row>
    <row r="5305" spans="1:5" x14ac:dyDescent="0.25">
      <c r="A5305" s="14">
        <v>924280</v>
      </c>
      <c r="B5305" s="14" t="s">
        <v>5422</v>
      </c>
      <c r="C5305" s="14" t="s">
        <v>13031</v>
      </c>
      <c r="D5305" s="15">
        <v>0.99</v>
      </c>
      <c r="E5305" s="16" t="s">
        <v>30</v>
      </c>
    </row>
    <row r="5306" spans="1:5" x14ac:dyDescent="0.25">
      <c r="A5306" s="14">
        <v>924281</v>
      </c>
      <c r="B5306" s="14" t="s">
        <v>5423</v>
      </c>
      <c r="C5306" s="14" t="s">
        <v>13031</v>
      </c>
      <c r="D5306" s="15">
        <v>0.62</v>
      </c>
      <c r="E5306" s="16" t="s">
        <v>30</v>
      </c>
    </row>
    <row r="5307" spans="1:5" x14ac:dyDescent="0.25">
      <c r="A5307" s="14">
        <v>924400</v>
      </c>
      <c r="B5307" s="14" t="s">
        <v>5424</v>
      </c>
      <c r="C5307" s="14" t="s">
        <v>13029</v>
      </c>
      <c r="D5307" s="15">
        <v>12.4</v>
      </c>
      <c r="E5307" s="16" t="s">
        <v>30</v>
      </c>
    </row>
    <row r="5308" spans="1:5" x14ac:dyDescent="0.25">
      <c r="A5308" s="14">
        <v>924401</v>
      </c>
      <c r="B5308" s="14" t="s">
        <v>5425</v>
      </c>
      <c r="C5308" s="14" t="s">
        <v>13029</v>
      </c>
      <c r="D5308" s="15">
        <v>13.61</v>
      </c>
      <c r="E5308" s="16" t="s">
        <v>30</v>
      </c>
    </row>
    <row r="5309" spans="1:5" x14ac:dyDescent="0.25">
      <c r="A5309" s="14">
        <v>924641</v>
      </c>
      <c r="B5309" s="14" t="s">
        <v>5426</v>
      </c>
      <c r="C5309" s="14" t="s">
        <v>13031</v>
      </c>
      <c r="D5309" s="15">
        <v>0.9</v>
      </c>
      <c r="E5309" s="16" t="s">
        <v>30</v>
      </c>
    </row>
    <row r="5310" spans="1:5" x14ac:dyDescent="0.25">
      <c r="A5310" s="14">
        <v>924642</v>
      </c>
      <c r="B5310" s="14" t="s">
        <v>5427</v>
      </c>
      <c r="C5310" s="14" t="s">
        <v>13031</v>
      </c>
      <c r="D5310" s="15">
        <v>6.5</v>
      </c>
      <c r="E5310" s="16" t="s">
        <v>30</v>
      </c>
    </row>
    <row r="5311" spans="1:5" x14ac:dyDescent="0.25">
      <c r="A5311" s="14">
        <v>924643</v>
      </c>
      <c r="B5311" s="14" t="s">
        <v>5428</v>
      </c>
      <c r="C5311" s="14" t="s">
        <v>13031</v>
      </c>
      <c r="D5311" s="15">
        <v>6.84</v>
      </c>
      <c r="E5311" s="16" t="s">
        <v>30</v>
      </c>
    </row>
    <row r="5312" spans="1:5" x14ac:dyDescent="0.25">
      <c r="A5312" s="14">
        <v>924644</v>
      </c>
      <c r="B5312" s="14" t="s">
        <v>5429</v>
      </c>
      <c r="C5312" s="14" t="s">
        <v>13031</v>
      </c>
      <c r="D5312" s="15">
        <v>2.91</v>
      </c>
      <c r="E5312" s="16" t="s">
        <v>30</v>
      </c>
    </row>
    <row r="5313" spans="1:5" x14ac:dyDescent="0.25">
      <c r="A5313" s="14">
        <v>924645</v>
      </c>
      <c r="B5313" s="14" t="s">
        <v>5430</v>
      </c>
      <c r="C5313" s="14" t="s">
        <v>13031</v>
      </c>
      <c r="D5313" s="15">
        <v>3.54</v>
      </c>
      <c r="E5313" s="16" t="s">
        <v>30</v>
      </c>
    </row>
    <row r="5314" spans="1:5" x14ac:dyDescent="0.25">
      <c r="A5314" s="14">
        <v>924646</v>
      </c>
      <c r="B5314" s="14" t="s">
        <v>5431</v>
      </c>
      <c r="C5314" s="14" t="s">
        <v>13031</v>
      </c>
      <c r="D5314" s="15">
        <v>4.2300000000000004</v>
      </c>
      <c r="E5314" s="16" t="s">
        <v>30</v>
      </c>
    </row>
    <row r="5315" spans="1:5" x14ac:dyDescent="0.25">
      <c r="A5315" s="14">
        <v>924647</v>
      </c>
      <c r="B5315" s="14" t="s">
        <v>5432</v>
      </c>
      <c r="C5315" s="14" t="s">
        <v>13031</v>
      </c>
      <c r="D5315" s="15">
        <v>7.69</v>
      </c>
      <c r="E5315" s="16" t="s">
        <v>30</v>
      </c>
    </row>
    <row r="5316" spans="1:5" x14ac:dyDescent="0.25">
      <c r="A5316" s="14">
        <v>924648</v>
      </c>
      <c r="B5316" s="14" t="s">
        <v>5433</v>
      </c>
      <c r="C5316" s="14" t="s">
        <v>13031</v>
      </c>
      <c r="D5316" s="15">
        <v>2.7</v>
      </c>
      <c r="E5316" s="16" t="s">
        <v>30</v>
      </c>
    </row>
    <row r="5317" spans="1:5" x14ac:dyDescent="0.25">
      <c r="A5317" s="14">
        <v>924649</v>
      </c>
      <c r="B5317" s="14" t="s">
        <v>5434</v>
      </c>
      <c r="C5317" s="14" t="s">
        <v>13031</v>
      </c>
      <c r="D5317" s="15">
        <v>2.61</v>
      </c>
      <c r="E5317" s="16" t="s">
        <v>30</v>
      </c>
    </row>
    <row r="5318" spans="1:5" x14ac:dyDescent="0.25">
      <c r="A5318" s="14">
        <v>924650</v>
      </c>
      <c r="B5318" s="14" t="s">
        <v>5435</v>
      </c>
      <c r="C5318" s="14" t="s">
        <v>13031</v>
      </c>
      <c r="D5318" s="15">
        <v>4.68</v>
      </c>
      <c r="E5318" s="16" t="s">
        <v>30</v>
      </c>
    </row>
    <row r="5319" spans="1:5" x14ac:dyDescent="0.25">
      <c r="A5319" s="14">
        <v>924651</v>
      </c>
      <c r="B5319" s="14" t="s">
        <v>5436</v>
      </c>
      <c r="C5319" s="14" t="s">
        <v>13031</v>
      </c>
      <c r="D5319" s="15">
        <v>4.68</v>
      </c>
      <c r="E5319" s="16" t="s">
        <v>30</v>
      </c>
    </row>
    <row r="5320" spans="1:5" x14ac:dyDescent="0.25">
      <c r="A5320" s="14">
        <v>924652</v>
      </c>
      <c r="B5320" s="14" t="s">
        <v>5437</v>
      </c>
      <c r="C5320" s="14" t="s">
        <v>13031</v>
      </c>
      <c r="D5320" s="15">
        <v>4.68</v>
      </c>
      <c r="E5320" s="16" t="s">
        <v>30</v>
      </c>
    </row>
    <row r="5321" spans="1:5" x14ac:dyDescent="0.25">
      <c r="A5321" s="14">
        <v>924655</v>
      </c>
      <c r="B5321" s="14" t="s">
        <v>5438</v>
      </c>
      <c r="C5321" s="14" t="s">
        <v>13030</v>
      </c>
      <c r="D5321" s="15">
        <v>3.03</v>
      </c>
      <c r="E5321" s="16" t="s">
        <v>30</v>
      </c>
    </row>
    <row r="5322" spans="1:5" x14ac:dyDescent="0.25">
      <c r="A5322" s="14">
        <v>924893</v>
      </c>
      <c r="B5322" s="14" t="s">
        <v>5439</v>
      </c>
      <c r="C5322" s="14" t="s">
        <v>13031</v>
      </c>
      <c r="D5322" s="15">
        <v>3.04</v>
      </c>
      <c r="E5322" s="16" t="s">
        <v>30</v>
      </c>
    </row>
    <row r="5323" spans="1:5" x14ac:dyDescent="0.25">
      <c r="A5323" s="14">
        <v>924894</v>
      </c>
      <c r="B5323" s="14" t="s">
        <v>5440</v>
      </c>
      <c r="C5323" s="14" t="s">
        <v>13031</v>
      </c>
      <c r="D5323" s="15">
        <v>3.7</v>
      </c>
      <c r="E5323" s="16" t="s">
        <v>30</v>
      </c>
    </row>
    <row r="5324" spans="1:5" x14ac:dyDescent="0.25">
      <c r="A5324" s="14">
        <v>924895</v>
      </c>
      <c r="B5324" s="14" t="s">
        <v>5441</v>
      </c>
      <c r="C5324" s="14" t="s">
        <v>13031</v>
      </c>
      <c r="D5324" s="15">
        <v>3.7</v>
      </c>
      <c r="E5324" s="16" t="s">
        <v>30</v>
      </c>
    </row>
    <row r="5325" spans="1:5" x14ac:dyDescent="0.25">
      <c r="A5325" s="14">
        <v>924907</v>
      </c>
      <c r="B5325" s="14" t="s">
        <v>5442</v>
      </c>
      <c r="C5325" s="14" t="s">
        <v>13033</v>
      </c>
      <c r="D5325" s="15">
        <v>25.69</v>
      </c>
      <c r="E5325" s="16" t="s">
        <v>30</v>
      </c>
    </row>
    <row r="5326" spans="1:5" x14ac:dyDescent="0.25">
      <c r="A5326" s="14">
        <v>925010</v>
      </c>
      <c r="B5326" s="14" t="s">
        <v>5443</v>
      </c>
      <c r="C5326" s="14" t="s">
        <v>13031</v>
      </c>
      <c r="D5326" s="15">
        <v>10.99</v>
      </c>
      <c r="E5326" s="16" t="s">
        <v>30</v>
      </c>
    </row>
    <row r="5327" spans="1:5" x14ac:dyDescent="0.25">
      <c r="A5327" s="14">
        <v>925146</v>
      </c>
      <c r="B5327" s="14" t="s">
        <v>5444</v>
      </c>
      <c r="C5327" s="14" t="s">
        <v>13031</v>
      </c>
      <c r="D5327" s="15">
        <v>1.8</v>
      </c>
      <c r="E5327" s="16" t="s">
        <v>30</v>
      </c>
    </row>
    <row r="5328" spans="1:5" x14ac:dyDescent="0.25">
      <c r="A5328" s="14">
        <v>925148</v>
      </c>
      <c r="B5328" s="14" t="s">
        <v>5445</v>
      </c>
      <c r="C5328" s="14" t="s">
        <v>13031</v>
      </c>
      <c r="D5328" s="15">
        <v>1.8</v>
      </c>
      <c r="E5328" s="16" t="s">
        <v>30</v>
      </c>
    </row>
    <row r="5329" spans="1:5" x14ac:dyDescent="0.25">
      <c r="A5329" s="14">
        <v>925152</v>
      </c>
      <c r="B5329" s="14" t="s">
        <v>5446</v>
      </c>
      <c r="C5329" s="14" t="s">
        <v>13031</v>
      </c>
      <c r="D5329" s="15">
        <v>6.68</v>
      </c>
      <c r="E5329" s="16" t="s">
        <v>30</v>
      </c>
    </row>
    <row r="5330" spans="1:5" x14ac:dyDescent="0.25">
      <c r="A5330" s="14">
        <v>925153</v>
      </c>
      <c r="B5330" s="14" t="s">
        <v>5447</v>
      </c>
      <c r="C5330" s="14" t="s">
        <v>13031</v>
      </c>
      <c r="D5330" s="15">
        <v>18.5</v>
      </c>
      <c r="E5330" s="16" t="s">
        <v>30</v>
      </c>
    </row>
    <row r="5331" spans="1:5" x14ac:dyDescent="0.25">
      <c r="A5331" s="14">
        <v>925154</v>
      </c>
      <c r="B5331" s="14" t="s">
        <v>5448</v>
      </c>
      <c r="C5331" s="14" t="s">
        <v>13031</v>
      </c>
      <c r="D5331" s="15">
        <v>10</v>
      </c>
      <c r="E5331" s="16" t="s">
        <v>30</v>
      </c>
    </row>
    <row r="5332" spans="1:5" x14ac:dyDescent="0.25">
      <c r="A5332" s="14">
        <v>925605</v>
      </c>
      <c r="B5332" s="14" t="s">
        <v>5449</v>
      </c>
      <c r="C5332" s="14" t="s">
        <v>13030</v>
      </c>
      <c r="D5332" s="15">
        <v>15.13</v>
      </c>
      <c r="E5332" s="16" t="s">
        <v>30</v>
      </c>
    </row>
    <row r="5333" spans="1:5" x14ac:dyDescent="0.25">
      <c r="A5333" s="14">
        <v>925606</v>
      </c>
      <c r="B5333" s="14" t="s">
        <v>5450</v>
      </c>
      <c r="C5333" s="14" t="s">
        <v>13030</v>
      </c>
      <c r="D5333" s="15">
        <v>15.13</v>
      </c>
      <c r="E5333" s="16" t="s">
        <v>30</v>
      </c>
    </row>
    <row r="5334" spans="1:5" x14ac:dyDescent="0.25">
      <c r="A5334" s="14">
        <v>925607</v>
      </c>
      <c r="B5334" s="14" t="s">
        <v>5451</v>
      </c>
      <c r="C5334" s="14" t="s">
        <v>13030</v>
      </c>
      <c r="D5334" s="15">
        <v>14.7</v>
      </c>
      <c r="E5334" s="16" t="s">
        <v>30</v>
      </c>
    </row>
    <row r="5335" spans="1:5" x14ac:dyDescent="0.25">
      <c r="A5335" s="14">
        <v>925608</v>
      </c>
      <c r="B5335" s="14" t="s">
        <v>5452</v>
      </c>
      <c r="C5335" s="14" t="s">
        <v>13030</v>
      </c>
      <c r="D5335" s="15">
        <v>5.39</v>
      </c>
      <c r="E5335" s="16" t="s">
        <v>30</v>
      </c>
    </row>
    <row r="5336" spans="1:5" x14ac:dyDescent="0.25">
      <c r="A5336" s="14">
        <v>925609</v>
      </c>
      <c r="B5336" s="14" t="s">
        <v>5453</v>
      </c>
      <c r="C5336" s="14" t="s">
        <v>13030</v>
      </c>
      <c r="D5336" s="15">
        <v>5.39</v>
      </c>
      <c r="E5336" s="16" t="s">
        <v>30</v>
      </c>
    </row>
    <row r="5337" spans="1:5" x14ac:dyDescent="0.25">
      <c r="A5337" s="14">
        <v>925620</v>
      </c>
      <c r="B5337" s="14" t="s">
        <v>5454</v>
      </c>
      <c r="C5337" s="14" t="s">
        <v>13030</v>
      </c>
      <c r="D5337" s="15">
        <v>122.39</v>
      </c>
      <c r="E5337" s="16" t="s">
        <v>30</v>
      </c>
    </row>
    <row r="5338" spans="1:5" x14ac:dyDescent="0.25">
      <c r="A5338" s="14">
        <v>925621</v>
      </c>
      <c r="B5338" s="14" t="s">
        <v>5455</v>
      </c>
      <c r="C5338" s="14" t="s">
        <v>13030</v>
      </c>
      <c r="D5338" s="15">
        <v>56.2</v>
      </c>
      <c r="E5338" s="16" t="s">
        <v>30</v>
      </c>
    </row>
    <row r="5339" spans="1:5" x14ac:dyDescent="0.25">
      <c r="A5339" s="14">
        <v>878636</v>
      </c>
      <c r="B5339" s="14" t="s">
        <v>5456</v>
      </c>
      <c r="C5339" s="14" t="s">
        <v>13031</v>
      </c>
      <c r="D5339" s="15">
        <v>7.5</v>
      </c>
      <c r="E5339" s="16" t="s">
        <v>20</v>
      </c>
    </row>
    <row r="5340" spans="1:5" x14ac:dyDescent="0.25">
      <c r="A5340" s="14">
        <v>925622</v>
      </c>
      <c r="B5340" s="14" t="s">
        <v>5457</v>
      </c>
      <c r="C5340" s="14" t="s">
        <v>13030</v>
      </c>
      <c r="D5340" s="15">
        <v>216.67</v>
      </c>
      <c r="E5340" s="16" t="s">
        <v>30</v>
      </c>
    </row>
    <row r="5341" spans="1:5" x14ac:dyDescent="0.25">
      <c r="A5341" s="14">
        <v>927022</v>
      </c>
      <c r="B5341" s="14" t="s">
        <v>5458</v>
      </c>
      <c r="C5341" s="14" t="s">
        <v>13030</v>
      </c>
      <c r="D5341" s="15">
        <v>77.61</v>
      </c>
      <c r="E5341" s="16" t="s">
        <v>30</v>
      </c>
    </row>
    <row r="5342" spans="1:5" x14ac:dyDescent="0.25">
      <c r="A5342" s="14">
        <v>927023</v>
      </c>
      <c r="B5342" s="14" t="s">
        <v>5459</v>
      </c>
      <c r="C5342" s="14" t="s">
        <v>13030</v>
      </c>
      <c r="D5342" s="15">
        <v>57.11</v>
      </c>
      <c r="E5342" s="16" t="s">
        <v>30</v>
      </c>
    </row>
    <row r="5343" spans="1:5" x14ac:dyDescent="0.25">
      <c r="A5343" s="14">
        <v>927024</v>
      </c>
      <c r="B5343" s="14" t="s">
        <v>5460</v>
      </c>
      <c r="C5343" s="14" t="s">
        <v>13030</v>
      </c>
      <c r="D5343" s="15">
        <v>53.32</v>
      </c>
      <c r="E5343" s="16" t="s">
        <v>30</v>
      </c>
    </row>
    <row r="5344" spans="1:5" x14ac:dyDescent="0.25">
      <c r="A5344" s="14">
        <v>927149</v>
      </c>
      <c r="B5344" s="14" t="s">
        <v>5461</v>
      </c>
      <c r="C5344" s="14" t="s">
        <v>13031</v>
      </c>
      <c r="D5344" s="15">
        <v>9.1199999999999992</v>
      </c>
      <c r="E5344" s="16" t="s">
        <v>30</v>
      </c>
    </row>
    <row r="5345" spans="1:5" x14ac:dyDescent="0.25">
      <c r="A5345" s="14">
        <v>927150</v>
      </c>
      <c r="B5345" s="14" t="s">
        <v>5462</v>
      </c>
      <c r="C5345" s="14" t="s">
        <v>13031</v>
      </c>
      <c r="D5345" s="15">
        <v>6.7</v>
      </c>
      <c r="E5345" s="16" t="s">
        <v>30</v>
      </c>
    </row>
    <row r="5346" spans="1:5" x14ac:dyDescent="0.25">
      <c r="A5346" s="14">
        <v>927151</v>
      </c>
      <c r="B5346" s="14" t="s">
        <v>5463</v>
      </c>
      <c r="C5346" s="14" t="s">
        <v>13031</v>
      </c>
      <c r="D5346" s="15">
        <v>27.3</v>
      </c>
      <c r="E5346" s="16" t="s">
        <v>30</v>
      </c>
    </row>
    <row r="5347" spans="1:5" x14ac:dyDescent="0.25">
      <c r="A5347" s="14">
        <v>927154</v>
      </c>
      <c r="B5347" s="14" t="s">
        <v>5464</v>
      </c>
      <c r="C5347" s="14" t="s">
        <v>13031</v>
      </c>
      <c r="D5347" s="15">
        <v>9.83</v>
      </c>
      <c r="E5347" s="16" t="s">
        <v>30</v>
      </c>
    </row>
    <row r="5348" spans="1:5" x14ac:dyDescent="0.25">
      <c r="A5348" s="14">
        <v>927155</v>
      </c>
      <c r="B5348" s="14" t="s">
        <v>5465</v>
      </c>
      <c r="C5348" s="14" t="s">
        <v>13031</v>
      </c>
      <c r="D5348" s="15">
        <v>15.25</v>
      </c>
      <c r="E5348" s="16" t="s">
        <v>30</v>
      </c>
    </row>
    <row r="5349" spans="1:5" x14ac:dyDescent="0.25">
      <c r="A5349" s="14">
        <v>927773</v>
      </c>
      <c r="B5349" s="14" t="s">
        <v>5466</v>
      </c>
      <c r="C5349" s="14" t="s">
        <v>13031</v>
      </c>
      <c r="D5349" s="15">
        <v>4.55</v>
      </c>
      <c r="E5349" s="16" t="s">
        <v>30</v>
      </c>
    </row>
    <row r="5350" spans="1:5" x14ac:dyDescent="0.25">
      <c r="A5350" s="14">
        <v>927774</v>
      </c>
      <c r="B5350" s="14" t="s">
        <v>5467</v>
      </c>
      <c r="C5350" s="14" t="s">
        <v>13031</v>
      </c>
      <c r="D5350" s="15">
        <v>7.3</v>
      </c>
      <c r="E5350" s="16" t="s">
        <v>30</v>
      </c>
    </row>
    <row r="5351" spans="1:5" x14ac:dyDescent="0.25">
      <c r="A5351" s="14">
        <v>927775</v>
      </c>
      <c r="B5351" s="14" t="s">
        <v>5468</v>
      </c>
      <c r="C5351" s="14" t="s">
        <v>13031</v>
      </c>
      <c r="D5351" s="15">
        <v>8.1999999999999993</v>
      </c>
      <c r="E5351" s="16" t="s">
        <v>30</v>
      </c>
    </row>
    <row r="5352" spans="1:5" x14ac:dyDescent="0.25">
      <c r="A5352" s="14">
        <v>927776</v>
      </c>
      <c r="B5352" s="14" t="s">
        <v>5469</v>
      </c>
      <c r="C5352" s="14" t="s">
        <v>13031</v>
      </c>
      <c r="D5352" s="15">
        <v>4.2</v>
      </c>
      <c r="E5352" s="16" t="s">
        <v>30</v>
      </c>
    </row>
    <row r="5353" spans="1:5" x14ac:dyDescent="0.25">
      <c r="A5353" s="14">
        <v>927777</v>
      </c>
      <c r="B5353" s="14" t="s">
        <v>5470</v>
      </c>
      <c r="C5353" s="14" t="s">
        <v>13031</v>
      </c>
      <c r="D5353" s="15">
        <v>4.2</v>
      </c>
      <c r="E5353" s="16" t="s">
        <v>30</v>
      </c>
    </row>
    <row r="5354" spans="1:5" x14ac:dyDescent="0.25">
      <c r="A5354" s="14">
        <v>927928</v>
      </c>
      <c r="B5354" s="14" t="s">
        <v>5471</v>
      </c>
      <c r="C5354" s="14" t="s">
        <v>13030</v>
      </c>
      <c r="D5354" s="15">
        <v>4.13</v>
      </c>
      <c r="E5354" s="16" t="s">
        <v>30</v>
      </c>
    </row>
    <row r="5355" spans="1:5" x14ac:dyDescent="0.25">
      <c r="A5355" s="14">
        <v>927929</v>
      </c>
      <c r="B5355" s="14" t="s">
        <v>5472</v>
      </c>
      <c r="C5355" s="14" t="s">
        <v>13030</v>
      </c>
      <c r="D5355" s="15">
        <v>4.51</v>
      </c>
      <c r="E5355" s="16" t="s">
        <v>30</v>
      </c>
    </row>
    <row r="5356" spans="1:5" x14ac:dyDescent="0.25">
      <c r="A5356" s="14">
        <v>928447</v>
      </c>
      <c r="B5356" s="14" t="s">
        <v>5473</v>
      </c>
      <c r="C5356" s="14" t="s">
        <v>13031</v>
      </c>
      <c r="D5356" s="15">
        <v>7.64</v>
      </c>
      <c r="E5356" s="16" t="s">
        <v>30</v>
      </c>
    </row>
    <row r="5357" spans="1:5" x14ac:dyDescent="0.25">
      <c r="A5357" s="14">
        <v>928448</v>
      </c>
      <c r="B5357" s="14" t="s">
        <v>5474</v>
      </c>
      <c r="C5357" s="14" t="s">
        <v>13031</v>
      </c>
      <c r="D5357" s="15">
        <v>10.029999999999999</v>
      </c>
      <c r="E5357" s="16" t="s">
        <v>30</v>
      </c>
    </row>
    <row r="5358" spans="1:5" x14ac:dyDescent="0.25">
      <c r="A5358" s="14">
        <v>928449</v>
      </c>
      <c r="B5358" s="14" t="s">
        <v>5475</v>
      </c>
      <c r="C5358" s="14" t="s">
        <v>13031</v>
      </c>
      <c r="D5358" s="15">
        <v>7.64</v>
      </c>
      <c r="E5358" s="16" t="s">
        <v>30</v>
      </c>
    </row>
    <row r="5359" spans="1:5" x14ac:dyDescent="0.25">
      <c r="A5359" s="14">
        <v>928450</v>
      </c>
      <c r="B5359" s="14" t="s">
        <v>5476</v>
      </c>
      <c r="C5359" s="14" t="s">
        <v>13031</v>
      </c>
      <c r="D5359" s="15">
        <v>8.49</v>
      </c>
      <c r="E5359" s="16" t="s">
        <v>30</v>
      </c>
    </row>
    <row r="5360" spans="1:5" x14ac:dyDescent="0.25">
      <c r="A5360" s="14">
        <v>928451</v>
      </c>
      <c r="B5360" s="14" t="s">
        <v>5477</v>
      </c>
      <c r="C5360" s="14" t="s">
        <v>13031</v>
      </c>
      <c r="D5360" s="15">
        <v>6.71</v>
      </c>
      <c r="E5360" s="16" t="s">
        <v>30</v>
      </c>
    </row>
    <row r="5361" spans="1:5" x14ac:dyDescent="0.25">
      <c r="A5361" s="14">
        <v>928459</v>
      </c>
      <c r="B5361" s="14" t="s">
        <v>5478</v>
      </c>
      <c r="C5361" s="14" t="s">
        <v>13031</v>
      </c>
      <c r="D5361" s="15">
        <v>5.94</v>
      </c>
      <c r="E5361" s="16" t="s">
        <v>30</v>
      </c>
    </row>
    <row r="5362" spans="1:5" x14ac:dyDescent="0.25">
      <c r="A5362" s="14">
        <v>928857</v>
      </c>
      <c r="B5362" s="14" t="s">
        <v>5479</v>
      </c>
      <c r="C5362" s="14" t="s">
        <v>13029</v>
      </c>
      <c r="D5362" s="15">
        <v>8.1999999999999993</v>
      </c>
      <c r="E5362" s="16" t="s">
        <v>30</v>
      </c>
    </row>
    <row r="5363" spans="1:5" x14ac:dyDescent="0.25">
      <c r="A5363" s="14">
        <v>928858</v>
      </c>
      <c r="B5363" s="14" t="s">
        <v>5480</v>
      </c>
      <c r="C5363" s="14" t="s">
        <v>13029</v>
      </c>
      <c r="D5363" s="15">
        <v>8.1999999999999993</v>
      </c>
      <c r="E5363" s="16" t="s">
        <v>30</v>
      </c>
    </row>
    <row r="5364" spans="1:5" x14ac:dyDescent="0.25">
      <c r="A5364" s="14">
        <v>928859</v>
      </c>
      <c r="B5364" s="14" t="s">
        <v>5481</v>
      </c>
      <c r="C5364" s="14" t="s">
        <v>13029</v>
      </c>
      <c r="D5364" s="15">
        <v>8.1999999999999993</v>
      </c>
      <c r="E5364" s="16" t="s">
        <v>30</v>
      </c>
    </row>
    <row r="5365" spans="1:5" x14ac:dyDescent="0.25">
      <c r="A5365" s="14">
        <v>928860</v>
      </c>
      <c r="B5365" s="14" t="s">
        <v>5482</v>
      </c>
      <c r="C5365" s="14" t="s">
        <v>13029</v>
      </c>
      <c r="D5365" s="15">
        <v>16.86</v>
      </c>
      <c r="E5365" s="16" t="s">
        <v>30</v>
      </c>
    </row>
    <row r="5366" spans="1:5" x14ac:dyDescent="0.25">
      <c r="A5366" s="14">
        <v>928861</v>
      </c>
      <c r="B5366" s="14" t="s">
        <v>5483</v>
      </c>
      <c r="C5366" s="14" t="s">
        <v>13029</v>
      </c>
      <c r="D5366" s="15">
        <v>8.1999999999999993</v>
      </c>
      <c r="E5366" s="16" t="s">
        <v>30</v>
      </c>
    </row>
    <row r="5367" spans="1:5" x14ac:dyDescent="0.25">
      <c r="A5367" s="14">
        <v>928862</v>
      </c>
      <c r="B5367" s="14" t="s">
        <v>5484</v>
      </c>
      <c r="C5367" s="14" t="s">
        <v>13029</v>
      </c>
      <c r="D5367" s="15">
        <v>8.1999999999999993</v>
      </c>
      <c r="E5367" s="16" t="s">
        <v>30</v>
      </c>
    </row>
    <row r="5368" spans="1:5" x14ac:dyDescent="0.25">
      <c r="A5368" s="14">
        <v>928863</v>
      </c>
      <c r="B5368" s="14" t="s">
        <v>5485</v>
      </c>
      <c r="C5368" s="14" t="s">
        <v>13029</v>
      </c>
      <c r="D5368" s="15">
        <v>8.1999999999999993</v>
      </c>
      <c r="E5368" s="16" t="s">
        <v>30</v>
      </c>
    </row>
    <row r="5369" spans="1:5" x14ac:dyDescent="0.25">
      <c r="A5369" s="14">
        <v>928864</v>
      </c>
      <c r="B5369" s="14" t="s">
        <v>5486</v>
      </c>
      <c r="C5369" s="14" t="s">
        <v>13029</v>
      </c>
      <c r="D5369" s="15">
        <v>15.4</v>
      </c>
      <c r="E5369" s="16" t="s">
        <v>30</v>
      </c>
    </row>
    <row r="5370" spans="1:5" x14ac:dyDescent="0.25">
      <c r="A5370" s="14">
        <v>928865</v>
      </c>
      <c r="B5370" s="14" t="s">
        <v>5487</v>
      </c>
      <c r="C5370" s="14" t="s">
        <v>13029</v>
      </c>
      <c r="D5370" s="15">
        <v>8.1999999999999993</v>
      </c>
      <c r="E5370" s="16" t="s">
        <v>30</v>
      </c>
    </row>
    <row r="5371" spans="1:5" x14ac:dyDescent="0.25">
      <c r="A5371" s="14">
        <v>928866</v>
      </c>
      <c r="B5371" s="14" t="s">
        <v>5488</v>
      </c>
      <c r="C5371" s="14" t="s">
        <v>13029</v>
      </c>
      <c r="D5371" s="15">
        <v>8.1999999999999993</v>
      </c>
      <c r="E5371" s="16" t="s">
        <v>30</v>
      </c>
    </row>
    <row r="5372" spans="1:5" x14ac:dyDescent="0.25">
      <c r="A5372" s="14">
        <v>928867</v>
      </c>
      <c r="B5372" s="14" t="s">
        <v>5489</v>
      </c>
      <c r="C5372" s="14" t="s">
        <v>13029</v>
      </c>
      <c r="D5372" s="15">
        <v>8.1999999999999993</v>
      </c>
      <c r="E5372" s="16" t="s">
        <v>30</v>
      </c>
    </row>
    <row r="5373" spans="1:5" x14ac:dyDescent="0.25">
      <c r="A5373" s="14">
        <v>928868</v>
      </c>
      <c r="B5373" s="14" t="s">
        <v>5490</v>
      </c>
      <c r="C5373" s="14" t="s">
        <v>13029</v>
      </c>
      <c r="D5373" s="15">
        <v>14.9</v>
      </c>
      <c r="E5373" s="16" t="s">
        <v>30</v>
      </c>
    </row>
    <row r="5374" spans="1:5" x14ac:dyDescent="0.25">
      <c r="A5374" s="14">
        <v>928913</v>
      </c>
      <c r="B5374" s="14" t="s">
        <v>5491</v>
      </c>
      <c r="C5374" s="14" t="s">
        <v>13031</v>
      </c>
      <c r="D5374" s="15">
        <v>3.68</v>
      </c>
      <c r="E5374" s="16" t="s">
        <v>30</v>
      </c>
    </row>
    <row r="5375" spans="1:5" x14ac:dyDescent="0.25">
      <c r="A5375" s="14">
        <v>929011</v>
      </c>
      <c r="B5375" s="14" t="s">
        <v>5492</v>
      </c>
      <c r="C5375" s="14" t="s">
        <v>13031</v>
      </c>
      <c r="D5375" s="15">
        <v>33.200000000000003</v>
      </c>
      <c r="E5375" s="16" t="s">
        <v>30</v>
      </c>
    </row>
    <row r="5376" spans="1:5" x14ac:dyDescent="0.25">
      <c r="A5376" s="14">
        <v>929017</v>
      </c>
      <c r="B5376" s="14" t="s">
        <v>5493</v>
      </c>
      <c r="C5376" s="14" t="s">
        <v>13030</v>
      </c>
      <c r="D5376" s="15">
        <v>51.55</v>
      </c>
      <c r="E5376" s="16" t="s">
        <v>30</v>
      </c>
    </row>
    <row r="5377" spans="1:5" x14ac:dyDescent="0.25">
      <c r="A5377" s="14">
        <v>929112</v>
      </c>
      <c r="B5377" s="14" t="s">
        <v>5494</v>
      </c>
      <c r="C5377" s="14" t="s">
        <v>13031</v>
      </c>
      <c r="D5377" s="15">
        <v>15.58</v>
      </c>
      <c r="E5377" s="16" t="s">
        <v>30</v>
      </c>
    </row>
    <row r="5378" spans="1:5" x14ac:dyDescent="0.25">
      <c r="A5378" s="14">
        <v>929113</v>
      </c>
      <c r="B5378" s="14" t="s">
        <v>5495</v>
      </c>
      <c r="C5378" s="14" t="s">
        <v>13031</v>
      </c>
      <c r="D5378" s="15">
        <v>4.4400000000000004</v>
      </c>
      <c r="E5378" s="16" t="s">
        <v>30</v>
      </c>
    </row>
    <row r="5379" spans="1:5" x14ac:dyDescent="0.25">
      <c r="A5379" s="14">
        <v>929114</v>
      </c>
      <c r="B5379" s="14" t="s">
        <v>5496</v>
      </c>
      <c r="C5379" s="14" t="s">
        <v>13031</v>
      </c>
      <c r="D5379" s="15">
        <v>8.84</v>
      </c>
      <c r="E5379" s="16" t="s">
        <v>30</v>
      </c>
    </row>
    <row r="5380" spans="1:5" x14ac:dyDescent="0.25">
      <c r="A5380" s="14">
        <v>886791</v>
      </c>
      <c r="B5380" s="14" t="s">
        <v>5497</v>
      </c>
      <c r="C5380" s="14" t="s">
        <v>13031</v>
      </c>
      <c r="D5380" s="15">
        <v>95</v>
      </c>
      <c r="E5380" s="16" t="s">
        <v>20</v>
      </c>
    </row>
    <row r="5381" spans="1:5" x14ac:dyDescent="0.25">
      <c r="A5381" s="14">
        <v>929115</v>
      </c>
      <c r="B5381" s="14" t="s">
        <v>66</v>
      </c>
      <c r="C5381" s="14" t="s">
        <v>13031</v>
      </c>
      <c r="D5381" s="15">
        <v>7.88</v>
      </c>
      <c r="E5381" s="16" t="s">
        <v>30</v>
      </c>
    </row>
    <row r="5382" spans="1:5" x14ac:dyDescent="0.25">
      <c r="A5382" s="14">
        <v>929116</v>
      </c>
      <c r="B5382" s="14" t="s">
        <v>5498</v>
      </c>
      <c r="C5382" s="14" t="s">
        <v>13029</v>
      </c>
      <c r="D5382" s="15">
        <v>7.59</v>
      </c>
      <c r="E5382" s="16" t="s">
        <v>30</v>
      </c>
    </row>
    <row r="5383" spans="1:5" x14ac:dyDescent="0.25">
      <c r="A5383" s="14">
        <v>929117</v>
      </c>
      <c r="B5383" s="14" t="s">
        <v>5499</v>
      </c>
      <c r="C5383" s="14" t="s">
        <v>13029</v>
      </c>
      <c r="D5383" s="15">
        <v>7.59</v>
      </c>
      <c r="E5383" s="16" t="s">
        <v>30</v>
      </c>
    </row>
    <row r="5384" spans="1:5" x14ac:dyDescent="0.25">
      <c r="A5384" s="14">
        <v>929118</v>
      </c>
      <c r="B5384" s="14" t="s">
        <v>5500</v>
      </c>
      <c r="C5384" s="14" t="s">
        <v>13029</v>
      </c>
      <c r="D5384" s="15">
        <v>11.4</v>
      </c>
      <c r="E5384" s="16" t="s">
        <v>30</v>
      </c>
    </row>
    <row r="5385" spans="1:5" x14ac:dyDescent="0.25">
      <c r="A5385" s="14">
        <v>929120</v>
      </c>
      <c r="B5385" s="14" t="s">
        <v>5501</v>
      </c>
      <c r="C5385" s="14" t="s">
        <v>13029</v>
      </c>
      <c r="D5385" s="15">
        <v>40.29</v>
      </c>
      <c r="E5385" s="14" t="s">
        <v>30</v>
      </c>
    </row>
    <row r="5386" spans="1:5" x14ac:dyDescent="0.25">
      <c r="A5386" s="14">
        <v>929541</v>
      </c>
      <c r="B5386" s="14" t="s">
        <v>5502</v>
      </c>
      <c r="C5386" s="14" t="s">
        <v>13029</v>
      </c>
      <c r="D5386" s="15">
        <v>14.77</v>
      </c>
      <c r="E5386" s="16" t="s">
        <v>30</v>
      </c>
    </row>
    <row r="5387" spans="1:5" x14ac:dyDescent="0.25">
      <c r="A5387" s="14">
        <v>929542</v>
      </c>
      <c r="B5387" s="14" t="s">
        <v>5503</v>
      </c>
      <c r="C5387" s="14" t="s">
        <v>13029</v>
      </c>
      <c r="D5387" s="15">
        <v>14.77</v>
      </c>
      <c r="E5387" s="16" t="s">
        <v>30</v>
      </c>
    </row>
    <row r="5388" spans="1:5" x14ac:dyDescent="0.25">
      <c r="A5388" s="14">
        <v>929901</v>
      </c>
      <c r="B5388" s="14" t="s">
        <v>5504</v>
      </c>
      <c r="C5388" s="14" t="s">
        <v>13030</v>
      </c>
      <c r="D5388" s="15">
        <v>53.23</v>
      </c>
      <c r="E5388" s="16" t="s">
        <v>30</v>
      </c>
    </row>
    <row r="5389" spans="1:5" x14ac:dyDescent="0.25">
      <c r="A5389" s="14">
        <v>929985</v>
      </c>
      <c r="B5389" s="14" t="s">
        <v>5505</v>
      </c>
      <c r="C5389" s="14" t="s">
        <v>13030</v>
      </c>
      <c r="D5389" s="15">
        <v>61.53</v>
      </c>
      <c r="E5389" s="16" t="s">
        <v>30</v>
      </c>
    </row>
    <row r="5390" spans="1:5" x14ac:dyDescent="0.25">
      <c r="A5390" s="14">
        <v>929999</v>
      </c>
      <c r="B5390" s="14" t="s">
        <v>5506</v>
      </c>
      <c r="C5390" s="14" t="s">
        <v>13030</v>
      </c>
      <c r="D5390" s="15">
        <v>142.31</v>
      </c>
      <c r="E5390" s="16" t="s">
        <v>30</v>
      </c>
    </row>
    <row r="5391" spans="1:5" x14ac:dyDescent="0.25">
      <c r="A5391" s="14">
        <v>930000</v>
      </c>
      <c r="B5391" s="14" t="s">
        <v>5507</v>
      </c>
      <c r="C5391" s="14" t="s">
        <v>13030</v>
      </c>
      <c r="D5391" s="15">
        <v>79.400000000000006</v>
      </c>
      <c r="E5391" s="16" t="s">
        <v>30</v>
      </c>
    </row>
    <row r="5392" spans="1:5" x14ac:dyDescent="0.25">
      <c r="A5392" s="14">
        <v>930291</v>
      </c>
      <c r="B5392" s="14" t="s">
        <v>5508</v>
      </c>
      <c r="C5392" s="14" t="s">
        <v>13029</v>
      </c>
      <c r="D5392" s="15">
        <v>14.6</v>
      </c>
      <c r="E5392" s="16" t="s">
        <v>30</v>
      </c>
    </row>
    <row r="5393" spans="1:5" x14ac:dyDescent="0.25">
      <c r="A5393" s="14">
        <v>930292</v>
      </c>
      <c r="B5393" s="14" t="s">
        <v>5509</v>
      </c>
      <c r="C5393" s="14" t="s">
        <v>13029</v>
      </c>
      <c r="D5393" s="15">
        <v>24.18</v>
      </c>
      <c r="E5393" s="16" t="s">
        <v>30</v>
      </c>
    </row>
    <row r="5394" spans="1:5" x14ac:dyDescent="0.25">
      <c r="A5394" s="14">
        <v>930293</v>
      </c>
      <c r="B5394" s="14" t="s">
        <v>5510</v>
      </c>
      <c r="C5394" s="14" t="s">
        <v>13029</v>
      </c>
      <c r="D5394" s="15">
        <v>17.57</v>
      </c>
      <c r="E5394" s="16" t="s">
        <v>30</v>
      </c>
    </row>
    <row r="5395" spans="1:5" x14ac:dyDescent="0.25">
      <c r="A5395" s="14">
        <v>930921</v>
      </c>
      <c r="B5395" s="14" t="s">
        <v>5511</v>
      </c>
      <c r="C5395" s="14" t="s">
        <v>13031</v>
      </c>
      <c r="D5395" s="15">
        <v>2914.56</v>
      </c>
      <c r="E5395" s="16" t="s">
        <v>30</v>
      </c>
    </row>
    <row r="5396" spans="1:5" x14ac:dyDescent="0.25">
      <c r="A5396" s="14">
        <v>930927</v>
      </c>
      <c r="B5396" s="14" t="s">
        <v>5512</v>
      </c>
      <c r="C5396" s="14" t="s">
        <v>13031</v>
      </c>
      <c r="D5396" s="15">
        <v>14.22</v>
      </c>
      <c r="E5396" s="16" t="s">
        <v>30</v>
      </c>
    </row>
    <row r="5397" spans="1:5" x14ac:dyDescent="0.25">
      <c r="A5397" s="14">
        <v>930997</v>
      </c>
      <c r="B5397" s="14" t="s">
        <v>5513</v>
      </c>
      <c r="C5397" s="14" t="s">
        <v>13030</v>
      </c>
      <c r="D5397" s="15">
        <v>166.71</v>
      </c>
      <c r="E5397" s="16" t="s">
        <v>30</v>
      </c>
    </row>
    <row r="5398" spans="1:5" x14ac:dyDescent="0.25">
      <c r="A5398" s="14">
        <v>930998</v>
      </c>
      <c r="B5398" s="14" t="s">
        <v>5514</v>
      </c>
      <c r="C5398" s="14" t="s">
        <v>13030</v>
      </c>
      <c r="D5398" s="15">
        <v>104.17</v>
      </c>
      <c r="E5398" s="16" t="s">
        <v>30</v>
      </c>
    </row>
    <row r="5399" spans="1:5" x14ac:dyDescent="0.25">
      <c r="A5399" s="14">
        <v>930999</v>
      </c>
      <c r="B5399" s="14" t="s">
        <v>5515</v>
      </c>
      <c r="C5399" s="14" t="s">
        <v>13030</v>
      </c>
      <c r="D5399" s="15">
        <v>27.73</v>
      </c>
      <c r="E5399" s="16" t="s">
        <v>30</v>
      </c>
    </row>
    <row r="5400" spans="1:5" x14ac:dyDescent="0.25">
      <c r="A5400" s="14">
        <v>931000</v>
      </c>
      <c r="B5400" s="14" t="s">
        <v>5516</v>
      </c>
      <c r="C5400" s="14" t="s">
        <v>13030</v>
      </c>
      <c r="D5400" s="15">
        <v>5.33</v>
      </c>
      <c r="E5400" s="16" t="s">
        <v>30</v>
      </c>
    </row>
    <row r="5401" spans="1:5" x14ac:dyDescent="0.25">
      <c r="A5401" s="14">
        <v>931001</v>
      </c>
      <c r="B5401" s="14" t="s">
        <v>5517</v>
      </c>
      <c r="C5401" s="14" t="s">
        <v>13030</v>
      </c>
      <c r="D5401" s="15">
        <v>5.33</v>
      </c>
      <c r="E5401" s="14" t="s">
        <v>30</v>
      </c>
    </row>
    <row r="5402" spans="1:5" x14ac:dyDescent="0.25">
      <c r="A5402" s="14">
        <v>932071</v>
      </c>
      <c r="B5402" s="14" t="s">
        <v>5518</v>
      </c>
      <c r="C5402" s="14" t="s">
        <v>13029</v>
      </c>
      <c r="D5402" s="15">
        <v>27.3</v>
      </c>
      <c r="E5402" s="16" t="s">
        <v>30</v>
      </c>
    </row>
    <row r="5403" spans="1:5" x14ac:dyDescent="0.25">
      <c r="A5403" s="14">
        <v>932072</v>
      </c>
      <c r="B5403" s="14" t="s">
        <v>5519</v>
      </c>
      <c r="C5403" s="14" t="s">
        <v>13029</v>
      </c>
      <c r="D5403" s="15">
        <v>26.2</v>
      </c>
      <c r="E5403" s="16" t="s">
        <v>30</v>
      </c>
    </row>
    <row r="5404" spans="1:5" x14ac:dyDescent="0.25">
      <c r="A5404" s="14">
        <v>932073</v>
      </c>
      <c r="B5404" s="14" t="s">
        <v>5520</v>
      </c>
      <c r="C5404" s="14" t="s">
        <v>13029</v>
      </c>
      <c r="D5404" s="15">
        <v>22</v>
      </c>
      <c r="E5404" s="16" t="s">
        <v>30</v>
      </c>
    </row>
    <row r="5405" spans="1:5" x14ac:dyDescent="0.25">
      <c r="A5405" s="14">
        <v>932152</v>
      </c>
      <c r="B5405" s="14" t="s">
        <v>5521</v>
      </c>
      <c r="C5405" s="14" t="s">
        <v>13030</v>
      </c>
      <c r="D5405" s="15">
        <v>24.66</v>
      </c>
      <c r="E5405" s="16" t="s">
        <v>30</v>
      </c>
    </row>
    <row r="5406" spans="1:5" x14ac:dyDescent="0.25">
      <c r="A5406" s="14">
        <v>932153</v>
      </c>
      <c r="B5406" s="14" t="s">
        <v>5522</v>
      </c>
      <c r="C5406" s="14" t="s">
        <v>13030</v>
      </c>
      <c r="D5406" s="15">
        <v>24.66</v>
      </c>
      <c r="E5406" s="16" t="s">
        <v>30</v>
      </c>
    </row>
    <row r="5407" spans="1:5" x14ac:dyDescent="0.25">
      <c r="A5407" s="14">
        <v>932154</v>
      </c>
      <c r="B5407" s="14" t="s">
        <v>5523</v>
      </c>
      <c r="C5407" s="14" t="s">
        <v>13030</v>
      </c>
      <c r="D5407" s="15">
        <v>18.760000000000002</v>
      </c>
      <c r="E5407" s="16" t="s">
        <v>30</v>
      </c>
    </row>
    <row r="5408" spans="1:5" x14ac:dyDescent="0.25">
      <c r="A5408" s="14">
        <v>932155</v>
      </c>
      <c r="B5408" s="14" t="s">
        <v>5524</v>
      </c>
      <c r="C5408" s="14" t="s">
        <v>13030</v>
      </c>
      <c r="D5408" s="15">
        <v>34.74</v>
      </c>
      <c r="E5408" s="16" t="s">
        <v>30</v>
      </c>
    </row>
    <row r="5409" spans="1:5" x14ac:dyDescent="0.25">
      <c r="A5409" s="14">
        <v>932334</v>
      </c>
      <c r="B5409" s="14" t="s">
        <v>5525</v>
      </c>
      <c r="C5409" s="14" t="s">
        <v>13029</v>
      </c>
      <c r="D5409" s="15">
        <v>2.95</v>
      </c>
      <c r="E5409" s="16" t="s">
        <v>30</v>
      </c>
    </row>
    <row r="5410" spans="1:5" x14ac:dyDescent="0.25">
      <c r="A5410" s="14">
        <v>932335</v>
      </c>
      <c r="B5410" s="14" t="s">
        <v>5526</v>
      </c>
      <c r="C5410" s="14" t="s">
        <v>13029</v>
      </c>
      <c r="D5410" s="15">
        <v>2.95</v>
      </c>
      <c r="E5410" s="16" t="s">
        <v>30</v>
      </c>
    </row>
    <row r="5411" spans="1:5" x14ac:dyDescent="0.25">
      <c r="A5411" s="14">
        <v>932336</v>
      </c>
      <c r="B5411" s="14" t="s">
        <v>5527</v>
      </c>
      <c r="C5411" s="14" t="s">
        <v>13029</v>
      </c>
      <c r="D5411" s="15">
        <v>2.95</v>
      </c>
      <c r="E5411" s="16" t="s">
        <v>30</v>
      </c>
    </row>
    <row r="5412" spans="1:5" x14ac:dyDescent="0.25">
      <c r="A5412" s="14">
        <v>932337</v>
      </c>
      <c r="B5412" s="14" t="s">
        <v>5528</v>
      </c>
      <c r="C5412" s="14" t="s">
        <v>13029</v>
      </c>
      <c r="D5412" s="15">
        <v>2.95</v>
      </c>
      <c r="E5412" s="16" t="s">
        <v>30</v>
      </c>
    </row>
    <row r="5413" spans="1:5" x14ac:dyDescent="0.25">
      <c r="A5413" s="14">
        <v>932338</v>
      </c>
      <c r="B5413" s="14" t="s">
        <v>5529</v>
      </c>
      <c r="C5413" s="14" t="s">
        <v>13029</v>
      </c>
      <c r="D5413" s="15">
        <v>4.8600000000000003</v>
      </c>
      <c r="E5413" s="16" t="s">
        <v>30</v>
      </c>
    </row>
    <row r="5414" spans="1:5" x14ac:dyDescent="0.25">
      <c r="A5414" s="14">
        <v>932683</v>
      </c>
      <c r="B5414" s="14" t="s">
        <v>5530</v>
      </c>
      <c r="C5414" s="14" t="s">
        <v>13031</v>
      </c>
      <c r="D5414" s="15">
        <v>8.31</v>
      </c>
      <c r="E5414" s="16" t="s">
        <v>30</v>
      </c>
    </row>
    <row r="5415" spans="1:5" x14ac:dyDescent="0.25">
      <c r="A5415" s="14">
        <v>932684</v>
      </c>
      <c r="B5415" s="14" t="s">
        <v>5531</v>
      </c>
      <c r="C5415" s="14" t="s">
        <v>13031</v>
      </c>
      <c r="D5415" s="15">
        <v>8.31</v>
      </c>
      <c r="E5415" s="16" t="s">
        <v>30</v>
      </c>
    </row>
    <row r="5416" spans="1:5" x14ac:dyDescent="0.25">
      <c r="A5416" s="14">
        <v>932693</v>
      </c>
      <c r="B5416" s="14" t="s">
        <v>5532</v>
      </c>
      <c r="C5416" s="14" t="s">
        <v>13030</v>
      </c>
      <c r="D5416" s="15">
        <v>55.75</v>
      </c>
      <c r="E5416" s="16" t="s">
        <v>30</v>
      </c>
    </row>
    <row r="5417" spans="1:5" x14ac:dyDescent="0.25">
      <c r="A5417" s="14">
        <v>932697</v>
      </c>
      <c r="B5417" s="14" t="s">
        <v>5533</v>
      </c>
      <c r="C5417" s="14" t="s">
        <v>13031</v>
      </c>
      <c r="D5417" s="15">
        <v>14.4</v>
      </c>
      <c r="E5417" s="16" t="s">
        <v>30</v>
      </c>
    </row>
    <row r="5418" spans="1:5" x14ac:dyDescent="0.25">
      <c r="A5418" s="14">
        <v>932699</v>
      </c>
      <c r="B5418" s="14" t="s">
        <v>5534</v>
      </c>
      <c r="C5418" s="14" t="s">
        <v>13031</v>
      </c>
      <c r="D5418" s="15">
        <v>16.170000000000002</v>
      </c>
      <c r="E5418" s="16" t="s">
        <v>30</v>
      </c>
    </row>
    <row r="5419" spans="1:5" x14ac:dyDescent="0.25">
      <c r="A5419" s="14">
        <v>932773</v>
      </c>
      <c r="B5419" s="14" t="s">
        <v>5535</v>
      </c>
      <c r="C5419" s="14" t="s">
        <v>13029</v>
      </c>
      <c r="D5419" s="15">
        <v>23.67</v>
      </c>
      <c r="E5419" s="16" t="s">
        <v>30</v>
      </c>
    </row>
    <row r="5420" spans="1:5" x14ac:dyDescent="0.25">
      <c r="A5420" s="14">
        <v>932774</v>
      </c>
      <c r="B5420" s="14" t="s">
        <v>5536</v>
      </c>
      <c r="C5420" s="14" t="s">
        <v>13029</v>
      </c>
      <c r="D5420" s="15">
        <v>23.67</v>
      </c>
      <c r="E5420" s="16" t="s">
        <v>30</v>
      </c>
    </row>
    <row r="5421" spans="1:5" x14ac:dyDescent="0.25">
      <c r="A5421" s="14">
        <v>933076</v>
      </c>
      <c r="B5421" s="14" t="s">
        <v>5537</v>
      </c>
      <c r="C5421" s="14" t="s">
        <v>13030</v>
      </c>
      <c r="D5421" s="15">
        <v>10.57</v>
      </c>
      <c r="E5421" s="16" t="s">
        <v>30</v>
      </c>
    </row>
    <row r="5422" spans="1:5" x14ac:dyDescent="0.25">
      <c r="A5422" s="14">
        <v>933078</v>
      </c>
      <c r="B5422" s="14" t="s">
        <v>5538</v>
      </c>
      <c r="C5422" s="14" t="s">
        <v>13029</v>
      </c>
      <c r="D5422" s="15">
        <v>21.98</v>
      </c>
      <c r="E5422" s="16" t="s">
        <v>30</v>
      </c>
    </row>
    <row r="5423" spans="1:5" x14ac:dyDescent="0.25">
      <c r="A5423" s="14">
        <v>933085</v>
      </c>
      <c r="B5423" s="14" t="s">
        <v>5539</v>
      </c>
      <c r="C5423" s="14" t="s">
        <v>13030</v>
      </c>
      <c r="D5423" s="15">
        <v>18.760000000000002</v>
      </c>
      <c r="E5423" s="16" t="s">
        <v>30</v>
      </c>
    </row>
    <row r="5424" spans="1:5" x14ac:dyDescent="0.25">
      <c r="A5424" s="14">
        <v>933086</v>
      </c>
      <c r="B5424" s="14" t="s">
        <v>5540</v>
      </c>
      <c r="C5424" s="14" t="s">
        <v>13030</v>
      </c>
      <c r="D5424" s="15">
        <v>18.760000000000002</v>
      </c>
      <c r="E5424" s="16" t="s">
        <v>30</v>
      </c>
    </row>
    <row r="5425" spans="1:5" x14ac:dyDescent="0.25">
      <c r="A5425" s="14">
        <v>886978</v>
      </c>
      <c r="B5425" s="14" t="s">
        <v>5541</v>
      </c>
      <c r="C5425" s="14" t="s">
        <v>13031</v>
      </c>
      <c r="D5425" s="15">
        <v>16</v>
      </c>
      <c r="E5425" s="16" t="s">
        <v>20</v>
      </c>
    </row>
    <row r="5426" spans="1:5" x14ac:dyDescent="0.25">
      <c r="A5426" s="14">
        <v>933095</v>
      </c>
      <c r="B5426" s="14" t="s">
        <v>5542</v>
      </c>
      <c r="C5426" s="14" t="s">
        <v>13031</v>
      </c>
      <c r="D5426" s="15">
        <v>5.25</v>
      </c>
      <c r="E5426" s="16" t="s">
        <v>30</v>
      </c>
    </row>
    <row r="5427" spans="1:5" x14ac:dyDescent="0.25">
      <c r="A5427" s="14">
        <v>933096</v>
      </c>
      <c r="B5427" s="14" t="s">
        <v>5543</v>
      </c>
      <c r="C5427" s="14" t="s">
        <v>13031</v>
      </c>
      <c r="D5427" s="15">
        <v>5.03</v>
      </c>
      <c r="E5427" s="16" t="s">
        <v>30</v>
      </c>
    </row>
    <row r="5428" spans="1:5" x14ac:dyDescent="0.25">
      <c r="A5428" s="14">
        <v>933097</v>
      </c>
      <c r="B5428" s="14" t="s">
        <v>5544</v>
      </c>
      <c r="C5428" s="14" t="s">
        <v>13031</v>
      </c>
      <c r="D5428" s="15">
        <v>10.68</v>
      </c>
      <c r="E5428" s="16" t="s">
        <v>30</v>
      </c>
    </row>
    <row r="5429" spans="1:5" x14ac:dyDescent="0.25">
      <c r="A5429" s="14">
        <v>933098</v>
      </c>
      <c r="B5429" s="14" t="s">
        <v>5545</v>
      </c>
      <c r="C5429" s="14" t="s">
        <v>13031</v>
      </c>
      <c r="D5429" s="15">
        <v>5.99</v>
      </c>
      <c r="E5429" s="16" t="s">
        <v>30</v>
      </c>
    </row>
    <row r="5430" spans="1:5" x14ac:dyDescent="0.25">
      <c r="A5430" s="14">
        <v>933107</v>
      </c>
      <c r="B5430" s="14" t="s">
        <v>5546</v>
      </c>
      <c r="C5430" s="14" t="s">
        <v>13030</v>
      </c>
      <c r="D5430" s="15">
        <v>17.8</v>
      </c>
      <c r="E5430" s="16" t="s">
        <v>30</v>
      </c>
    </row>
    <row r="5431" spans="1:5" x14ac:dyDescent="0.25">
      <c r="A5431" s="14">
        <v>933876</v>
      </c>
      <c r="B5431" s="14" t="s">
        <v>5547</v>
      </c>
      <c r="C5431" s="14" t="s">
        <v>13031</v>
      </c>
      <c r="D5431" s="15">
        <v>4.6500000000000004</v>
      </c>
      <c r="E5431" s="16" t="s">
        <v>30</v>
      </c>
    </row>
    <row r="5432" spans="1:5" x14ac:dyDescent="0.25">
      <c r="A5432" s="14">
        <v>933893</v>
      </c>
      <c r="B5432" s="14" t="s">
        <v>5548</v>
      </c>
      <c r="C5432" s="14" t="s">
        <v>13030</v>
      </c>
      <c r="D5432" s="15">
        <v>79.849999999999994</v>
      </c>
      <c r="E5432" s="16" t="s">
        <v>30</v>
      </c>
    </row>
    <row r="5433" spans="1:5" x14ac:dyDescent="0.25">
      <c r="A5433" s="14">
        <v>933909</v>
      </c>
      <c r="B5433" s="14" t="s">
        <v>5549</v>
      </c>
      <c r="C5433" s="14" t="s">
        <v>13029</v>
      </c>
      <c r="D5433" s="15">
        <v>18.38</v>
      </c>
      <c r="E5433" s="16" t="s">
        <v>30</v>
      </c>
    </row>
    <row r="5434" spans="1:5" x14ac:dyDescent="0.25">
      <c r="A5434" s="14">
        <v>933910</v>
      </c>
      <c r="B5434" s="14" t="s">
        <v>5550</v>
      </c>
      <c r="C5434" s="14" t="s">
        <v>13029</v>
      </c>
      <c r="D5434" s="15">
        <v>26.1</v>
      </c>
      <c r="E5434" s="16" t="s">
        <v>30</v>
      </c>
    </row>
    <row r="5435" spans="1:5" x14ac:dyDescent="0.25">
      <c r="A5435" s="14">
        <v>933911</v>
      </c>
      <c r="B5435" s="14" t="s">
        <v>5551</v>
      </c>
      <c r="C5435" s="14" t="s">
        <v>13029</v>
      </c>
      <c r="D5435" s="15">
        <v>34.99</v>
      </c>
      <c r="E5435" s="16" t="s">
        <v>30</v>
      </c>
    </row>
    <row r="5436" spans="1:5" x14ac:dyDescent="0.25">
      <c r="A5436" s="14">
        <v>933912</v>
      </c>
      <c r="B5436" s="14" t="s">
        <v>5552</v>
      </c>
      <c r="C5436" s="14" t="s">
        <v>13029</v>
      </c>
      <c r="D5436" s="15">
        <v>37.67</v>
      </c>
      <c r="E5436" s="16" t="s">
        <v>30</v>
      </c>
    </row>
    <row r="5437" spans="1:5" x14ac:dyDescent="0.25">
      <c r="A5437" s="14">
        <v>933913</v>
      </c>
      <c r="B5437" s="14" t="s">
        <v>5553</v>
      </c>
      <c r="C5437" s="14" t="s">
        <v>13029</v>
      </c>
      <c r="D5437" s="15">
        <v>21.35</v>
      </c>
      <c r="E5437" s="16" t="s">
        <v>30</v>
      </c>
    </row>
    <row r="5438" spans="1:5" x14ac:dyDescent="0.25">
      <c r="A5438" s="14">
        <v>933915</v>
      </c>
      <c r="B5438" s="14" t="s">
        <v>5554</v>
      </c>
      <c r="C5438" s="14" t="s">
        <v>13030</v>
      </c>
      <c r="D5438" s="15">
        <v>23</v>
      </c>
      <c r="E5438" s="16" t="s">
        <v>30</v>
      </c>
    </row>
    <row r="5439" spans="1:5" x14ac:dyDescent="0.25">
      <c r="A5439" s="14">
        <v>934407</v>
      </c>
      <c r="B5439" s="14" t="s">
        <v>5555</v>
      </c>
      <c r="C5439" s="14" t="s">
        <v>13031</v>
      </c>
      <c r="D5439" s="15">
        <v>21.19</v>
      </c>
      <c r="E5439" s="16" t="s">
        <v>30</v>
      </c>
    </row>
    <row r="5440" spans="1:5" x14ac:dyDescent="0.25">
      <c r="A5440" s="14">
        <v>934408</v>
      </c>
      <c r="B5440" s="14" t="s">
        <v>5556</v>
      </c>
      <c r="C5440" s="14" t="s">
        <v>13031</v>
      </c>
      <c r="D5440" s="15">
        <v>35.590000000000003</v>
      </c>
      <c r="E5440" s="16" t="s">
        <v>30</v>
      </c>
    </row>
    <row r="5441" spans="1:5" x14ac:dyDescent="0.25">
      <c r="A5441" s="14">
        <v>934409</v>
      </c>
      <c r="B5441" s="14" t="s">
        <v>5557</v>
      </c>
      <c r="C5441" s="14" t="s">
        <v>13031</v>
      </c>
      <c r="D5441" s="15">
        <v>16.100000000000001</v>
      </c>
      <c r="E5441" s="16" t="s">
        <v>30</v>
      </c>
    </row>
    <row r="5442" spans="1:5" x14ac:dyDescent="0.25">
      <c r="A5442" s="14">
        <v>934410</v>
      </c>
      <c r="B5442" s="14" t="s">
        <v>5558</v>
      </c>
      <c r="C5442" s="14" t="s">
        <v>13031</v>
      </c>
      <c r="D5442" s="15">
        <v>17.8</v>
      </c>
      <c r="E5442" s="16" t="s">
        <v>30</v>
      </c>
    </row>
    <row r="5443" spans="1:5" x14ac:dyDescent="0.25">
      <c r="A5443" s="14">
        <v>934419</v>
      </c>
      <c r="B5443" s="14" t="s">
        <v>5559</v>
      </c>
      <c r="C5443" s="14" t="s">
        <v>13029</v>
      </c>
      <c r="D5443" s="15">
        <v>77.06</v>
      </c>
      <c r="E5443" s="16" t="s">
        <v>30</v>
      </c>
    </row>
    <row r="5444" spans="1:5" x14ac:dyDescent="0.25">
      <c r="A5444" s="14">
        <v>934420</v>
      </c>
      <c r="B5444" s="14" t="s">
        <v>5560</v>
      </c>
      <c r="C5444" s="14" t="s">
        <v>13029</v>
      </c>
      <c r="D5444" s="15">
        <v>71.13</v>
      </c>
      <c r="E5444" s="16" t="s">
        <v>30</v>
      </c>
    </row>
    <row r="5445" spans="1:5" x14ac:dyDescent="0.25">
      <c r="A5445" s="14">
        <v>934421</v>
      </c>
      <c r="B5445" s="14" t="s">
        <v>5561</v>
      </c>
      <c r="C5445" s="14" t="s">
        <v>13029</v>
      </c>
      <c r="D5445" s="15">
        <v>77.06</v>
      </c>
      <c r="E5445" s="16" t="s">
        <v>30</v>
      </c>
    </row>
    <row r="5446" spans="1:5" x14ac:dyDescent="0.25">
      <c r="A5446" s="14">
        <v>934422</v>
      </c>
      <c r="B5446" s="14" t="s">
        <v>5562</v>
      </c>
      <c r="C5446" s="14" t="s">
        <v>13029</v>
      </c>
      <c r="D5446" s="15">
        <v>62.82</v>
      </c>
      <c r="E5446" s="16" t="s">
        <v>30</v>
      </c>
    </row>
    <row r="5447" spans="1:5" x14ac:dyDescent="0.25">
      <c r="A5447" s="14">
        <v>934423</v>
      </c>
      <c r="B5447" s="14" t="s">
        <v>5563</v>
      </c>
      <c r="C5447" s="14" t="s">
        <v>13029</v>
      </c>
      <c r="D5447" s="15">
        <v>57.63</v>
      </c>
      <c r="E5447" s="16" t="s">
        <v>30</v>
      </c>
    </row>
    <row r="5448" spans="1:5" x14ac:dyDescent="0.25">
      <c r="A5448" s="14">
        <v>934427</v>
      </c>
      <c r="B5448" s="14" t="s">
        <v>5564</v>
      </c>
      <c r="C5448" s="14" t="s">
        <v>13029</v>
      </c>
      <c r="D5448" s="15">
        <v>51.79</v>
      </c>
      <c r="E5448" s="16" t="s">
        <v>30</v>
      </c>
    </row>
    <row r="5449" spans="1:5" x14ac:dyDescent="0.25">
      <c r="A5449" s="14">
        <v>934446</v>
      </c>
      <c r="B5449" s="14" t="s">
        <v>5565</v>
      </c>
      <c r="C5449" s="14" t="s">
        <v>13031</v>
      </c>
      <c r="D5449" s="15">
        <v>5.22</v>
      </c>
      <c r="E5449" s="16" t="s">
        <v>30</v>
      </c>
    </row>
    <row r="5450" spans="1:5" x14ac:dyDescent="0.25">
      <c r="A5450" s="14">
        <v>934447</v>
      </c>
      <c r="B5450" s="14" t="s">
        <v>5566</v>
      </c>
      <c r="C5450" s="14" t="s">
        <v>13031</v>
      </c>
      <c r="D5450" s="15">
        <v>5.22</v>
      </c>
      <c r="E5450" s="16" t="s">
        <v>30</v>
      </c>
    </row>
    <row r="5451" spans="1:5" x14ac:dyDescent="0.25">
      <c r="A5451" s="14">
        <v>934448</v>
      </c>
      <c r="B5451" s="14" t="s">
        <v>5567</v>
      </c>
      <c r="C5451" s="14" t="s">
        <v>13031</v>
      </c>
      <c r="D5451" s="15">
        <v>5.22</v>
      </c>
      <c r="E5451" s="16" t="s">
        <v>30</v>
      </c>
    </row>
    <row r="5452" spans="1:5" x14ac:dyDescent="0.25">
      <c r="A5452" s="14">
        <v>934449</v>
      </c>
      <c r="B5452" s="14" t="s">
        <v>5568</v>
      </c>
      <c r="C5452" s="14" t="s">
        <v>13031</v>
      </c>
      <c r="D5452" s="15">
        <v>11.36</v>
      </c>
      <c r="E5452" s="16" t="s">
        <v>30</v>
      </c>
    </row>
    <row r="5453" spans="1:5" x14ac:dyDescent="0.25">
      <c r="A5453" s="14">
        <v>934451</v>
      </c>
      <c r="B5453" s="14" t="s">
        <v>5569</v>
      </c>
      <c r="C5453" s="14" t="s">
        <v>13031</v>
      </c>
      <c r="D5453" s="15">
        <v>29.75</v>
      </c>
      <c r="E5453" s="14" t="s">
        <v>30</v>
      </c>
    </row>
    <row r="5454" spans="1:5" x14ac:dyDescent="0.25">
      <c r="A5454" s="14">
        <v>934461</v>
      </c>
      <c r="B5454" s="14" t="s">
        <v>5570</v>
      </c>
      <c r="C5454" s="14" t="s">
        <v>13029</v>
      </c>
      <c r="D5454" s="15">
        <v>1.85</v>
      </c>
      <c r="E5454" s="16" t="s">
        <v>30</v>
      </c>
    </row>
    <row r="5455" spans="1:5" x14ac:dyDescent="0.25">
      <c r="A5455" s="14">
        <v>934462</v>
      </c>
      <c r="B5455" s="14" t="s">
        <v>5571</v>
      </c>
      <c r="C5455" s="14" t="s">
        <v>13029</v>
      </c>
      <c r="D5455" s="15">
        <v>7.06</v>
      </c>
      <c r="E5455" s="16" t="s">
        <v>30</v>
      </c>
    </row>
    <row r="5456" spans="1:5" x14ac:dyDescent="0.25">
      <c r="A5456" s="14">
        <v>934463</v>
      </c>
      <c r="B5456" s="14" t="s">
        <v>5572</v>
      </c>
      <c r="C5456" s="14" t="s">
        <v>13029</v>
      </c>
      <c r="D5456" s="15">
        <v>5.87</v>
      </c>
      <c r="E5456" s="16" t="s">
        <v>30</v>
      </c>
    </row>
    <row r="5457" spans="1:5" x14ac:dyDescent="0.25">
      <c r="A5457" s="14">
        <v>934464</v>
      </c>
      <c r="B5457" s="14" t="s">
        <v>5573</v>
      </c>
      <c r="C5457" s="14" t="s">
        <v>13029</v>
      </c>
      <c r="D5457" s="15">
        <v>5.87</v>
      </c>
      <c r="E5457" s="16" t="s">
        <v>30</v>
      </c>
    </row>
    <row r="5458" spans="1:5" x14ac:dyDescent="0.25">
      <c r="A5458" s="14">
        <v>934465</v>
      </c>
      <c r="B5458" s="14" t="s">
        <v>5574</v>
      </c>
      <c r="C5458" s="14" t="s">
        <v>13029</v>
      </c>
      <c r="D5458" s="15">
        <v>7.06</v>
      </c>
      <c r="E5458" s="16" t="s">
        <v>30</v>
      </c>
    </row>
    <row r="5459" spans="1:5" x14ac:dyDescent="0.25">
      <c r="A5459" s="14">
        <v>934466</v>
      </c>
      <c r="B5459" s="14" t="s">
        <v>5575</v>
      </c>
      <c r="C5459" s="14" t="s">
        <v>13029</v>
      </c>
      <c r="D5459" s="15">
        <v>4.3499999999999996</v>
      </c>
      <c r="E5459" s="16" t="s">
        <v>30</v>
      </c>
    </row>
    <row r="5460" spans="1:5" x14ac:dyDescent="0.25">
      <c r="A5460" s="14">
        <v>934476</v>
      </c>
      <c r="B5460" s="14" t="s">
        <v>5576</v>
      </c>
      <c r="C5460" s="14" t="s">
        <v>13030</v>
      </c>
      <c r="D5460" s="15">
        <v>20.2</v>
      </c>
      <c r="E5460" s="16" t="s">
        <v>30</v>
      </c>
    </row>
    <row r="5461" spans="1:5" x14ac:dyDescent="0.25">
      <c r="A5461" s="14">
        <v>934478</v>
      </c>
      <c r="B5461" s="14" t="s">
        <v>5577</v>
      </c>
      <c r="C5461" s="14" t="s">
        <v>13029</v>
      </c>
      <c r="D5461" s="15">
        <v>7.69</v>
      </c>
      <c r="E5461" s="14" t="s">
        <v>30</v>
      </c>
    </row>
    <row r="5462" spans="1:5" x14ac:dyDescent="0.25">
      <c r="A5462" s="14">
        <v>934480</v>
      </c>
      <c r="B5462" s="14" t="s">
        <v>5578</v>
      </c>
      <c r="C5462" s="14" t="s">
        <v>13029</v>
      </c>
      <c r="D5462" s="15">
        <v>7.69</v>
      </c>
      <c r="E5462" s="14" t="s">
        <v>30</v>
      </c>
    </row>
    <row r="5463" spans="1:5" x14ac:dyDescent="0.25">
      <c r="A5463" s="14">
        <v>934482</v>
      </c>
      <c r="B5463" s="14" t="s">
        <v>5579</v>
      </c>
      <c r="C5463" s="14" t="s">
        <v>13029</v>
      </c>
      <c r="D5463" s="15">
        <v>7.69</v>
      </c>
      <c r="E5463" s="14" t="s">
        <v>30</v>
      </c>
    </row>
    <row r="5464" spans="1:5" x14ac:dyDescent="0.25">
      <c r="A5464" s="14">
        <v>934484</v>
      </c>
      <c r="B5464" s="14" t="s">
        <v>5580</v>
      </c>
      <c r="C5464" s="14" t="s">
        <v>13029</v>
      </c>
      <c r="D5464" s="15">
        <v>7.69</v>
      </c>
      <c r="E5464" s="14" t="s">
        <v>30</v>
      </c>
    </row>
    <row r="5465" spans="1:5" x14ac:dyDescent="0.25">
      <c r="A5465" s="14">
        <v>934520</v>
      </c>
      <c r="B5465" s="14" t="s">
        <v>5581</v>
      </c>
      <c r="C5465" s="14" t="s">
        <v>13029</v>
      </c>
      <c r="D5465" s="15">
        <v>17.739999999999998</v>
      </c>
      <c r="E5465" s="16" t="s">
        <v>30</v>
      </c>
    </row>
    <row r="5466" spans="1:5" x14ac:dyDescent="0.25">
      <c r="A5466" s="14">
        <v>934521</v>
      </c>
      <c r="B5466" s="14" t="s">
        <v>5582</v>
      </c>
      <c r="C5466" s="14" t="s">
        <v>13029</v>
      </c>
      <c r="D5466" s="15">
        <v>20.7</v>
      </c>
      <c r="E5466" s="16" t="s">
        <v>30</v>
      </c>
    </row>
    <row r="5467" spans="1:5" x14ac:dyDescent="0.25">
      <c r="A5467" s="14">
        <v>934522</v>
      </c>
      <c r="B5467" s="14" t="s">
        <v>5583</v>
      </c>
      <c r="C5467" s="14" t="s">
        <v>13029</v>
      </c>
      <c r="D5467" s="15">
        <v>17.739999999999998</v>
      </c>
      <c r="E5467" s="16" t="s">
        <v>30</v>
      </c>
    </row>
    <row r="5468" spans="1:5" x14ac:dyDescent="0.25">
      <c r="A5468" s="14">
        <v>934523</v>
      </c>
      <c r="B5468" s="14" t="s">
        <v>5584</v>
      </c>
      <c r="C5468" s="14" t="s">
        <v>13029</v>
      </c>
      <c r="D5468" s="15">
        <v>7.65</v>
      </c>
      <c r="E5468" s="16" t="s">
        <v>30</v>
      </c>
    </row>
    <row r="5469" spans="1:5" x14ac:dyDescent="0.25">
      <c r="A5469" s="14">
        <v>934524</v>
      </c>
      <c r="B5469" s="14" t="s">
        <v>5585</v>
      </c>
      <c r="C5469" s="14" t="s">
        <v>13029</v>
      </c>
      <c r="D5469" s="15">
        <v>8.84</v>
      </c>
      <c r="E5469" s="16" t="s">
        <v>30</v>
      </c>
    </row>
    <row r="5470" spans="1:5" x14ac:dyDescent="0.25">
      <c r="A5470" s="14">
        <v>934525</v>
      </c>
      <c r="B5470" s="14" t="s">
        <v>5586</v>
      </c>
      <c r="C5470" s="14" t="s">
        <v>13029</v>
      </c>
      <c r="D5470" s="15">
        <v>4.09</v>
      </c>
      <c r="E5470" s="16" t="s">
        <v>30</v>
      </c>
    </row>
    <row r="5471" spans="1:5" x14ac:dyDescent="0.25">
      <c r="A5471" s="14">
        <v>934526</v>
      </c>
      <c r="B5471" s="14" t="s">
        <v>5587</v>
      </c>
      <c r="C5471" s="14" t="s">
        <v>13029</v>
      </c>
      <c r="D5471" s="15">
        <v>4.09</v>
      </c>
      <c r="E5471" s="16" t="s">
        <v>30</v>
      </c>
    </row>
    <row r="5472" spans="1:5" x14ac:dyDescent="0.25">
      <c r="A5472" s="14">
        <v>934528</v>
      </c>
      <c r="B5472" s="14" t="s">
        <v>5588</v>
      </c>
      <c r="C5472" s="14" t="s">
        <v>13029</v>
      </c>
      <c r="D5472" s="15">
        <v>8.84</v>
      </c>
      <c r="E5472" s="16" t="s">
        <v>30</v>
      </c>
    </row>
    <row r="5473" spans="1:5" x14ac:dyDescent="0.25">
      <c r="A5473" s="14">
        <v>934529</v>
      </c>
      <c r="B5473" s="14" t="s">
        <v>5589</v>
      </c>
      <c r="C5473" s="14" t="s">
        <v>13029</v>
      </c>
      <c r="D5473" s="15">
        <v>7.65</v>
      </c>
      <c r="E5473" s="16" t="s">
        <v>30</v>
      </c>
    </row>
    <row r="5474" spans="1:5" x14ac:dyDescent="0.25">
      <c r="A5474" s="14">
        <v>934531</v>
      </c>
      <c r="B5474" s="14" t="s">
        <v>5590</v>
      </c>
      <c r="C5474" s="14" t="s">
        <v>13029</v>
      </c>
      <c r="D5474" s="15">
        <v>3.5</v>
      </c>
      <c r="E5474" s="16" t="s">
        <v>30</v>
      </c>
    </row>
    <row r="5475" spans="1:5" x14ac:dyDescent="0.25">
      <c r="A5475" s="14">
        <v>934532</v>
      </c>
      <c r="B5475" s="14" t="s">
        <v>5591</v>
      </c>
      <c r="C5475" s="14" t="s">
        <v>13029</v>
      </c>
      <c r="D5475" s="15">
        <v>5.87</v>
      </c>
      <c r="E5475" s="16" t="s">
        <v>30</v>
      </c>
    </row>
    <row r="5476" spans="1:5" x14ac:dyDescent="0.25">
      <c r="A5476" s="14">
        <v>934533</v>
      </c>
      <c r="B5476" s="14" t="s">
        <v>5592</v>
      </c>
      <c r="C5476" s="14" t="s">
        <v>13029</v>
      </c>
      <c r="D5476" s="15">
        <v>11.81</v>
      </c>
      <c r="E5476" s="16" t="s">
        <v>30</v>
      </c>
    </row>
    <row r="5477" spans="1:5" x14ac:dyDescent="0.25">
      <c r="A5477" s="14">
        <v>934534</v>
      </c>
      <c r="B5477" s="14" t="s">
        <v>5593</v>
      </c>
      <c r="C5477" s="14" t="s">
        <v>13029</v>
      </c>
      <c r="D5477" s="15">
        <v>11.81</v>
      </c>
      <c r="E5477" s="16" t="s">
        <v>30</v>
      </c>
    </row>
    <row r="5478" spans="1:5" x14ac:dyDescent="0.25">
      <c r="A5478" s="14">
        <v>934535</v>
      </c>
      <c r="B5478" s="14" t="s">
        <v>5594</v>
      </c>
      <c r="C5478" s="14" t="s">
        <v>13029</v>
      </c>
      <c r="D5478" s="15">
        <v>13.58</v>
      </c>
      <c r="E5478" s="16" t="s">
        <v>30</v>
      </c>
    </row>
    <row r="5479" spans="1:5" x14ac:dyDescent="0.25">
      <c r="A5479" s="14">
        <v>934536</v>
      </c>
      <c r="B5479" s="14" t="s">
        <v>5595</v>
      </c>
      <c r="C5479" s="14" t="s">
        <v>13029</v>
      </c>
      <c r="D5479" s="15">
        <v>17.739999999999998</v>
      </c>
      <c r="E5479" s="16" t="s">
        <v>30</v>
      </c>
    </row>
    <row r="5480" spans="1:5" x14ac:dyDescent="0.25">
      <c r="A5480" s="14">
        <v>934537</v>
      </c>
      <c r="B5480" s="14" t="s">
        <v>5596</v>
      </c>
      <c r="C5480" s="14" t="s">
        <v>13029</v>
      </c>
      <c r="D5480" s="15">
        <v>23.74</v>
      </c>
      <c r="E5480" s="16" t="s">
        <v>30</v>
      </c>
    </row>
    <row r="5481" spans="1:5" x14ac:dyDescent="0.25">
      <c r="A5481" s="14">
        <v>934538</v>
      </c>
      <c r="B5481" s="14" t="s">
        <v>5597</v>
      </c>
      <c r="C5481" s="14" t="s">
        <v>13029</v>
      </c>
      <c r="D5481" s="15">
        <v>166</v>
      </c>
      <c r="E5481" s="16" t="s">
        <v>30</v>
      </c>
    </row>
    <row r="5482" spans="1:5" x14ac:dyDescent="0.25">
      <c r="A5482" s="14">
        <v>934856</v>
      </c>
      <c r="B5482" s="14" t="s">
        <v>5598</v>
      </c>
      <c r="C5482" s="14" t="s">
        <v>13029</v>
      </c>
      <c r="D5482" s="15">
        <v>103.6</v>
      </c>
      <c r="E5482" s="16" t="s">
        <v>30</v>
      </c>
    </row>
    <row r="5483" spans="1:5" x14ac:dyDescent="0.25">
      <c r="A5483" s="14">
        <v>934857</v>
      </c>
      <c r="B5483" s="14" t="s">
        <v>5599</v>
      </c>
      <c r="C5483" s="14" t="s">
        <v>13029</v>
      </c>
      <c r="D5483" s="15">
        <v>107.46</v>
      </c>
      <c r="E5483" s="16" t="s">
        <v>30</v>
      </c>
    </row>
    <row r="5484" spans="1:5" x14ac:dyDescent="0.25">
      <c r="A5484" s="14">
        <v>934874</v>
      </c>
      <c r="B5484" s="14" t="s">
        <v>5600</v>
      </c>
      <c r="C5484" s="14" t="s">
        <v>13030</v>
      </c>
      <c r="D5484" s="15">
        <v>39.67</v>
      </c>
      <c r="E5484" s="16" t="s">
        <v>30</v>
      </c>
    </row>
    <row r="5485" spans="1:5" x14ac:dyDescent="0.25">
      <c r="A5485" s="14">
        <v>934884</v>
      </c>
      <c r="B5485" s="14" t="s">
        <v>5601</v>
      </c>
      <c r="C5485" s="14" t="s">
        <v>13031</v>
      </c>
      <c r="D5485" s="15">
        <v>5.91</v>
      </c>
      <c r="E5485" s="16" t="s">
        <v>30</v>
      </c>
    </row>
    <row r="5486" spans="1:5" x14ac:dyDescent="0.25">
      <c r="A5486" s="14">
        <v>934885</v>
      </c>
      <c r="B5486" s="14" t="s">
        <v>5602</v>
      </c>
      <c r="C5486" s="14" t="s">
        <v>13031</v>
      </c>
      <c r="D5486" s="15">
        <v>5.91</v>
      </c>
      <c r="E5486" s="16" t="s">
        <v>30</v>
      </c>
    </row>
    <row r="5487" spans="1:5" x14ac:dyDescent="0.25">
      <c r="A5487" s="14">
        <v>934886</v>
      </c>
      <c r="B5487" s="14" t="s">
        <v>5603</v>
      </c>
      <c r="C5487" s="14" t="s">
        <v>13031</v>
      </c>
      <c r="D5487" s="15">
        <v>5.97</v>
      </c>
      <c r="E5487" s="16" t="s">
        <v>30</v>
      </c>
    </row>
    <row r="5488" spans="1:5" x14ac:dyDescent="0.25">
      <c r="A5488" s="14">
        <v>934887</v>
      </c>
      <c r="B5488" s="14" t="s">
        <v>5604</v>
      </c>
      <c r="C5488" s="14" t="s">
        <v>13031</v>
      </c>
      <c r="D5488" s="15">
        <v>4.4800000000000004</v>
      </c>
      <c r="E5488" s="16" t="s">
        <v>30</v>
      </c>
    </row>
    <row r="5489" spans="1:5" x14ac:dyDescent="0.25">
      <c r="A5489" s="14">
        <v>934888</v>
      </c>
      <c r="B5489" s="14" t="s">
        <v>5605</v>
      </c>
      <c r="C5489" s="14" t="s">
        <v>13031</v>
      </c>
      <c r="D5489" s="15">
        <v>4.4800000000000004</v>
      </c>
      <c r="E5489" s="16" t="s">
        <v>30</v>
      </c>
    </row>
    <row r="5490" spans="1:5" x14ac:dyDescent="0.25">
      <c r="A5490" s="14">
        <v>934889</v>
      </c>
      <c r="B5490" s="14" t="s">
        <v>5606</v>
      </c>
      <c r="C5490" s="14" t="s">
        <v>13031</v>
      </c>
      <c r="D5490" s="15">
        <v>8.31</v>
      </c>
      <c r="E5490" s="16" t="s">
        <v>30</v>
      </c>
    </row>
    <row r="5491" spans="1:5" x14ac:dyDescent="0.25">
      <c r="A5491" s="14">
        <v>934890</v>
      </c>
      <c r="B5491" s="14" t="s">
        <v>5607</v>
      </c>
      <c r="C5491" s="14" t="s">
        <v>13031</v>
      </c>
      <c r="D5491" s="15">
        <v>8.5399999999999991</v>
      </c>
      <c r="E5491" s="16" t="s">
        <v>30</v>
      </c>
    </row>
    <row r="5492" spans="1:5" x14ac:dyDescent="0.25">
      <c r="A5492" s="14">
        <v>935015</v>
      </c>
      <c r="B5492" s="14" t="s">
        <v>5608</v>
      </c>
      <c r="C5492" s="14" t="s">
        <v>13030</v>
      </c>
      <c r="D5492" s="15">
        <v>1.1000000000000001</v>
      </c>
      <c r="E5492" s="16" t="s">
        <v>30</v>
      </c>
    </row>
    <row r="5493" spans="1:5" x14ac:dyDescent="0.25">
      <c r="A5493" s="14">
        <v>935132</v>
      </c>
      <c r="B5493" s="14" t="s">
        <v>5609</v>
      </c>
      <c r="C5493" s="14" t="s">
        <v>13031</v>
      </c>
      <c r="D5493" s="15">
        <v>6.53</v>
      </c>
      <c r="E5493" s="16" t="s">
        <v>30</v>
      </c>
    </row>
    <row r="5494" spans="1:5" x14ac:dyDescent="0.25">
      <c r="A5494" s="14">
        <v>935133</v>
      </c>
      <c r="B5494" s="14" t="s">
        <v>5610</v>
      </c>
      <c r="C5494" s="14" t="s">
        <v>13031</v>
      </c>
      <c r="D5494" s="15">
        <v>5.93</v>
      </c>
      <c r="E5494" s="16" t="s">
        <v>30</v>
      </c>
    </row>
    <row r="5495" spans="1:5" x14ac:dyDescent="0.25">
      <c r="A5495" s="14">
        <v>935149</v>
      </c>
      <c r="B5495" s="14" t="s">
        <v>5611</v>
      </c>
      <c r="C5495" s="14" t="s">
        <v>13029</v>
      </c>
      <c r="D5495" s="15">
        <v>42.03</v>
      </c>
      <c r="E5495" s="16" t="s">
        <v>30</v>
      </c>
    </row>
    <row r="5496" spans="1:5" x14ac:dyDescent="0.25">
      <c r="A5496" s="14">
        <v>935150</v>
      </c>
      <c r="B5496" s="14" t="s">
        <v>5612</v>
      </c>
      <c r="C5496" s="14" t="s">
        <v>13029</v>
      </c>
      <c r="D5496" s="15">
        <v>24.47</v>
      </c>
      <c r="E5496" s="16" t="s">
        <v>30</v>
      </c>
    </row>
    <row r="5497" spans="1:5" x14ac:dyDescent="0.25">
      <c r="A5497" s="14">
        <v>935151</v>
      </c>
      <c r="B5497" s="14" t="s">
        <v>5613</v>
      </c>
      <c r="C5497" s="14" t="s">
        <v>13029</v>
      </c>
      <c r="D5497" s="15">
        <v>28.18</v>
      </c>
      <c r="E5497" s="16" t="s">
        <v>30</v>
      </c>
    </row>
    <row r="5498" spans="1:5" x14ac:dyDescent="0.25">
      <c r="A5498" s="14">
        <v>935152</v>
      </c>
      <c r="B5498" s="14" t="s">
        <v>5614</v>
      </c>
      <c r="C5498" s="14" t="s">
        <v>13029</v>
      </c>
      <c r="D5498" s="15">
        <v>14.32</v>
      </c>
      <c r="E5498" s="16" t="s">
        <v>30</v>
      </c>
    </row>
    <row r="5499" spans="1:5" x14ac:dyDescent="0.25">
      <c r="A5499" s="14">
        <v>935153</v>
      </c>
      <c r="B5499" s="14" t="s">
        <v>5615</v>
      </c>
      <c r="C5499" s="14" t="s">
        <v>13029</v>
      </c>
      <c r="D5499" s="15">
        <v>14.32</v>
      </c>
      <c r="E5499" s="16" t="s">
        <v>30</v>
      </c>
    </row>
    <row r="5500" spans="1:5" x14ac:dyDescent="0.25">
      <c r="A5500" s="14">
        <v>935372</v>
      </c>
      <c r="B5500" s="14" t="s">
        <v>5616</v>
      </c>
      <c r="C5500" s="14" t="s">
        <v>13031</v>
      </c>
      <c r="D5500" s="15">
        <v>5.65</v>
      </c>
      <c r="E5500" s="16" t="s">
        <v>30</v>
      </c>
    </row>
    <row r="5501" spans="1:5" x14ac:dyDescent="0.25">
      <c r="A5501" s="14">
        <v>935373</v>
      </c>
      <c r="B5501" s="14" t="s">
        <v>5617</v>
      </c>
      <c r="C5501" s="14" t="s">
        <v>13031</v>
      </c>
      <c r="D5501" s="15">
        <v>3.55</v>
      </c>
      <c r="E5501" s="16" t="s">
        <v>30</v>
      </c>
    </row>
    <row r="5502" spans="1:5" x14ac:dyDescent="0.25">
      <c r="A5502" s="14">
        <v>935374</v>
      </c>
      <c r="B5502" s="14" t="s">
        <v>5618</v>
      </c>
      <c r="C5502" s="14" t="s">
        <v>13031</v>
      </c>
      <c r="D5502" s="15">
        <v>4.5999999999999996</v>
      </c>
      <c r="E5502" s="16" t="s">
        <v>30</v>
      </c>
    </row>
    <row r="5503" spans="1:5" x14ac:dyDescent="0.25">
      <c r="A5503" s="14">
        <v>935581</v>
      </c>
      <c r="B5503" s="14" t="s">
        <v>5619</v>
      </c>
      <c r="C5503" s="14" t="s">
        <v>13031</v>
      </c>
      <c r="D5503" s="15">
        <v>12.6</v>
      </c>
      <c r="E5503" s="16" t="s">
        <v>30</v>
      </c>
    </row>
    <row r="5504" spans="1:5" x14ac:dyDescent="0.25">
      <c r="A5504" s="14">
        <v>936489</v>
      </c>
      <c r="B5504" s="14" t="s">
        <v>5620</v>
      </c>
      <c r="C5504" s="14" t="s">
        <v>13029</v>
      </c>
      <c r="D5504" s="15">
        <v>32.89</v>
      </c>
      <c r="E5504" s="16" t="s">
        <v>30</v>
      </c>
    </row>
    <row r="5505" spans="1:5" x14ac:dyDescent="0.25">
      <c r="A5505" s="14">
        <v>936490</v>
      </c>
      <c r="B5505" s="14" t="s">
        <v>5621</v>
      </c>
      <c r="C5505" s="14" t="s">
        <v>13029</v>
      </c>
      <c r="D5505" s="15">
        <v>32.89</v>
      </c>
      <c r="E5505" s="16" t="s">
        <v>30</v>
      </c>
    </row>
    <row r="5506" spans="1:5" x14ac:dyDescent="0.25">
      <c r="A5506" s="14">
        <v>936505</v>
      </c>
      <c r="B5506" s="14" t="s">
        <v>5622</v>
      </c>
      <c r="C5506" s="14" t="s">
        <v>13029</v>
      </c>
      <c r="D5506" s="15">
        <v>17.809999999999999</v>
      </c>
      <c r="E5506" s="16" t="s">
        <v>30</v>
      </c>
    </row>
    <row r="5507" spans="1:5" x14ac:dyDescent="0.25">
      <c r="A5507" s="14">
        <v>936729</v>
      </c>
      <c r="B5507" s="14" t="s">
        <v>5623</v>
      </c>
      <c r="C5507" s="14" t="s">
        <v>13031</v>
      </c>
      <c r="D5507" s="15">
        <v>13.46</v>
      </c>
      <c r="E5507" s="16" t="s">
        <v>30</v>
      </c>
    </row>
    <row r="5508" spans="1:5" x14ac:dyDescent="0.25">
      <c r="A5508" s="14">
        <v>936741</v>
      </c>
      <c r="B5508" s="14" t="s">
        <v>5624</v>
      </c>
      <c r="C5508" s="14" t="s">
        <v>13030</v>
      </c>
      <c r="D5508" s="15">
        <v>93.75</v>
      </c>
      <c r="E5508" s="16" t="s">
        <v>30</v>
      </c>
    </row>
    <row r="5509" spans="1:5" x14ac:dyDescent="0.25">
      <c r="A5509" s="14">
        <v>936758</v>
      </c>
      <c r="B5509" s="14" t="s">
        <v>5625</v>
      </c>
      <c r="C5509" s="14" t="s">
        <v>13031</v>
      </c>
      <c r="D5509" s="15">
        <v>6.19</v>
      </c>
      <c r="E5509" s="16" t="s">
        <v>30</v>
      </c>
    </row>
    <row r="5510" spans="1:5" x14ac:dyDescent="0.25">
      <c r="A5510" s="14">
        <v>936759</v>
      </c>
      <c r="B5510" s="14" t="s">
        <v>5626</v>
      </c>
      <c r="C5510" s="14" t="s">
        <v>13031</v>
      </c>
      <c r="D5510" s="15">
        <v>5.14</v>
      </c>
      <c r="E5510" s="16" t="s">
        <v>30</v>
      </c>
    </row>
    <row r="5511" spans="1:5" x14ac:dyDescent="0.25">
      <c r="A5511" s="14">
        <v>936760</v>
      </c>
      <c r="B5511" s="14" t="s">
        <v>5627</v>
      </c>
      <c r="C5511" s="14" t="s">
        <v>13031</v>
      </c>
      <c r="D5511" s="15">
        <v>5.95</v>
      </c>
      <c r="E5511" s="16" t="s">
        <v>30</v>
      </c>
    </row>
    <row r="5512" spans="1:5" x14ac:dyDescent="0.25">
      <c r="A5512" s="14">
        <v>936761</v>
      </c>
      <c r="B5512" s="14" t="s">
        <v>5628</v>
      </c>
      <c r="C5512" s="14" t="s">
        <v>13031</v>
      </c>
      <c r="D5512" s="15">
        <v>5.81</v>
      </c>
      <c r="E5512" s="16" t="s">
        <v>30</v>
      </c>
    </row>
    <row r="5513" spans="1:5" x14ac:dyDescent="0.25">
      <c r="A5513" s="14">
        <v>936762</v>
      </c>
      <c r="B5513" s="14" t="s">
        <v>5629</v>
      </c>
      <c r="C5513" s="14" t="s">
        <v>13031</v>
      </c>
      <c r="D5513" s="15">
        <v>6.58</v>
      </c>
      <c r="E5513" s="16" t="s">
        <v>30</v>
      </c>
    </row>
    <row r="5514" spans="1:5" x14ac:dyDescent="0.25">
      <c r="A5514" s="14">
        <v>936763</v>
      </c>
      <c r="B5514" s="14" t="s">
        <v>5630</v>
      </c>
      <c r="C5514" s="14" t="s">
        <v>13031</v>
      </c>
      <c r="D5514" s="15">
        <v>8.34</v>
      </c>
      <c r="E5514" s="16" t="s">
        <v>30</v>
      </c>
    </row>
    <row r="5515" spans="1:5" x14ac:dyDescent="0.25">
      <c r="A5515" s="14">
        <v>936764</v>
      </c>
      <c r="B5515" s="14" t="s">
        <v>5631</v>
      </c>
      <c r="C5515" s="14" t="s">
        <v>13031</v>
      </c>
      <c r="D5515" s="15">
        <v>8.52</v>
      </c>
      <c r="E5515" s="16" t="s">
        <v>30</v>
      </c>
    </row>
    <row r="5516" spans="1:5" x14ac:dyDescent="0.25">
      <c r="A5516" s="14">
        <v>936765</v>
      </c>
      <c r="B5516" s="14" t="s">
        <v>5632</v>
      </c>
      <c r="C5516" s="14" t="s">
        <v>13031</v>
      </c>
      <c r="D5516" s="15">
        <v>5.14</v>
      </c>
      <c r="E5516" s="16" t="s">
        <v>30</v>
      </c>
    </row>
    <row r="5517" spans="1:5" x14ac:dyDescent="0.25">
      <c r="A5517" s="14">
        <v>937079</v>
      </c>
      <c r="B5517" s="14" t="s">
        <v>5633</v>
      </c>
      <c r="C5517" s="14" t="s">
        <v>13029</v>
      </c>
      <c r="D5517" s="15">
        <v>8.4600000000000009</v>
      </c>
      <c r="E5517" s="16" t="s">
        <v>30</v>
      </c>
    </row>
    <row r="5518" spans="1:5" x14ac:dyDescent="0.25">
      <c r="A5518" s="14">
        <v>937080</v>
      </c>
      <c r="B5518" s="14" t="s">
        <v>5634</v>
      </c>
      <c r="C5518" s="14" t="s">
        <v>13029</v>
      </c>
      <c r="D5518" s="15">
        <v>8.4600000000000009</v>
      </c>
      <c r="E5518" s="16" t="s">
        <v>30</v>
      </c>
    </row>
    <row r="5519" spans="1:5" x14ac:dyDescent="0.25">
      <c r="A5519" s="14">
        <v>937081</v>
      </c>
      <c r="B5519" s="14" t="s">
        <v>5635</v>
      </c>
      <c r="C5519" s="14" t="s">
        <v>13029</v>
      </c>
      <c r="D5519" s="15">
        <v>6.76</v>
      </c>
      <c r="E5519" s="16" t="s">
        <v>30</v>
      </c>
    </row>
    <row r="5520" spans="1:5" x14ac:dyDescent="0.25">
      <c r="A5520" s="14">
        <v>937082</v>
      </c>
      <c r="B5520" s="14" t="s">
        <v>5636</v>
      </c>
      <c r="C5520" s="14" t="s">
        <v>13029</v>
      </c>
      <c r="D5520" s="15">
        <v>6.76</v>
      </c>
      <c r="E5520" s="16" t="s">
        <v>30</v>
      </c>
    </row>
    <row r="5521" spans="1:5" x14ac:dyDescent="0.25">
      <c r="A5521" s="14">
        <v>902564</v>
      </c>
      <c r="B5521" s="14" t="s">
        <v>5637</v>
      </c>
      <c r="C5521" s="14" t="s">
        <v>13030</v>
      </c>
      <c r="D5521" s="15">
        <v>31.16</v>
      </c>
      <c r="E5521" s="16" t="s">
        <v>20</v>
      </c>
    </row>
    <row r="5522" spans="1:5" x14ac:dyDescent="0.25">
      <c r="A5522" s="14">
        <v>902565</v>
      </c>
      <c r="B5522" s="14" t="s">
        <v>5638</v>
      </c>
      <c r="C5522" s="14" t="s">
        <v>13030</v>
      </c>
      <c r="D5522" s="15">
        <v>25.08</v>
      </c>
      <c r="E5522" s="16" t="s">
        <v>20</v>
      </c>
    </row>
    <row r="5523" spans="1:5" x14ac:dyDescent="0.25">
      <c r="A5523" s="14">
        <v>937083</v>
      </c>
      <c r="B5523" s="14" t="s">
        <v>5639</v>
      </c>
      <c r="C5523" s="14" t="s">
        <v>13029</v>
      </c>
      <c r="D5523" s="15">
        <v>8.4600000000000009</v>
      </c>
      <c r="E5523" s="16" t="s">
        <v>30</v>
      </c>
    </row>
    <row r="5524" spans="1:5" x14ac:dyDescent="0.25">
      <c r="A5524" s="14">
        <v>937084</v>
      </c>
      <c r="B5524" s="14" t="s">
        <v>5640</v>
      </c>
      <c r="C5524" s="14" t="s">
        <v>13029</v>
      </c>
      <c r="D5524" s="15">
        <v>8.4600000000000009</v>
      </c>
      <c r="E5524" s="16" t="s">
        <v>30</v>
      </c>
    </row>
    <row r="5525" spans="1:5" x14ac:dyDescent="0.25">
      <c r="A5525" s="14">
        <v>937085</v>
      </c>
      <c r="B5525" s="14" t="s">
        <v>5641</v>
      </c>
      <c r="C5525" s="14" t="s">
        <v>13029</v>
      </c>
      <c r="D5525" s="15">
        <v>8.4600000000000009</v>
      </c>
      <c r="E5525" s="16" t="s">
        <v>30</v>
      </c>
    </row>
    <row r="5526" spans="1:5" x14ac:dyDescent="0.25">
      <c r="A5526" s="14">
        <v>937086</v>
      </c>
      <c r="B5526" s="14" t="s">
        <v>5642</v>
      </c>
      <c r="C5526" s="14" t="s">
        <v>13029</v>
      </c>
      <c r="D5526" s="15">
        <v>11.3</v>
      </c>
      <c r="E5526" s="16" t="s">
        <v>30</v>
      </c>
    </row>
    <row r="5527" spans="1:5" x14ac:dyDescent="0.25">
      <c r="A5527" s="14">
        <v>937087</v>
      </c>
      <c r="B5527" s="14" t="s">
        <v>5643</v>
      </c>
      <c r="C5527" s="14" t="s">
        <v>13029</v>
      </c>
      <c r="D5527" s="15">
        <v>11.3</v>
      </c>
      <c r="E5527" s="16" t="s">
        <v>30</v>
      </c>
    </row>
    <row r="5528" spans="1:5" x14ac:dyDescent="0.25">
      <c r="A5528" s="14">
        <v>937088</v>
      </c>
      <c r="B5528" s="14" t="s">
        <v>5644</v>
      </c>
      <c r="C5528" s="14" t="s">
        <v>13029</v>
      </c>
      <c r="D5528" s="15">
        <v>11.3</v>
      </c>
      <c r="E5528" s="16" t="s">
        <v>30</v>
      </c>
    </row>
    <row r="5529" spans="1:5" x14ac:dyDescent="0.25">
      <c r="A5529" s="14">
        <v>937089</v>
      </c>
      <c r="B5529" s="14" t="s">
        <v>5645</v>
      </c>
      <c r="C5529" s="14" t="s">
        <v>13029</v>
      </c>
      <c r="D5529" s="15">
        <v>8.4600000000000009</v>
      </c>
      <c r="E5529" s="16" t="s">
        <v>30</v>
      </c>
    </row>
    <row r="5530" spans="1:5" x14ac:dyDescent="0.25">
      <c r="A5530" s="14">
        <v>937090</v>
      </c>
      <c r="B5530" s="14" t="s">
        <v>5646</v>
      </c>
      <c r="C5530" s="14" t="s">
        <v>13029</v>
      </c>
      <c r="D5530" s="15">
        <v>11.3</v>
      </c>
      <c r="E5530" s="16" t="s">
        <v>30</v>
      </c>
    </row>
    <row r="5531" spans="1:5" x14ac:dyDescent="0.25">
      <c r="A5531" s="14">
        <v>937091</v>
      </c>
      <c r="B5531" s="14" t="s">
        <v>5647</v>
      </c>
      <c r="C5531" s="14" t="s">
        <v>13029</v>
      </c>
      <c r="D5531" s="15">
        <v>8.4600000000000009</v>
      </c>
      <c r="E5531" s="16" t="s">
        <v>30</v>
      </c>
    </row>
    <row r="5532" spans="1:5" x14ac:dyDescent="0.25">
      <c r="A5532" s="14">
        <v>937092</v>
      </c>
      <c r="B5532" s="14" t="s">
        <v>5648</v>
      </c>
      <c r="C5532" s="14" t="s">
        <v>13029</v>
      </c>
      <c r="D5532" s="15">
        <v>11.3</v>
      </c>
      <c r="E5532" s="16" t="s">
        <v>30</v>
      </c>
    </row>
    <row r="5533" spans="1:5" x14ac:dyDescent="0.25">
      <c r="A5533" s="14">
        <v>937093</v>
      </c>
      <c r="B5533" s="14" t="s">
        <v>5649</v>
      </c>
      <c r="C5533" s="14" t="s">
        <v>13029</v>
      </c>
      <c r="D5533" s="15">
        <v>11.3</v>
      </c>
      <c r="E5533" s="16" t="s">
        <v>30</v>
      </c>
    </row>
    <row r="5534" spans="1:5" x14ac:dyDescent="0.25">
      <c r="A5534" s="14">
        <v>937094</v>
      </c>
      <c r="B5534" s="14" t="s">
        <v>5650</v>
      </c>
      <c r="C5534" s="14" t="s">
        <v>13029</v>
      </c>
      <c r="D5534" s="15">
        <v>11.3</v>
      </c>
      <c r="E5534" s="16" t="s">
        <v>30</v>
      </c>
    </row>
    <row r="5535" spans="1:5" x14ac:dyDescent="0.25">
      <c r="A5535" s="14">
        <v>937095</v>
      </c>
      <c r="B5535" s="14" t="s">
        <v>5651</v>
      </c>
      <c r="C5535" s="14" t="s">
        <v>13029</v>
      </c>
      <c r="D5535" s="15">
        <v>11.3</v>
      </c>
      <c r="E5535" s="16" t="s">
        <v>30</v>
      </c>
    </row>
    <row r="5536" spans="1:5" x14ac:dyDescent="0.25">
      <c r="A5536" s="14">
        <v>937096</v>
      </c>
      <c r="B5536" s="14" t="s">
        <v>5652</v>
      </c>
      <c r="C5536" s="14" t="s">
        <v>13029</v>
      </c>
      <c r="D5536" s="15">
        <v>11.3</v>
      </c>
      <c r="E5536" s="16" t="s">
        <v>30</v>
      </c>
    </row>
    <row r="5537" spans="1:5" x14ac:dyDescent="0.25">
      <c r="A5537" s="14">
        <v>938008</v>
      </c>
      <c r="B5537" s="14" t="s">
        <v>5653</v>
      </c>
      <c r="C5537" s="14" t="s">
        <v>13030</v>
      </c>
      <c r="D5537" s="15">
        <v>27.17</v>
      </c>
      <c r="E5537" s="16" t="s">
        <v>30</v>
      </c>
    </row>
    <row r="5538" spans="1:5" x14ac:dyDescent="0.25">
      <c r="A5538" s="14">
        <v>938009</v>
      </c>
      <c r="B5538" s="14" t="s">
        <v>5654</v>
      </c>
      <c r="C5538" s="14" t="s">
        <v>13030</v>
      </c>
      <c r="D5538" s="15">
        <v>33.950000000000003</v>
      </c>
      <c r="E5538" s="16" t="s">
        <v>30</v>
      </c>
    </row>
    <row r="5539" spans="1:5" x14ac:dyDescent="0.25">
      <c r="A5539" s="14">
        <v>938010</v>
      </c>
      <c r="B5539" s="14" t="s">
        <v>5655</v>
      </c>
      <c r="C5539" s="14" t="s">
        <v>13030</v>
      </c>
      <c r="D5539" s="15">
        <v>75.89</v>
      </c>
      <c r="E5539" s="16" t="s">
        <v>30</v>
      </c>
    </row>
    <row r="5540" spans="1:5" x14ac:dyDescent="0.25">
      <c r="A5540" s="14">
        <v>938011</v>
      </c>
      <c r="B5540" s="14" t="s">
        <v>5656</v>
      </c>
      <c r="C5540" s="14" t="s">
        <v>13030</v>
      </c>
      <c r="D5540" s="15">
        <v>33.81</v>
      </c>
      <c r="E5540" s="16" t="s">
        <v>30</v>
      </c>
    </row>
    <row r="5541" spans="1:5" x14ac:dyDescent="0.25">
      <c r="A5541" s="14">
        <v>938012</v>
      </c>
      <c r="B5541" s="14" t="s">
        <v>5657</v>
      </c>
      <c r="C5541" s="14" t="s">
        <v>13030</v>
      </c>
      <c r="D5541" s="15">
        <v>40.28</v>
      </c>
      <c r="E5541" s="16" t="s">
        <v>30</v>
      </c>
    </row>
    <row r="5542" spans="1:5" x14ac:dyDescent="0.25">
      <c r="A5542" s="14">
        <v>938017</v>
      </c>
      <c r="B5542" s="14" t="s">
        <v>5658</v>
      </c>
      <c r="C5542" s="14" t="s">
        <v>13031</v>
      </c>
      <c r="D5542" s="15">
        <v>16.55</v>
      </c>
      <c r="E5542" s="16" t="s">
        <v>30</v>
      </c>
    </row>
    <row r="5543" spans="1:5" x14ac:dyDescent="0.25">
      <c r="A5543" s="14">
        <v>938021</v>
      </c>
      <c r="B5543" s="14" t="s">
        <v>5659</v>
      </c>
      <c r="C5543" s="14" t="s">
        <v>13029</v>
      </c>
      <c r="D5543" s="15">
        <v>28.48</v>
      </c>
      <c r="E5543" s="16" t="s">
        <v>30</v>
      </c>
    </row>
    <row r="5544" spans="1:5" x14ac:dyDescent="0.25">
      <c r="A5544" s="14">
        <v>938022</v>
      </c>
      <c r="B5544" s="14" t="s">
        <v>5660</v>
      </c>
      <c r="C5544" s="14" t="s">
        <v>13029</v>
      </c>
      <c r="D5544" s="15">
        <v>24.26</v>
      </c>
      <c r="E5544" s="16" t="s">
        <v>30</v>
      </c>
    </row>
    <row r="5545" spans="1:5" x14ac:dyDescent="0.25">
      <c r="A5545" s="14">
        <v>938024</v>
      </c>
      <c r="B5545" s="14" t="s">
        <v>5661</v>
      </c>
      <c r="C5545" s="14" t="s">
        <v>13029</v>
      </c>
      <c r="D5545" s="15">
        <v>20.7</v>
      </c>
      <c r="E5545" s="14" t="s">
        <v>30</v>
      </c>
    </row>
    <row r="5546" spans="1:5" x14ac:dyDescent="0.25">
      <c r="A5546" s="14">
        <v>938025</v>
      </c>
      <c r="B5546" s="14" t="s">
        <v>5662</v>
      </c>
      <c r="C5546" s="14" t="s">
        <v>13029</v>
      </c>
      <c r="D5546" s="15">
        <v>22.09</v>
      </c>
      <c r="E5546" s="16" t="s">
        <v>30</v>
      </c>
    </row>
    <row r="5547" spans="1:5" x14ac:dyDescent="0.25">
      <c r="A5547" s="14">
        <v>938027</v>
      </c>
      <c r="B5547" s="14" t="s">
        <v>5663</v>
      </c>
      <c r="C5547" s="14" t="s">
        <v>13031</v>
      </c>
      <c r="D5547" s="15">
        <v>5.15</v>
      </c>
      <c r="E5547" s="16" t="s">
        <v>30</v>
      </c>
    </row>
    <row r="5548" spans="1:5" x14ac:dyDescent="0.25">
      <c r="A5548" s="14">
        <v>938035</v>
      </c>
      <c r="B5548" s="14" t="s">
        <v>5664</v>
      </c>
      <c r="C5548" s="14" t="s">
        <v>13031</v>
      </c>
      <c r="D5548" s="15">
        <v>6.45</v>
      </c>
      <c r="E5548" s="16" t="s">
        <v>30</v>
      </c>
    </row>
    <row r="5549" spans="1:5" x14ac:dyDescent="0.25">
      <c r="A5549" s="14">
        <v>938056</v>
      </c>
      <c r="B5549" s="14" t="s">
        <v>5665</v>
      </c>
      <c r="C5549" s="14" t="s">
        <v>13029</v>
      </c>
      <c r="D5549" s="15">
        <v>22.23</v>
      </c>
      <c r="E5549" s="16" t="s">
        <v>30</v>
      </c>
    </row>
    <row r="5550" spans="1:5" x14ac:dyDescent="0.25">
      <c r="A5550" s="14">
        <v>938057</v>
      </c>
      <c r="B5550" s="14" t="s">
        <v>5666</v>
      </c>
      <c r="C5550" s="14" t="s">
        <v>13029</v>
      </c>
      <c r="D5550" s="15">
        <v>22.23</v>
      </c>
      <c r="E5550" s="16" t="s">
        <v>30</v>
      </c>
    </row>
    <row r="5551" spans="1:5" x14ac:dyDescent="0.25">
      <c r="A5551" s="14">
        <v>938058</v>
      </c>
      <c r="B5551" s="14" t="s">
        <v>5667</v>
      </c>
      <c r="C5551" s="14" t="s">
        <v>13029</v>
      </c>
      <c r="D5551" s="15">
        <v>22.23</v>
      </c>
      <c r="E5551" s="16" t="s">
        <v>30</v>
      </c>
    </row>
    <row r="5552" spans="1:5" x14ac:dyDescent="0.25">
      <c r="A5552" s="14">
        <v>938059</v>
      </c>
      <c r="B5552" s="14" t="s">
        <v>5668</v>
      </c>
      <c r="C5552" s="14" t="s">
        <v>13029</v>
      </c>
      <c r="D5552" s="15">
        <v>22.23</v>
      </c>
      <c r="E5552" s="16" t="s">
        <v>30</v>
      </c>
    </row>
    <row r="5553" spans="1:5" x14ac:dyDescent="0.25">
      <c r="A5553" s="14">
        <v>938060</v>
      </c>
      <c r="B5553" s="14" t="s">
        <v>5669</v>
      </c>
      <c r="C5553" s="14" t="s">
        <v>13029</v>
      </c>
      <c r="D5553" s="15">
        <v>22.23</v>
      </c>
      <c r="E5553" s="16" t="s">
        <v>30</v>
      </c>
    </row>
    <row r="5554" spans="1:5" x14ac:dyDescent="0.25">
      <c r="A5554" s="14">
        <v>938061</v>
      </c>
      <c r="B5554" s="14" t="s">
        <v>5670</v>
      </c>
      <c r="C5554" s="14" t="s">
        <v>13029</v>
      </c>
      <c r="D5554" s="15">
        <v>22.23</v>
      </c>
      <c r="E5554" s="16" t="s">
        <v>30</v>
      </c>
    </row>
    <row r="5555" spans="1:5" x14ac:dyDescent="0.25">
      <c r="A5555" s="14">
        <v>938062</v>
      </c>
      <c r="B5555" s="14" t="s">
        <v>5671</v>
      </c>
      <c r="C5555" s="14" t="s">
        <v>13029</v>
      </c>
      <c r="D5555" s="15">
        <v>22.23</v>
      </c>
      <c r="E5555" s="16" t="s">
        <v>30</v>
      </c>
    </row>
    <row r="5556" spans="1:5" x14ac:dyDescent="0.25">
      <c r="A5556" s="14">
        <v>938063</v>
      </c>
      <c r="B5556" s="14" t="s">
        <v>5672</v>
      </c>
      <c r="C5556" s="14" t="s">
        <v>13029</v>
      </c>
      <c r="D5556" s="15">
        <v>22.23</v>
      </c>
      <c r="E5556" s="16" t="s">
        <v>30</v>
      </c>
    </row>
    <row r="5557" spans="1:5" x14ac:dyDescent="0.25">
      <c r="A5557" s="14">
        <v>938167</v>
      </c>
      <c r="B5557" s="14" t="s">
        <v>5673</v>
      </c>
      <c r="C5557" s="14" t="s">
        <v>13029</v>
      </c>
      <c r="D5557" s="15">
        <v>15.7</v>
      </c>
      <c r="E5557" s="16" t="s">
        <v>30</v>
      </c>
    </row>
    <row r="5558" spans="1:5" x14ac:dyDescent="0.25">
      <c r="A5558" s="14">
        <v>938397</v>
      </c>
      <c r="B5558" s="14" t="s">
        <v>5674</v>
      </c>
      <c r="C5558" s="14" t="s">
        <v>13031</v>
      </c>
      <c r="D5558" s="15">
        <v>29.8</v>
      </c>
      <c r="E5558" s="16" t="s">
        <v>30</v>
      </c>
    </row>
    <row r="5559" spans="1:5" x14ac:dyDescent="0.25">
      <c r="A5559" s="14">
        <v>938408</v>
      </c>
      <c r="B5559" s="14" t="s">
        <v>5675</v>
      </c>
      <c r="C5559" s="14" t="s">
        <v>13029</v>
      </c>
      <c r="D5559" s="15">
        <v>2.63</v>
      </c>
      <c r="E5559" s="16" t="s">
        <v>30</v>
      </c>
    </row>
    <row r="5560" spans="1:5" x14ac:dyDescent="0.25">
      <c r="A5560" s="14">
        <v>938409</v>
      </c>
      <c r="B5560" s="14" t="s">
        <v>5676</v>
      </c>
      <c r="C5560" s="14" t="s">
        <v>13029</v>
      </c>
      <c r="D5560" s="15">
        <v>2.63</v>
      </c>
      <c r="E5560" s="16" t="s">
        <v>30</v>
      </c>
    </row>
    <row r="5561" spans="1:5" x14ac:dyDescent="0.25">
      <c r="A5561" s="14">
        <v>938570</v>
      </c>
      <c r="B5561" s="14" t="s">
        <v>5677</v>
      </c>
      <c r="C5561" s="14" t="s">
        <v>13030</v>
      </c>
      <c r="D5561" s="15">
        <v>20.79</v>
      </c>
      <c r="E5561" s="16" t="s">
        <v>30</v>
      </c>
    </row>
    <row r="5562" spans="1:5" x14ac:dyDescent="0.25">
      <c r="A5562" s="14">
        <v>938571</v>
      </c>
      <c r="B5562" s="14" t="s">
        <v>5678</v>
      </c>
      <c r="C5562" s="14" t="s">
        <v>13030</v>
      </c>
      <c r="D5562" s="15">
        <v>11.58</v>
      </c>
      <c r="E5562" s="16" t="s">
        <v>30</v>
      </c>
    </row>
    <row r="5563" spans="1:5" x14ac:dyDescent="0.25">
      <c r="A5563" s="14">
        <v>938584</v>
      </c>
      <c r="B5563" s="14" t="s">
        <v>5679</v>
      </c>
      <c r="C5563" s="14" t="s">
        <v>13030</v>
      </c>
      <c r="D5563" s="15">
        <v>6.78</v>
      </c>
      <c r="E5563" s="16" t="s">
        <v>30</v>
      </c>
    </row>
    <row r="5564" spans="1:5" x14ac:dyDescent="0.25">
      <c r="A5564" s="14">
        <v>938598</v>
      </c>
      <c r="B5564" s="14" t="s">
        <v>5680</v>
      </c>
      <c r="C5564" s="14" t="s">
        <v>13029</v>
      </c>
      <c r="D5564" s="15">
        <v>9.43</v>
      </c>
      <c r="E5564" s="14" t="s">
        <v>30</v>
      </c>
    </row>
    <row r="5565" spans="1:5" x14ac:dyDescent="0.25">
      <c r="A5565" s="14">
        <v>938599</v>
      </c>
      <c r="B5565" s="14" t="s">
        <v>5681</v>
      </c>
      <c r="C5565" s="14" t="s">
        <v>13029</v>
      </c>
      <c r="D5565" s="15">
        <v>9.43</v>
      </c>
      <c r="E5565" s="14" t="s">
        <v>30</v>
      </c>
    </row>
    <row r="5566" spans="1:5" x14ac:dyDescent="0.25">
      <c r="A5566" s="14">
        <v>938600</v>
      </c>
      <c r="B5566" s="14" t="s">
        <v>5682</v>
      </c>
      <c r="C5566" s="14" t="s">
        <v>13029</v>
      </c>
      <c r="D5566" s="15">
        <v>9.43</v>
      </c>
      <c r="E5566" s="14" t="s">
        <v>30</v>
      </c>
    </row>
    <row r="5567" spans="1:5" x14ac:dyDescent="0.25">
      <c r="A5567" s="14">
        <v>938601</v>
      </c>
      <c r="B5567" s="14" t="s">
        <v>5683</v>
      </c>
      <c r="C5567" s="14" t="s">
        <v>13029</v>
      </c>
      <c r="D5567" s="15">
        <v>8.0299999999999994</v>
      </c>
      <c r="E5567" s="14" t="s">
        <v>30</v>
      </c>
    </row>
    <row r="5568" spans="1:5" x14ac:dyDescent="0.25">
      <c r="A5568" s="14">
        <v>938656</v>
      </c>
      <c r="B5568" s="14" t="s">
        <v>5684</v>
      </c>
      <c r="C5568" s="14" t="s">
        <v>13031</v>
      </c>
      <c r="D5568" s="15">
        <v>1.65</v>
      </c>
      <c r="E5568" s="16" t="s">
        <v>30</v>
      </c>
    </row>
    <row r="5569" spans="1:5" x14ac:dyDescent="0.25">
      <c r="A5569" s="14">
        <v>938657</v>
      </c>
      <c r="B5569" s="14" t="s">
        <v>5685</v>
      </c>
      <c r="C5569" s="14" t="s">
        <v>13031</v>
      </c>
      <c r="D5569" s="15">
        <v>1.3</v>
      </c>
      <c r="E5569" s="16" t="s">
        <v>30</v>
      </c>
    </row>
    <row r="5570" spans="1:5" x14ac:dyDescent="0.25">
      <c r="A5570" s="14">
        <v>938658</v>
      </c>
      <c r="B5570" s="14" t="s">
        <v>5686</v>
      </c>
      <c r="C5570" s="14" t="s">
        <v>13031</v>
      </c>
      <c r="D5570" s="15">
        <v>1.5</v>
      </c>
      <c r="E5570" s="16" t="s">
        <v>30</v>
      </c>
    </row>
    <row r="5571" spans="1:5" x14ac:dyDescent="0.25">
      <c r="A5571" s="14">
        <v>938659</v>
      </c>
      <c r="B5571" s="14" t="s">
        <v>5687</v>
      </c>
      <c r="C5571" s="14" t="s">
        <v>13031</v>
      </c>
      <c r="D5571" s="15">
        <v>1.65</v>
      </c>
      <c r="E5571" s="16" t="s">
        <v>30</v>
      </c>
    </row>
    <row r="5572" spans="1:5" x14ac:dyDescent="0.25">
      <c r="A5572" s="14">
        <v>938660</v>
      </c>
      <c r="B5572" s="14" t="s">
        <v>5688</v>
      </c>
      <c r="C5572" s="14" t="s">
        <v>13031</v>
      </c>
      <c r="D5572" s="15">
        <v>1.65</v>
      </c>
      <c r="E5572" s="16" t="s">
        <v>30</v>
      </c>
    </row>
    <row r="5573" spans="1:5" x14ac:dyDescent="0.25">
      <c r="A5573" s="14">
        <v>938661</v>
      </c>
      <c r="B5573" s="14" t="s">
        <v>5689</v>
      </c>
      <c r="C5573" s="14" t="s">
        <v>13031</v>
      </c>
      <c r="D5573" s="15">
        <v>1.4</v>
      </c>
      <c r="E5573" s="16" t="s">
        <v>30</v>
      </c>
    </row>
    <row r="5574" spans="1:5" x14ac:dyDescent="0.25">
      <c r="A5574" s="14">
        <v>938662</v>
      </c>
      <c r="B5574" s="14" t="s">
        <v>5690</v>
      </c>
      <c r="C5574" s="14" t="s">
        <v>13031</v>
      </c>
      <c r="D5574" s="15">
        <v>1.3</v>
      </c>
      <c r="E5574" s="16" t="s">
        <v>30</v>
      </c>
    </row>
    <row r="5575" spans="1:5" x14ac:dyDescent="0.25">
      <c r="A5575" s="14">
        <v>938663</v>
      </c>
      <c r="B5575" s="14" t="s">
        <v>5691</v>
      </c>
      <c r="C5575" s="14" t="s">
        <v>13031</v>
      </c>
      <c r="D5575" s="15">
        <v>1.4</v>
      </c>
      <c r="E5575" s="16" t="s">
        <v>30</v>
      </c>
    </row>
    <row r="5576" spans="1:5" x14ac:dyDescent="0.25">
      <c r="A5576" s="14">
        <v>938664</v>
      </c>
      <c r="B5576" s="14" t="s">
        <v>5692</v>
      </c>
      <c r="C5576" s="14" t="s">
        <v>13031</v>
      </c>
      <c r="D5576" s="15">
        <v>1.4</v>
      </c>
      <c r="E5576" s="16" t="s">
        <v>30</v>
      </c>
    </row>
    <row r="5577" spans="1:5" x14ac:dyDescent="0.25">
      <c r="A5577" s="14">
        <v>938665</v>
      </c>
      <c r="B5577" s="14" t="s">
        <v>5693</v>
      </c>
      <c r="C5577" s="14" t="s">
        <v>13031</v>
      </c>
      <c r="D5577" s="15">
        <v>1.2</v>
      </c>
      <c r="E5577" s="16" t="s">
        <v>30</v>
      </c>
    </row>
    <row r="5578" spans="1:5" x14ac:dyDescent="0.25">
      <c r="A5578" s="14">
        <v>938666</v>
      </c>
      <c r="B5578" s="14" t="s">
        <v>5694</v>
      </c>
      <c r="C5578" s="14" t="s">
        <v>13031</v>
      </c>
      <c r="D5578" s="15">
        <v>1.4</v>
      </c>
      <c r="E5578" s="16" t="s">
        <v>30</v>
      </c>
    </row>
    <row r="5579" spans="1:5" x14ac:dyDescent="0.25">
      <c r="A5579" s="14">
        <v>938667</v>
      </c>
      <c r="B5579" s="14" t="s">
        <v>5695</v>
      </c>
      <c r="C5579" s="14" t="s">
        <v>13031</v>
      </c>
      <c r="D5579" s="15">
        <v>1.3</v>
      </c>
      <c r="E5579" s="16" t="s">
        <v>30</v>
      </c>
    </row>
    <row r="5580" spans="1:5" x14ac:dyDescent="0.25">
      <c r="A5580" s="14">
        <v>938668</v>
      </c>
      <c r="B5580" s="14" t="s">
        <v>5696</v>
      </c>
      <c r="C5580" s="14" t="s">
        <v>13031</v>
      </c>
      <c r="D5580" s="15">
        <v>1.99</v>
      </c>
      <c r="E5580" s="16" t="s">
        <v>30</v>
      </c>
    </row>
    <row r="5581" spans="1:5" x14ac:dyDescent="0.25">
      <c r="A5581" s="14">
        <v>938669</v>
      </c>
      <c r="B5581" s="14" t="s">
        <v>5697</v>
      </c>
      <c r="C5581" s="14" t="s">
        <v>13031</v>
      </c>
      <c r="D5581" s="15">
        <v>1.1000000000000001</v>
      </c>
      <c r="E5581" s="16" t="s">
        <v>30</v>
      </c>
    </row>
    <row r="5582" spans="1:5" x14ac:dyDescent="0.25">
      <c r="A5582" s="14">
        <v>938670</v>
      </c>
      <c r="B5582" s="14" t="s">
        <v>5698</v>
      </c>
      <c r="C5582" s="14" t="s">
        <v>13031</v>
      </c>
      <c r="D5582" s="15">
        <v>1.65</v>
      </c>
      <c r="E5582" s="16" t="s">
        <v>30</v>
      </c>
    </row>
    <row r="5583" spans="1:5" x14ac:dyDescent="0.25">
      <c r="A5583" s="14">
        <v>938671</v>
      </c>
      <c r="B5583" s="14" t="s">
        <v>5699</v>
      </c>
      <c r="C5583" s="14" t="s">
        <v>13031</v>
      </c>
      <c r="D5583" s="15">
        <v>1.2</v>
      </c>
      <c r="E5583" s="16" t="s">
        <v>30</v>
      </c>
    </row>
    <row r="5584" spans="1:5" x14ac:dyDescent="0.25">
      <c r="A5584" s="14">
        <v>938672</v>
      </c>
      <c r="B5584" s="14" t="s">
        <v>5700</v>
      </c>
      <c r="C5584" s="14" t="s">
        <v>13031</v>
      </c>
      <c r="D5584" s="15">
        <v>1.3</v>
      </c>
      <c r="E5584" s="16" t="s">
        <v>30</v>
      </c>
    </row>
    <row r="5585" spans="1:5" x14ac:dyDescent="0.25">
      <c r="A5585" s="14">
        <v>938673</v>
      </c>
      <c r="B5585" s="14" t="s">
        <v>5701</v>
      </c>
      <c r="C5585" s="14" t="s">
        <v>13031</v>
      </c>
      <c r="D5585" s="15">
        <v>1.3</v>
      </c>
      <c r="E5585" s="16" t="s">
        <v>30</v>
      </c>
    </row>
    <row r="5586" spans="1:5" x14ac:dyDescent="0.25">
      <c r="A5586" s="14">
        <v>938674</v>
      </c>
      <c r="B5586" s="14" t="s">
        <v>5702</v>
      </c>
      <c r="C5586" s="14" t="s">
        <v>13031</v>
      </c>
      <c r="D5586" s="15">
        <v>1.3</v>
      </c>
      <c r="E5586" s="16" t="s">
        <v>30</v>
      </c>
    </row>
    <row r="5587" spans="1:5" x14ac:dyDescent="0.25">
      <c r="A5587" s="14">
        <v>938675</v>
      </c>
      <c r="B5587" s="14" t="s">
        <v>5703</v>
      </c>
      <c r="C5587" s="14" t="s">
        <v>13031</v>
      </c>
      <c r="D5587" s="15">
        <v>1.1000000000000001</v>
      </c>
      <c r="E5587" s="16" t="s">
        <v>30</v>
      </c>
    </row>
    <row r="5588" spans="1:5" x14ac:dyDescent="0.25">
      <c r="A5588" s="14">
        <v>938676</v>
      </c>
      <c r="B5588" s="14" t="s">
        <v>5704</v>
      </c>
      <c r="C5588" s="14" t="s">
        <v>13031</v>
      </c>
      <c r="D5588" s="15">
        <v>2.2000000000000002</v>
      </c>
      <c r="E5588" s="16" t="s">
        <v>30</v>
      </c>
    </row>
    <row r="5589" spans="1:5" x14ac:dyDescent="0.25">
      <c r="A5589" s="14">
        <v>938677</v>
      </c>
      <c r="B5589" s="14" t="s">
        <v>5705</v>
      </c>
      <c r="C5589" s="14" t="s">
        <v>13031</v>
      </c>
      <c r="D5589" s="15">
        <v>1.3</v>
      </c>
      <c r="E5589" s="16" t="s">
        <v>30</v>
      </c>
    </row>
    <row r="5590" spans="1:5" x14ac:dyDescent="0.25">
      <c r="A5590" s="14">
        <v>938678</v>
      </c>
      <c r="B5590" s="14" t="s">
        <v>5706</v>
      </c>
      <c r="C5590" s="14" t="s">
        <v>13031</v>
      </c>
      <c r="D5590" s="15">
        <v>1.5</v>
      </c>
      <c r="E5590" s="16" t="s">
        <v>30</v>
      </c>
    </row>
    <row r="5591" spans="1:5" x14ac:dyDescent="0.25">
      <c r="A5591" s="14">
        <v>938679</v>
      </c>
      <c r="B5591" s="14" t="s">
        <v>5707</v>
      </c>
      <c r="C5591" s="14" t="s">
        <v>13031</v>
      </c>
      <c r="D5591" s="15">
        <v>1.3</v>
      </c>
      <c r="E5591" s="16" t="s">
        <v>30</v>
      </c>
    </row>
    <row r="5592" spans="1:5" x14ac:dyDescent="0.25">
      <c r="A5592" s="14">
        <v>938680</v>
      </c>
      <c r="B5592" s="14" t="s">
        <v>5708</v>
      </c>
      <c r="C5592" s="14" t="s">
        <v>13031</v>
      </c>
      <c r="D5592" s="15">
        <v>1.99</v>
      </c>
      <c r="E5592" s="16" t="s">
        <v>30</v>
      </c>
    </row>
    <row r="5593" spans="1:5" x14ac:dyDescent="0.25">
      <c r="A5593" s="14">
        <v>938681</v>
      </c>
      <c r="B5593" s="14" t="s">
        <v>5709</v>
      </c>
      <c r="C5593" s="14" t="s">
        <v>13031</v>
      </c>
      <c r="D5593" s="15">
        <v>1.65</v>
      </c>
      <c r="E5593" s="16" t="s">
        <v>30</v>
      </c>
    </row>
    <row r="5594" spans="1:5" x14ac:dyDescent="0.25">
      <c r="A5594" s="14">
        <v>938682</v>
      </c>
      <c r="B5594" s="14" t="s">
        <v>5710</v>
      </c>
      <c r="C5594" s="14" t="s">
        <v>13031</v>
      </c>
      <c r="D5594" s="15">
        <v>1.65</v>
      </c>
      <c r="E5594" s="16" t="s">
        <v>30</v>
      </c>
    </row>
    <row r="5595" spans="1:5" x14ac:dyDescent="0.25">
      <c r="A5595" s="14">
        <v>938683</v>
      </c>
      <c r="B5595" s="14" t="s">
        <v>5711</v>
      </c>
      <c r="C5595" s="14" t="s">
        <v>13031</v>
      </c>
      <c r="D5595" s="15">
        <v>4.3</v>
      </c>
      <c r="E5595" s="16" t="s">
        <v>30</v>
      </c>
    </row>
    <row r="5596" spans="1:5" x14ac:dyDescent="0.25">
      <c r="A5596" s="14">
        <v>938684</v>
      </c>
      <c r="B5596" s="14" t="s">
        <v>5712</v>
      </c>
      <c r="C5596" s="14" t="s">
        <v>13031</v>
      </c>
      <c r="D5596" s="15">
        <v>3.4</v>
      </c>
      <c r="E5596" s="16" t="s">
        <v>30</v>
      </c>
    </row>
    <row r="5597" spans="1:5" x14ac:dyDescent="0.25">
      <c r="A5597" s="14">
        <v>938685</v>
      </c>
      <c r="B5597" s="14" t="s">
        <v>5713</v>
      </c>
      <c r="C5597" s="14" t="s">
        <v>13031</v>
      </c>
      <c r="D5597" s="15">
        <v>3.6</v>
      </c>
      <c r="E5597" s="16" t="s">
        <v>30</v>
      </c>
    </row>
    <row r="5598" spans="1:5" x14ac:dyDescent="0.25">
      <c r="A5598" s="14">
        <v>938686</v>
      </c>
      <c r="B5598" s="14" t="s">
        <v>5714</v>
      </c>
      <c r="C5598" s="14" t="s">
        <v>13031</v>
      </c>
      <c r="D5598" s="15">
        <v>3.4</v>
      </c>
      <c r="E5598" s="16" t="s">
        <v>30</v>
      </c>
    </row>
    <row r="5599" spans="1:5" x14ac:dyDescent="0.25">
      <c r="A5599" s="14">
        <v>938687</v>
      </c>
      <c r="B5599" s="14" t="s">
        <v>5715</v>
      </c>
      <c r="C5599" s="14" t="s">
        <v>13031</v>
      </c>
      <c r="D5599" s="15">
        <v>3.4</v>
      </c>
      <c r="E5599" s="16" t="s">
        <v>30</v>
      </c>
    </row>
    <row r="5600" spans="1:5" x14ac:dyDescent="0.25">
      <c r="A5600" s="14">
        <v>938688</v>
      </c>
      <c r="B5600" s="14" t="s">
        <v>5716</v>
      </c>
      <c r="C5600" s="14" t="s">
        <v>13031</v>
      </c>
      <c r="D5600" s="15">
        <v>4.0999999999999996</v>
      </c>
      <c r="E5600" s="16" t="s">
        <v>30</v>
      </c>
    </row>
    <row r="5601" spans="1:5" x14ac:dyDescent="0.25">
      <c r="A5601" s="14">
        <v>938689</v>
      </c>
      <c r="B5601" s="14" t="s">
        <v>5717</v>
      </c>
      <c r="C5601" s="14" t="s">
        <v>13031</v>
      </c>
      <c r="D5601" s="15">
        <v>4.3</v>
      </c>
      <c r="E5601" s="16" t="s">
        <v>30</v>
      </c>
    </row>
    <row r="5602" spans="1:5" x14ac:dyDescent="0.25">
      <c r="A5602" s="14">
        <v>938690</v>
      </c>
      <c r="B5602" s="14" t="s">
        <v>5718</v>
      </c>
      <c r="C5602" s="14" t="s">
        <v>13031</v>
      </c>
      <c r="D5602" s="15">
        <v>4.0999999999999996</v>
      </c>
      <c r="E5602" s="16" t="s">
        <v>30</v>
      </c>
    </row>
    <row r="5603" spans="1:5" x14ac:dyDescent="0.25">
      <c r="A5603" s="14">
        <v>938694</v>
      </c>
      <c r="B5603" s="14" t="s">
        <v>5719</v>
      </c>
      <c r="C5603" s="14" t="s">
        <v>13031</v>
      </c>
      <c r="D5603" s="15">
        <v>15.5</v>
      </c>
      <c r="E5603" s="16" t="s">
        <v>30</v>
      </c>
    </row>
    <row r="5604" spans="1:5" x14ac:dyDescent="0.25">
      <c r="A5604" s="14">
        <v>938695</v>
      </c>
      <c r="B5604" s="14" t="s">
        <v>5720</v>
      </c>
      <c r="C5604" s="14" t="s">
        <v>13031</v>
      </c>
      <c r="D5604" s="15">
        <v>10.199999999999999</v>
      </c>
      <c r="E5604" s="16" t="s">
        <v>30</v>
      </c>
    </row>
    <row r="5605" spans="1:5" x14ac:dyDescent="0.25">
      <c r="A5605" s="14">
        <v>938698</v>
      </c>
      <c r="B5605" s="14" t="s">
        <v>5721</v>
      </c>
      <c r="C5605" s="14" t="s">
        <v>13031</v>
      </c>
      <c r="D5605" s="15">
        <v>17.71</v>
      </c>
      <c r="E5605" s="16" t="s">
        <v>30</v>
      </c>
    </row>
    <row r="5606" spans="1:5" x14ac:dyDescent="0.25">
      <c r="A5606" s="14">
        <v>938699</v>
      </c>
      <c r="B5606" s="14" t="s">
        <v>5722</v>
      </c>
      <c r="C5606" s="14" t="s">
        <v>13031</v>
      </c>
      <c r="D5606" s="15">
        <v>16.55</v>
      </c>
      <c r="E5606" s="16" t="s">
        <v>30</v>
      </c>
    </row>
    <row r="5607" spans="1:5" x14ac:dyDescent="0.25">
      <c r="A5607" s="14">
        <v>938700</v>
      </c>
      <c r="B5607" s="14" t="s">
        <v>5723</v>
      </c>
      <c r="C5607" s="14" t="s">
        <v>13031</v>
      </c>
      <c r="D5607" s="15">
        <v>17.71</v>
      </c>
      <c r="E5607" s="16" t="s">
        <v>30</v>
      </c>
    </row>
    <row r="5608" spans="1:5" x14ac:dyDescent="0.25">
      <c r="A5608" s="14">
        <v>938701</v>
      </c>
      <c r="B5608" s="14" t="s">
        <v>5724</v>
      </c>
      <c r="C5608" s="14" t="s">
        <v>13031</v>
      </c>
      <c r="D5608" s="15">
        <v>17.71</v>
      </c>
      <c r="E5608" s="16" t="s">
        <v>30</v>
      </c>
    </row>
    <row r="5609" spans="1:5" x14ac:dyDescent="0.25">
      <c r="A5609" s="14">
        <v>938702</v>
      </c>
      <c r="B5609" s="14" t="s">
        <v>5725</v>
      </c>
      <c r="C5609" s="14" t="s">
        <v>13031</v>
      </c>
      <c r="D5609" s="15">
        <v>28.86</v>
      </c>
      <c r="E5609" s="16" t="s">
        <v>30</v>
      </c>
    </row>
    <row r="5610" spans="1:5" x14ac:dyDescent="0.25">
      <c r="A5610" s="14">
        <v>938710</v>
      </c>
      <c r="B5610" s="14" t="s">
        <v>5726</v>
      </c>
      <c r="C5610" s="14" t="s">
        <v>13031</v>
      </c>
      <c r="D5610" s="15">
        <v>9.5</v>
      </c>
      <c r="E5610" s="16" t="s">
        <v>30</v>
      </c>
    </row>
    <row r="5611" spans="1:5" x14ac:dyDescent="0.25">
      <c r="A5611" s="14">
        <v>938711</v>
      </c>
      <c r="B5611" s="14" t="s">
        <v>5727</v>
      </c>
      <c r="C5611" s="14" t="s">
        <v>13031</v>
      </c>
      <c r="D5611" s="15">
        <v>10</v>
      </c>
      <c r="E5611" s="16" t="s">
        <v>30</v>
      </c>
    </row>
    <row r="5612" spans="1:5" x14ac:dyDescent="0.25">
      <c r="A5612" s="14">
        <v>938713</v>
      </c>
      <c r="B5612" s="14" t="s">
        <v>5728</v>
      </c>
      <c r="C5612" s="14" t="s">
        <v>13031</v>
      </c>
      <c r="D5612" s="15">
        <v>9.9600000000000009</v>
      </c>
      <c r="E5612" s="16" t="s">
        <v>30</v>
      </c>
    </row>
    <row r="5613" spans="1:5" x14ac:dyDescent="0.25">
      <c r="A5613" s="14">
        <v>938714</v>
      </c>
      <c r="B5613" s="14" t="s">
        <v>5729</v>
      </c>
      <c r="C5613" s="14" t="s">
        <v>13031</v>
      </c>
      <c r="D5613" s="15">
        <v>9.9</v>
      </c>
      <c r="E5613" s="16" t="s">
        <v>30</v>
      </c>
    </row>
    <row r="5614" spans="1:5" x14ac:dyDescent="0.25">
      <c r="A5614" s="14">
        <v>938715</v>
      </c>
      <c r="B5614" s="14" t="s">
        <v>5730</v>
      </c>
      <c r="C5614" s="14" t="s">
        <v>13031</v>
      </c>
      <c r="D5614" s="15">
        <v>6.25</v>
      </c>
      <c r="E5614" s="16" t="s">
        <v>30</v>
      </c>
    </row>
    <row r="5615" spans="1:5" x14ac:dyDescent="0.25">
      <c r="A5615" s="14">
        <v>938716</v>
      </c>
      <c r="B5615" s="14" t="s">
        <v>5731</v>
      </c>
      <c r="C5615" s="14" t="s">
        <v>13031</v>
      </c>
      <c r="D5615" s="15">
        <v>12.35</v>
      </c>
      <c r="E5615" s="16" t="s">
        <v>30</v>
      </c>
    </row>
    <row r="5616" spans="1:5" x14ac:dyDescent="0.25">
      <c r="A5616" s="14">
        <v>938719</v>
      </c>
      <c r="B5616" s="14" t="s">
        <v>5732</v>
      </c>
      <c r="C5616" s="14" t="s">
        <v>13029</v>
      </c>
      <c r="D5616" s="15">
        <v>14.59</v>
      </c>
      <c r="E5616" s="14" t="s">
        <v>30</v>
      </c>
    </row>
    <row r="5617" spans="1:5" x14ac:dyDescent="0.25">
      <c r="A5617" s="14">
        <v>938720</v>
      </c>
      <c r="B5617" s="14" t="s">
        <v>5733</v>
      </c>
      <c r="C5617" s="14" t="s">
        <v>13029</v>
      </c>
      <c r="D5617" s="15">
        <v>21.29</v>
      </c>
      <c r="E5617" s="14" t="s">
        <v>30</v>
      </c>
    </row>
    <row r="5618" spans="1:5" x14ac:dyDescent="0.25">
      <c r="A5618" s="14">
        <v>938721</v>
      </c>
      <c r="B5618" s="14" t="s">
        <v>5734</v>
      </c>
      <c r="C5618" s="14" t="s">
        <v>13029</v>
      </c>
      <c r="D5618" s="15">
        <v>26.04</v>
      </c>
      <c r="E5618" s="14" t="s">
        <v>30</v>
      </c>
    </row>
    <row r="5619" spans="1:5" x14ac:dyDescent="0.25">
      <c r="A5619" s="14">
        <v>938725</v>
      </c>
      <c r="B5619" s="14" t="s">
        <v>5735</v>
      </c>
      <c r="C5619" s="14" t="s">
        <v>13030</v>
      </c>
      <c r="D5619" s="15">
        <v>44.56</v>
      </c>
      <c r="E5619" s="16" t="s">
        <v>30</v>
      </c>
    </row>
    <row r="5620" spans="1:5" x14ac:dyDescent="0.25">
      <c r="A5620" s="14">
        <v>938730</v>
      </c>
      <c r="B5620" s="14" t="s">
        <v>5736</v>
      </c>
      <c r="C5620" s="14" t="s">
        <v>13030</v>
      </c>
      <c r="D5620" s="15">
        <v>153.79</v>
      </c>
      <c r="E5620" s="16" t="s">
        <v>30</v>
      </c>
    </row>
    <row r="5621" spans="1:5" x14ac:dyDescent="0.25">
      <c r="A5621" s="14">
        <v>938732</v>
      </c>
      <c r="B5621" s="14" t="s">
        <v>5737</v>
      </c>
      <c r="C5621" s="14" t="s">
        <v>13029</v>
      </c>
      <c r="D5621" s="15">
        <v>6.56</v>
      </c>
      <c r="E5621" s="16" t="s">
        <v>30</v>
      </c>
    </row>
    <row r="5622" spans="1:5" x14ac:dyDescent="0.25">
      <c r="A5622" s="14">
        <v>938733</v>
      </c>
      <c r="B5622" s="14" t="s">
        <v>5738</v>
      </c>
      <c r="C5622" s="14" t="s">
        <v>13029</v>
      </c>
      <c r="D5622" s="15">
        <v>7.88</v>
      </c>
      <c r="E5622" s="16" t="s">
        <v>30</v>
      </c>
    </row>
    <row r="5623" spans="1:5" x14ac:dyDescent="0.25">
      <c r="A5623" s="14">
        <v>938734</v>
      </c>
      <c r="B5623" s="14" t="s">
        <v>5739</v>
      </c>
      <c r="C5623" s="14" t="s">
        <v>13029</v>
      </c>
      <c r="D5623" s="15">
        <v>5.34</v>
      </c>
      <c r="E5623" s="16" t="s">
        <v>30</v>
      </c>
    </row>
    <row r="5624" spans="1:5" x14ac:dyDescent="0.25">
      <c r="A5624" s="14">
        <v>938821</v>
      </c>
      <c r="B5624" s="14" t="s">
        <v>5740</v>
      </c>
      <c r="C5624" s="14" t="s">
        <v>13029</v>
      </c>
      <c r="D5624" s="15">
        <v>6.81</v>
      </c>
      <c r="E5624" s="16" t="s">
        <v>30</v>
      </c>
    </row>
    <row r="5625" spans="1:5" x14ac:dyDescent="0.25">
      <c r="A5625" s="14">
        <v>938822</v>
      </c>
      <c r="B5625" s="14" t="s">
        <v>5741</v>
      </c>
      <c r="C5625" s="14" t="s">
        <v>13029</v>
      </c>
      <c r="D5625" s="15">
        <v>21.3</v>
      </c>
      <c r="E5625" s="16" t="s">
        <v>30</v>
      </c>
    </row>
    <row r="5626" spans="1:5" x14ac:dyDescent="0.25">
      <c r="A5626" s="14">
        <v>940309</v>
      </c>
      <c r="B5626" s="14" t="s">
        <v>5742</v>
      </c>
      <c r="C5626" s="14" t="s">
        <v>13031</v>
      </c>
      <c r="D5626" s="15">
        <v>9.1199999999999992</v>
      </c>
      <c r="E5626" s="16" t="s">
        <v>30</v>
      </c>
    </row>
    <row r="5627" spans="1:5" x14ac:dyDescent="0.25">
      <c r="A5627" s="14">
        <v>940310</v>
      </c>
      <c r="B5627" s="14" t="s">
        <v>5743</v>
      </c>
      <c r="C5627" s="14" t="s">
        <v>13031</v>
      </c>
      <c r="D5627" s="15">
        <v>17.5</v>
      </c>
      <c r="E5627" s="16" t="s">
        <v>30</v>
      </c>
    </row>
    <row r="5628" spans="1:5" x14ac:dyDescent="0.25">
      <c r="A5628" s="14">
        <v>940317</v>
      </c>
      <c r="B5628" s="14" t="s">
        <v>5744</v>
      </c>
      <c r="C5628" s="14" t="s">
        <v>13030</v>
      </c>
      <c r="D5628" s="15">
        <v>15.1</v>
      </c>
      <c r="E5628" s="16" t="s">
        <v>30</v>
      </c>
    </row>
    <row r="5629" spans="1:5" x14ac:dyDescent="0.25">
      <c r="A5629" s="14">
        <v>940318</v>
      </c>
      <c r="B5629" s="14" t="s">
        <v>5745</v>
      </c>
      <c r="C5629" s="14" t="s">
        <v>13030</v>
      </c>
      <c r="D5629" s="15">
        <v>33.29</v>
      </c>
      <c r="E5629" s="16" t="s">
        <v>30</v>
      </c>
    </row>
    <row r="5630" spans="1:5" x14ac:dyDescent="0.25">
      <c r="A5630" s="14">
        <v>941091</v>
      </c>
      <c r="B5630" s="14" t="s">
        <v>5746</v>
      </c>
      <c r="C5630" s="14" t="s">
        <v>13031</v>
      </c>
      <c r="D5630" s="15">
        <v>14.17</v>
      </c>
      <c r="E5630" s="16" t="s">
        <v>30</v>
      </c>
    </row>
    <row r="5631" spans="1:5" x14ac:dyDescent="0.25">
      <c r="A5631" s="14">
        <v>941092</v>
      </c>
      <c r="B5631" s="14" t="s">
        <v>5747</v>
      </c>
      <c r="C5631" s="14" t="s">
        <v>13031</v>
      </c>
      <c r="D5631" s="15">
        <v>14.17</v>
      </c>
      <c r="E5631" s="16" t="s">
        <v>30</v>
      </c>
    </row>
    <row r="5632" spans="1:5" x14ac:dyDescent="0.25">
      <c r="A5632" s="14">
        <v>941093</v>
      </c>
      <c r="B5632" s="14" t="s">
        <v>5748</v>
      </c>
      <c r="C5632" s="14" t="s">
        <v>13031</v>
      </c>
      <c r="D5632" s="15">
        <v>14.17</v>
      </c>
      <c r="E5632" s="16" t="s">
        <v>30</v>
      </c>
    </row>
    <row r="5633" spans="1:5" x14ac:dyDescent="0.25">
      <c r="A5633" s="14">
        <v>901620</v>
      </c>
      <c r="B5633" s="14" t="s">
        <v>5749</v>
      </c>
      <c r="C5633" s="14" t="s">
        <v>13030</v>
      </c>
      <c r="D5633" s="15">
        <v>61.04</v>
      </c>
      <c r="E5633" s="16" t="s">
        <v>20</v>
      </c>
    </row>
    <row r="5634" spans="1:5" x14ac:dyDescent="0.25">
      <c r="A5634" s="14">
        <v>889643</v>
      </c>
      <c r="B5634" s="14" t="s">
        <v>5750</v>
      </c>
      <c r="C5634" s="14" t="s">
        <v>13031</v>
      </c>
      <c r="D5634" s="15">
        <v>11.49</v>
      </c>
      <c r="E5634" s="16" t="s">
        <v>20</v>
      </c>
    </row>
    <row r="5635" spans="1:5" x14ac:dyDescent="0.25">
      <c r="A5635" s="14">
        <v>941097</v>
      </c>
      <c r="B5635" s="14" t="s">
        <v>5751</v>
      </c>
      <c r="C5635" s="14" t="s">
        <v>13030</v>
      </c>
      <c r="D5635" s="15">
        <v>29.9</v>
      </c>
      <c r="E5635" s="14" t="s">
        <v>30</v>
      </c>
    </row>
    <row r="5636" spans="1:5" x14ac:dyDescent="0.25">
      <c r="A5636" s="14">
        <v>941344</v>
      </c>
      <c r="B5636" s="14" t="s">
        <v>5752</v>
      </c>
      <c r="C5636" s="14" t="s">
        <v>13030</v>
      </c>
      <c r="D5636" s="15">
        <v>25.64</v>
      </c>
      <c r="E5636" s="16" t="s">
        <v>30</v>
      </c>
    </row>
    <row r="5637" spans="1:5" x14ac:dyDescent="0.25">
      <c r="A5637" s="14">
        <v>941345</v>
      </c>
      <c r="B5637" s="14" t="s">
        <v>5753</v>
      </c>
      <c r="C5637" s="14" t="s">
        <v>13030</v>
      </c>
      <c r="D5637" s="15">
        <v>25.64</v>
      </c>
      <c r="E5637" s="16" t="s">
        <v>30</v>
      </c>
    </row>
    <row r="5638" spans="1:5" x14ac:dyDescent="0.25">
      <c r="A5638" s="14">
        <v>941346</v>
      </c>
      <c r="B5638" s="14" t="s">
        <v>5754</v>
      </c>
      <c r="C5638" s="14" t="s">
        <v>13030</v>
      </c>
      <c r="D5638" s="15">
        <v>25.66</v>
      </c>
      <c r="E5638" s="16" t="s">
        <v>30</v>
      </c>
    </row>
    <row r="5639" spans="1:5" x14ac:dyDescent="0.25">
      <c r="A5639" s="14">
        <v>941347</v>
      </c>
      <c r="B5639" s="14" t="s">
        <v>5755</v>
      </c>
      <c r="C5639" s="14" t="s">
        <v>13030</v>
      </c>
      <c r="D5639" s="15">
        <v>49.01</v>
      </c>
      <c r="E5639" s="16" t="s">
        <v>30</v>
      </c>
    </row>
    <row r="5640" spans="1:5" x14ac:dyDescent="0.25">
      <c r="A5640" s="14">
        <v>941348</v>
      </c>
      <c r="B5640" s="14" t="s">
        <v>5756</v>
      </c>
      <c r="C5640" s="14" t="s">
        <v>13030</v>
      </c>
      <c r="D5640" s="15">
        <v>43.68</v>
      </c>
      <c r="E5640" s="16" t="s">
        <v>30</v>
      </c>
    </row>
    <row r="5641" spans="1:5" x14ac:dyDescent="0.25">
      <c r="A5641" s="14">
        <v>941349</v>
      </c>
      <c r="B5641" s="14" t="s">
        <v>5757</v>
      </c>
      <c r="C5641" s="14" t="s">
        <v>13030</v>
      </c>
      <c r="D5641" s="15">
        <v>29.75</v>
      </c>
      <c r="E5641" s="16" t="s">
        <v>30</v>
      </c>
    </row>
    <row r="5642" spans="1:5" x14ac:dyDescent="0.25">
      <c r="A5642" s="14">
        <v>941351</v>
      </c>
      <c r="B5642" s="14" t="s">
        <v>5758</v>
      </c>
      <c r="C5642" s="14" t="s">
        <v>13031</v>
      </c>
      <c r="D5642" s="15">
        <v>3.6</v>
      </c>
      <c r="E5642" s="16" t="s">
        <v>30</v>
      </c>
    </row>
    <row r="5643" spans="1:5" x14ac:dyDescent="0.25">
      <c r="A5643" s="14">
        <v>941352</v>
      </c>
      <c r="B5643" s="14" t="s">
        <v>5759</v>
      </c>
      <c r="C5643" s="14" t="s">
        <v>13031</v>
      </c>
      <c r="D5643" s="15">
        <v>7</v>
      </c>
      <c r="E5643" s="16" t="s">
        <v>30</v>
      </c>
    </row>
    <row r="5644" spans="1:5" x14ac:dyDescent="0.25">
      <c r="A5644" s="14">
        <v>941353</v>
      </c>
      <c r="B5644" s="14" t="s">
        <v>5760</v>
      </c>
      <c r="C5644" s="14" t="s">
        <v>13031</v>
      </c>
      <c r="D5644" s="15">
        <v>16.600000000000001</v>
      </c>
      <c r="E5644" s="16" t="s">
        <v>30</v>
      </c>
    </row>
    <row r="5645" spans="1:5" x14ac:dyDescent="0.25">
      <c r="A5645" s="14">
        <v>941359</v>
      </c>
      <c r="B5645" s="14" t="s">
        <v>5761</v>
      </c>
      <c r="C5645" s="14" t="s">
        <v>13031</v>
      </c>
      <c r="D5645" s="15">
        <v>4</v>
      </c>
      <c r="E5645" s="16" t="s">
        <v>30</v>
      </c>
    </row>
    <row r="5646" spans="1:5" x14ac:dyDescent="0.25">
      <c r="A5646" s="14">
        <v>941364</v>
      </c>
      <c r="B5646" s="14" t="s">
        <v>5762</v>
      </c>
      <c r="C5646" s="14" t="s">
        <v>13029</v>
      </c>
      <c r="D5646" s="15">
        <v>7.36</v>
      </c>
      <c r="E5646" s="16" t="s">
        <v>30</v>
      </c>
    </row>
    <row r="5647" spans="1:5" x14ac:dyDescent="0.25">
      <c r="A5647" s="14">
        <v>941365</v>
      </c>
      <c r="B5647" s="14" t="s">
        <v>5763</v>
      </c>
      <c r="C5647" s="14" t="s">
        <v>13029</v>
      </c>
      <c r="D5647" s="15">
        <v>7.36</v>
      </c>
      <c r="E5647" s="16" t="s">
        <v>30</v>
      </c>
    </row>
    <row r="5648" spans="1:5" x14ac:dyDescent="0.25">
      <c r="A5648" s="14">
        <v>941370</v>
      </c>
      <c r="B5648" s="14" t="s">
        <v>5764</v>
      </c>
      <c r="C5648" s="14" t="s">
        <v>13029</v>
      </c>
      <c r="D5648" s="15">
        <v>9.67</v>
      </c>
      <c r="E5648" s="14" t="s">
        <v>30</v>
      </c>
    </row>
    <row r="5649" spans="1:5" x14ac:dyDescent="0.25">
      <c r="A5649" s="14">
        <v>941389</v>
      </c>
      <c r="B5649" s="14" t="s">
        <v>5765</v>
      </c>
      <c r="C5649" s="14" t="s">
        <v>13030</v>
      </c>
      <c r="D5649" s="15">
        <v>46.73</v>
      </c>
      <c r="E5649" s="16" t="s">
        <v>30</v>
      </c>
    </row>
    <row r="5650" spans="1:5" x14ac:dyDescent="0.25">
      <c r="A5650" s="14">
        <v>941390</v>
      </c>
      <c r="B5650" s="14" t="s">
        <v>5766</v>
      </c>
      <c r="C5650" s="14" t="s">
        <v>13030</v>
      </c>
      <c r="D5650" s="15">
        <v>46.73</v>
      </c>
      <c r="E5650" s="16" t="s">
        <v>30</v>
      </c>
    </row>
    <row r="5651" spans="1:5" x14ac:dyDescent="0.25">
      <c r="A5651" s="14">
        <v>941391</v>
      </c>
      <c r="B5651" s="14" t="s">
        <v>5767</v>
      </c>
      <c r="C5651" s="14" t="s">
        <v>13030</v>
      </c>
      <c r="D5651" s="15">
        <v>46.73</v>
      </c>
      <c r="E5651" s="16" t="s">
        <v>30</v>
      </c>
    </row>
    <row r="5652" spans="1:5" x14ac:dyDescent="0.25">
      <c r="A5652" s="14">
        <v>941668</v>
      </c>
      <c r="B5652" s="14" t="s">
        <v>5768</v>
      </c>
      <c r="C5652" s="14" t="s">
        <v>13029</v>
      </c>
      <c r="D5652" s="15">
        <v>15.61</v>
      </c>
      <c r="E5652" s="14" t="s">
        <v>30</v>
      </c>
    </row>
    <row r="5653" spans="1:5" x14ac:dyDescent="0.25">
      <c r="A5653" s="14">
        <v>941669</v>
      </c>
      <c r="B5653" s="14" t="s">
        <v>5769</v>
      </c>
      <c r="C5653" s="14" t="s">
        <v>13029</v>
      </c>
      <c r="D5653" s="15">
        <v>15.61</v>
      </c>
      <c r="E5653" s="14" t="s">
        <v>30</v>
      </c>
    </row>
    <row r="5654" spans="1:5" x14ac:dyDescent="0.25">
      <c r="A5654" s="14">
        <v>889644</v>
      </c>
      <c r="B5654" s="14" t="s">
        <v>131</v>
      </c>
      <c r="C5654" s="14" t="s">
        <v>13031</v>
      </c>
      <c r="D5654" s="15">
        <v>9.24</v>
      </c>
      <c r="E5654" s="16" t="s">
        <v>20</v>
      </c>
    </row>
    <row r="5655" spans="1:5" x14ac:dyDescent="0.25">
      <c r="A5655" s="14">
        <v>941670</v>
      </c>
      <c r="B5655" s="14" t="s">
        <v>5770</v>
      </c>
      <c r="C5655" s="14" t="s">
        <v>13031</v>
      </c>
      <c r="D5655" s="15">
        <v>13.62</v>
      </c>
      <c r="E5655" s="16" t="s">
        <v>30</v>
      </c>
    </row>
    <row r="5656" spans="1:5" x14ac:dyDescent="0.25">
      <c r="A5656" s="14">
        <v>941671</v>
      </c>
      <c r="B5656" s="14" t="s">
        <v>5771</v>
      </c>
      <c r="C5656" s="14" t="s">
        <v>13031</v>
      </c>
      <c r="D5656" s="15">
        <v>10.98</v>
      </c>
      <c r="E5656" s="16" t="s">
        <v>30</v>
      </c>
    </row>
    <row r="5657" spans="1:5" x14ac:dyDescent="0.25">
      <c r="A5657" s="14">
        <v>941759</v>
      </c>
      <c r="B5657" s="14" t="s">
        <v>5772</v>
      </c>
      <c r="C5657" s="14" t="s">
        <v>13030</v>
      </c>
      <c r="D5657" s="15">
        <v>68.349999999999994</v>
      </c>
      <c r="E5657" s="16" t="s">
        <v>30</v>
      </c>
    </row>
    <row r="5658" spans="1:5" x14ac:dyDescent="0.25">
      <c r="A5658" s="14">
        <v>941813</v>
      </c>
      <c r="B5658" s="14" t="s">
        <v>5773</v>
      </c>
      <c r="C5658" s="14" t="s">
        <v>13030</v>
      </c>
      <c r="D5658" s="15">
        <v>64.77</v>
      </c>
      <c r="E5658" s="14" t="s">
        <v>30</v>
      </c>
    </row>
    <row r="5659" spans="1:5" x14ac:dyDescent="0.25">
      <c r="A5659" s="14">
        <v>941814</v>
      </c>
      <c r="B5659" s="14" t="s">
        <v>5774</v>
      </c>
      <c r="C5659" s="14" t="s">
        <v>13030</v>
      </c>
      <c r="D5659" s="15">
        <v>64.77</v>
      </c>
      <c r="E5659" s="14" t="s">
        <v>30</v>
      </c>
    </row>
    <row r="5660" spans="1:5" x14ac:dyDescent="0.25">
      <c r="A5660" s="14">
        <v>941815</v>
      </c>
      <c r="B5660" s="14" t="s">
        <v>5775</v>
      </c>
      <c r="C5660" s="14" t="s">
        <v>13030</v>
      </c>
      <c r="D5660" s="15">
        <v>43.14</v>
      </c>
      <c r="E5660" s="14" t="s">
        <v>30</v>
      </c>
    </row>
    <row r="5661" spans="1:5" x14ac:dyDescent="0.25">
      <c r="A5661" s="14">
        <v>941816</v>
      </c>
      <c r="B5661" s="14" t="s">
        <v>5776</v>
      </c>
      <c r="C5661" s="14" t="s">
        <v>13030</v>
      </c>
      <c r="D5661" s="15">
        <v>25.86</v>
      </c>
      <c r="E5661" s="14" t="s">
        <v>30</v>
      </c>
    </row>
    <row r="5662" spans="1:5" x14ac:dyDescent="0.25">
      <c r="A5662" s="14">
        <v>941817</v>
      </c>
      <c r="B5662" s="14" t="s">
        <v>5777</v>
      </c>
      <c r="C5662" s="14" t="s">
        <v>13030</v>
      </c>
      <c r="D5662" s="15">
        <v>100.79</v>
      </c>
      <c r="E5662" s="16" t="s">
        <v>30</v>
      </c>
    </row>
    <row r="5663" spans="1:5" x14ac:dyDescent="0.25">
      <c r="A5663" s="14">
        <v>941818</v>
      </c>
      <c r="B5663" s="14" t="s">
        <v>5778</v>
      </c>
      <c r="C5663" s="14" t="s">
        <v>13030</v>
      </c>
      <c r="D5663" s="15">
        <v>100.78</v>
      </c>
      <c r="E5663" s="16" t="s">
        <v>30</v>
      </c>
    </row>
    <row r="5664" spans="1:5" x14ac:dyDescent="0.25">
      <c r="A5664" s="14">
        <v>890695</v>
      </c>
      <c r="B5664" s="14" t="s">
        <v>5779</v>
      </c>
      <c r="C5664" s="14" t="s">
        <v>13031</v>
      </c>
      <c r="D5664" s="15">
        <v>6.92</v>
      </c>
      <c r="E5664" s="16" t="s">
        <v>20</v>
      </c>
    </row>
    <row r="5665" spans="1:5" x14ac:dyDescent="0.25">
      <c r="A5665" s="14">
        <v>941822</v>
      </c>
      <c r="B5665" s="14" t="s">
        <v>5780</v>
      </c>
      <c r="C5665" s="14" t="s">
        <v>13031</v>
      </c>
      <c r="D5665" s="15">
        <v>5.2</v>
      </c>
      <c r="E5665" s="16" t="s">
        <v>30</v>
      </c>
    </row>
    <row r="5666" spans="1:5" x14ac:dyDescent="0.25">
      <c r="A5666" s="14">
        <v>941823</v>
      </c>
      <c r="B5666" s="14" t="s">
        <v>5781</v>
      </c>
      <c r="C5666" s="14" t="s">
        <v>13031</v>
      </c>
      <c r="D5666" s="15">
        <v>3.3</v>
      </c>
      <c r="E5666" s="16" t="s">
        <v>30</v>
      </c>
    </row>
    <row r="5667" spans="1:5" x14ac:dyDescent="0.25">
      <c r="A5667" s="14">
        <v>941824</v>
      </c>
      <c r="B5667" s="14" t="s">
        <v>5782</v>
      </c>
      <c r="C5667" s="14" t="s">
        <v>13031</v>
      </c>
      <c r="D5667" s="15">
        <v>2.8</v>
      </c>
      <c r="E5667" s="16" t="s">
        <v>30</v>
      </c>
    </row>
    <row r="5668" spans="1:5" x14ac:dyDescent="0.25">
      <c r="A5668" s="14">
        <v>941825</v>
      </c>
      <c r="B5668" s="14" t="s">
        <v>5783</v>
      </c>
      <c r="C5668" s="14" t="s">
        <v>13031</v>
      </c>
      <c r="D5668" s="15">
        <v>3.55</v>
      </c>
      <c r="E5668" s="16" t="s">
        <v>30</v>
      </c>
    </row>
    <row r="5669" spans="1:5" x14ac:dyDescent="0.25">
      <c r="A5669" s="14">
        <v>941826</v>
      </c>
      <c r="B5669" s="14" t="s">
        <v>5784</v>
      </c>
      <c r="C5669" s="14" t="s">
        <v>13031</v>
      </c>
      <c r="D5669" s="15">
        <v>4</v>
      </c>
      <c r="E5669" s="16" t="s">
        <v>30</v>
      </c>
    </row>
    <row r="5670" spans="1:5" x14ac:dyDescent="0.25">
      <c r="A5670" s="14">
        <v>942056</v>
      </c>
      <c r="B5670" s="14" t="s">
        <v>5785</v>
      </c>
      <c r="C5670" s="14" t="s">
        <v>13029</v>
      </c>
      <c r="D5670" s="15">
        <v>3.5</v>
      </c>
      <c r="E5670" s="16" t="s">
        <v>30</v>
      </c>
    </row>
    <row r="5671" spans="1:5" x14ac:dyDescent="0.25">
      <c r="A5671" s="14">
        <v>942057</v>
      </c>
      <c r="B5671" s="14" t="s">
        <v>5786</v>
      </c>
      <c r="C5671" s="14" t="s">
        <v>13031</v>
      </c>
      <c r="D5671" s="15">
        <v>2.2999999999999998</v>
      </c>
      <c r="E5671" s="16" t="s">
        <v>30</v>
      </c>
    </row>
    <row r="5672" spans="1:5" x14ac:dyDescent="0.25">
      <c r="A5672" s="14">
        <v>942058</v>
      </c>
      <c r="B5672" s="14" t="s">
        <v>5787</v>
      </c>
      <c r="C5672" s="14" t="s">
        <v>13031</v>
      </c>
      <c r="D5672" s="15">
        <v>5.87</v>
      </c>
      <c r="E5672" s="16" t="s">
        <v>30</v>
      </c>
    </row>
    <row r="5673" spans="1:5" x14ac:dyDescent="0.25">
      <c r="A5673" s="14">
        <v>942059</v>
      </c>
      <c r="B5673" s="14" t="s">
        <v>5788</v>
      </c>
      <c r="C5673" s="14" t="s">
        <v>13031</v>
      </c>
      <c r="D5673" s="15">
        <v>5.87</v>
      </c>
      <c r="E5673" s="16" t="s">
        <v>30</v>
      </c>
    </row>
    <row r="5674" spans="1:5" x14ac:dyDescent="0.25">
      <c r="A5674" s="14">
        <v>942484</v>
      </c>
      <c r="B5674" s="14" t="s">
        <v>5789</v>
      </c>
      <c r="C5674" s="14" t="s">
        <v>13029</v>
      </c>
      <c r="D5674" s="15">
        <v>21.89</v>
      </c>
      <c r="E5674" s="14" t="s">
        <v>30</v>
      </c>
    </row>
    <row r="5675" spans="1:5" x14ac:dyDescent="0.25">
      <c r="A5675" s="14">
        <v>942486</v>
      </c>
      <c r="B5675" s="14" t="s">
        <v>5790</v>
      </c>
      <c r="C5675" s="14" t="s">
        <v>13029</v>
      </c>
      <c r="D5675" s="15">
        <v>15.58</v>
      </c>
      <c r="E5675" s="16" t="s">
        <v>30</v>
      </c>
    </row>
    <row r="5676" spans="1:5" x14ac:dyDescent="0.25">
      <c r="A5676" s="14">
        <v>942492</v>
      </c>
      <c r="B5676" s="14" t="s">
        <v>5791</v>
      </c>
      <c r="C5676" s="14" t="s">
        <v>13029</v>
      </c>
      <c r="D5676" s="15">
        <v>37.5</v>
      </c>
      <c r="E5676" s="16" t="s">
        <v>30</v>
      </c>
    </row>
    <row r="5677" spans="1:5" x14ac:dyDescent="0.25">
      <c r="A5677" s="14">
        <v>942493</v>
      </c>
      <c r="B5677" s="14" t="s">
        <v>5792</v>
      </c>
      <c r="C5677" s="14" t="s">
        <v>13029</v>
      </c>
      <c r="D5677" s="15">
        <v>31.78</v>
      </c>
      <c r="E5677" s="16" t="s">
        <v>30</v>
      </c>
    </row>
    <row r="5678" spans="1:5" x14ac:dyDescent="0.25">
      <c r="A5678" s="14">
        <v>942501</v>
      </c>
      <c r="B5678" s="14" t="s">
        <v>5793</v>
      </c>
      <c r="C5678" s="14" t="s">
        <v>13031</v>
      </c>
      <c r="D5678" s="15">
        <v>3.56</v>
      </c>
      <c r="E5678" s="16" t="s">
        <v>30</v>
      </c>
    </row>
    <row r="5679" spans="1:5" x14ac:dyDescent="0.25">
      <c r="A5679" s="14">
        <v>942502</v>
      </c>
      <c r="B5679" s="14" t="s">
        <v>5794</v>
      </c>
      <c r="C5679" s="14" t="s">
        <v>13031</v>
      </c>
      <c r="D5679" s="15">
        <v>3.68</v>
      </c>
      <c r="E5679" s="16" t="s">
        <v>30</v>
      </c>
    </row>
    <row r="5680" spans="1:5" x14ac:dyDescent="0.25">
      <c r="A5680" s="14">
        <v>942716</v>
      </c>
      <c r="B5680" s="14" t="s">
        <v>5795</v>
      </c>
      <c r="C5680" s="14" t="s">
        <v>13030</v>
      </c>
      <c r="D5680" s="15">
        <v>69.08</v>
      </c>
      <c r="E5680" s="14" t="s">
        <v>30</v>
      </c>
    </row>
    <row r="5681" spans="1:5" x14ac:dyDescent="0.25">
      <c r="A5681" s="14">
        <v>891733</v>
      </c>
      <c r="B5681" s="14" t="s">
        <v>5796</v>
      </c>
      <c r="C5681" s="14" t="s">
        <v>13031</v>
      </c>
      <c r="D5681" s="15">
        <v>22.99</v>
      </c>
      <c r="E5681" s="16" t="s">
        <v>20</v>
      </c>
    </row>
    <row r="5682" spans="1:5" x14ac:dyDescent="0.25">
      <c r="A5682" s="14">
        <v>942717</v>
      </c>
      <c r="B5682" s="14" t="s">
        <v>5797</v>
      </c>
      <c r="C5682" s="14" t="s">
        <v>13030</v>
      </c>
      <c r="D5682" s="15">
        <v>71.97</v>
      </c>
      <c r="E5682" s="14" t="s">
        <v>30</v>
      </c>
    </row>
    <row r="5683" spans="1:5" x14ac:dyDescent="0.25">
      <c r="A5683" s="14">
        <v>943723</v>
      </c>
      <c r="B5683" s="14" t="s">
        <v>5798</v>
      </c>
      <c r="C5683" s="14" t="s">
        <v>13031</v>
      </c>
      <c r="D5683" s="15">
        <v>1.75</v>
      </c>
      <c r="E5683" s="16" t="s">
        <v>30</v>
      </c>
    </row>
    <row r="5684" spans="1:5" x14ac:dyDescent="0.25">
      <c r="A5684" s="14">
        <v>943724</v>
      </c>
      <c r="B5684" s="14" t="s">
        <v>5799</v>
      </c>
      <c r="C5684" s="14" t="s">
        <v>13031</v>
      </c>
      <c r="D5684" s="15">
        <v>1.33</v>
      </c>
      <c r="E5684" s="16" t="s">
        <v>30</v>
      </c>
    </row>
    <row r="5685" spans="1:5" x14ac:dyDescent="0.25">
      <c r="A5685" s="14">
        <v>943742</v>
      </c>
      <c r="B5685" s="14" t="s">
        <v>5800</v>
      </c>
      <c r="C5685" s="14" t="s">
        <v>13030</v>
      </c>
      <c r="D5685" s="15">
        <v>5.27</v>
      </c>
      <c r="E5685" s="16" t="s">
        <v>30</v>
      </c>
    </row>
    <row r="5686" spans="1:5" x14ac:dyDescent="0.25">
      <c r="A5686" s="14">
        <v>943743</v>
      </c>
      <c r="B5686" s="14" t="s">
        <v>5801</v>
      </c>
      <c r="C5686" s="14" t="s">
        <v>13030</v>
      </c>
      <c r="D5686" s="15">
        <v>5.27</v>
      </c>
      <c r="E5686" s="16" t="s">
        <v>30</v>
      </c>
    </row>
    <row r="5687" spans="1:5" x14ac:dyDescent="0.25">
      <c r="A5687" s="14">
        <v>943744</v>
      </c>
      <c r="B5687" s="14" t="s">
        <v>5802</v>
      </c>
      <c r="C5687" s="14" t="s">
        <v>13030</v>
      </c>
      <c r="D5687" s="15">
        <v>7.06</v>
      </c>
      <c r="E5687" s="16" t="s">
        <v>30</v>
      </c>
    </row>
    <row r="5688" spans="1:5" x14ac:dyDescent="0.25">
      <c r="A5688" s="14">
        <v>943745</v>
      </c>
      <c r="B5688" s="14" t="s">
        <v>5803</v>
      </c>
      <c r="C5688" s="14" t="s">
        <v>13030</v>
      </c>
      <c r="D5688" s="15">
        <v>7.95</v>
      </c>
      <c r="E5688" s="16" t="s">
        <v>30</v>
      </c>
    </row>
    <row r="5689" spans="1:5" x14ac:dyDescent="0.25">
      <c r="A5689" s="14">
        <v>943746</v>
      </c>
      <c r="B5689" s="14" t="s">
        <v>5804</v>
      </c>
      <c r="C5689" s="14" t="s">
        <v>13030</v>
      </c>
      <c r="D5689" s="15">
        <v>7.58</v>
      </c>
      <c r="E5689" s="16" t="s">
        <v>30</v>
      </c>
    </row>
    <row r="5690" spans="1:5" x14ac:dyDescent="0.25">
      <c r="A5690" s="14">
        <v>943747</v>
      </c>
      <c r="B5690" s="14" t="s">
        <v>5805</v>
      </c>
      <c r="C5690" s="14" t="s">
        <v>13030</v>
      </c>
      <c r="D5690" s="15">
        <v>7.57</v>
      </c>
      <c r="E5690" s="16" t="s">
        <v>30</v>
      </c>
    </row>
    <row r="5691" spans="1:5" x14ac:dyDescent="0.25">
      <c r="A5691" s="14">
        <v>943768</v>
      </c>
      <c r="B5691" s="14" t="s">
        <v>5806</v>
      </c>
      <c r="C5691" s="14" t="s">
        <v>13031</v>
      </c>
      <c r="D5691" s="15">
        <v>10.99</v>
      </c>
      <c r="E5691" s="16" t="s">
        <v>30</v>
      </c>
    </row>
    <row r="5692" spans="1:5" x14ac:dyDescent="0.25">
      <c r="A5692" s="14">
        <v>944233</v>
      </c>
      <c r="B5692" s="14" t="s">
        <v>5807</v>
      </c>
      <c r="C5692" s="14" t="s">
        <v>13029</v>
      </c>
      <c r="D5692" s="15">
        <v>23.55</v>
      </c>
      <c r="E5692" s="16" t="s">
        <v>30</v>
      </c>
    </row>
    <row r="5693" spans="1:5" x14ac:dyDescent="0.25">
      <c r="A5693" s="14">
        <v>944234</v>
      </c>
      <c r="B5693" s="14" t="s">
        <v>5808</v>
      </c>
      <c r="C5693" s="14" t="s">
        <v>13029</v>
      </c>
      <c r="D5693" s="15">
        <v>16.97</v>
      </c>
      <c r="E5693" s="16" t="s">
        <v>30</v>
      </c>
    </row>
    <row r="5694" spans="1:5" x14ac:dyDescent="0.25">
      <c r="A5694" s="14">
        <v>892485</v>
      </c>
      <c r="B5694" s="14" t="s">
        <v>5809</v>
      </c>
      <c r="C5694" s="14" t="s">
        <v>13031</v>
      </c>
      <c r="D5694" s="15">
        <v>3.8</v>
      </c>
      <c r="E5694" s="16" t="s">
        <v>20</v>
      </c>
    </row>
    <row r="5695" spans="1:5" x14ac:dyDescent="0.25">
      <c r="A5695" s="14">
        <v>944392</v>
      </c>
      <c r="B5695" s="14" t="s">
        <v>5810</v>
      </c>
      <c r="C5695" s="14" t="s">
        <v>13031</v>
      </c>
      <c r="D5695" s="15">
        <v>6.1</v>
      </c>
      <c r="E5695" s="16" t="s">
        <v>30</v>
      </c>
    </row>
    <row r="5696" spans="1:5" x14ac:dyDescent="0.25">
      <c r="A5696" s="14">
        <v>944394</v>
      </c>
      <c r="B5696" s="14" t="s">
        <v>5811</v>
      </c>
      <c r="C5696" s="14" t="s">
        <v>13031</v>
      </c>
      <c r="D5696" s="15">
        <v>6.39</v>
      </c>
      <c r="E5696" s="16" t="s">
        <v>30</v>
      </c>
    </row>
    <row r="5697" spans="1:5" x14ac:dyDescent="0.25">
      <c r="A5697" s="14">
        <v>944395</v>
      </c>
      <c r="B5697" s="14" t="s">
        <v>5812</v>
      </c>
      <c r="C5697" s="14" t="s">
        <v>13031</v>
      </c>
      <c r="D5697" s="15">
        <v>5</v>
      </c>
      <c r="E5697" s="16" t="s">
        <v>30</v>
      </c>
    </row>
    <row r="5698" spans="1:5" x14ac:dyDescent="0.25">
      <c r="A5698" s="14">
        <v>944396</v>
      </c>
      <c r="B5698" s="14" t="s">
        <v>5813</v>
      </c>
      <c r="C5698" s="14" t="s">
        <v>13031</v>
      </c>
      <c r="D5698" s="15">
        <v>7.06</v>
      </c>
      <c r="E5698" s="16" t="s">
        <v>30</v>
      </c>
    </row>
    <row r="5699" spans="1:5" x14ac:dyDescent="0.25">
      <c r="A5699" s="14">
        <v>944397</v>
      </c>
      <c r="B5699" s="14" t="s">
        <v>5814</v>
      </c>
      <c r="C5699" s="14" t="s">
        <v>13031</v>
      </c>
      <c r="D5699" s="15">
        <v>14.41</v>
      </c>
      <c r="E5699" s="16" t="s">
        <v>30</v>
      </c>
    </row>
    <row r="5700" spans="1:5" x14ac:dyDescent="0.25">
      <c r="A5700" s="14">
        <v>944398</v>
      </c>
      <c r="B5700" s="14" t="s">
        <v>5815</v>
      </c>
      <c r="C5700" s="14" t="s">
        <v>13031</v>
      </c>
      <c r="D5700" s="15">
        <v>5.83</v>
      </c>
      <c r="E5700" s="16" t="s">
        <v>30</v>
      </c>
    </row>
    <row r="5701" spans="1:5" x14ac:dyDescent="0.25">
      <c r="A5701" s="14">
        <v>944399</v>
      </c>
      <c r="B5701" s="14" t="s">
        <v>5816</v>
      </c>
      <c r="C5701" s="14" t="s">
        <v>13031</v>
      </c>
      <c r="D5701" s="15">
        <v>5.88</v>
      </c>
      <c r="E5701" s="16" t="s">
        <v>30</v>
      </c>
    </row>
    <row r="5702" spans="1:5" x14ac:dyDescent="0.25">
      <c r="A5702" s="14">
        <v>944400</v>
      </c>
      <c r="B5702" s="14" t="s">
        <v>5817</v>
      </c>
      <c r="C5702" s="14" t="s">
        <v>13031</v>
      </c>
      <c r="D5702" s="15">
        <v>9.32</v>
      </c>
      <c r="E5702" s="16" t="s">
        <v>30</v>
      </c>
    </row>
    <row r="5703" spans="1:5" x14ac:dyDescent="0.25">
      <c r="A5703" s="14">
        <v>944401</v>
      </c>
      <c r="B5703" s="14" t="s">
        <v>5818</v>
      </c>
      <c r="C5703" s="14" t="s">
        <v>13031</v>
      </c>
      <c r="D5703" s="15">
        <v>7.05</v>
      </c>
      <c r="E5703" s="16" t="s">
        <v>30</v>
      </c>
    </row>
    <row r="5704" spans="1:5" x14ac:dyDescent="0.25">
      <c r="A5704" s="14">
        <v>944921</v>
      </c>
      <c r="B5704" s="14" t="s">
        <v>5819</v>
      </c>
      <c r="C5704" s="14" t="s">
        <v>13029</v>
      </c>
      <c r="D5704" s="15">
        <v>8.2100000000000009</v>
      </c>
      <c r="E5704" s="16" t="s">
        <v>30</v>
      </c>
    </row>
    <row r="5705" spans="1:5" x14ac:dyDescent="0.25">
      <c r="A5705" s="14">
        <v>944922</v>
      </c>
      <c r="B5705" s="14" t="s">
        <v>5820</v>
      </c>
      <c r="C5705" s="14" t="s">
        <v>13029</v>
      </c>
      <c r="D5705" s="15">
        <v>15.37</v>
      </c>
      <c r="E5705" s="16" t="s">
        <v>30</v>
      </c>
    </row>
    <row r="5706" spans="1:5" x14ac:dyDescent="0.25">
      <c r="A5706" s="14">
        <v>944923</v>
      </c>
      <c r="B5706" s="14" t="s">
        <v>5821</v>
      </c>
      <c r="C5706" s="14" t="s">
        <v>13029</v>
      </c>
      <c r="D5706" s="15">
        <v>37.4</v>
      </c>
      <c r="E5706" s="16" t="s">
        <v>30</v>
      </c>
    </row>
    <row r="5707" spans="1:5" x14ac:dyDescent="0.25">
      <c r="A5707" s="14">
        <v>944926</v>
      </c>
      <c r="B5707" s="14" t="s">
        <v>5822</v>
      </c>
      <c r="C5707" s="14" t="s">
        <v>13029</v>
      </c>
      <c r="D5707" s="15">
        <v>18.55</v>
      </c>
      <c r="E5707" s="16" t="s">
        <v>30</v>
      </c>
    </row>
    <row r="5708" spans="1:5" x14ac:dyDescent="0.25">
      <c r="A5708" s="14">
        <v>944931</v>
      </c>
      <c r="B5708" s="14" t="s">
        <v>5823</v>
      </c>
      <c r="C5708" s="14" t="s">
        <v>13029</v>
      </c>
      <c r="D5708" s="15">
        <v>13.33</v>
      </c>
      <c r="E5708" s="16" t="s">
        <v>30</v>
      </c>
    </row>
    <row r="5709" spans="1:5" x14ac:dyDescent="0.25">
      <c r="A5709" s="14">
        <v>944932</v>
      </c>
      <c r="B5709" s="14" t="s">
        <v>5824</v>
      </c>
      <c r="C5709" s="14" t="s">
        <v>13029</v>
      </c>
      <c r="D5709" s="15">
        <v>13.33</v>
      </c>
      <c r="E5709" s="16" t="s">
        <v>30</v>
      </c>
    </row>
    <row r="5710" spans="1:5" x14ac:dyDescent="0.25">
      <c r="A5710" s="14">
        <v>944934</v>
      </c>
      <c r="B5710" s="14" t="s">
        <v>5825</v>
      </c>
      <c r="C5710" s="14" t="s">
        <v>13030</v>
      </c>
      <c r="D5710" s="15">
        <v>35.54</v>
      </c>
      <c r="E5710" s="16" t="s">
        <v>30</v>
      </c>
    </row>
    <row r="5711" spans="1:5" x14ac:dyDescent="0.25">
      <c r="A5711" s="14">
        <v>944935</v>
      </c>
      <c r="B5711" s="14" t="s">
        <v>5826</v>
      </c>
      <c r="C5711" s="14" t="s">
        <v>13030</v>
      </c>
      <c r="D5711" s="15">
        <v>86.37</v>
      </c>
      <c r="E5711" s="16" t="s">
        <v>30</v>
      </c>
    </row>
    <row r="5712" spans="1:5" x14ac:dyDescent="0.25">
      <c r="A5712" s="14">
        <v>945124</v>
      </c>
      <c r="B5712" s="14" t="s">
        <v>5827</v>
      </c>
      <c r="C5712" s="14" t="s">
        <v>13033</v>
      </c>
      <c r="D5712" s="15">
        <v>11.51</v>
      </c>
      <c r="E5712" s="16" t="s">
        <v>30</v>
      </c>
    </row>
    <row r="5713" spans="1:5" x14ac:dyDescent="0.25">
      <c r="A5713" s="14">
        <v>945125</v>
      </c>
      <c r="B5713" s="14" t="s">
        <v>5828</v>
      </c>
      <c r="C5713" s="14" t="s">
        <v>13033</v>
      </c>
      <c r="D5713" s="15">
        <v>10.46</v>
      </c>
      <c r="E5713" s="16" t="s">
        <v>30</v>
      </c>
    </row>
    <row r="5714" spans="1:5" x14ac:dyDescent="0.25">
      <c r="A5714" s="14">
        <v>945126</v>
      </c>
      <c r="B5714" s="14" t="s">
        <v>5829</v>
      </c>
      <c r="C5714" s="14" t="s">
        <v>13033</v>
      </c>
      <c r="D5714" s="15">
        <v>9.61</v>
      </c>
      <c r="E5714" s="16" t="s">
        <v>30</v>
      </c>
    </row>
    <row r="5715" spans="1:5" x14ac:dyDescent="0.25">
      <c r="A5715" s="14">
        <v>946136</v>
      </c>
      <c r="B5715" s="14" t="s">
        <v>5830</v>
      </c>
      <c r="C5715" s="14" t="s">
        <v>13031</v>
      </c>
      <c r="D5715" s="15">
        <v>9.4</v>
      </c>
      <c r="E5715" s="16" t="s">
        <v>30</v>
      </c>
    </row>
    <row r="5716" spans="1:5" x14ac:dyDescent="0.25">
      <c r="A5716" s="14">
        <v>946137</v>
      </c>
      <c r="B5716" s="14" t="s">
        <v>5831</v>
      </c>
      <c r="C5716" s="14" t="s">
        <v>13031</v>
      </c>
      <c r="D5716" s="15">
        <v>9.4</v>
      </c>
      <c r="E5716" s="16" t="s">
        <v>30</v>
      </c>
    </row>
    <row r="5717" spans="1:5" x14ac:dyDescent="0.25">
      <c r="A5717" s="14">
        <v>946254</v>
      </c>
      <c r="B5717" s="14" t="s">
        <v>5832</v>
      </c>
      <c r="C5717" s="14" t="s">
        <v>13029</v>
      </c>
      <c r="D5717" s="15">
        <v>16.55</v>
      </c>
      <c r="E5717" s="16" t="s">
        <v>30</v>
      </c>
    </row>
    <row r="5718" spans="1:5" x14ac:dyDescent="0.25">
      <c r="A5718" s="14">
        <v>946255</v>
      </c>
      <c r="B5718" s="14" t="s">
        <v>5833</v>
      </c>
      <c r="C5718" s="14" t="s">
        <v>13029</v>
      </c>
      <c r="D5718" s="15">
        <v>24.4</v>
      </c>
      <c r="E5718" s="16" t="s">
        <v>30</v>
      </c>
    </row>
    <row r="5719" spans="1:5" x14ac:dyDescent="0.25">
      <c r="A5719" s="14">
        <v>946256</v>
      </c>
      <c r="B5719" s="14" t="s">
        <v>5834</v>
      </c>
      <c r="C5719" s="14" t="s">
        <v>13029</v>
      </c>
      <c r="D5719" s="15">
        <v>16.55</v>
      </c>
      <c r="E5719" s="16" t="s">
        <v>30</v>
      </c>
    </row>
    <row r="5720" spans="1:5" x14ac:dyDescent="0.25">
      <c r="A5720" s="14">
        <v>946258</v>
      </c>
      <c r="B5720" s="14" t="s">
        <v>5835</v>
      </c>
      <c r="C5720" s="14" t="s">
        <v>13031</v>
      </c>
      <c r="D5720" s="15">
        <v>24.13</v>
      </c>
      <c r="E5720" s="16" t="s">
        <v>30</v>
      </c>
    </row>
    <row r="5721" spans="1:5" x14ac:dyDescent="0.25">
      <c r="A5721" s="14">
        <v>946271</v>
      </c>
      <c r="B5721" s="14" t="s">
        <v>5836</v>
      </c>
      <c r="C5721" s="14" t="s">
        <v>13031</v>
      </c>
      <c r="D5721" s="15">
        <v>89.27</v>
      </c>
      <c r="E5721" s="16" t="s">
        <v>30</v>
      </c>
    </row>
    <row r="5722" spans="1:5" x14ac:dyDescent="0.25">
      <c r="A5722" s="14">
        <v>946272</v>
      </c>
      <c r="B5722" s="14" t="s">
        <v>5837</v>
      </c>
      <c r="C5722" s="14" t="s">
        <v>13031</v>
      </c>
      <c r="D5722" s="15">
        <v>10.039999999999999</v>
      </c>
      <c r="E5722" s="16" t="s">
        <v>30</v>
      </c>
    </row>
    <row r="5723" spans="1:5" x14ac:dyDescent="0.25">
      <c r="A5723" s="14">
        <v>946273</v>
      </c>
      <c r="B5723" s="14" t="s">
        <v>5838</v>
      </c>
      <c r="C5723" s="14" t="s">
        <v>13031</v>
      </c>
      <c r="D5723" s="15">
        <v>126.69</v>
      </c>
      <c r="E5723" s="16" t="s">
        <v>30</v>
      </c>
    </row>
    <row r="5724" spans="1:5" x14ac:dyDescent="0.25">
      <c r="A5724" s="14">
        <v>946282</v>
      </c>
      <c r="B5724" s="14" t="s">
        <v>5839</v>
      </c>
      <c r="C5724" s="14" t="s">
        <v>13031</v>
      </c>
      <c r="D5724" s="15">
        <v>9.5299999999999994</v>
      </c>
      <c r="E5724" s="16" t="s">
        <v>30</v>
      </c>
    </row>
    <row r="5725" spans="1:5" x14ac:dyDescent="0.25">
      <c r="A5725" s="14">
        <v>946283</v>
      </c>
      <c r="B5725" s="14" t="s">
        <v>5840</v>
      </c>
      <c r="C5725" s="14" t="s">
        <v>13031</v>
      </c>
      <c r="D5725" s="15">
        <v>9.5299999999999994</v>
      </c>
      <c r="E5725" s="16" t="s">
        <v>30</v>
      </c>
    </row>
    <row r="5726" spans="1:5" x14ac:dyDescent="0.25">
      <c r="A5726" s="14">
        <v>946284</v>
      </c>
      <c r="B5726" s="14" t="s">
        <v>5841</v>
      </c>
      <c r="C5726" s="14" t="s">
        <v>13031</v>
      </c>
      <c r="D5726" s="15">
        <v>9.5299999999999994</v>
      </c>
      <c r="E5726" s="16" t="s">
        <v>30</v>
      </c>
    </row>
    <row r="5727" spans="1:5" x14ac:dyDescent="0.25">
      <c r="A5727" s="14">
        <v>946285</v>
      </c>
      <c r="B5727" s="14" t="s">
        <v>5842</v>
      </c>
      <c r="C5727" s="14" t="s">
        <v>13031</v>
      </c>
      <c r="D5727" s="15">
        <v>9.5299999999999994</v>
      </c>
      <c r="E5727" s="16" t="s">
        <v>30</v>
      </c>
    </row>
    <row r="5728" spans="1:5" x14ac:dyDescent="0.25">
      <c r="A5728" s="14">
        <v>946286</v>
      </c>
      <c r="B5728" s="14" t="s">
        <v>5843</v>
      </c>
      <c r="C5728" s="14" t="s">
        <v>13031</v>
      </c>
      <c r="D5728" s="15">
        <v>6.86</v>
      </c>
      <c r="E5728" s="16" t="s">
        <v>30</v>
      </c>
    </row>
    <row r="5729" spans="1:5" x14ac:dyDescent="0.25">
      <c r="A5729" s="14">
        <v>946287</v>
      </c>
      <c r="B5729" s="14" t="s">
        <v>5844</v>
      </c>
      <c r="C5729" s="14" t="s">
        <v>13031</v>
      </c>
      <c r="D5729" s="15">
        <v>6.86</v>
      </c>
      <c r="E5729" s="16" t="s">
        <v>30</v>
      </c>
    </row>
    <row r="5730" spans="1:5" x14ac:dyDescent="0.25">
      <c r="A5730" s="14">
        <v>946288</v>
      </c>
      <c r="B5730" s="14" t="s">
        <v>5845</v>
      </c>
      <c r="C5730" s="14" t="s">
        <v>13031</v>
      </c>
      <c r="D5730" s="15">
        <v>6.86</v>
      </c>
      <c r="E5730" s="16" t="s">
        <v>30</v>
      </c>
    </row>
    <row r="5731" spans="1:5" x14ac:dyDescent="0.25">
      <c r="A5731" s="14">
        <v>946290</v>
      </c>
      <c r="B5731" s="14" t="s">
        <v>5846</v>
      </c>
      <c r="C5731" s="14" t="s">
        <v>13031</v>
      </c>
      <c r="D5731" s="15">
        <v>7.5</v>
      </c>
      <c r="E5731" s="16" t="s">
        <v>30</v>
      </c>
    </row>
    <row r="5732" spans="1:5" x14ac:dyDescent="0.25">
      <c r="A5732" s="14">
        <v>946291</v>
      </c>
      <c r="B5732" s="14" t="s">
        <v>5847</v>
      </c>
      <c r="C5732" s="14" t="s">
        <v>13031</v>
      </c>
      <c r="D5732" s="15">
        <v>21.89</v>
      </c>
      <c r="E5732" s="16" t="s">
        <v>30</v>
      </c>
    </row>
    <row r="5733" spans="1:5" x14ac:dyDescent="0.25">
      <c r="A5733" s="14">
        <v>946292</v>
      </c>
      <c r="B5733" s="14" t="s">
        <v>5848</v>
      </c>
      <c r="C5733" s="14" t="s">
        <v>13031</v>
      </c>
      <c r="D5733" s="15">
        <v>21.89</v>
      </c>
      <c r="E5733" s="16" t="s">
        <v>30</v>
      </c>
    </row>
    <row r="5734" spans="1:5" x14ac:dyDescent="0.25">
      <c r="A5734" s="14">
        <v>946321</v>
      </c>
      <c r="B5734" s="14" t="s">
        <v>5849</v>
      </c>
      <c r="C5734" s="14" t="s">
        <v>13031</v>
      </c>
      <c r="D5734" s="15">
        <v>7.3</v>
      </c>
      <c r="E5734" s="16" t="s">
        <v>30</v>
      </c>
    </row>
    <row r="5735" spans="1:5" x14ac:dyDescent="0.25">
      <c r="A5735" s="14">
        <v>946330</v>
      </c>
      <c r="B5735" s="14" t="s">
        <v>5850</v>
      </c>
      <c r="C5735" s="14" t="s">
        <v>13029</v>
      </c>
      <c r="D5735" s="15">
        <v>58.23</v>
      </c>
      <c r="E5735" s="16" t="s">
        <v>30</v>
      </c>
    </row>
    <row r="5736" spans="1:5" x14ac:dyDescent="0.25">
      <c r="A5736" s="14">
        <v>946334</v>
      </c>
      <c r="B5736" s="14" t="s">
        <v>5851</v>
      </c>
      <c r="C5736" s="14" t="s">
        <v>13031</v>
      </c>
      <c r="D5736" s="15">
        <v>33.19</v>
      </c>
      <c r="E5736" s="16" t="s">
        <v>30</v>
      </c>
    </row>
    <row r="5737" spans="1:5" x14ac:dyDescent="0.25">
      <c r="A5737" s="14">
        <v>946335</v>
      </c>
      <c r="B5737" s="14" t="s">
        <v>5852</v>
      </c>
      <c r="C5737" s="14" t="s">
        <v>13031</v>
      </c>
      <c r="D5737" s="15">
        <v>3.74</v>
      </c>
      <c r="E5737" s="16" t="s">
        <v>30</v>
      </c>
    </row>
    <row r="5738" spans="1:5" x14ac:dyDescent="0.25">
      <c r="A5738" s="14">
        <v>946336</v>
      </c>
      <c r="B5738" s="14" t="s">
        <v>5853</v>
      </c>
      <c r="C5738" s="14" t="s">
        <v>13031</v>
      </c>
      <c r="D5738" s="15">
        <v>3.74</v>
      </c>
      <c r="E5738" s="16" t="s">
        <v>30</v>
      </c>
    </row>
    <row r="5739" spans="1:5" x14ac:dyDescent="0.25">
      <c r="A5739" s="14">
        <v>946337</v>
      </c>
      <c r="B5739" s="14" t="s">
        <v>5854</v>
      </c>
      <c r="C5739" s="14" t="s">
        <v>13031</v>
      </c>
      <c r="D5739" s="15">
        <v>3.74</v>
      </c>
      <c r="E5739" s="16" t="s">
        <v>30</v>
      </c>
    </row>
    <row r="5740" spans="1:5" x14ac:dyDescent="0.25">
      <c r="A5740" s="14">
        <v>946338</v>
      </c>
      <c r="B5740" s="14" t="s">
        <v>5855</v>
      </c>
      <c r="C5740" s="14" t="s">
        <v>13031</v>
      </c>
      <c r="D5740" s="15">
        <v>6.49</v>
      </c>
      <c r="E5740" s="16" t="s">
        <v>30</v>
      </c>
    </row>
    <row r="5741" spans="1:5" x14ac:dyDescent="0.25">
      <c r="A5741" s="14">
        <v>946339</v>
      </c>
      <c r="B5741" s="14" t="s">
        <v>5856</v>
      </c>
      <c r="C5741" s="14" t="s">
        <v>13031</v>
      </c>
      <c r="D5741" s="15">
        <v>6.63</v>
      </c>
      <c r="E5741" s="16" t="s">
        <v>30</v>
      </c>
    </row>
    <row r="5742" spans="1:5" x14ac:dyDescent="0.25">
      <c r="A5742" s="14">
        <v>946340</v>
      </c>
      <c r="B5742" s="14" t="s">
        <v>5857</v>
      </c>
      <c r="C5742" s="14" t="s">
        <v>13031</v>
      </c>
      <c r="D5742" s="15">
        <v>11.9</v>
      </c>
      <c r="E5742" s="16" t="s">
        <v>30</v>
      </c>
    </row>
    <row r="5743" spans="1:5" x14ac:dyDescent="0.25">
      <c r="A5743" s="14">
        <v>946350</v>
      </c>
      <c r="B5743" s="14" t="s">
        <v>5858</v>
      </c>
      <c r="C5743" s="14" t="s">
        <v>13031</v>
      </c>
      <c r="D5743" s="15">
        <v>11.8</v>
      </c>
      <c r="E5743" s="16" t="s">
        <v>30</v>
      </c>
    </row>
    <row r="5744" spans="1:5" x14ac:dyDescent="0.25">
      <c r="A5744" s="14">
        <v>946352</v>
      </c>
      <c r="B5744" s="14" t="s">
        <v>5859</v>
      </c>
      <c r="C5744" s="14" t="s">
        <v>13029</v>
      </c>
      <c r="D5744" s="15">
        <v>29.08</v>
      </c>
      <c r="E5744" s="16" t="s">
        <v>30</v>
      </c>
    </row>
    <row r="5745" spans="1:5" x14ac:dyDescent="0.25">
      <c r="A5745" s="14">
        <v>946404</v>
      </c>
      <c r="B5745" s="14" t="s">
        <v>5860</v>
      </c>
      <c r="C5745" s="14" t="s">
        <v>13029</v>
      </c>
      <c r="D5745" s="15">
        <v>59.26</v>
      </c>
      <c r="E5745" s="16" t="s">
        <v>30</v>
      </c>
    </row>
    <row r="5746" spans="1:5" x14ac:dyDescent="0.25">
      <c r="A5746" s="14">
        <v>946405</v>
      </c>
      <c r="B5746" s="14" t="s">
        <v>5861</v>
      </c>
      <c r="C5746" s="14" t="s">
        <v>13029</v>
      </c>
      <c r="D5746" s="15">
        <v>59.26</v>
      </c>
      <c r="E5746" s="16" t="s">
        <v>30</v>
      </c>
    </row>
    <row r="5747" spans="1:5" x14ac:dyDescent="0.25">
      <c r="A5747" s="14">
        <v>946406</v>
      </c>
      <c r="B5747" s="14" t="s">
        <v>5862</v>
      </c>
      <c r="C5747" s="14" t="s">
        <v>13029</v>
      </c>
      <c r="D5747" s="15">
        <v>59.26</v>
      </c>
      <c r="E5747" s="16" t="s">
        <v>30</v>
      </c>
    </row>
    <row r="5748" spans="1:5" x14ac:dyDescent="0.25">
      <c r="A5748" s="14">
        <v>946407</v>
      </c>
      <c r="B5748" s="14" t="s">
        <v>5863</v>
      </c>
      <c r="C5748" s="14" t="s">
        <v>13029</v>
      </c>
      <c r="D5748" s="15">
        <v>59.26</v>
      </c>
      <c r="E5748" s="16" t="s">
        <v>30</v>
      </c>
    </row>
    <row r="5749" spans="1:5" x14ac:dyDescent="0.25">
      <c r="A5749" s="14">
        <v>946409</v>
      </c>
      <c r="B5749" s="14" t="s">
        <v>5864</v>
      </c>
      <c r="C5749" s="14" t="s">
        <v>13029</v>
      </c>
      <c r="D5749" s="15">
        <v>80.03</v>
      </c>
      <c r="E5749" s="16" t="s">
        <v>30</v>
      </c>
    </row>
    <row r="5750" spans="1:5" x14ac:dyDescent="0.25">
      <c r="A5750" s="14">
        <v>946410</v>
      </c>
      <c r="B5750" s="14" t="s">
        <v>5865</v>
      </c>
      <c r="C5750" s="14" t="s">
        <v>13029</v>
      </c>
      <c r="D5750" s="15">
        <v>77.06</v>
      </c>
      <c r="E5750" s="16" t="s">
        <v>30</v>
      </c>
    </row>
    <row r="5751" spans="1:5" x14ac:dyDescent="0.25">
      <c r="A5751" s="14">
        <v>946411</v>
      </c>
      <c r="B5751" s="14" t="s">
        <v>5866</v>
      </c>
      <c r="C5751" s="14" t="s">
        <v>13029</v>
      </c>
      <c r="D5751" s="15">
        <v>66.98</v>
      </c>
      <c r="E5751" s="16" t="s">
        <v>30</v>
      </c>
    </row>
    <row r="5752" spans="1:5" x14ac:dyDescent="0.25">
      <c r="A5752" s="14">
        <v>946414</v>
      </c>
      <c r="B5752" s="14" t="s">
        <v>5867</v>
      </c>
      <c r="C5752" s="14" t="s">
        <v>13029</v>
      </c>
      <c r="D5752" s="15">
        <v>33.159999999999997</v>
      </c>
      <c r="E5752" s="14" t="s">
        <v>30</v>
      </c>
    </row>
    <row r="5753" spans="1:5" x14ac:dyDescent="0.25">
      <c r="A5753" s="14">
        <v>946415</v>
      </c>
      <c r="B5753" s="14" t="s">
        <v>5868</v>
      </c>
      <c r="C5753" s="14" t="s">
        <v>13029</v>
      </c>
      <c r="D5753" s="15">
        <v>50.36</v>
      </c>
      <c r="E5753" s="16" t="s">
        <v>30</v>
      </c>
    </row>
    <row r="5754" spans="1:5" x14ac:dyDescent="0.25">
      <c r="A5754" s="14">
        <v>946416</v>
      </c>
      <c r="B5754" s="14" t="s">
        <v>5869</v>
      </c>
      <c r="C5754" s="14" t="s">
        <v>13029</v>
      </c>
      <c r="D5754" s="15">
        <v>50.36</v>
      </c>
      <c r="E5754" s="16" t="s">
        <v>30</v>
      </c>
    </row>
    <row r="5755" spans="1:5" x14ac:dyDescent="0.25">
      <c r="A5755" s="14">
        <v>946417</v>
      </c>
      <c r="B5755" s="14" t="s">
        <v>5870</v>
      </c>
      <c r="C5755" s="14" t="s">
        <v>13029</v>
      </c>
      <c r="D5755" s="15">
        <v>50.36</v>
      </c>
      <c r="E5755" s="16" t="s">
        <v>30</v>
      </c>
    </row>
    <row r="5756" spans="1:5" x14ac:dyDescent="0.25">
      <c r="A5756" s="14">
        <v>946418</v>
      </c>
      <c r="B5756" s="14" t="s">
        <v>5871</v>
      </c>
      <c r="C5756" s="14" t="s">
        <v>13029</v>
      </c>
      <c r="D5756" s="15">
        <v>32.57</v>
      </c>
      <c r="E5756" s="16" t="s">
        <v>30</v>
      </c>
    </row>
    <row r="5757" spans="1:5" x14ac:dyDescent="0.25">
      <c r="A5757" s="14">
        <v>946428</v>
      </c>
      <c r="B5757" s="14" t="s">
        <v>5872</v>
      </c>
      <c r="C5757" s="14" t="s">
        <v>13029</v>
      </c>
      <c r="D5757" s="15">
        <v>16.03</v>
      </c>
      <c r="E5757" s="16" t="s">
        <v>30</v>
      </c>
    </row>
    <row r="5758" spans="1:5" x14ac:dyDescent="0.25">
      <c r="A5758" s="14">
        <v>946429</v>
      </c>
      <c r="B5758" s="14" t="s">
        <v>5873</v>
      </c>
      <c r="C5758" s="14" t="s">
        <v>13029</v>
      </c>
      <c r="D5758" s="15">
        <v>16.03</v>
      </c>
      <c r="E5758" s="16" t="s">
        <v>30</v>
      </c>
    </row>
    <row r="5759" spans="1:5" x14ac:dyDescent="0.25">
      <c r="A5759" s="14">
        <v>946430</v>
      </c>
      <c r="B5759" s="14" t="s">
        <v>5874</v>
      </c>
      <c r="C5759" s="14" t="s">
        <v>13029</v>
      </c>
      <c r="D5759" s="15">
        <v>5.32</v>
      </c>
      <c r="E5759" s="16" t="s">
        <v>30</v>
      </c>
    </row>
    <row r="5760" spans="1:5" x14ac:dyDescent="0.25">
      <c r="A5760" s="14">
        <v>946431</v>
      </c>
      <c r="B5760" s="14" t="s">
        <v>5875</v>
      </c>
      <c r="C5760" s="14" t="s">
        <v>13029</v>
      </c>
      <c r="D5760" s="15">
        <v>5.32</v>
      </c>
      <c r="E5760" s="16" t="s">
        <v>30</v>
      </c>
    </row>
    <row r="5761" spans="1:5" x14ac:dyDescent="0.25">
      <c r="A5761" s="14">
        <v>946432</v>
      </c>
      <c r="B5761" s="14" t="s">
        <v>5876</v>
      </c>
      <c r="C5761" s="14" t="s">
        <v>13029</v>
      </c>
      <c r="D5761" s="15">
        <v>31.17</v>
      </c>
      <c r="E5761" s="14" t="s">
        <v>30</v>
      </c>
    </row>
    <row r="5762" spans="1:5" x14ac:dyDescent="0.25">
      <c r="A5762" s="14">
        <v>946433</v>
      </c>
      <c r="B5762" s="14" t="s">
        <v>5877</v>
      </c>
      <c r="C5762" s="14" t="s">
        <v>13029</v>
      </c>
      <c r="D5762" s="15">
        <v>36.130000000000003</v>
      </c>
      <c r="E5762" s="14" t="s">
        <v>30</v>
      </c>
    </row>
    <row r="5763" spans="1:5" x14ac:dyDescent="0.25">
      <c r="A5763" s="14">
        <v>946578</v>
      </c>
      <c r="B5763" s="14" t="s">
        <v>5878</v>
      </c>
      <c r="C5763" s="14" t="s">
        <v>13029</v>
      </c>
      <c r="D5763" s="15">
        <v>30.79</v>
      </c>
      <c r="E5763" s="16" t="s">
        <v>30</v>
      </c>
    </row>
    <row r="5764" spans="1:5" x14ac:dyDescent="0.25">
      <c r="A5764" s="14">
        <v>946580</v>
      </c>
      <c r="B5764" s="14" t="s">
        <v>5879</v>
      </c>
      <c r="C5764" s="14" t="s">
        <v>13029</v>
      </c>
      <c r="D5764" s="15">
        <v>30.19</v>
      </c>
      <c r="E5764" s="16" t="s">
        <v>30</v>
      </c>
    </row>
    <row r="5765" spans="1:5" x14ac:dyDescent="0.25">
      <c r="A5765" s="14">
        <v>946584</v>
      </c>
      <c r="B5765" s="14" t="s">
        <v>5880</v>
      </c>
      <c r="C5765" s="14" t="s">
        <v>13029</v>
      </c>
      <c r="D5765" s="15">
        <v>21.3</v>
      </c>
      <c r="E5765" s="16" t="s">
        <v>30</v>
      </c>
    </row>
    <row r="5766" spans="1:5" x14ac:dyDescent="0.25">
      <c r="A5766" s="14">
        <v>946585</v>
      </c>
      <c r="B5766" s="14" t="s">
        <v>5881</v>
      </c>
      <c r="C5766" s="14" t="s">
        <v>13029</v>
      </c>
      <c r="D5766" s="15">
        <v>17.739999999999998</v>
      </c>
      <c r="E5766" s="16" t="s">
        <v>30</v>
      </c>
    </row>
    <row r="5767" spans="1:5" x14ac:dyDescent="0.25">
      <c r="A5767" s="14">
        <v>946586</v>
      </c>
      <c r="B5767" s="14" t="s">
        <v>5882</v>
      </c>
      <c r="C5767" s="14" t="s">
        <v>13029</v>
      </c>
      <c r="D5767" s="15">
        <v>14.77</v>
      </c>
      <c r="E5767" s="16" t="s">
        <v>30</v>
      </c>
    </row>
    <row r="5768" spans="1:5" x14ac:dyDescent="0.25">
      <c r="A5768" s="14">
        <v>946587</v>
      </c>
      <c r="B5768" s="14" t="s">
        <v>5883</v>
      </c>
      <c r="C5768" s="14" t="s">
        <v>13029</v>
      </c>
      <c r="D5768" s="15">
        <v>14.77</v>
      </c>
      <c r="E5768" s="16" t="s">
        <v>30</v>
      </c>
    </row>
    <row r="5769" spans="1:5" x14ac:dyDescent="0.25">
      <c r="A5769" s="14">
        <v>946588</v>
      </c>
      <c r="B5769" s="14" t="s">
        <v>5884</v>
      </c>
      <c r="C5769" s="14" t="s">
        <v>13029</v>
      </c>
      <c r="D5769" s="15">
        <v>17.739999999999998</v>
      </c>
      <c r="E5769" s="16" t="s">
        <v>30</v>
      </c>
    </row>
    <row r="5770" spans="1:5" x14ac:dyDescent="0.25">
      <c r="A5770" s="14">
        <v>892486</v>
      </c>
      <c r="B5770" s="14" t="s">
        <v>5885</v>
      </c>
      <c r="C5770" s="14" t="s">
        <v>13031</v>
      </c>
      <c r="D5770" s="15">
        <v>3.51</v>
      </c>
      <c r="E5770" s="16" t="s">
        <v>20</v>
      </c>
    </row>
    <row r="5771" spans="1:5" x14ac:dyDescent="0.25">
      <c r="A5771" s="14">
        <v>946589</v>
      </c>
      <c r="B5771" s="14" t="s">
        <v>5886</v>
      </c>
      <c r="C5771" s="14" t="s">
        <v>13029</v>
      </c>
      <c r="D5771" s="15">
        <v>10.02</v>
      </c>
      <c r="E5771" s="16" t="s">
        <v>30</v>
      </c>
    </row>
    <row r="5772" spans="1:5" x14ac:dyDescent="0.25">
      <c r="A5772" s="14">
        <v>946590</v>
      </c>
      <c r="B5772" s="14" t="s">
        <v>5887</v>
      </c>
      <c r="C5772" s="14" t="s">
        <v>13029</v>
      </c>
      <c r="D5772" s="15">
        <v>8.84</v>
      </c>
      <c r="E5772" s="16" t="s">
        <v>30</v>
      </c>
    </row>
    <row r="5773" spans="1:5" x14ac:dyDescent="0.25">
      <c r="A5773" s="14">
        <v>946591</v>
      </c>
      <c r="B5773" s="14" t="s">
        <v>5888</v>
      </c>
      <c r="C5773" s="14" t="s">
        <v>13029</v>
      </c>
      <c r="D5773" s="15">
        <v>10.029999999999999</v>
      </c>
      <c r="E5773" s="16" t="s">
        <v>30</v>
      </c>
    </row>
    <row r="5774" spans="1:5" x14ac:dyDescent="0.25">
      <c r="A5774" s="14">
        <v>946592</v>
      </c>
      <c r="B5774" s="14" t="s">
        <v>5889</v>
      </c>
      <c r="C5774" s="14" t="s">
        <v>13029</v>
      </c>
      <c r="D5774" s="15">
        <v>10.02</v>
      </c>
      <c r="E5774" s="16" t="s">
        <v>30</v>
      </c>
    </row>
    <row r="5775" spans="1:5" x14ac:dyDescent="0.25">
      <c r="A5775" s="14">
        <v>946593</v>
      </c>
      <c r="B5775" s="14" t="s">
        <v>5890</v>
      </c>
      <c r="C5775" s="14" t="s">
        <v>13031</v>
      </c>
      <c r="D5775" s="15">
        <v>9.8699999999999992</v>
      </c>
      <c r="E5775" s="16" t="s">
        <v>30</v>
      </c>
    </row>
    <row r="5776" spans="1:5" x14ac:dyDescent="0.25">
      <c r="A5776" s="14">
        <v>946594</v>
      </c>
      <c r="B5776" s="14" t="s">
        <v>5891</v>
      </c>
      <c r="C5776" s="14" t="s">
        <v>13031</v>
      </c>
      <c r="D5776" s="15">
        <v>9.8699999999999992</v>
      </c>
      <c r="E5776" s="16" t="s">
        <v>30</v>
      </c>
    </row>
    <row r="5777" spans="1:5" x14ac:dyDescent="0.25">
      <c r="A5777" s="14">
        <v>946595</v>
      </c>
      <c r="B5777" s="14" t="s">
        <v>5892</v>
      </c>
      <c r="C5777" s="14" t="s">
        <v>13031</v>
      </c>
      <c r="D5777" s="15">
        <v>9.49</v>
      </c>
      <c r="E5777" s="16" t="s">
        <v>30</v>
      </c>
    </row>
    <row r="5778" spans="1:5" x14ac:dyDescent="0.25">
      <c r="A5778" s="14">
        <v>946601</v>
      </c>
      <c r="B5778" s="14" t="s">
        <v>5893</v>
      </c>
      <c r="C5778" s="14" t="s">
        <v>13031</v>
      </c>
      <c r="D5778" s="15">
        <v>10.09</v>
      </c>
      <c r="E5778" s="16" t="s">
        <v>30</v>
      </c>
    </row>
    <row r="5779" spans="1:5" x14ac:dyDescent="0.25">
      <c r="A5779" s="14">
        <v>946602</v>
      </c>
      <c r="B5779" s="14" t="s">
        <v>5894</v>
      </c>
      <c r="C5779" s="14" t="s">
        <v>13031</v>
      </c>
      <c r="D5779" s="15">
        <v>11.8</v>
      </c>
      <c r="E5779" s="16" t="s">
        <v>30</v>
      </c>
    </row>
    <row r="5780" spans="1:5" x14ac:dyDescent="0.25">
      <c r="A5780" s="14">
        <v>946603</v>
      </c>
      <c r="B5780" s="14" t="s">
        <v>5895</v>
      </c>
      <c r="C5780" s="14" t="s">
        <v>13031</v>
      </c>
      <c r="D5780" s="15">
        <v>18.899999999999999</v>
      </c>
      <c r="E5780" s="16" t="s">
        <v>30</v>
      </c>
    </row>
    <row r="5781" spans="1:5" x14ac:dyDescent="0.25">
      <c r="A5781" s="14">
        <v>946604</v>
      </c>
      <c r="B5781" s="14" t="s">
        <v>5896</v>
      </c>
      <c r="C5781" s="14" t="s">
        <v>13031</v>
      </c>
      <c r="D5781" s="15">
        <v>18.899999999999999</v>
      </c>
      <c r="E5781" s="16" t="s">
        <v>30</v>
      </c>
    </row>
    <row r="5782" spans="1:5" x14ac:dyDescent="0.25">
      <c r="A5782" s="14">
        <v>946639</v>
      </c>
      <c r="B5782" s="14" t="s">
        <v>5897</v>
      </c>
      <c r="C5782" s="14" t="s">
        <v>13033</v>
      </c>
      <c r="D5782" s="15">
        <v>13.06</v>
      </c>
      <c r="E5782" s="16" t="s">
        <v>30</v>
      </c>
    </row>
    <row r="5783" spans="1:5" x14ac:dyDescent="0.25">
      <c r="A5783" s="14">
        <v>946640</v>
      </c>
      <c r="B5783" s="14" t="s">
        <v>5898</v>
      </c>
      <c r="C5783" s="14" t="s">
        <v>13033</v>
      </c>
      <c r="D5783" s="15">
        <v>13.06</v>
      </c>
      <c r="E5783" s="16" t="s">
        <v>30</v>
      </c>
    </row>
    <row r="5784" spans="1:5" x14ac:dyDescent="0.25">
      <c r="A5784" s="14">
        <v>946641</v>
      </c>
      <c r="B5784" s="14" t="s">
        <v>5899</v>
      </c>
      <c r="C5784" s="14" t="s">
        <v>13033</v>
      </c>
      <c r="D5784" s="15">
        <v>7.61</v>
      </c>
      <c r="E5784" s="16" t="s">
        <v>30</v>
      </c>
    </row>
    <row r="5785" spans="1:5" x14ac:dyDescent="0.25">
      <c r="A5785" s="14">
        <v>946642</v>
      </c>
      <c r="B5785" s="14" t="s">
        <v>5900</v>
      </c>
      <c r="C5785" s="14" t="s">
        <v>13033</v>
      </c>
      <c r="D5785" s="15">
        <v>32.590000000000003</v>
      </c>
      <c r="E5785" s="16" t="s">
        <v>30</v>
      </c>
    </row>
    <row r="5786" spans="1:5" x14ac:dyDescent="0.25">
      <c r="A5786" s="14">
        <v>946643</v>
      </c>
      <c r="B5786" s="14" t="s">
        <v>5901</v>
      </c>
      <c r="C5786" s="14" t="s">
        <v>13033</v>
      </c>
      <c r="D5786" s="15">
        <v>27.15</v>
      </c>
      <c r="E5786" s="16" t="s">
        <v>30</v>
      </c>
    </row>
    <row r="5787" spans="1:5" x14ac:dyDescent="0.25">
      <c r="A5787" s="14">
        <v>946645</v>
      </c>
      <c r="B5787" s="14" t="s">
        <v>5902</v>
      </c>
      <c r="C5787" s="14" t="s">
        <v>13029</v>
      </c>
      <c r="D5787" s="15">
        <v>19.350000000000001</v>
      </c>
      <c r="E5787" s="16" t="s">
        <v>30</v>
      </c>
    </row>
    <row r="5788" spans="1:5" x14ac:dyDescent="0.25">
      <c r="A5788" s="14">
        <v>946646</v>
      </c>
      <c r="B5788" s="14" t="s">
        <v>5903</v>
      </c>
      <c r="C5788" s="14" t="s">
        <v>13029</v>
      </c>
      <c r="D5788" s="15">
        <v>16.27</v>
      </c>
      <c r="E5788" s="16" t="s">
        <v>30</v>
      </c>
    </row>
    <row r="5789" spans="1:5" x14ac:dyDescent="0.25">
      <c r="A5789" s="14">
        <v>946647</v>
      </c>
      <c r="B5789" s="14" t="s">
        <v>5904</v>
      </c>
      <c r="C5789" s="14" t="s">
        <v>13029</v>
      </c>
      <c r="D5789" s="15">
        <v>16.27</v>
      </c>
      <c r="E5789" s="16" t="s">
        <v>30</v>
      </c>
    </row>
    <row r="5790" spans="1:5" x14ac:dyDescent="0.25">
      <c r="A5790" s="14">
        <v>946648</v>
      </c>
      <c r="B5790" s="14" t="s">
        <v>5905</v>
      </c>
      <c r="C5790" s="14" t="s">
        <v>13029</v>
      </c>
      <c r="D5790" s="15">
        <v>25.41</v>
      </c>
      <c r="E5790" s="16" t="s">
        <v>30</v>
      </c>
    </row>
    <row r="5791" spans="1:5" x14ac:dyDescent="0.25">
      <c r="A5791" s="14">
        <v>946649</v>
      </c>
      <c r="B5791" s="14" t="s">
        <v>5906</v>
      </c>
      <c r="C5791" s="14" t="s">
        <v>13029</v>
      </c>
      <c r="D5791" s="15">
        <v>25.41</v>
      </c>
      <c r="E5791" s="16" t="s">
        <v>30</v>
      </c>
    </row>
    <row r="5792" spans="1:5" x14ac:dyDescent="0.25">
      <c r="A5792" s="14">
        <v>946941</v>
      </c>
      <c r="B5792" s="14" t="s">
        <v>5907</v>
      </c>
      <c r="C5792" s="14" t="s">
        <v>13029</v>
      </c>
      <c r="D5792" s="15">
        <v>6.94</v>
      </c>
      <c r="E5792" s="16" t="s">
        <v>30</v>
      </c>
    </row>
    <row r="5793" spans="1:5" x14ac:dyDescent="0.25">
      <c r="A5793" s="14">
        <v>902729</v>
      </c>
      <c r="B5793" s="14" t="s">
        <v>5908</v>
      </c>
      <c r="C5793" s="14" t="s">
        <v>13030</v>
      </c>
      <c r="D5793" s="15">
        <v>37.58</v>
      </c>
      <c r="E5793" s="16" t="s">
        <v>20</v>
      </c>
    </row>
    <row r="5794" spans="1:5" x14ac:dyDescent="0.25">
      <c r="A5794" s="14">
        <v>946942</v>
      </c>
      <c r="B5794" s="14" t="s">
        <v>5909</v>
      </c>
      <c r="C5794" s="14" t="s">
        <v>13029</v>
      </c>
      <c r="D5794" s="15">
        <v>11.75</v>
      </c>
      <c r="E5794" s="16" t="s">
        <v>30</v>
      </c>
    </row>
    <row r="5795" spans="1:5" x14ac:dyDescent="0.25">
      <c r="A5795" s="14">
        <v>946962</v>
      </c>
      <c r="B5795" s="14" t="s">
        <v>5910</v>
      </c>
      <c r="C5795" s="14" t="s">
        <v>13029</v>
      </c>
      <c r="D5795" s="15">
        <v>19.29</v>
      </c>
      <c r="E5795" s="16" t="s">
        <v>30</v>
      </c>
    </row>
    <row r="5796" spans="1:5" x14ac:dyDescent="0.25">
      <c r="A5796" s="14">
        <v>946963</v>
      </c>
      <c r="B5796" s="14" t="s">
        <v>5911</v>
      </c>
      <c r="C5796" s="14" t="s">
        <v>13029</v>
      </c>
      <c r="D5796" s="15">
        <v>19.29</v>
      </c>
      <c r="E5796" s="16" t="s">
        <v>30</v>
      </c>
    </row>
    <row r="5797" spans="1:5" x14ac:dyDescent="0.25">
      <c r="A5797" s="14">
        <v>946964</v>
      </c>
      <c r="B5797" s="14" t="s">
        <v>5912</v>
      </c>
      <c r="C5797" s="14" t="s">
        <v>13029</v>
      </c>
      <c r="D5797" s="15">
        <v>19.29</v>
      </c>
      <c r="E5797" s="16" t="s">
        <v>30</v>
      </c>
    </row>
    <row r="5798" spans="1:5" x14ac:dyDescent="0.25">
      <c r="A5798" s="14">
        <v>946965</v>
      </c>
      <c r="B5798" s="14" t="s">
        <v>5913</v>
      </c>
      <c r="C5798" s="14" t="s">
        <v>13029</v>
      </c>
      <c r="D5798" s="15">
        <v>16.66</v>
      </c>
      <c r="E5798" s="16" t="s">
        <v>30</v>
      </c>
    </row>
    <row r="5799" spans="1:5" x14ac:dyDescent="0.25">
      <c r="A5799" s="14">
        <v>946966</v>
      </c>
      <c r="B5799" s="14" t="s">
        <v>5914</v>
      </c>
      <c r="C5799" s="14" t="s">
        <v>13029</v>
      </c>
      <c r="D5799" s="15">
        <v>16.66</v>
      </c>
      <c r="E5799" s="16" t="s">
        <v>30</v>
      </c>
    </row>
    <row r="5800" spans="1:5" x14ac:dyDescent="0.25">
      <c r="A5800" s="14">
        <v>946967</v>
      </c>
      <c r="B5800" s="14" t="s">
        <v>5915</v>
      </c>
      <c r="C5800" s="14" t="s">
        <v>13029</v>
      </c>
      <c r="D5800" s="15">
        <v>19.29</v>
      </c>
      <c r="E5800" s="16" t="s">
        <v>30</v>
      </c>
    </row>
    <row r="5801" spans="1:5" x14ac:dyDescent="0.25">
      <c r="A5801" s="14">
        <v>946968</v>
      </c>
      <c r="B5801" s="14" t="s">
        <v>5916</v>
      </c>
      <c r="C5801" s="14" t="s">
        <v>13029</v>
      </c>
      <c r="D5801" s="15">
        <v>19.29</v>
      </c>
      <c r="E5801" s="16" t="s">
        <v>30</v>
      </c>
    </row>
    <row r="5802" spans="1:5" x14ac:dyDescent="0.25">
      <c r="A5802" s="14">
        <v>946969</v>
      </c>
      <c r="B5802" s="14" t="s">
        <v>5917</v>
      </c>
      <c r="C5802" s="14" t="s">
        <v>13029</v>
      </c>
      <c r="D5802" s="15">
        <v>19.29</v>
      </c>
      <c r="E5802" s="16" t="s">
        <v>30</v>
      </c>
    </row>
    <row r="5803" spans="1:5" x14ac:dyDescent="0.25">
      <c r="A5803" s="14">
        <v>947243</v>
      </c>
      <c r="B5803" s="14" t="s">
        <v>5918</v>
      </c>
      <c r="C5803" s="14" t="s">
        <v>13029</v>
      </c>
      <c r="D5803" s="15">
        <v>15.8</v>
      </c>
      <c r="E5803" s="16" t="s">
        <v>30</v>
      </c>
    </row>
    <row r="5804" spans="1:5" x14ac:dyDescent="0.25">
      <c r="A5804" s="14">
        <v>947252</v>
      </c>
      <c r="B5804" s="14" t="s">
        <v>5919</v>
      </c>
      <c r="C5804" s="14" t="s">
        <v>13031</v>
      </c>
      <c r="D5804" s="15">
        <v>17.739999999999998</v>
      </c>
      <c r="E5804" s="16" t="s">
        <v>30</v>
      </c>
    </row>
    <row r="5805" spans="1:5" x14ac:dyDescent="0.25">
      <c r="A5805" s="14">
        <v>947253</v>
      </c>
      <c r="B5805" s="14" t="s">
        <v>5920</v>
      </c>
      <c r="C5805" s="14" t="s">
        <v>13031</v>
      </c>
      <c r="D5805" s="15">
        <v>16.2</v>
      </c>
      <c r="E5805" s="16" t="s">
        <v>30</v>
      </c>
    </row>
    <row r="5806" spans="1:5" x14ac:dyDescent="0.25">
      <c r="A5806" s="14">
        <v>947254</v>
      </c>
      <c r="B5806" s="14" t="s">
        <v>5921</v>
      </c>
      <c r="C5806" s="14" t="s">
        <v>13031</v>
      </c>
      <c r="D5806" s="15">
        <v>51.65</v>
      </c>
      <c r="E5806" s="16" t="s">
        <v>30</v>
      </c>
    </row>
    <row r="5807" spans="1:5" x14ac:dyDescent="0.25">
      <c r="A5807" s="14">
        <v>947255</v>
      </c>
      <c r="B5807" s="14" t="s">
        <v>5922</v>
      </c>
      <c r="C5807" s="14" t="s">
        <v>13031</v>
      </c>
      <c r="D5807" s="15">
        <v>28.65</v>
      </c>
      <c r="E5807" s="16" t="s">
        <v>30</v>
      </c>
    </row>
    <row r="5808" spans="1:5" x14ac:dyDescent="0.25">
      <c r="A5808" s="14">
        <v>947256</v>
      </c>
      <c r="B5808" s="14" t="s">
        <v>5923</v>
      </c>
      <c r="C5808" s="14" t="s">
        <v>13031</v>
      </c>
      <c r="D5808" s="15">
        <v>55.15</v>
      </c>
      <c r="E5808" s="16" t="s">
        <v>30</v>
      </c>
    </row>
    <row r="5809" spans="1:5" x14ac:dyDescent="0.25">
      <c r="A5809" s="14">
        <v>892487</v>
      </c>
      <c r="B5809" s="14" t="s">
        <v>112</v>
      </c>
      <c r="C5809" s="14" t="s">
        <v>13031</v>
      </c>
      <c r="D5809" s="15">
        <v>3.4</v>
      </c>
      <c r="E5809" s="16" t="s">
        <v>20</v>
      </c>
    </row>
    <row r="5810" spans="1:5" x14ac:dyDescent="0.25">
      <c r="A5810" s="14">
        <v>947263</v>
      </c>
      <c r="B5810" s="14" t="s">
        <v>5924</v>
      </c>
      <c r="C5810" s="14" t="s">
        <v>13031</v>
      </c>
      <c r="D5810" s="15">
        <v>1.31</v>
      </c>
      <c r="E5810" s="16" t="s">
        <v>30</v>
      </c>
    </row>
    <row r="5811" spans="1:5" x14ac:dyDescent="0.25">
      <c r="A5811" s="14">
        <v>947264</v>
      </c>
      <c r="B5811" s="14" t="s">
        <v>5925</v>
      </c>
      <c r="C5811" s="14" t="s">
        <v>13031</v>
      </c>
      <c r="D5811" s="15">
        <v>5.3</v>
      </c>
      <c r="E5811" s="16" t="s">
        <v>30</v>
      </c>
    </row>
    <row r="5812" spans="1:5" x14ac:dyDescent="0.25">
      <c r="A5812" s="14">
        <v>947265</v>
      </c>
      <c r="B5812" s="14" t="s">
        <v>5926</v>
      </c>
      <c r="C5812" s="14" t="s">
        <v>13031</v>
      </c>
      <c r="D5812" s="15">
        <v>7.55</v>
      </c>
      <c r="E5812" s="16" t="s">
        <v>30</v>
      </c>
    </row>
    <row r="5813" spans="1:5" x14ac:dyDescent="0.25">
      <c r="A5813" s="14">
        <v>947268</v>
      </c>
      <c r="B5813" s="14" t="s">
        <v>5927</v>
      </c>
      <c r="C5813" s="14" t="s">
        <v>13031</v>
      </c>
      <c r="D5813" s="15">
        <v>18.079999999999998</v>
      </c>
      <c r="E5813" s="16" t="s">
        <v>30</v>
      </c>
    </row>
    <row r="5814" spans="1:5" x14ac:dyDescent="0.25">
      <c r="A5814" s="14">
        <v>947269</v>
      </c>
      <c r="B5814" s="14" t="s">
        <v>5928</v>
      </c>
      <c r="C5814" s="14" t="s">
        <v>13031</v>
      </c>
      <c r="D5814" s="15">
        <v>9.7799999999999994</v>
      </c>
      <c r="E5814" s="16" t="s">
        <v>30</v>
      </c>
    </row>
    <row r="5815" spans="1:5" x14ac:dyDescent="0.25">
      <c r="A5815" s="14">
        <v>947270</v>
      </c>
      <c r="B5815" s="14" t="s">
        <v>5929</v>
      </c>
      <c r="C5815" s="14" t="s">
        <v>13031</v>
      </c>
      <c r="D5815" s="15">
        <v>9.7799999999999994</v>
      </c>
      <c r="E5815" s="16" t="s">
        <v>30</v>
      </c>
    </row>
    <row r="5816" spans="1:5" x14ac:dyDescent="0.25">
      <c r="A5816" s="14">
        <v>947271</v>
      </c>
      <c r="B5816" s="14" t="s">
        <v>5930</v>
      </c>
      <c r="C5816" s="14" t="s">
        <v>13031</v>
      </c>
      <c r="D5816" s="15">
        <v>7.96</v>
      </c>
      <c r="E5816" s="16" t="s">
        <v>30</v>
      </c>
    </row>
    <row r="5817" spans="1:5" x14ac:dyDescent="0.25">
      <c r="A5817" s="14">
        <v>947381</v>
      </c>
      <c r="B5817" s="14" t="s">
        <v>5931</v>
      </c>
      <c r="C5817" s="14" t="s">
        <v>13033</v>
      </c>
      <c r="D5817" s="15">
        <v>10.95</v>
      </c>
      <c r="E5817" s="16" t="s">
        <v>30</v>
      </c>
    </row>
    <row r="5818" spans="1:5" x14ac:dyDescent="0.25">
      <c r="A5818" s="14">
        <v>947384</v>
      </c>
      <c r="B5818" s="14" t="s">
        <v>5932</v>
      </c>
      <c r="C5818" s="14" t="s">
        <v>13029</v>
      </c>
      <c r="D5818" s="15">
        <v>12.7</v>
      </c>
      <c r="E5818" s="16" t="s">
        <v>30</v>
      </c>
    </row>
    <row r="5819" spans="1:5" x14ac:dyDescent="0.25">
      <c r="A5819" s="14">
        <v>947385</v>
      </c>
      <c r="B5819" s="14" t="s">
        <v>5933</v>
      </c>
      <c r="C5819" s="14" t="s">
        <v>13029</v>
      </c>
      <c r="D5819" s="15">
        <v>13.58</v>
      </c>
      <c r="E5819" s="16" t="s">
        <v>30</v>
      </c>
    </row>
    <row r="5820" spans="1:5" x14ac:dyDescent="0.25">
      <c r="A5820" s="14">
        <v>947942</v>
      </c>
      <c r="B5820" s="14" t="s">
        <v>5934</v>
      </c>
      <c r="C5820" s="14" t="s">
        <v>13029</v>
      </c>
      <c r="D5820" s="15">
        <v>21.48</v>
      </c>
      <c r="E5820" s="16" t="s">
        <v>30</v>
      </c>
    </row>
    <row r="5821" spans="1:5" x14ac:dyDescent="0.25">
      <c r="A5821" s="14">
        <v>947943</v>
      </c>
      <c r="B5821" s="14" t="s">
        <v>5935</v>
      </c>
      <c r="C5821" s="14" t="s">
        <v>13029</v>
      </c>
      <c r="D5821" s="15">
        <v>24.79</v>
      </c>
      <c r="E5821" s="16" t="s">
        <v>30</v>
      </c>
    </row>
    <row r="5822" spans="1:5" x14ac:dyDescent="0.25">
      <c r="A5822" s="14">
        <v>947944</v>
      </c>
      <c r="B5822" s="14" t="s">
        <v>5936</v>
      </c>
      <c r="C5822" s="14" t="s">
        <v>13029</v>
      </c>
      <c r="D5822" s="15">
        <v>13.77</v>
      </c>
      <c r="E5822" s="16" t="s">
        <v>30</v>
      </c>
    </row>
    <row r="5823" spans="1:5" x14ac:dyDescent="0.25">
      <c r="A5823" s="14">
        <v>947945</v>
      </c>
      <c r="B5823" s="14" t="s">
        <v>5937</v>
      </c>
      <c r="C5823" s="14" t="s">
        <v>13029</v>
      </c>
      <c r="D5823" s="15">
        <v>10.96</v>
      </c>
      <c r="E5823" s="16" t="s">
        <v>30</v>
      </c>
    </row>
    <row r="5824" spans="1:5" x14ac:dyDescent="0.25">
      <c r="A5824" s="14">
        <v>898566</v>
      </c>
      <c r="B5824" s="14" t="s">
        <v>5938</v>
      </c>
      <c r="C5824" s="14" t="s">
        <v>13031</v>
      </c>
      <c r="D5824" s="15">
        <v>11.21</v>
      </c>
      <c r="E5824" s="16" t="s">
        <v>20</v>
      </c>
    </row>
    <row r="5825" spans="1:5" x14ac:dyDescent="0.25">
      <c r="A5825" s="14">
        <v>902242</v>
      </c>
      <c r="B5825" s="14" t="s">
        <v>5939</v>
      </c>
      <c r="C5825" s="14" t="s">
        <v>13031</v>
      </c>
      <c r="D5825" s="15">
        <v>46.77</v>
      </c>
      <c r="E5825" s="16" t="s">
        <v>20</v>
      </c>
    </row>
    <row r="5826" spans="1:5" x14ac:dyDescent="0.25">
      <c r="A5826" s="14">
        <v>947946</v>
      </c>
      <c r="B5826" s="14" t="s">
        <v>5940</v>
      </c>
      <c r="C5826" s="14" t="s">
        <v>13029</v>
      </c>
      <c r="D5826" s="15">
        <v>24.79</v>
      </c>
      <c r="E5826" s="16" t="s">
        <v>30</v>
      </c>
    </row>
    <row r="5827" spans="1:5" x14ac:dyDescent="0.25">
      <c r="A5827" s="14">
        <v>947947</v>
      </c>
      <c r="B5827" s="14" t="s">
        <v>5941</v>
      </c>
      <c r="C5827" s="14" t="s">
        <v>13029</v>
      </c>
      <c r="D5827" s="15">
        <v>26.99</v>
      </c>
      <c r="E5827" s="16" t="s">
        <v>30</v>
      </c>
    </row>
    <row r="5828" spans="1:5" x14ac:dyDescent="0.25">
      <c r="A5828" s="14">
        <v>947948</v>
      </c>
      <c r="B5828" s="14" t="s">
        <v>5942</v>
      </c>
      <c r="C5828" s="14" t="s">
        <v>13029</v>
      </c>
      <c r="D5828" s="15">
        <v>26.99</v>
      </c>
      <c r="E5828" s="16" t="s">
        <v>30</v>
      </c>
    </row>
    <row r="5829" spans="1:5" x14ac:dyDescent="0.25">
      <c r="A5829" s="14">
        <v>947952</v>
      </c>
      <c r="B5829" s="14" t="s">
        <v>5943</v>
      </c>
      <c r="C5829" s="14" t="s">
        <v>13029</v>
      </c>
      <c r="D5829" s="15">
        <v>20.7</v>
      </c>
      <c r="E5829" s="16" t="s">
        <v>30</v>
      </c>
    </row>
    <row r="5830" spans="1:5" x14ac:dyDescent="0.25">
      <c r="A5830" s="14">
        <v>947954</v>
      </c>
      <c r="B5830" s="14" t="s">
        <v>5944</v>
      </c>
      <c r="C5830" s="14" t="s">
        <v>13029</v>
      </c>
      <c r="D5830" s="15">
        <v>17.329999999999998</v>
      </c>
      <c r="E5830" s="16" t="s">
        <v>30</v>
      </c>
    </row>
    <row r="5831" spans="1:5" x14ac:dyDescent="0.25">
      <c r="A5831" s="14">
        <v>947955</v>
      </c>
      <c r="B5831" s="14" t="s">
        <v>5945</v>
      </c>
      <c r="C5831" s="14" t="s">
        <v>13029</v>
      </c>
      <c r="D5831" s="15">
        <v>15.42</v>
      </c>
      <c r="E5831" s="16" t="s">
        <v>30</v>
      </c>
    </row>
    <row r="5832" spans="1:5" x14ac:dyDescent="0.25">
      <c r="A5832" s="14">
        <v>947956</v>
      </c>
      <c r="B5832" s="14" t="s">
        <v>5946</v>
      </c>
      <c r="C5832" s="14" t="s">
        <v>13030</v>
      </c>
      <c r="D5832" s="15">
        <v>32.340000000000003</v>
      </c>
      <c r="E5832" s="16" t="s">
        <v>30</v>
      </c>
    </row>
    <row r="5833" spans="1:5" x14ac:dyDescent="0.25">
      <c r="A5833" s="14">
        <v>947957</v>
      </c>
      <c r="B5833" s="14" t="s">
        <v>5947</v>
      </c>
      <c r="C5833" s="14" t="s">
        <v>13030</v>
      </c>
      <c r="D5833" s="15">
        <v>35.94</v>
      </c>
      <c r="E5833" s="16" t="s">
        <v>30</v>
      </c>
    </row>
    <row r="5834" spans="1:5" x14ac:dyDescent="0.25">
      <c r="A5834" s="14">
        <v>947958</v>
      </c>
      <c r="B5834" s="14" t="s">
        <v>5948</v>
      </c>
      <c r="C5834" s="14" t="s">
        <v>13030</v>
      </c>
      <c r="D5834" s="15">
        <v>98.61</v>
      </c>
      <c r="E5834" s="16" t="s">
        <v>30</v>
      </c>
    </row>
    <row r="5835" spans="1:5" x14ac:dyDescent="0.25">
      <c r="A5835" s="14">
        <v>947959</v>
      </c>
      <c r="B5835" s="14" t="s">
        <v>5949</v>
      </c>
      <c r="C5835" s="14" t="s">
        <v>13030</v>
      </c>
      <c r="D5835" s="15">
        <v>191.03</v>
      </c>
      <c r="E5835" s="16" t="s">
        <v>30</v>
      </c>
    </row>
    <row r="5836" spans="1:5" x14ac:dyDescent="0.25">
      <c r="A5836" s="14">
        <v>947960</v>
      </c>
      <c r="B5836" s="14" t="s">
        <v>5950</v>
      </c>
      <c r="C5836" s="14" t="s">
        <v>13030</v>
      </c>
      <c r="D5836" s="15">
        <v>75.56</v>
      </c>
      <c r="E5836" s="16" t="s">
        <v>30</v>
      </c>
    </row>
    <row r="5837" spans="1:5" x14ac:dyDescent="0.25">
      <c r="A5837" s="14">
        <v>947961</v>
      </c>
      <c r="B5837" s="14" t="s">
        <v>5951</v>
      </c>
      <c r="C5837" s="14" t="s">
        <v>13030</v>
      </c>
      <c r="D5837" s="15">
        <v>165.61</v>
      </c>
      <c r="E5837" s="16" t="s">
        <v>30</v>
      </c>
    </row>
    <row r="5838" spans="1:5" x14ac:dyDescent="0.25">
      <c r="A5838" s="14">
        <v>947962</v>
      </c>
      <c r="B5838" s="14" t="s">
        <v>5952</v>
      </c>
      <c r="C5838" s="14" t="s">
        <v>13030</v>
      </c>
      <c r="D5838" s="15">
        <v>107.98</v>
      </c>
      <c r="E5838" s="16" t="s">
        <v>30</v>
      </c>
    </row>
    <row r="5839" spans="1:5" x14ac:dyDescent="0.25">
      <c r="A5839" s="14">
        <v>947968</v>
      </c>
      <c r="B5839" s="14" t="s">
        <v>5953</v>
      </c>
      <c r="C5839" s="14" t="s">
        <v>13030</v>
      </c>
      <c r="D5839" s="15">
        <v>50.35</v>
      </c>
      <c r="E5839" s="16" t="s">
        <v>30</v>
      </c>
    </row>
    <row r="5840" spans="1:5" x14ac:dyDescent="0.25">
      <c r="A5840" s="14">
        <v>947969</v>
      </c>
      <c r="B5840" s="14" t="s">
        <v>5954</v>
      </c>
      <c r="C5840" s="14" t="s">
        <v>13030</v>
      </c>
      <c r="D5840" s="15">
        <v>50.35</v>
      </c>
      <c r="E5840" s="16" t="s">
        <v>30</v>
      </c>
    </row>
    <row r="5841" spans="1:5" x14ac:dyDescent="0.25">
      <c r="A5841" s="14">
        <v>947970</v>
      </c>
      <c r="B5841" s="14" t="s">
        <v>5955</v>
      </c>
      <c r="C5841" s="14" t="s">
        <v>13030</v>
      </c>
      <c r="D5841" s="15">
        <v>50.35</v>
      </c>
      <c r="E5841" s="16" t="s">
        <v>30</v>
      </c>
    </row>
    <row r="5842" spans="1:5" x14ac:dyDescent="0.25">
      <c r="A5842" s="14">
        <v>947976</v>
      </c>
      <c r="B5842" s="14" t="s">
        <v>5956</v>
      </c>
      <c r="C5842" s="14" t="s">
        <v>13029</v>
      </c>
      <c r="D5842" s="15">
        <v>20.7</v>
      </c>
      <c r="E5842" s="16" t="s">
        <v>30</v>
      </c>
    </row>
    <row r="5843" spans="1:5" x14ac:dyDescent="0.25">
      <c r="A5843" s="14">
        <v>947977</v>
      </c>
      <c r="B5843" s="14" t="s">
        <v>5957</v>
      </c>
      <c r="C5843" s="14" t="s">
        <v>13029</v>
      </c>
      <c r="D5843" s="15">
        <v>20.7</v>
      </c>
      <c r="E5843" s="16" t="s">
        <v>30</v>
      </c>
    </row>
    <row r="5844" spans="1:5" x14ac:dyDescent="0.25">
      <c r="A5844" s="14">
        <v>947978</v>
      </c>
      <c r="B5844" s="14" t="s">
        <v>5958</v>
      </c>
      <c r="C5844" s="14" t="s">
        <v>13029</v>
      </c>
      <c r="D5844" s="15">
        <v>20.7</v>
      </c>
      <c r="E5844" s="16" t="s">
        <v>30</v>
      </c>
    </row>
    <row r="5845" spans="1:5" x14ac:dyDescent="0.25">
      <c r="A5845" s="14">
        <v>947979</v>
      </c>
      <c r="B5845" s="14" t="s">
        <v>5959</v>
      </c>
      <c r="C5845" s="14" t="s">
        <v>13029</v>
      </c>
      <c r="D5845" s="15">
        <v>20.7</v>
      </c>
      <c r="E5845" s="16" t="s">
        <v>30</v>
      </c>
    </row>
    <row r="5846" spans="1:5" x14ac:dyDescent="0.25">
      <c r="A5846" s="14">
        <v>947980</v>
      </c>
      <c r="B5846" s="14" t="s">
        <v>5960</v>
      </c>
      <c r="C5846" s="14" t="s">
        <v>13029</v>
      </c>
      <c r="D5846" s="15">
        <v>23.67</v>
      </c>
      <c r="E5846" s="16" t="s">
        <v>30</v>
      </c>
    </row>
    <row r="5847" spans="1:5" x14ac:dyDescent="0.25">
      <c r="A5847" s="14">
        <v>947981</v>
      </c>
      <c r="B5847" s="14" t="s">
        <v>5961</v>
      </c>
      <c r="C5847" s="14" t="s">
        <v>13029</v>
      </c>
      <c r="D5847" s="15">
        <v>23.67</v>
      </c>
      <c r="E5847" s="16" t="s">
        <v>30</v>
      </c>
    </row>
    <row r="5848" spans="1:5" x14ac:dyDescent="0.25">
      <c r="A5848" s="14">
        <v>947982</v>
      </c>
      <c r="B5848" s="14" t="s">
        <v>5962</v>
      </c>
      <c r="C5848" s="14" t="s">
        <v>13029</v>
      </c>
      <c r="D5848" s="15">
        <v>23.67</v>
      </c>
      <c r="E5848" s="16" t="s">
        <v>30</v>
      </c>
    </row>
    <row r="5849" spans="1:5" x14ac:dyDescent="0.25">
      <c r="A5849" s="14">
        <v>947983</v>
      </c>
      <c r="B5849" s="14" t="s">
        <v>5963</v>
      </c>
      <c r="C5849" s="14" t="s">
        <v>13029</v>
      </c>
      <c r="D5849" s="15">
        <v>23.67</v>
      </c>
      <c r="E5849" s="16" t="s">
        <v>30</v>
      </c>
    </row>
    <row r="5850" spans="1:5" x14ac:dyDescent="0.25">
      <c r="A5850" s="14">
        <v>947984</v>
      </c>
      <c r="B5850" s="14" t="s">
        <v>5964</v>
      </c>
      <c r="C5850" s="14" t="s">
        <v>13029</v>
      </c>
      <c r="D5850" s="15">
        <v>15.12</v>
      </c>
      <c r="E5850" s="16" t="s">
        <v>30</v>
      </c>
    </row>
    <row r="5851" spans="1:5" x14ac:dyDescent="0.25">
      <c r="A5851" s="14">
        <v>947992</v>
      </c>
      <c r="B5851" s="14" t="s">
        <v>5965</v>
      </c>
      <c r="C5851" s="14" t="s">
        <v>13029</v>
      </c>
      <c r="D5851" s="15">
        <v>7.65</v>
      </c>
      <c r="E5851" s="16" t="s">
        <v>30</v>
      </c>
    </row>
    <row r="5852" spans="1:5" x14ac:dyDescent="0.25">
      <c r="A5852" s="14">
        <v>947993</v>
      </c>
      <c r="B5852" s="14" t="s">
        <v>5966</v>
      </c>
      <c r="C5852" s="14" t="s">
        <v>13029</v>
      </c>
      <c r="D5852" s="15">
        <v>5.28</v>
      </c>
      <c r="E5852" s="16" t="s">
        <v>30</v>
      </c>
    </row>
    <row r="5853" spans="1:5" x14ac:dyDescent="0.25">
      <c r="A5853" s="14">
        <v>947994</v>
      </c>
      <c r="B5853" s="14" t="s">
        <v>5967</v>
      </c>
      <c r="C5853" s="14" t="s">
        <v>13029</v>
      </c>
      <c r="D5853" s="15">
        <v>5.28</v>
      </c>
      <c r="E5853" s="16" t="s">
        <v>30</v>
      </c>
    </row>
    <row r="5854" spans="1:5" x14ac:dyDescent="0.25">
      <c r="A5854" s="14">
        <v>947995</v>
      </c>
      <c r="B5854" s="14" t="s">
        <v>5968</v>
      </c>
      <c r="C5854" s="14" t="s">
        <v>13029</v>
      </c>
      <c r="D5854" s="15">
        <v>7.65</v>
      </c>
      <c r="E5854" s="16" t="s">
        <v>30</v>
      </c>
    </row>
    <row r="5855" spans="1:5" x14ac:dyDescent="0.25">
      <c r="A5855" s="14">
        <v>947996</v>
      </c>
      <c r="B5855" s="14" t="s">
        <v>5969</v>
      </c>
      <c r="C5855" s="14" t="s">
        <v>13029</v>
      </c>
      <c r="D5855" s="15">
        <v>11.8</v>
      </c>
      <c r="E5855" s="16" t="s">
        <v>30</v>
      </c>
    </row>
    <row r="5856" spans="1:5" x14ac:dyDescent="0.25">
      <c r="A5856" s="14">
        <v>947997</v>
      </c>
      <c r="B5856" s="14" t="s">
        <v>5970</v>
      </c>
      <c r="C5856" s="14" t="s">
        <v>13029</v>
      </c>
      <c r="D5856" s="15">
        <v>11.8</v>
      </c>
      <c r="E5856" s="16" t="s">
        <v>30</v>
      </c>
    </row>
    <row r="5857" spans="1:5" x14ac:dyDescent="0.25">
      <c r="A5857" s="14">
        <v>948029</v>
      </c>
      <c r="B5857" s="14" t="s">
        <v>5971</v>
      </c>
      <c r="C5857" s="14" t="s">
        <v>13030</v>
      </c>
      <c r="D5857" s="15">
        <v>14.59</v>
      </c>
      <c r="E5857" s="16" t="s">
        <v>30</v>
      </c>
    </row>
    <row r="5858" spans="1:5" x14ac:dyDescent="0.25">
      <c r="A5858" s="14">
        <v>948030</v>
      </c>
      <c r="B5858" s="14" t="s">
        <v>5972</v>
      </c>
      <c r="C5858" s="14" t="s">
        <v>13030</v>
      </c>
      <c r="D5858" s="15">
        <v>14.59</v>
      </c>
      <c r="E5858" s="16" t="s">
        <v>30</v>
      </c>
    </row>
    <row r="5859" spans="1:5" x14ac:dyDescent="0.25">
      <c r="A5859" s="14">
        <v>948031</v>
      </c>
      <c r="B5859" s="14" t="s">
        <v>5973</v>
      </c>
      <c r="C5859" s="14" t="s">
        <v>13030</v>
      </c>
      <c r="D5859" s="15">
        <v>27.8</v>
      </c>
      <c r="E5859" s="16" t="s">
        <v>30</v>
      </c>
    </row>
    <row r="5860" spans="1:5" x14ac:dyDescent="0.25">
      <c r="A5860" s="14">
        <v>948032</v>
      </c>
      <c r="B5860" s="14" t="s">
        <v>5974</v>
      </c>
      <c r="C5860" s="14" t="s">
        <v>13030</v>
      </c>
      <c r="D5860" s="15">
        <v>18.760000000000002</v>
      </c>
      <c r="E5860" s="16" t="s">
        <v>30</v>
      </c>
    </row>
    <row r="5861" spans="1:5" x14ac:dyDescent="0.25">
      <c r="A5861" s="14">
        <v>948033</v>
      </c>
      <c r="B5861" s="14" t="s">
        <v>5975</v>
      </c>
      <c r="C5861" s="14" t="s">
        <v>13029</v>
      </c>
      <c r="D5861" s="15">
        <v>11</v>
      </c>
      <c r="E5861" s="16" t="s">
        <v>30</v>
      </c>
    </row>
    <row r="5862" spans="1:5" x14ac:dyDescent="0.25">
      <c r="A5862" s="14">
        <v>948034</v>
      </c>
      <c r="B5862" s="14" t="s">
        <v>5976</v>
      </c>
      <c r="C5862" s="14" t="s">
        <v>13029</v>
      </c>
      <c r="D5862" s="15">
        <v>4.5599999999999996</v>
      </c>
      <c r="E5862" s="16" t="s">
        <v>30</v>
      </c>
    </row>
    <row r="5863" spans="1:5" x14ac:dyDescent="0.25">
      <c r="A5863" s="14">
        <v>948035</v>
      </c>
      <c r="B5863" s="14" t="s">
        <v>5977</v>
      </c>
      <c r="C5863" s="14" t="s">
        <v>13030</v>
      </c>
      <c r="D5863" s="15">
        <v>5.03</v>
      </c>
      <c r="E5863" s="16" t="s">
        <v>30</v>
      </c>
    </row>
    <row r="5864" spans="1:5" x14ac:dyDescent="0.25">
      <c r="A5864" s="14">
        <v>948040</v>
      </c>
      <c r="B5864" s="14" t="s">
        <v>5978</v>
      </c>
      <c r="C5864" s="14" t="s">
        <v>13030</v>
      </c>
      <c r="D5864" s="15">
        <v>94.03</v>
      </c>
      <c r="E5864" s="16" t="s">
        <v>30</v>
      </c>
    </row>
    <row r="5865" spans="1:5" x14ac:dyDescent="0.25">
      <c r="A5865" s="14">
        <v>948041</v>
      </c>
      <c r="B5865" s="14" t="s">
        <v>5979</v>
      </c>
      <c r="C5865" s="14" t="s">
        <v>13030</v>
      </c>
      <c r="D5865" s="15">
        <v>98.51</v>
      </c>
      <c r="E5865" s="16" t="s">
        <v>30</v>
      </c>
    </row>
    <row r="5866" spans="1:5" x14ac:dyDescent="0.25">
      <c r="A5866" s="14">
        <v>948042</v>
      </c>
      <c r="B5866" s="14" t="s">
        <v>5980</v>
      </c>
      <c r="C5866" s="14" t="s">
        <v>13030</v>
      </c>
      <c r="D5866" s="15">
        <v>112.45</v>
      </c>
      <c r="E5866" s="16" t="s">
        <v>30</v>
      </c>
    </row>
    <row r="5867" spans="1:5" x14ac:dyDescent="0.25">
      <c r="A5867" s="14">
        <v>948440</v>
      </c>
      <c r="B5867" s="14" t="s">
        <v>5981</v>
      </c>
      <c r="C5867" s="14" t="s">
        <v>13031</v>
      </c>
      <c r="D5867" s="15">
        <v>32.21</v>
      </c>
      <c r="E5867" s="16" t="s">
        <v>30</v>
      </c>
    </row>
    <row r="5868" spans="1:5" x14ac:dyDescent="0.25">
      <c r="A5868" s="14">
        <v>948581</v>
      </c>
      <c r="B5868" s="14" t="s">
        <v>5982</v>
      </c>
      <c r="C5868" s="14" t="s">
        <v>13029</v>
      </c>
      <c r="D5868" s="15">
        <v>13.64</v>
      </c>
      <c r="E5868" s="16" t="s">
        <v>30</v>
      </c>
    </row>
    <row r="5869" spans="1:5" x14ac:dyDescent="0.25">
      <c r="A5869" s="14">
        <v>948582</v>
      </c>
      <c r="B5869" s="14" t="s">
        <v>5983</v>
      </c>
      <c r="C5869" s="14" t="s">
        <v>13029</v>
      </c>
      <c r="D5869" s="15">
        <v>16.34</v>
      </c>
      <c r="E5869" s="16" t="s">
        <v>30</v>
      </c>
    </row>
    <row r="5870" spans="1:5" x14ac:dyDescent="0.25">
      <c r="A5870" s="14">
        <v>948594</v>
      </c>
      <c r="B5870" s="14" t="s">
        <v>5984</v>
      </c>
      <c r="C5870" s="14" t="s">
        <v>13031</v>
      </c>
      <c r="D5870" s="15">
        <v>12.5</v>
      </c>
      <c r="E5870" s="16" t="s">
        <v>30</v>
      </c>
    </row>
    <row r="5871" spans="1:5" x14ac:dyDescent="0.25">
      <c r="A5871" s="14">
        <v>948595</v>
      </c>
      <c r="B5871" s="14" t="s">
        <v>5985</v>
      </c>
      <c r="C5871" s="14" t="s">
        <v>13031</v>
      </c>
      <c r="D5871" s="15">
        <v>3.25</v>
      </c>
      <c r="E5871" s="16" t="s">
        <v>30</v>
      </c>
    </row>
    <row r="5872" spans="1:5" x14ac:dyDescent="0.25">
      <c r="A5872" s="14">
        <v>948596</v>
      </c>
      <c r="B5872" s="14" t="s">
        <v>5986</v>
      </c>
      <c r="C5872" s="14" t="s">
        <v>13031</v>
      </c>
      <c r="D5872" s="15">
        <v>4.3499999999999996</v>
      </c>
      <c r="E5872" s="16" t="s">
        <v>30</v>
      </c>
    </row>
    <row r="5873" spans="1:5" x14ac:dyDescent="0.25">
      <c r="A5873" s="14">
        <v>948597</v>
      </c>
      <c r="B5873" s="14" t="s">
        <v>5987</v>
      </c>
      <c r="C5873" s="14" t="s">
        <v>13031</v>
      </c>
      <c r="D5873" s="15">
        <v>7.67</v>
      </c>
      <c r="E5873" s="16" t="s">
        <v>30</v>
      </c>
    </row>
    <row r="5874" spans="1:5" x14ac:dyDescent="0.25">
      <c r="A5874" s="14">
        <v>948598</v>
      </c>
      <c r="B5874" s="14" t="s">
        <v>5988</v>
      </c>
      <c r="C5874" s="14" t="s">
        <v>13031</v>
      </c>
      <c r="D5874" s="15">
        <v>5.87</v>
      </c>
      <c r="E5874" s="16" t="s">
        <v>30</v>
      </c>
    </row>
    <row r="5875" spans="1:5" x14ac:dyDescent="0.25">
      <c r="A5875" s="14">
        <v>948599</v>
      </c>
      <c r="B5875" s="14" t="s">
        <v>5989</v>
      </c>
      <c r="C5875" s="14" t="s">
        <v>13031</v>
      </c>
      <c r="D5875" s="15">
        <v>5.87</v>
      </c>
      <c r="E5875" s="16" t="s">
        <v>30</v>
      </c>
    </row>
    <row r="5876" spans="1:5" x14ac:dyDescent="0.25">
      <c r="A5876" s="14">
        <v>948600</v>
      </c>
      <c r="B5876" s="14" t="s">
        <v>5990</v>
      </c>
      <c r="C5876" s="14" t="s">
        <v>13030</v>
      </c>
      <c r="D5876" s="15">
        <v>29.81</v>
      </c>
      <c r="E5876" s="16" t="s">
        <v>30</v>
      </c>
    </row>
    <row r="5877" spans="1:5" x14ac:dyDescent="0.25">
      <c r="A5877" s="14">
        <v>948601</v>
      </c>
      <c r="B5877" s="14" t="s">
        <v>5991</v>
      </c>
      <c r="C5877" s="14" t="s">
        <v>13030</v>
      </c>
      <c r="D5877" s="15">
        <v>27.73</v>
      </c>
      <c r="E5877" s="16" t="s">
        <v>30</v>
      </c>
    </row>
    <row r="5878" spans="1:5" x14ac:dyDescent="0.25">
      <c r="A5878" s="14">
        <v>948611</v>
      </c>
      <c r="B5878" s="14" t="s">
        <v>5992</v>
      </c>
      <c r="C5878" s="14" t="s">
        <v>13031</v>
      </c>
      <c r="D5878" s="15">
        <v>6.3</v>
      </c>
      <c r="E5878" s="16" t="s">
        <v>30</v>
      </c>
    </row>
    <row r="5879" spans="1:5" x14ac:dyDescent="0.25">
      <c r="A5879" s="14">
        <v>948706</v>
      </c>
      <c r="B5879" s="14" t="s">
        <v>5993</v>
      </c>
      <c r="C5879" s="14" t="s">
        <v>13030</v>
      </c>
      <c r="D5879" s="15">
        <v>52.02</v>
      </c>
      <c r="E5879" s="16" t="s">
        <v>30</v>
      </c>
    </row>
    <row r="5880" spans="1:5" x14ac:dyDescent="0.25">
      <c r="A5880" s="14">
        <v>948742</v>
      </c>
      <c r="B5880" s="14" t="s">
        <v>5994</v>
      </c>
      <c r="C5880" s="14" t="s">
        <v>13029</v>
      </c>
      <c r="D5880" s="15">
        <v>19.52</v>
      </c>
      <c r="E5880" s="16" t="s">
        <v>30</v>
      </c>
    </row>
    <row r="5881" spans="1:5" x14ac:dyDescent="0.25">
      <c r="A5881" s="14">
        <v>948743</v>
      </c>
      <c r="B5881" s="14" t="s">
        <v>5995</v>
      </c>
      <c r="C5881" s="14" t="s">
        <v>13029</v>
      </c>
      <c r="D5881" s="15">
        <v>17.739999999999998</v>
      </c>
      <c r="E5881" s="16" t="s">
        <v>30</v>
      </c>
    </row>
    <row r="5882" spans="1:5" x14ac:dyDescent="0.25">
      <c r="A5882" s="14">
        <v>902577</v>
      </c>
      <c r="B5882" s="14" t="s">
        <v>5996</v>
      </c>
      <c r="C5882" s="14" t="s">
        <v>13031</v>
      </c>
      <c r="D5882" s="15">
        <v>16.04</v>
      </c>
      <c r="E5882" s="16" t="s">
        <v>20</v>
      </c>
    </row>
    <row r="5883" spans="1:5" x14ac:dyDescent="0.25">
      <c r="A5883" s="14">
        <v>913488</v>
      </c>
      <c r="B5883" s="14" t="s">
        <v>5997</v>
      </c>
      <c r="C5883" s="14" t="s">
        <v>13030</v>
      </c>
      <c r="D5883" s="15">
        <v>138.51</v>
      </c>
      <c r="E5883" s="16" t="s">
        <v>20</v>
      </c>
    </row>
    <row r="5884" spans="1:5" x14ac:dyDescent="0.25">
      <c r="A5884" s="14">
        <v>948744</v>
      </c>
      <c r="B5884" s="14" t="s">
        <v>5998</v>
      </c>
      <c r="C5884" s="14" t="s">
        <v>13029</v>
      </c>
      <c r="D5884" s="15">
        <v>23.08</v>
      </c>
      <c r="E5884" s="16" t="s">
        <v>30</v>
      </c>
    </row>
    <row r="5885" spans="1:5" x14ac:dyDescent="0.25">
      <c r="A5885" s="14">
        <v>948745</v>
      </c>
      <c r="B5885" s="14" t="s">
        <v>5999</v>
      </c>
      <c r="C5885" s="14" t="s">
        <v>13029</v>
      </c>
      <c r="D5885" s="15">
        <v>8.84</v>
      </c>
      <c r="E5885" s="16" t="s">
        <v>30</v>
      </c>
    </row>
    <row r="5886" spans="1:5" x14ac:dyDescent="0.25">
      <c r="A5886" s="14">
        <v>949071</v>
      </c>
      <c r="B5886" s="14" t="s">
        <v>6000</v>
      </c>
      <c r="C5886" s="14" t="s">
        <v>13030</v>
      </c>
      <c r="D5886" s="15">
        <v>68.09</v>
      </c>
      <c r="E5886" s="16" t="s">
        <v>30</v>
      </c>
    </row>
    <row r="5887" spans="1:5" x14ac:dyDescent="0.25">
      <c r="A5887" s="14">
        <v>949074</v>
      </c>
      <c r="B5887" s="14" t="s">
        <v>6001</v>
      </c>
      <c r="C5887" s="14" t="s">
        <v>13030</v>
      </c>
      <c r="D5887" s="15">
        <v>42.84</v>
      </c>
      <c r="E5887" s="16" t="s">
        <v>30</v>
      </c>
    </row>
    <row r="5888" spans="1:5" x14ac:dyDescent="0.25">
      <c r="A5888" s="14">
        <v>949075</v>
      </c>
      <c r="B5888" s="14" t="s">
        <v>6002</v>
      </c>
      <c r="C5888" s="14" t="s">
        <v>13030</v>
      </c>
      <c r="D5888" s="15">
        <v>42.84</v>
      </c>
      <c r="E5888" s="16" t="s">
        <v>30</v>
      </c>
    </row>
    <row r="5889" spans="1:5" x14ac:dyDescent="0.25">
      <c r="A5889" s="14">
        <v>949076</v>
      </c>
      <c r="B5889" s="14" t="s">
        <v>6003</v>
      </c>
      <c r="C5889" s="14" t="s">
        <v>13030</v>
      </c>
      <c r="D5889" s="15">
        <v>42.84</v>
      </c>
      <c r="E5889" s="16" t="s">
        <v>30</v>
      </c>
    </row>
    <row r="5890" spans="1:5" x14ac:dyDescent="0.25">
      <c r="A5890" s="14">
        <v>949077</v>
      </c>
      <c r="B5890" s="14" t="s">
        <v>6004</v>
      </c>
      <c r="C5890" s="14" t="s">
        <v>13030</v>
      </c>
      <c r="D5890" s="15">
        <v>37.83</v>
      </c>
      <c r="E5890" s="16" t="s">
        <v>30</v>
      </c>
    </row>
    <row r="5891" spans="1:5" x14ac:dyDescent="0.25">
      <c r="A5891" s="14">
        <v>949161</v>
      </c>
      <c r="B5891" s="14" t="s">
        <v>6005</v>
      </c>
      <c r="C5891" s="14" t="s">
        <v>13031</v>
      </c>
      <c r="D5891" s="15">
        <v>7.64</v>
      </c>
      <c r="E5891" s="16" t="s">
        <v>30</v>
      </c>
    </row>
    <row r="5892" spans="1:5" x14ac:dyDescent="0.25">
      <c r="A5892" s="14">
        <v>949162</v>
      </c>
      <c r="B5892" s="14" t="s">
        <v>6006</v>
      </c>
      <c r="C5892" s="14" t="s">
        <v>13031</v>
      </c>
      <c r="D5892" s="15">
        <v>8.2899999999999991</v>
      </c>
      <c r="E5892" s="16" t="s">
        <v>30</v>
      </c>
    </row>
    <row r="5893" spans="1:5" x14ac:dyDescent="0.25">
      <c r="A5893" s="14">
        <v>949163</v>
      </c>
      <c r="B5893" s="14" t="s">
        <v>6007</v>
      </c>
      <c r="C5893" s="14" t="s">
        <v>13031</v>
      </c>
      <c r="D5893" s="15">
        <v>7.63</v>
      </c>
      <c r="E5893" s="16" t="s">
        <v>30</v>
      </c>
    </row>
    <row r="5894" spans="1:5" x14ac:dyDescent="0.25">
      <c r="A5894" s="14">
        <v>949164</v>
      </c>
      <c r="B5894" s="14" t="s">
        <v>6008</v>
      </c>
      <c r="C5894" s="14" t="s">
        <v>13031</v>
      </c>
      <c r="D5894" s="15">
        <v>6.9</v>
      </c>
      <c r="E5894" s="16" t="s">
        <v>30</v>
      </c>
    </row>
    <row r="5895" spans="1:5" x14ac:dyDescent="0.25">
      <c r="A5895" s="14">
        <v>949172</v>
      </c>
      <c r="B5895" s="14" t="s">
        <v>6009</v>
      </c>
      <c r="C5895" s="14" t="s">
        <v>13031</v>
      </c>
      <c r="D5895" s="15">
        <v>14.77</v>
      </c>
      <c r="E5895" s="16" t="s">
        <v>30</v>
      </c>
    </row>
    <row r="5896" spans="1:5" x14ac:dyDescent="0.25">
      <c r="A5896" s="14">
        <v>949175</v>
      </c>
      <c r="B5896" s="14" t="s">
        <v>6010</v>
      </c>
      <c r="C5896" s="14" t="s">
        <v>13031</v>
      </c>
      <c r="D5896" s="15">
        <v>33.159999999999997</v>
      </c>
      <c r="E5896" s="16" t="s">
        <v>30</v>
      </c>
    </row>
    <row r="5897" spans="1:5" x14ac:dyDescent="0.25">
      <c r="A5897" s="14">
        <v>949176</v>
      </c>
      <c r="B5897" s="14" t="s">
        <v>6011</v>
      </c>
      <c r="C5897" s="14" t="s">
        <v>13031</v>
      </c>
      <c r="D5897" s="15">
        <v>29.6</v>
      </c>
      <c r="E5897" s="16" t="s">
        <v>30</v>
      </c>
    </row>
    <row r="5898" spans="1:5" x14ac:dyDescent="0.25">
      <c r="A5898" s="14">
        <v>949181</v>
      </c>
      <c r="B5898" s="14" t="s">
        <v>6012</v>
      </c>
      <c r="C5898" s="14" t="s">
        <v>13030</v>
      </c>
      <c r="D5898" s="15">
        <v>90.69</v>
      </c>
      <c r="E5898" s="16" t="s">
        <v>30</v>
      </c>
    </row>
    <row r="5899" spans="1:5" x14ac:dyDescent="0.25">
      <c r="A5899" s="14">
        <v>949182</v>
      </c>
      <c r="B5899" s="14" t="s">
        <v>6013</v>
      </c>
      <c r="C5899" s="14" t="s">
        <v>13030</v>
      </c>
      <c r="D5899" s="15">
        <v>22.8</v>
      </c>
      <c r="E5899" s="16" t="s">
        <v>30</v>
      </c>
    </row>
    <row r="5900" spans="1:5" x14ac:dyDescent="0.25">
      <c r="A5900" s="14">
        <v>949183</v>
      </c>
      <c r="B5900" s="14" t="s">
        <v>6014</v>
      </c>
      <c r="C5900" s="14" t="s">
        <v>13030</v>
      </c>
      <c r="D5900" s="15">
        <v>83.31</v>
      </c>
      <c r="E5900" s="16" t="s">
        <v>30</v>
      </c>
    </row>
    <row r="5901" spans="1:5" x14ac:dyDescent="0.25">
      <c r="A5901" s="14">
        <v>949184</v>
      </c>
      <c r="B5901" s="14" t="s">
        <v>6015</v>
      </c>
      <c r="C5901" s="14" t="s">
        <v>13030</v>
      </c>
      <c r="D5901" s="15">
        <v>90.27</v>
      </c>
      <c r="E5901" s="16" t="s">
        <v>30</v>
      </c>
    </row>
    <row r="5902" spans="1:5" x14ac:dyDescent="0.25">
      <c r="A5902" s="14">
        <v>949188</v>
      </c>
      <c r="B5902" s="14" t="s">
        <v>6016</v>
      </c>
      <c r="C5902" s="14" t="s">
        <v>13030</v>
      </c>
      <c r="D5902" s="15">
        <v>46.42</v>
      </c>
      <c r="E5902" s="16" t="s">
        <v>30</v>
      </c>
    </row>
    <row r="5903" spans="1:5" x14ac:dyDescent="0.25">
      <c r="A5903" s="14">
        <v>949190</v>
      </c>
      <c r="B5903" s="14" t="s">
        <v>6017</v>
      </c>
      <c r="C5903" s="14" t="s">
        <v>13030</v>
      </c>
      <c r="D5903" s="15">
        <v>32.200000000000003</v>
      </c>
      <c r="E5903" s="16" t="s">
        <v>30</v>
      </c>
    </row>
    <row r="5904" spans="1:5" x14ac:dyDescent="0.25">
      <c r="A5904" s="14">
        <v>949191</v>
      </c>
      <c r="B5904" s="14" t="s">
        <v>6018</v>
      </c>
      <c r="C5904" s="14" t="s">
        <v>13030</v>
      </c>
      <c r="D5904" s="15">
        <v>32.200000000000003</v>
      </c>
      <c r="E5904" s="16" t="s">
        <v>30</v>
      </c>
    </row>
    <row r="5905" spans="1:5" x14ac:dyDescent="0.25">
      <c r="A5905" s="14">
        <v>949192</v>
      </c>
      <c r="B5905" s="14" t="s">
        <v>6019</v>
      </c>
      <c r="C5905" s="14" t="s">
        <v>13030</v>
      </c>
      <c r="D5905" s="15">
        <v>32.200000000000003</v>
      </c>
      <c r="E5905" s="16" t="s">
        <v>30</v>
      </c>
    </row>
    <row r="5906" spans="1:5" x14ac:dyDescent="0.25">
      <c r="A5906" s="14">
        <v>949193</v>
      </c>
      <c r="B5906" s="14" t="s">
        <v>6020</v>
      </c>
      <c r="C5906" s="14" t="s">
        <v>13030</v>
      </c>
      <c r="D5906" s="15">
        <v>56.85</v>
      </c>
      <c r="E5906" s="16" t="s">
        <v>30</v>
      </c>
    </row>
    <row r="5907" spans="1:5" x14ac:dyDescent="0.25">
      <c r="A5907" s="14">
        <v>949194</v>
      </c>
      <c r="B5907" s="14" t="s">
        <v>6021</v>
      </c>
      <c r="C5907" s="14" t="s">
        <v>13030</v>
      </c>
      <c r="D5907" s="15">
        <v>55.39</v>
      </c>
      <c r="E5907" s="16" t="s">
        <v>30</v>
      </c>
    </row>
    <row r="5908" spans="1:5" x14ac:dyDescent="0.25">
      <c r="A5908" s="14">
        <v>949195</v>
      </c>
      <c r="B5908" s="14" t="s">
        <v>6022</v>
      </c>
      <c r="C5908" s="14" t="s">
        <v>13030</v>
      </c>
      <c r="D5908" s="15">
        <v>31.82</v>
      </c>
      <c r="E5908" s="16" t="s">
        <v>30</v>
      </c>
    </row>
    <row r="5909" spans="1:5" x14ac:dyDescent="0.25">
      <c r="A5909" s="14">
        <v>949200</v>
      </c>
      <c r="B5909" s="14" t="s">
        <v>6023</v>
      </c>
      <c r="C5909" s="14" t="s">
        <v>13029</v>
      </c>
      <c r="D5909" s="15">
        <v>10.1</v>
      </c>
      <c r="E5909" s="16" t="s">
        <v>30</v>
      </c>
    </row>
    <row r="5910" spans="1:5" x14ac:dyDescent="0.25">
      <c r="A5910" s="14">
        <v>949202</v>
      </c>
      <c r="B5910" s="14" t="s">
        <v>6024</v>
      </c>
      <c r="C5910" s="14" t="s">
        <v>13029</v>
      </c>
      <c r="D5910" s="15">
        <v>36.11</v>
      </c>
      <c r="E5910" s="16" t="s">
        <v>30</v>
      </c>
    </row>
    <row r="5911" spans="1:5" x14ac:dyDescent="0.25">
      <c r="A5911" s="14">
        <v>949207</v>
      </c>
      <c r="B5911" s="14" t="s">
        <v>6025</v>
      </c>
      <c r="C5911" s="14" t="s">
        <v>13030</v>
      </c>
      <c r="D5911" s="15">
        <v>29.08</v>
      </c>
      <c r="E5911" s="16" t="s">
        <v>30</v>
      </c>
    </row>
    <row r="5912" spans="1:5" x14ac:dyDescent="0.25">
      <c r="A5912" s="14">
        <v>949388</v>
      </c>
      <c r="B5912" s="14" t="s">
        <v>6026</v>
      </c>
      <c r="C5912" s="14" t="s">
        <v>13029</v>
      </c>
      <c r="D5912" s="15">
        <v>16.47</v>
      </c>
      <c r="E5912" s="16" t="s">
        <v>30</v>
      </c>
    </row>
    <row r="5913" spans="1:5" x14ac:dyDescent="0.25">
      <c r="A5913" s="14">
        <v>949389</v>
      </c>
      <c r="B5913" s="14" t="s">
        <v>6027</v>
      </c>
      <c r="C5913" s="14" t="s">
        <v>13029</v>
      </c>
      <c r="D5913" s="15">
        <v>16.47</v>
      </c>
      <c r="E5913" s="16" t="s">
        <v>30</v>
      </c>
    </row>
    <row r="5914" spans="1:5" x14ac:dyDescent="0.25">
      <c r="A5914" s="14">
        <v>949390</v>
      </c>
      <c r="B5914" s="14" t="s">
        <v>6028</v>
      </c>
      <c r="C5914" s="14" t="s">
        <v>13029</v>
      </c>
      <c r="D5914" s="15">
        <v>23.67</v>
      </c>
      <c r="E5914" s="16" t="s">
        <v>30</v>
      </c>
    </row>
    <row r="5915" spans="1:5" x14ac:dyDescent="0.25">
      <c r="A5915" s="14">
        <v>949391</v>
      </c>
      <c r="B5915" s="14" t="s">
        <v>6029</v>
      </c>
      <c r="C5915" s="14" t="s">
        <v>13029</v>
      </c>
      <c r="D5915" s="15">
        <v>29.6</v>
      </c>
      <c r="E5915" s="16" t="s">
        <v>30</v>
      </c>
    </row>
    <row r="5916" spans="1:5" x14ac:dyDescent="0.25">
      <c r="A5916" s="14">
        <v>950085</v>
      </c>
      <c r="B5916" s="14" t="s">
        <v>6030</v>
      </c>
      <c r="C5916" s="14" t="s">
        <v>13030</v>
      </c>
      <c r="D5916" s="15">
        <v>11.46</v>
      </c>
      <c r="E5916" s="16" t="s">
        <v>30</v>
      </c>
    </row>
    <row r="5917" spans="1:5" x14ac:dyDescent="0.25">
      <c r="A5917" s="14">
        <v>950105</v>
      </c>
      <c r="B5917" s="14" t="s">
        <v>6031</v>
      </c>
      <c r="C5917" s="14" t="s">
        <v>13031</v>
      </c>
      <c r="D5917" s="15">
        <v>231.12</v>
      </c>
      <c r="E5917" s="16" t="s">
        <v>30</v>
      </c>
    </row>
    <row r="5918" spans="1:5" x14ac:dyDescent="0.25">
      <c r="A5918" s="14">
        <v>950114</v>
      </c>
      <c r="B5918" s="14" t="s">
        <v>6032</v>
      </c>
      <c r="C5918" s="14" t="s">
        <v>13031</v>
      </c>
      <c r="D5918" s="15">
        <v>5</v>
      </c>
      <c r="E5918" s="16" t="s">
        <v>30</v>
      </c>
    </row>
    <row r="5919" spans="1:5" x14ac:dyDescent="0.25">
      <c r="A5919" s="14">
        <v>950126</v>
      </c>
      <c r="B5919" s="14" t="s">
        <v>6033</v>
      </c>
      <c r="C5919" s="14" t="s">
        <v>13030</v>
      </c>
      <c r="D5919" s="15">
        <v>62.47</v>
      </c>
      <c r="E5919" s="16" t="s">
        <v>30</v>
      </c>
    </row>
    <row r="5920" spans="1:5" x14ac:dyDescent="0.25">
      <c r="A5920" s="14">
        <v>950127</v>
      </c>
      <c r="B5920" s="14" t="s">
        <v>6034</v>
      </c>
      <c r="C5920" s="14" t="s">
        <v>13030</v>
      </c>
      <c r="D5920" s="15">
        <v>145.86000000000001</v>
      </c>
      <c r="E5920" s="16" t="s">
        <v>30</v>
      </c>
    </row>
    <row r="5921" spans="1:5" x14ac:dyDescent="0.25">
      <c r="A5921" s="14">
        <v>950287</v>
      </c>
      <c r="B5921" s="14" t="s">
        <v>6035</v>
      </c>
      <c r="C5921" s="14" t="s">
        <v>13034</v>
      </c>
      <c r="D5921" s="15">
        <v>7.53</v>
      </c>
      <c r="E5921" s="16" t="s">
        <v>30</v>
      </c>
    </row>
    <row r="5922" spans="1:5" x14ac:dyDescent="0.25">
      <c r="A5922" s="14">
        <v>950288</v>
      </c>
      <c r="B5922" s="14" t="s">
        <v>6036</v>
      </c>
      <c r="C5922" s="14" t="s">
        <v>13034</v>
      </c>
      <c r="D5922" s="15">
        <v>7.53</v>
      </c>
      <c r="E5922" s="16" t="s">
        <v>30</v>
      </c>
    </row>
    <row r="5923" spans="1:5" x14ac:dyDescent="0.25">
      <c r="A5923" s="14">
        <v>950289</v>
      </c>
      <c r="B5923" s="14" t="s">
        <v>6037</v>
      </c>
      <c r="C5923" s="14" t="s">
        <v>13034</v>
      </c>
      <c r="D5923" s="15">
        <v>8.39</v>
      </c>
      <c r="E5923" s="16" t="s">
        <v>30</v>
      </c>
    </row>
    <row r="5924" spans="1:5" x14ac:dyDescent="0.25">
      <c r="A5924" s="14">
        <v>950290</v>
      </c>
      <c r="B5924" s="14" t="s">
        <v>6038</v>
      </c>
      <c r="C5924" s="14" t="s">
        <v>13034</v>
      </c>
      <c r="D5924" s="15">
        <v>7.25</v>
      </c>
      <c r="E5924" s="16" t="s">
        <v>30</v>
      </c>
    </row>
    <row r="5925" spans="1:5" x14ac:dyDescent="0.25">
      <c r="A5925" s="14">
        <v>951022</v>
      </c>
      <c r="B5925" s="14" t="s">
        <v>6039</v>
      </c>
      <c r="C5925" s="14" t="s">
        <v>13031</v>
      </c>
      <c r="D5925" s="15">
        <v>9.86</v>
      </c>
      <c r="E5925" s="16" t="s">
        <v>30</v>
      </c>
    </row>
    <row r="5926" spans="1:5" x14ac:dyDescent="0.25">
      <c r="A5926" s="14">
        <v>951026</v>
      </c>
      <c r="B5926" s="14" t="s">
        <v>6040</v>
      </c>
      <c r="C5926" s="14" t="s">
        <v>13029</v>
      </c>
      <c r="D5926" s="15">
        <v>12.77</v>
      </c>
      <c r="E5926" s="16" t="s">
        <v>30</v>
      </c>
    </row>
    <row r="5927" spans="1:5" x14ac:dyDescent="0.25">
      <c r="A5927" s="14">
        <v>951028</v>
      </c>
      <c r="B5927" s="14" t="s">
        <v>6041</v>
      </c>
      <c r="C5927" s="14" t="s">
        <v>13029</v>
      </c>
      <c r="D5927" s="15">
        <v>47.4</v>
      </c>
      <c r="E5927" s="16" t="s">
        <v>30</v>
      </c>
    </row>
    <row r="5928" spans="1:5" x14ac:dyDescent="0.25">
      <c r="A5928" s="14">
        <v>951029</v>
      </c>
      <c r="B5928" s="14" t="s">
        <v>6042</v>
      </c>
      <c r="C5928" s="14" t="s">
        <v>13029</v>
      </c>
      <c r="D5928" s="15">
        <v>29.6</v>
      </c>
      <c r="E5928" s="16" t="s">
        <v>30</v>
      </c>
    </row>
    <row r="5929" spans="1:5" x14ac:dyDescent="0.25">
      <c r="A5929" s="14">
        <v>951030</v>
      </c>
      <c r="B5929" s="14" t="s">
        <v>6043</v>
      </c>
      <c r="C5929" s="14" t="s">
        <v>13029</v>
      </c>
      <c r="D5929" s="15">
        <v>29.6</v>
      </c>
      <c r="E5929" s="16" t="s">
        <v>30</v>
      </c>
    </row>
    <row r="5930" spans="1:5" x14ac:dyDescent="0.25">
      <c r="A5930" s="14">
        <v>951037</v>
      </c>
      <c r="B5930" s="14" t="s">
        <v>6044</v>
      </c>
      <c r="C5930" s="14" t="s">
        <v>13031</v>
      </c>
      <c r="D5930" s="15">
        <v>5.93</v>
      </c>
      <c r="E5930" s="16" t="s">
        <v>30</v>
      </c>
    </row>
    <row r="5931" spans="1:5" x14ac:dyDescent="0.25">
      <c r="A5931" s="14">
        <v>916693</v>
      </c>
      <c r="B5931" s="14" t="s">
        <v>6045</v>
      </c>
      <c r="C5931" s="14" t="s">
        <v>13030</v>
      </c>
      <c r="D5931" s="15">
        <v>35.54</v>
      </c>
      <c r="E5931" s="16" t="s">
        <v>20</v>
      </c>
    </row>
    <row r="5932" spans="1:5" x14ac:dyDescent="0.25">
      <c r="A5932" s="14">
        <v>916694</v>
      </c>
      <c r="B5932" s="14" t="s">
        <v>6046</v>
      </c>
      <c r="C5932" s="14" t="s">
        <v>13030</v>
      </c>
      <c r="D5932" s="15">
        <v>31.77</v>
      </c>
      <c r="E5932" s="16" t="s">
        <v>20</v>
      </c>
    </row>
    <row r="5933" spans="1:5" x14ac:dyDescent="0.25">
      <c r="A5933" s="14">
        <v>916695</v>
      </c>
      <c r="B5933" s="14" t="s">
        <v>6047</v>
      </c>
      <c r="C5933" s="14" t="s">
        <v>13030</v>
      </c>
      <c r="D5933" s="15">
        <v>18.09</v>
      </c>
      <c r="E5933" s="16" t="s">
        <v>20</v>
      </c>
    </row>
    <row r="5934" spans="1:5" x14ac:dyDescent="0.25">
      <c r="A5934" s="14">
        <v>951038</v>
      </c>
      <c r="B5934" s="14" t="s">
        <v>6048</v>
      </c>
      <c r="C5934" s="14" t="s">
        <v>13031</v>
      </c>
      <c r="D5934" s="15">
        <v>5.33</v>
      </c>
      <c r="E5934" s="16" t="s">
        <v>30</v>
      </c>
    </row>
    <row r="5935" spans="1:5" x14ac:dyDescent="0.25">
      <c r="A5935" s="14">
        <v>951041</v>
      </c>
      <c r="B5935" s="14" t="s">
        <v>6049</v>
      </c>
      <c r="C5935" s="14" t="s">
        <v>13030</v>
      </c>
      <c r="D5935" s="15">
        <v>23.12</v>
      </c>
      <c r="E5935" s="16" t="s">
        <v>30</v>
      </c>
    </row>
    <row r="5936" spans="1:5" x14ac:dyDescent="0.25">
      <c r="A5936" s="14">
        <v>951238</v>
      </c>
      <c r="B5936" s="14" t="s">
        <v>6050</v>
      </c>
      <c r="C5936" s="14" t="s">
        <v>13031</v>
      </c>
      <c r="D5936" s="15">
        <v>17.739999999999998</v>
      </c>
      <c r="E5936" s="16" t="s">
        <v>30</v>
      </c>
    </row>
    <row r="5937" spans="1:5" x14ac:dyDescent="0.25">
      <c r="A5937" s="14">
        <v>951239</v>
      </c>
      <c r="B5937" s="14" t="s">
        <v>6051</v>
      </c>
      <c r="C5937" s="14" t="s">
        <v>13031</v>
      </c>
      <c r="D5937" s="15">
        <v>11.81</v>
      </c>
      <c r="E5937" s="16" t="s">
        <v>30</v>
      </c>
    </row>
    <row r="5938" spans="1:5" x14ac:dyDescent="0.25">
      <c r="A5938" s="14">
        <v>951240</v>
      </c>
      <c r="B5938" s="14" t="s">
        <v>6052</v>
      </c>
      <c r="C5938" s="14" t="s">
        <v>13031</v>
      </c>
      <c r="D5938" s="15">
        <v>17.739999999999998</v>
      </c>
      <c r="E5938" s="16" t="s">
        <v>30</v>
      </c>
    </row>
    <row r="5939" spans="1:5" x14ac:dyDescent="0.25">
      <c r="A5939" s="14">
        <v>951275</v>
      </c>
      <c r="B5939" s="14" t="s">
        <v>6053</v>
      </c>
      <c r="C5939" s="14" t="s">
        <v>13031</v>
      </c>
      <c r="D5939" s="15">
        <v>10.78</v>
      </c>
      <c r="E5939" s="16" t="s">
        <v>30</v>
      </c>
    </row>
    <row r="5940" spans="1:5" x14ac:dyDescent="0.25">
      <c r="A5940" s="14">
        <v>952083</v>
      </c>
      <c r="B5940" s="14" t="s">
        <v>6054</v>
      </c>
      <c r="C5940" s="14" t="s">
        <v>13029</v>
      </c>
      <c r="D5940" s="15">
        <v>11.69</v>
      </c>
      <c r="E5940" s="16" t="s">
        <v>30</v>
      </c>
    </row>
    <row r="5941" spans="1:5" x14ac:dyDescent="0.25">
      <c r="A5941" s="14">
        <v>952084</v>
      </c>
      <c r="B5941" s="14" t="s">
        <v>6055</v>
      </c>
      <c r="C5941" s="14" t="s">
        <v>13029</v>
      </c>
      <c r="D5941" s="15">
        <v>13.61</v>
      </c>
      <c r="E5941" s="16" t="s">
        <v>30</v>
      </c>
    </row>
    <row r="5942" spans="1:5" x14ac:dyDescent="0.25">
      <c r="A5942" s="14">
        <v>952099</v>
      </c>
      <c r="B5942" s="14" t="s">
        <v>6056</v>
      </c>
      <c r="C5942" s="14" t="s">
        <v>13029</v>
      </c>
      <c r="D5942" s="15">
        <v>34.11</v>
      </c>
      <c r="E5942" s="16" t="s">
        <v>30</v>
      </c>
    </row>
    <row r="5943" spans="1:5" x14ac:dyDescent="0.25">
      <c r="A5943" s="14">
        <v>952100</v>
      </c>
      <c r="B5943" s="14" t="s">
        <v>6057</v>
      </c>
      <c r="C5943" s="14" t="s">
        <v>13029</v>
      </c>
      <c r="D5943" s="15">
        <v>25.57</v>
      </c>
      <c r="E5943" s="16" t="s">
        <v>30</v>
      </c>
    </row>
    <row r="5944" spans="1:5" x14ac:dyDescent="0.25">
      <c r="A5944" s="14">
        <v>952101</v>
      </c>
      <c r="B5944" s="14" t="s">
        <v>6058</v>
      </c>
      <c r="C5944" s="14" t="s">
        <v>13031</v>
      </c>
      <c r="D5944" s="15">
        <v>4.2</v>
      </c>
      <c r="E5944" s="16" t="s">
        <v>30</v>
      </c>
    </row>
    <row r="5945" spans="1:5" x14ac:dyDescent="0.25">
      <c r="A5945" s="14">
        <v>952114</v>
      </c>
      <c r="B5945" s="14" t="s">
        <v>6059</v>
      </c>
      <c r="C5945" s="14" t="s">
        <v>13029</v>
      </c>
      <c r="D5945" s="15">
        <v>5.87</v>
      </c>
      <c r="E5945" s="16" t="s">
        <v>30</v>
      </c>
    </row>
    <row r="5946" spans="1:5" x14ac:dyDescent="0.25">
      <c r="A5946" s="14">
        <v>952115</v>
      </c>
      <c r="B5946" s="14" t="s">
        <v>6060</v>
      </c>
      <c r="C5946" s="14" t="s">
        <v>13029</v>
      </c>
      <c r="D5946" s="15">
        <v>11.81</v>
      </c>
      <c r="E5946" s="16" t="s">
        <v>30</v>
      </c>
    </row>
    <row r="5947" spans="1:5" x14ac:dyDescent="0.25">
      <c r="A5947" s="14">
        <v>916696</v>
      </c>
      <c r="B5947" s="14" t="s">
        <v>6061</v>
      </c>
      <c r="C5947" s="14" t="s">
        <v>13030</v>
      </c>
      <c r="D5947" s="15">
        <v>18.34</v>
      </c>
      <c r="E5947" s="16" t="s">
        <v>20</v>
      </c>
    </row>
    <row r="5948" spans="1:5" x14ac:dyDescent="0.25">
      <c r="A5948" s="14">
        <v>952116</v>
      </c>
      <c r="B5948" s="14" t="s">
        <v>6062</v>
      </c>
      <c r="C5948" s="14" t="s">
        <v>13029</v>
      </c>
      <c r="D5948" s="15">
        <v>11.81</v>
      </c>
      <c r="E5948" s="16" t="s">
        <v>30</v>
      </c>
    </row>
    <row r="5949" spans="1:5" x14ac:dyDescent="0.25">
      <c r="A5949" s="14">
        <v>952117</v>
      </c>
      <c r="B5949" s="14" t="s">
        <v>6063</v>
      </c>
      <c r="C5949" s="14" t="s">
        <v>13029</v>
      </c>
      <c r="D5949" s="15">
        <v>11.81</v>
      </c>
      <c r="E5949" s="16" t="s">
        <v>30</v>
      </c>
    </row>
    <row r="5950" spans="1:5" x14ac:dyDescent="0.25">
      <c r="A5950" s="14">
        <v>952118</v>
      </c>
      <c r="B5950" s="14" t="s">
        <v>6064</v>
      </c>
      <c r="C5950" s="14" t="s">
        <v>13029</v>
      </c>
      <c r="D5950" s="15">
        <v>11.81</v>
      </c>
      <c r="E5950" s="16" t="s">
        <v>30</v>
      </c>
    </row>
    <row r="5951" spans="1:5" x14ac:dyDescent="0.25">
      <c r="A5951" s="14">
        <v>952119</v>
      </c>
      <c r="B5951" s="14" t="s">
        <v>6065</v>
      </c>
      <c r="C5951" s="14" t="s">
        <v>13029</v>
      </c>
      <c r="D5951" s="15">
        <v>17.739999999999998</v>
      </c>
      <c r="E5951" s="16" t="s">
        <v>30</v>
      </c>
    </row>
    <row r="5952" spans="1:5" x14ac:dyDescent="0.25">
      <c r="A5952" s="14">
        <v>952120</v>
      </c>
      <c r="B5952" s="14" t="s">
        <v>6066</v>
      </c>
      <c r="C5952" s="14" t="s">
        <v>13029</v>
      </c>
      <c r="D5952" s="15">
        <v>7.65</v>
      </c>
      <c r="E5952" s="16" t="s">
        <v>30</v>
      </c>
    </row>
    <row r="5953" spans="1:5" x14ac:dyDescent="0.25">
      <c r="A5953" s="14">
        <v>952121</v>
      </c>
      <c r="B5953" s="14" t="s">
        <v>6067</v>
      </c>
      <c r="C5953" s="14" t="s">
        <v>13029</v>
      </c>
      <c r="D5953" s="15">
        <v>11.81</v>
      </c>
      <c r="E5953" s="16" t="s">
        <v>30</v>
      </c>
    </row>
    <row r="5954" spans="1:5" x14ac:dyDescent="0.25">
      <c r="A5954" s="14">
        <v>952122</v>
      </c>
      <c r="B5954" s="14" t="s">
        <v>6068</v>
      </c>
      <c r="C5954" s="14" t="s">
        <v>13029</v>
      </c>
      <c r="D5954" s="15">
        <v>14.77</v>
      </c>
      <c r="E5954" s="16" t="s">
        <v>30</v>
      </c>
    </row>
    <row r="5955" spans="1:5" x14ac:dyDescent="0.25">
      <c r="A5955" s="14">
        <v>952123</v>
      </c>
      <c r="B5955" s="14" t="s">
        <v>6069</v>
      </c>
      <c r="C5955" s="14" t="s">
        <v>13029</v>
      </c>
      <c r="D5955" s="15">
        <v>5.28</v>
      </c>
      <c r="E5955" s="16" t="s">
        <v>30</v>
      </c>
    </row>
    <row r="5956" spans="1:5" x14ac:dyDescent="0.25">
      <c r="A5956" s="14">
        <v>952124</v>
      </c>
      <c r="B5956" s="14" t="s">
        <v>6070</v>
      </c>
      <c r="C5956" s="14" t="s">
        <v>13029</v>
      </c>
      <c r="D5956" s="15">
        <v>10.029999999999999</v>
      </c>
      <c r="E5956" s="16" t="s">
        <v>30</v>
      </c>
    </row>
    <row r="5957" spans="1:5" x14ac:dyDescent="0.25">
      <c r="A5957" s="14">
        <v>952125</v>
      </c>
      <c r="B5957" s="14" t="s">
        <v>6071</v>
      </c>
      <c r="C5957" s="14" t="s">
        <v>13029</v>
      </c>
      <c r="D5957" s="15">
        <v>5.87</v>
      </c>
      <c r="E5957" s="16" t="s">
        <v>30</v>
      </c>
    </row>
    <row r="5958" spans="1:5" x14ac:dyDescent="0.25">
      <c r="A5958" s="14">
        <v>952126</v>
      </c>
      <c r="B5958" s="14" t="s">
        <v>6072</v>
      </c>
      <c r="C5958" s="14" t="s">
        <v>13029</v>
      </c>
      <c r="D5958" s="15">
        <v>11.81</v>
      </c>
      <c r="E5958" s="16" t="s">
        <v>30</v>
      </c>
    </row>
    <row r="5959" spans="1:5" x14ac:dyDescent="0.25">
      <c r="A5959" s="14">
        <v>952127</v>
      </c>
      <c r="B5959" s="14" t="s">
        <v>6073</v>
      </c>
      <c r="C5959" s="14" t="s">
        <v>13029</v>
      </c>
      <c r="D5959" s="15">
        <v>4.09</v>
      </c>
      <c r="E5959" s="16" t="s">
        <v>30</v>
      </c>
    </row>
    <row r="5960" spans="1:5" x14ac:dyDescent="0.25">
      <c r="A5960" s="14">
        <v>952128</v>
      </c>
      <c r="B5960" s="14" t="s">
        <v>6074</v>
      </c>
      <c r="C5960" s="14" t="s">
        <v>13029</v>
      </c>
      <c r="D5960" s="15">
        <v>5.87</v>
      </c>
      <c r="E5960" s="16" t="s">
        <v>30</v>
      </c>
    </row>
    <row r="5961" spans="1:5" x14ac:dyDescent="0.25">
      <c r="A5961" s="14">
        <v>952129</v>
      </c>
      <c r="B5961" s="14" t="s">
        <v>6075</v>
      </c>
      <c r="C5961" s="14" t="s">
        <v>13029</v>
      </c>
      <c r="D5961" s="15">
        <v>32.57</v>
      </c>
      <c r="E5961" s="16" t="s">
        <v>30</v>
      </c>
    </row>
    <row r="5962" spans="1:5" x14ac:dyDescent="0.25">
      <c r="A5962" s="14">
        <v>952130</v>
      </c>
      <c r="B5962" s="14" t="s">
        <v>6076</v>
      </c>
      <c r="C5962" s="14" t="s">
        <v>13029</v>
      </c>
      <c r="D5962" s="15">
        <v>14.77</v>
      </c>
      <c r="E5962" s="16" t="s">
        <v>30</v>
      </c>
    </row>
    <row r="5963" spans="1:5" x14ac:dyDescent="0.25">
      <c r="A5963" s="14">
        <v>952131</v>
      </c>
      <c r="B5963" s="14" t="s">
        <v>6077</v>
      </c>
      <c r="C5963" s="14" t="s">
        <v>13029</v>
      </c>
      <c r="D5963" s="15">
        <v>7.65</v>
      </c>
      <c r="E5963" s="16" t="s">
        <v>30</v>
      </c>
    </row>
    <row r="5964" spans="1:5" x14ac:dyDescent="0.25">
      <c r="A5964" s="14">
        <v>916697</v>
      </c>
      <c r="B5964" s="14" t="s">
        <v>6078</v>
      </c>
      <c r="C5964" s="14" t="s">
        <v>13030</v>
      </c>
      <c r="D5964" s="15">
        <v>18.05</v>
      </c>
      <c r="E5964" s="16" t="s">
        <v>20</v>
      </c>
    </row>
    <row r="5965" spans="1:5" x14ac:dyDescent="0.25">
      <c r="A5965" s="14">
        <v>916698</v>
      </c>
      <c r="B5965" s="14" t="s">
        <v>6079</v>
      </c>
      <c r="C5965" s="14" t="s">
        <v>13030</v>
      </c>
      <c r="D5965" s="15">
        <v>37.340000000000003</v>
      </c>
      <c r="E5965" s="16" t="s">
        <v>20</v>
      </c>
    </row>
    <row r="5966" spans="1:5" x14ac:dyDescent="0.25">
      <c r="A5966" s="14">
        <v>952132</v>
      </c>
      <c r="B5966" s="14" t="s">
        <v>6080</v>
      </c>
      <c r="C5966" s="14" t="s">
        <v>13029</v>
      </c>
      <c r="D5966" s="15">
        <v>8.84</v>
      </c>
      <c r="E5966" s="16" t="s">
        <v>30</v>
      </c>
    </row>
    <row r="5967" spans="1:5" x14ac:dyDescent="0.25">
      <c r="A5967" s="14">
        <v>952133</v>
      </c>
      <c r="B5967" s="14" t="s">
        <v>6081</v>
      </c>
      <c r="C5967" s="14" t="s">
        <v>13029</v>
      </c>
      <c r="D5967" s="15">
        <v>4.6900000000000004</v>
      </c>
      <c r="E5967" s="16" t="s">
        <v>30</v>
      </c>
    </row>
    <row r="5968" spans="1:5" x14ac:dyDescent="0.25">
      <c r="A5968" s="14">
        <v>952134</v>
      </c>
      <c r="B5968" s="14" t="s">
        <v>6082</v>
      </c>
      <c r="C5968" s="14" t="s">
        <v>13029</v>
      </c>
      <c r="D5968" s="15">
        <v>4.6900000000000004</v>
      </c>
      <c r="E5968" s="16" t="s">
        <v>30</v>
      </c>
    </row>
    <row r="5969" spans="1:5" x14ac:dyDescent="0.25">
      <c r="A5969" s="14">
        <v>952135</v>
      </c>
      <c r="B5969" s="14" t="s">
        <v>6083</v>
      </c>
      <c r="C5969" s="14" t="s">
        <v>13029</v>
      </c>
      <c r="D5969" s="15">
        <v>7.65</v>
      </c>
      <c r="E5969" s="16" t="s">
        <v>30</v>
      </c>
    </row>
    <row r="5970" spans="1:5" x14ac:dyDescent="0.25">
      <c r="A5970" s="14">
        <v>952136</v>
      </c>
      <c r="B5970" s="14" t="s">
        <v>6084</v>
      </c>
      <c r="C5970" s="14" t="s">
        <v>13029</v>
      </c>
      <c r="D5970" s="15">
        <v>5.87</v>
      </c>
      <c r="E5970" s="16" t="s">
        <v>30</v>
      </c>
    </row>
    <row r="5971" spans="1:5" x14ac:dyDescent="0.25">
      <c r="A5971" s="14">
        <v>952137</v>
      </c>
      <c r="B5971" s="14" t="s">
        <v>6085</v>
      </c>
      <c r="C5971" s="14" t="s">
        <v>13029</v>
      </c>
      <c r="D5971" s="15">
        <v>5.87</v>
      </c>
      <c r="E5971" s="16" t="s">
        <v>30</v>
      </c>
    </row>
    <row r="5972" spans="1:5" x14ac:dyDescent="0.25">
      <c r="A5972" s="14">
        <v>952138</v>
      </c>
      <c r="B5972" s="14" t="s">
        <v>6086</v>
      </c>
      <c r="C5972" s="14" t="s">
        <v>13029</v>
      </c>
      <c r="D5972" s="15">
        <v>10.029999999999999</v>
      </c>
      <c r="E5972" s="16" t="s">
        <v>30</v>
      </c>
    </row>
    <row r="5973" spans="1:5" x14ac:dyDescent="0.25">
      <c r="A5973" s="14">
        <v>952139</v>
      </c>
      <c r="B5973" s="14" t="s">
        <v>6087</v>
      </c>
      <c r="C5973" s="14" t="s">
        <v>13029</v>
      </c>
      <c r="D5973" s="15">
        <v>23.67</v>
      </c>
      <c r="E5973" s="16" t="s">
        <v>30</v>
      </c>
    </row>
    <row r="5974" spans="1:5" x14ac:dyDescent="0.25">
      <c r="A5974" s="14">
        <v>952140</v>
      </c>
      <c r="B5974" s="14" t="s">
        <v>6088</v>
      </c>
      <c r="C5974" s="14" t="s">
        <v>13029</v>
      </c>
      <c r="D5974" s="15">
        <v>5.87</v>
      </c>
      <c r="E5974" s="16" t="s">
        <v>30</v>
      </c>
    </row>
    <row r="5975" spans="1:5" x14ac:dyDescent="0.25">
      <c r="A5975" s="14">
        <v>952141</v>
      </c>
      <c r="B5975" s="14" t="s">
        <v>6089</v>
      </c>
      <c r="C5975" s="14" t="s">
        <v>13029</v>
      </c>
      <c r="D5975" s="15">
        <v>4.09</v>
      </c>
      <c r="E5975" s="16" t="s">
        <v>30</v>
      </c>
    </row>
    <row r="5976" spans="1:5" x14ac:dyDescent="0.25">
      <c r="A5976" s="14">
        <v>952142</v>
      </c>
      <c r="B5976" s="14" t="s">
        <v>6090</v>
      </c>
      <c r="C5976" s="14" t="s">
        <v>13029</v>
      </c>
      <c r="D5976" s="15">
        <v>8.84</v>
      </c>
      <c r="E5976" s="16" t="s">
        <v>30</v>
      </c>
    </row>
    <row r="5977" spans="1:5" x14ac:dyDescent="0.25">
      <c r="A5977" s="14">
        <v>952143</v>
      </c>
      <c r="B5977" s="14" t="s">
        <v>6091</v>
      </c>
      <c r="C5977" s="14" t="s">
        <v>13029</v>
      </c>
      <c r="D5977" s="15">
        <v>17.739999999999998</v>
      </c>
      <c r="E5977" s="16" t="s">
        <v>30</v>
      </c>
    </row>
    <row r="5978" spans="1:5" x14ac:dyDescent="0.25">
      <c r="A5978" s="14">
        <v>952144</v>
      </c>
      <c r="B5978" s="14" t="s">
        <v>6092</v>
      </c>
      <c r="C5978" s="14" t="s">
        <v>13029</v>
      </c>
      <c r="D5978" s="15">
        <v>17.739999999999998</v>
      </c>
      <c r="E5978" s="16" t="s">
        <v>30</v>
      </c>
    </row>
    <row r="5979" spans="1:5" x14ac:dyDescent="0.25">
      <c r="A5979" s="14">
        <v>952145</v>
      </c>
      <c r="B5979" s="14" t="s">
        <v>6093</v>
      </c>
      <c r="C5979" s="14" t="s">
        <v>13029</v>
      </c>
      <c r="D5979" s="15">
        <v>13.58</v>
      </c>
      <c r="E5979" s="16" t="s">
        <v>30</v>
      </c>
    </row>
    <row r="5980" spans="1:5" x14ac:dyDescent="0.25">
      <c r="A5980" s="14">
        <v>952146</v>
      </c>
      <c r="B5980" s="14" t="s">
        <v>6094</v>
      </c>
      <c r="C5980" s="14" t="s">
        <v>13029</v>
      </c>
      <c r="D5980" s="15">
        <v>17.739999999999998</v>
      </c>
      <c r="E5980" s="16" t="s">
        <v>30</v>
      </c>
    </row>
    <row r="5981" spans="1:5" x14ac:dyDescent="0.25">
      <c r="A5981" s="14">
        <v>952147</v>
      </c>
      <c r="B5981" s="14" t="s">
        <v>6095</v>
      </c>
      <c r="C5981" s="14" t="s">
        <v>13029</v>
      </c>
      <c r="D5981" s="15">
        <v>17.739999999999998</v>
      </c>
      <c r="E5981" s="16" t="s">
        <v>30</v>
      </c>
    </row>
    <row r="5982" spans="1:5" x14ac:dyDescent="0.25">
      <c r="A5982" s="14">
        <v>952148</v>
      </c>
      <c r="B5982" s="14" t="s">
        <v>6096</v>
      </c>
      <c r="C5982" s="14" t="s">
        <v>13029</v>
      </c>
      <c r="D5982" s="15">
        <v>17.739999999999998</v>
      </c>
      <c r="E5982" s="16" t="s">
        <v>30</v>
      </c>
    </row>
    <row r="5983" spans="1:5" x14ac:dyDescent="0.25">
      <c r="A5983" s="14">
        <v>952149</v>
      </c>
      <c r="B5983" s="14" t="s">
        <v>6097</v>
      </c>
      <c r="C5983" s="14" t="s">
        <v>13029</v>
      </c>
      <c r="D5983" s="15">
        <v>32.57</v>
      </c>
      <c r="E5983" s="16" t="s">
        <v>30</v>
      </c>
    </row>
    <row r="5984" spans="1:5" x14ac:dyDescent="0.25">
      <c r="A5984" s="14">
        <v>952150</v>
      </c>
      <c r="B5984" s="14" t="s">
        <v>6098</v>
      </c>
      <c r="C5984" s="14" t="s">
        <v>13031</v>
      </c>
      <c r="D5984" s="15">
        <v>6.17</v>
      </c>
      <c r="E5984" s="16" t="s">
        <v>30</v>
      </c>
    </row>
    <row r="5985" spans="1:5" x14ac:dyDescent="0.25">
      <c r="A5985" s="14">
        <v>952151</v>
      </c>
      <c r="B5985" s="14" t="s">
        <v>6099</v>
      </c>
      <c r="C5985" s="14" t="s">
        <v>13031</v>
      </c>
      <c r="D5985" s="15">
        <v>6.64</v>
      </c>
      <c r="E5985" s="16" t="s">
        <v>30</v>
      </c>
    </row>
    <row r="5986" spans="1:5" x14ac:dyDescent="0.25">
      <c r="A5986" s="14">
        <v>952152</v>
      </c>
      <c r="B5986" s="14" t="s">
        <v>6100</v>
      </c>
      <c r="C5986" s="14" t="s">
        <v>13031</v>
      </c>
      <c r="D5986" s="15">
        <v>6.52</v>
      </c>
      <c r="E5986" s="16" t="s">
        <v>30</v>
      </c>
    </row>
    <row r="5987" spans="1:5" x14ac:dyDescent="0.25">
      <c r="A5987" s="14">
        <v>952153</v>
      </c>
      <c r="B5987" s="14" t="s">
        <v>6101</v>
      </c>
      <c r="C5987" s="14" t="s">
        <v>13031</v>
      </c>
      <c r="D5987" s="15">
        <v>7.06</v>
      </c>
      <c r="E5987" s="16" t="s">
        <v>30</v>
      </c>
    </row>
    <row r="5988" spans="1:5" x14ac:dyDescent="0.25">
      <c r="A5988" s="14">
        <v>952154</v>
      </c>
      <c r="B5988" s="14" t="s">
        <v>6102</v>
      </c>
      <c r="C5988" s="14" t="s">
        <v>13031</v>
      </c>
      <c r="D5988" s="15">
        <v>5.47</v>
      </c>
      <c r="E5988" s="16" t="s">
        <v>30</v>
      </c>
    </row>
    <row r="5989" spans="1:5" x14ac:dyDescent="0.25">
      <c r="A5989" s="14">
        <v>952155</v>
      </c>
      <c r="B5989" s="14" t="s">
        <v>6103</v>
      </c>
      <c r="C5989" s="14" t="s">
        <v>13031</v>
      </c>
      <c r="D5989" s="15">
        <v>8.15</v>
      </c>
      <c r="E5989" s="16" t="s">
        <v>30</v>
      </c>
    </row>
    <row r="5990" spans="1:5" x14ac:dyDescent="0.25">
      <c r="A5990" s="14">
        <v>952156</v>
      </c>
      <c r="B5990" s="14" t="s">
        <v>6104</v>
      </c>
      <c r="C5990" s="14" t="s">
        <v>13031</v>
      </c>
      <c r="D5990" s="15">
        <v>11.2</v>
      </c>
      <c r="E5990" s="16" t="s">
        <v>30</v>
      </c>
    </row>
    <row r="5991" spans="1:5" x14ac:dyDescent="0.25">
      <c r="A5991" s="14">
        <v>952157</v>
      </c>
      <c r="B5991" s="14" t="s">
        <v>6105</v>
      </c>
      <c r="C5991" s="14" t="s">
        <v>13031</v>
      </c>
      <c r="D5991" s="15">
        <v>11.2</v>
      </c>
      <c r="E5991" s="16" t="s">
        <v>30</v>
      </c>
    </row>
    <row r="5992" spans="1:5" x14ac:dyDescent="0.25">
      <c r="A5992" s="14">
        <v>952158</v>
      </c>
      <c r="B5992" s="14" t="s">
        <v>6106</v>
      </c>
      <c r="C5992" s="14" t="s">
        <v>13030</v>
      </c>
      <c r="D5992" s="15">
        <v>91.46</v>
      </c>
      <c r="E5992" s="16" t="s">
        <v>30</v>
      </c>
    </row>
    <row r="5993" spans="1:5" x14ac:dyDescent="0.25">
      <c r="A5993" s="14">
        <v>952159</v>
      </c>
      <c r="B5993" s="14" t="s">
        <v>6107</v>
      </c>
      <c r="C5993" s="14" t="s">
        <v>13030</v>
      </c>
      <c r="D5993" s="15">
        <v>48.57</v>
      </c>
      <c r="E5993" s="16" t="s">
        <v>30</v>
      </c>
    </row>
    <row r="5994" spans="1:5" x14ac:dyDescent="0.25">
      <c r="A5994" s="14">
        <v>952163</v>
      </c>
      <c r="B5994" s="14" t="s">
        <v>6108</v>
      </c>
      <c r="C5994" s="14" t="s">
        <v>13029</v>
      </c>
      <c r="D5994" s="15">
        <v>8.6</v>
      </c>
      <c r="E5994" s="16" t="s">
        <v>30</v>
      </c>
    </row>
    <row r="5995" spans="1:5" x14ac:dyDescent="0.25">
      <c r="A5995" s="14">
        <v>952164</v>
      </c>
      <c r="B5995" s="14" t="s">
        <v>6109</v>
      </c>
      <c r="C5995" s="14" t="s">
        <v>13029</v>
      </c>
      <c r="D5995" s="15">
        <v>8.6</v>
      </c>
      <c r="E5995" s="16" t="s">
        <v>30</v>
      </c>
    </row>
    <row r="5996" spans="1:5" x14ac:dyDescent="0.25">
      <c r="A5996" s="14">
        <v>952166</v>
      </c>
      <c r="B5996" s="14" t="s">
        <v>6110</v>
      </c>
      <c r="C5996" s="14" t="s">
        <v>13029</v>
      </c>
      <c r="D5996" s="15">
        <v>6.47</v>
      </c>
      <c r="E5996" s="16" t="s">
        <v>30</v>
      </c>
    </row>
    <row r="5997" spans="1:5" x14ac:dyDescent="0.25">
      <c r="A5997" s="14">
        <v>952167</v>
      </c>
      <c r="B5997" s="14" t="s">
        <v>6111</v>
      </c>
      <c r="C5997" s="14" t="s">
        <v>13029</v>
      </c>
      <c r="D5997" s="15">
        <v>6.47</v>
      </c>
      <c r="E5997" s="16" t="s">
        <v>30</v>
      </c>
    </row>
    <row r="5998" spans="1:5" x14ac:dyDescent="0.25">
      <c r="A5998" s="14">
        <v>952168</v>
      </c>
      <c r="B5998" s="14" t="s">
        <v>6112</v>
      </c>
      <c r="C5998" s="14" t="s">
        <v>13029</v>
      </c>
      <c r="D5998" s="15">
        <v>7.06</v>
      </c>
      <c r="E5998" s="16" t="s">
        <v>30</v>
      </c>
    </row>
    <row r="5999" spans="1:5" x14ac:dyDescent="0.25">
      <c r="A5999" s="14">
        <v>952169</v>
      </c>
      <c r="B5999" s="14" t="s">
        <v>6113</v>
      </c>
      <c r="C5999" s="14" t="s">
        <v>13029</v>
      </c>
      <c r="D5999" s="15">
        <v>7.06</v>
      </c>
      <c r="E5999" s="16" t="s">
        <v>30</v>
      </c>
    </row>
    <row r="6000" spans="1:5" x14ac:dyDescent="0.25">
      <c r="A6000" s="14">
        <v>952170</v>
      </c>
      <c r="B6000" s="14" t="s">
        <v>6114</v>
      </c>
      <c r="C6000" s="14" t="s">
        <v>13029</v>
      </c>
      <c r="D6000" s="15">
        <v>5.87</v>
      </c>
      <c r="E6000" s="16" t="s">
        <v>30</v>
      </c>
    </row>
    <row r="6001" spans="1:5" x14ac:dyDescent="0.25">
      <c r="A6001" s="14">
        <v>952171</v>
      </c>
      <c r="B6001" s="14" t="s">
        <v>6115</v>
      </c>
      <c r="C6001" s="14" t="s">
        <v>13029</v>
      </c>
      <c r="D6001" s="15">
        <v>5.87</v>
      </c>
      <c r="E6001" s="16" t="s">
        <v>30</v>
      </c>
    </row>
    <row r="6002" spans="1:5" x14ac:dyDescent="0.25">
      <c r="A6002" s="14">
        <v>952172</v>
      </c>
      <c r="B6002" s="14" t="s">
        <v>6116</v>
      </c>
      <c r="C6002" s="14" t="s">
        <v>13029</v>
      </c>
      <c r="D6002" s="15">
        <v>7.65</v>
      </c>
      <c r="E6002" s="16" t="s">
        <v>30</v>
      </c>
    </row>
    <row r="6003" spans="1:5" x14ac:dyDescent="0.25">
      <c r="A6003" s="14">
        <v>952173</v>
      </c>
      <c r="B6003" s="14" t="s">
        <v>6117</v>
      </c>
      <c r="C6003" s="14" t="s">
        <v>13029</v>
      </c>
      <c r="D6003" s="15">
        <v>7.65</v>
      </c>
      <c r="E6003" s="16" t="s">
        <v>30</v>
      </c>
    </row>
    <row r="6004" spans="1:5" x14ac:dyDescent="0.25">
      <c r="A6004" s="14">
        <v>952174</v>
      </c>
      <c r="B6004" s="14" t="s">
        <v>6118</v>
      </c>
      <c r="C6004" s="14" t="s">
        <v>13029</v>
      </c>
      <c r="D6004" s="15">
        <v>8.01</v>
      </c>
      <c r="E6004" s="16" t="s">
        <v>30</v>
      </c>
    </row>
    <row r="6005" spans="1:5" x14ac:dyDescent="0.25">
      <c r="A6005" s="14">
        <v>952175</v>
      </c>
      <c r="B6005" s="14" t="s">
        <v>6119</v>
      </c>
      <c r="C6005" s="14" t="s">
        <v>13029</v>
      </c>
      <c r="D6005" s="15">
        <v>8.6</v>
      </c>
      <c r="E6005" s="16" t="s">
        <v>30</v>
      </c>
    </row>
    <row r="6006" spans="1:5" x14ac:dyDescent="0.25">
      <c r="A6006" s="14">
        <v>952191</v>
      </c>
      <c r="B6006" s="14" t="s">
        <v>6120</v>
      </c>
      <c r="C6006" s="14" t="s">
        <v>13031</v>
      </c>
      <c r="D6006" s="15">
        <v>16.47</v>
      </c>
      <c r="E6006" s="16" t="s">
        <v>30</v>
      </c>
    </row>
    <row r="6007" spans="1:5" x14ac:dyDescent="0.25">
      <c r="A6007" s="14">
        <v>952932</v>
      </c>
      <c r="B6007" s="14" t="s">
        <v>6121</v>
      </c>
      <c r="C6007" s="14" t="s">
        <v>13029</v>
      </c>
      <c r="D6007" s="15">
        <v>25.57</v>
      </c>
      <c r="E6007" s="16" t="s">
        <v>30</v>
      </c>
    </row>
    <row r="6008" spans="1:5" x14ac:dyDescent="0.25">
      <c r="A6008" s="14">
        <v>952933</v>
      </c>
      <c r="B6008" s="14" t="s">
        <v>6122</v>
      </c>
      <c r="C6008" s="14" t="s">
        <v>13031</v>
      </c>
      <c r="D6008" s="15">
        <v>5.85</v>
      </c>
      <c r="E6008" s="16" t="s">
        <v>30</v>
      </c>
    </row>
    <row r="6009" spans="1:5" x14ac:dyDescent="0.25">
      <c r="A6009" s="14">
        <v>952934</v>
      </c>
      <c r="B6009" s="14" t="s">
        <v>6123</v>
      </c>
      <c r="C6009" s="14" t="s">
        <v>13031</v>
      </c>
      <c r="D6009" s="15">
        <v>20.7</v>
      </c>
      <c r="E6009" s="16" t="s">
        <v>30</v>
      </c>
    </row>
    <row r="6010" spans="1:5" x14ac:dyDescent="0.25">
      <c r="A6010" s="14">
        <v>952972</v>
      </c>
      <c r="B6010" s="14" t="s">
        <v>6124</v>
      </c>
      <c r="C6010" s="14" t="s">
        <v>13031</v>
      </c>
      <c r="D6010" s="15">
        <v>39</v>
      </c>
      <c r="E6010" s="16" t="s">
        <v>30</v>
      </c>
    </row>
    <row r="6011" spans="1:5" x14ac:dyDescent="0.25">
      <c r="A6011" s="14">
        <v>952973</v>
      </c>
      <c r="B6011" s="14" t="s">
        <v>6125</v>
      </c>
      <c r="C6011" s="14" t="s">
        <v>13031</v>
      </c>
      <c r="D6011" s="15">
        <v>29.55</v>
      </c>
      <c r="E6011" s="16" t="s">
        <v>30</v>
      </c>
    </row>
    <row r="6012" spans="1:5" x14ac:dyDescent="0.25">
      <c r="A6012" s="14">
        <v>952974</v>
      </c>
      <c r="B6012" s="14" t="s">
        <v>6126</v>
      </c>
      <c r="C6012" s="14" t="s">
        <v>13031</v>
      </c>
      <c r="D6012" s="15">
        <v>29.55</v>
      </c>
      <c r="E6012" s="16" t="s">
        <v>30</v>
      </c>
    </row>
    <row r="6013" spans="1:5" x14ac:dyDescent="0.25">
      <c r="A6013" s="14">
        <v>952975</v>
      </c>
      <c r="B6013" s="14" t="s">
        <v>6127</v>
      </c>
      <c r="C6013" s="14" t="s">
        <v>13031</v>
      </c>
      <c r="D6013" s="15">
        <v>29.55</v>
      </c>
      <c r="E6013" s="16" t="s">
        <v>30</v>
      </c>
    </row>
    <row r="6014" spans="1:5" x14ac:dyDescent="0.25">
      <c r="A6014" s="14">
        <v>952976</v>
      </c>
      <c r="B6014" s="14" t="s">
        <v>6128</v>
      </c>
      <c r="C6014" s="14" t="s">
        <v>13031</v>
      </c>
      <c r="D6014" s="15">
        <v>29.55</v>
      </c>
      <c r="E6014" s="16" t="s">
        <v>30</v>
      </c>
    </row>
    <row r="6015" spans="1:5" x14ac:dyDescent="0.25">
      <c r="A6015" s="14">
        <v>902578</v>
      </c>
      <c r="B6015" s="14" t="s">
        <v>6129</v>
      </c>
      <c r="C6015" s="14" t="s">
        <v>13031</v>
      </c>
      <c r="D6015" s="15">
        <v>16.079999999999998</v>
      </c>
      <c r="E6015" s="16" t="s">
        <v>20</v>
      </c>
    </row>
    <row r="6016" spans="1:5" x14ac:dyDescent="0.25">
      <c r="A6016" s="14">
        <v>943202</v>
      </c>
      <c r="B6016" s="14" t="s">
        <v>6130</v>
      </c>
      <c r="C6016" s="14" t="s">
        <v>13029</v>
      </c>
      <c r="D6016" s="15">
        <v>23.89</v>
      </c>
      <c r="E6016" s="14" t="s">
        <v>20</v>
      </c>
    </row>
    <row r="6017" spans="1:5" x14ac:dyDescent="0.25">
      <c r="A6017" s="14">
        <v>952977</v>
      </c>
      <c r="B6017" s="14" t="s">
        <v>6131</v>
      </c>
      <c r="C6017" s="14" t="s">
        <v>13031</v>
      </c>
      <c r="D6017" s="15">
        <v>55.7</v>
      </c>
      <c r="E6017" s="16" t="s">
        <v>30</v>
      </c>
    </row>
    <row r="6018" spans="1:5" x14ac:dyDescent="0.25">
      <c r="A6018" s="14">
        <v>952978</v>
      </c>
      <c r="B6018" s="14" t="s">
        <v>6132</v>
      </c>
      <c r="C6018" s="14" t="s">
        <v>13031</v>
      </c>
      <c r="D6018" s="15">
        <v>55.7</v>
      </c>
      <c r="E6018" s="16" t="s">
        <v>30</v>
      </c>
    </row>
    <row r="6019" spans="1:5" x14ac:dyDescent="0.25">
      <c r="A6019" s="14">
        <v>952979</v>
      </c>
      <c r="B6019" s="14" t="s">
        <v>6133</v>
      </c>
      <c r="C6019" s="14" t="s">
        <v>13031</v>
      </c>
      <c r="D6019" s="15">
        <v>61.3</v>
      </c>
      <c r="E6019" s="16" t="s">
        <v>30</v>
      </c>
    </row>
    <row r="6020" spans="1:5" x14ac:dyDescent="0.25">
      <c r="A6020" s="14">
        <v>952980</v>
      </c>
      <c r="B6020" s="14" t="s">
        <v>6134</v>
      </c>
      <c r="C6020" s="14" t="s">
        <v>13031</v>
      </c>
      <c r="D6020" s="15">
        <v>62.99</v>
      </c>
      <c r="E6020" s="16" t="s">
        <v>30</v>
      </c>
    </row>
    <row r="6021" spans="1:5" x14ac:dyDescent="0.25">
      <c r="A6021" s="14">
        <v>952990</v>
      </c>
      <c r="B6021" s="14" t="s">
        <v>6135</v>
      </c>
      <c r="C6021" s="14" t="s">
        <v>13029</v>
      </c>
      <c r="D6021" s="15">
        <v>6.75</v>
      </c>
      <c r="E6021" s="16" t="s">
        <v>30</v>
      </c>
    </row>
    <row r="6022" spans="1:5" x14ac:dyDescent="0.25">
      <c r="A6022" s="14">
        <v>953008</v>
      </c>
      <c r="B6022" s="14" t="s">
        <v>6136</v>
      </c>
      <c r="C6022" s="14" t="s">
        <v>13033</v>
      </c>
      <c r="D6022" s="15">
        <v>5.52</v>
      </c>
      <c r="E6022" s="16" t="s">
        <v>30</v>
      </c>
    </row>
    <row r="6023" spans="1:5" x14ac:dyDescent="0.25">
      <c r="A6023" s="14">
        <v>953009</v>
      </c>
      <c r="B6023" s="14" t="s">
        <v>6137</v>
      </c>
      <c r="C6023" s="14" t="s">
        <v>13033</v>
      </c>
      <c r="D6023" s="15">
        <v>3.6</v>
      </c>
      <c r="E6023" s="16" t="s">
        <v>30</v>
      </c>
    </row>
    <row r="6024" spans="1:5" x14ac:dyDescent="0.25">
      <c r="A6024" s="14">
        <v>953010</v>
      </c>
      <c r="B6024" s="14" t="s">
        <v>6138</v>
      </c>
      <c r="C6024" s="14" t="s">
        <v>13033</v>
      </c>
      <c r="D6024" s="15">
        <v>4.08</v>
      </c>
      <c r="E6024" s="16" t="s">
        <v>30</v>
      </c>
    </row>
    <row r="6025" spans="1:5" x14ac:dyDescent="0.25">
      <c r="A6025" s="14">
        <v>953011</v>
      </c>
      <c r="B6025" s="14" t="s">
        <v>6139</v>
      </c>
      <c r="C6025" s="14" t="s">
        <v>13033</v>
      </c>
      <c r="D6025" s="15">
        <v>4.08</v>
      </c>
      <c r="E6025" s="16" t="s">
        <v>30</v>
      </c>
    </row>
    <row r="6026" spans="1:5" x14ac:dyDescent="0.25">
      <c r="A6026" s="14">
        <v>953013</v>
      </c>
      <c r="B6026" s="14" t="s">
        <v>6140</v>
      </c>
      <c r="C6026" s="14" t="s">
        <v>13033</v>
      </c>
      <c r="D6026" s="15">
        <v>5.52</v>
      </c>
      <c r="E6026" s="16" t="s">
        <v>30</v>
      </c>
    </row>
    <row r="6027" spans="1:5" x14ac:dyDescent="0.25">
      <c r="A6027" s="14">
        <v>953014</v>
      </c>
      <c r="B6027" s="14" t="s">
        <v>6141</v>
      </c>
      <c r="C6027" s="14" t="s">
        <v>13033</v>
      </c>
      <c r="D6027" s="15">
        <v>7.16</v>
      </c>
      <c r="E6027" s="16" t="s">
        <v>30</v>
      </c>
    </row>
    <row r="6028" spans="1:5" x14ac:dyDescent="0.25">
      <c r="A6028" s="14">
        <v>953016</v>
      </c>
      <c r="B6028" s="14" t="s">
        <v>6142</v>
      </c>
      <c r="C6028" s="14" t="s">
        <v>13033</v>
      </c>
      <c r="D6028" s="15">
        <v>6.68</v>
      </c>
      <c r="E6028" s="16" t="s">
        <v>30</v>
      </c>
    </row>
    <row r="6029" spans="1:5" x14ac:dyDescent="0.25">
      <c r="A6029" s="14">
        <v>953017</v>
      </c>
      <c r="B6029" s="14" t="s">
        <v>6143</v>
      </c>
      <c r="C6029" s="14" t="s">
        <v>13033</v>
      </c>
      <c r="D6029" s="15">
        <v>13.41</v>
      </c>
      <c r="E6029" s="16" t="s">
        <v>30</v>
      </c>
    </row>
    <row r="6030" spans="1:5" x14ac:dyDescent="0.25">
      <c r="A6030" s="14">
        <v>953018</v>
      </c>
      <c r="B6030" s="14" t="s">
        <v>6144</v>
      </c>
      <c r="C6030" s="14" t="s">
        <v>13033</v>
      </c>
      <c r="D6030" s="15">
        <v>9.56</v>
      </c>
      <c r="E6030" s="16" t="s">
        <v>30</v>
      </c>
    </row>
    <row r="6031" spans="1:5" x14ac:dyDescent="0.25">
      <c r="A6031" s="14">
        <v>953019</v>
      </c>
      <c r="B6031" s="14" t="s">
        <v>6145</v>
      </c>
      <c r="C6031" s="14" t="s">
        <v>13033</v>
      </c>
      <c r="D6031" s="15">
        <v>11.29</v>
      </c>
      <c r="E6031" s="16" t="s">
        <v>30</v>
      </c>
    </row>
    <row r="6032" spans="1:5" x14ac:dyDescent="0.25">
      <c r="A6032" s="14">
        <v>953020</v>
      </c>
      <c r="B6032" s="14" t="s">
        <v>6146</v>
      </c>
      <c r="C6032" s="14" t="s">
        <v>13033</v>
      </c>
      <c r="D6032" s="15">
        <v>14.85</v>
      </c>
      <c r="E6032" s="16" t="s">
        <v>30</v>
      </c>
    </row>
    <row r="6033" spans="1:5" x14ac:dyDescent="0.25">
      <c r="A6033" s="14">
        <v>953021</v>
      </c>
      <c r="B6033" s="14" t="s">
        <v>6147</v>
      </c>
      <c r="C6033" s="14" t="s">
        <v>13033</v>
      </c>
      <c r="D6033" s="15">
        <v>11.97</v>
      </c>
      <c r="E6033" s="16" t="s">
        <v>30</v>
      </c>
    </row>
    <row r="6034" spans="1:5" x14ac:dyDescent="0.25">
      <c r="A6034" s="14">
        <v>953022</v>
      </c>
      <c r="B6034" s="14" t="s">
        <v>6148</v>
      </c>
      <c r="C6034" s="14" t="s">
        <v>13033</v>
      </c>
      <c r="D6034" s="15">
        <v>9.56</v>
      </c>
      <c r="E6034" s="16" t="s">
        <v>30</v>
      </c>
    </row>
    <row r="6035" spans="1:5" x14ac:dyDescent="0.25">
      <c r="A6035" s="14">
        <v>953023</v>
      </c>
      <c r="B6035" s="14" t="s">
        <v>6149</v>
      </c>
      <c r="C6035" s="14" t="s">
        <v>13033</v>
      </c>
      <c r="D6035" s="15">
        <v>8.41</v>
      </c>
      <c r="E6035" s="16" t="s">
        <v>30</v>
      </c>
    </row>
    <row r="6036" spans="1:5" x14ac:dyDescent="0.25">
      <c r="A6036" s="14">
        <v>953024</v>
      </c>
      <c r="B6036" s="14" t="s">
        <v>6150</v>
      </c>
      <c r="C6036" s="14" t="s">
        <v>13033</v>
      </c>
      <c r="D6036" s="15">
        <v>6.68</v>
      </c>
      <c r="E6036" s="16" t="s">
        <v>30</v>
      </c>
    </row>
    <row r="6037" spans="1:5" x14ac:dyDescent="0.25">
      <c r="A6037" s="14">
        <v>953027</v>
      </c>
      <c r="B6037" s="14" t="s">
        <v>6151</v>
      </c>
      <c r="C6037" s="14" t="s">
        <v>13033</v>
      </c>
      <c r="D6037" s="15">
        <v>17.54</v>
      </c>
      <c r="E6037" s="16" t="s">
        <v>30</v>
      </c>
    </row>
    <row r="6038" spans="1:5" x14ac:dyDescent="0.25">
      <c r="A6038" s="14">
        <v>953028</v>
      </c>
      <c r="B6038" s="14" t="s">
        <v>6152</v>
      </c>
      <c r="C6038" s="14" t="s">
        <v>13033</v>
      </c>
      <c r="D6038" s="15">
        <v>8.6</v>
      </c>
      <c r="E6038" s="16" t="s">
        <v>30</v>
      </c>
    </row>
    <row r="6039" spans="1:5" x14ac:dyDescent="0.25">
      <c r="A6039" s="14">
        <v>953031</v>
      </c>
      <c r="B6039" s="14" t="s">
        <v>6153</v>
      </c>
      <c r="C6039" s="14" t="s">
        <v>13033</v>
      </c>
      <c r="D6039" s="15">
        <v>6.2</v>
      </c>
      <c r="E6039" s="16" t="s">
        <v>30</v>
      </c>
    </row>
    <row r="6040" spans="1:5" x14ac:dyDescent="0.25">
      <c r="A6040" s="14">
        <v>953035</v>
      </c>
      <c r="B6040" s="14" t="s">
        <v>6154</v>
      </c>
      <c r="C6040" s="14" t="s">
        <v>13033</v>
      </c>
      <c r="D6040" s="15">
        <v>19.46</v>
      </c>
      <c r="E6040" s="16" t="s">
        <v>30</v>
      </c>
    </row>
    <row r="6041" spans="1:5" x14ac:dyDescent="0.25">
      <c r="A6041" s="14">
        <v>953036</v>
      </c>
      <c r="B6041" s="14" t="s">
        <v>6155</v>
      </c>
      <c r="C6041" s="14" t="s">
        <v>13033</v>
      </c>
      <c r="D6041" s="15">
        <v>19.46</v>
      </c>
      <c r="E6041" s="16" t="s">
        <v>30</v>
      </c>
    </row>
    <row r="6042" spans="1:5" x14ac:dyDescent="0.25">
      <c r="A6042" s="14">
        <v>953037</v>
      </c>
      <c r="B6042" s="14" t="s">
        <v>6156</v>
      </c>
      <c r="C6042" s="14" t="s">
        <v>13033</v>
      </c>
      <c r="D6042" s="15">
        <v>5.72</v>
      </c>
      <c r="E6042" s="16" t="s">
        <v>30</v>
      </c>
    </row>
    <row r="6043" spans="1:5" x14ac:dyDescent="0.25">
      <c r="A6043" s="14">
        <v>953041</v>
      </c>
      <c r="B6043" s="14" t="s">
        <v>6157</v>
      </c>
      <c r="C6043" s="14" t="s">
        <v>13033</v>
      </c>
      <c r="D6043" s="15">
        <v>3.6</v>
      </c>
      <c r="E6043" s="16" t="s">
        <v>30</v>
      </c>
    </row>
    <row r="6044" spans="1:5" x14ac:dyDescent="0.25">
      <c r="A6044" s="14">
        <v>953043</v>
      </c>
      <c r="B6044" s="14" t="s">
        <v>6158</v>
      </c>
      <c r="C6044" s="14" t="s">
        <v>13033</v>
      </c>
      <c r="D6044" s="15">
        <v>13.41</v>
      </c>
      <c r="E6044" s="16" t="s">
        <v>30</v>
      </c>
    </row>
    <row r="6045" spans="1:5" x14ac:dyDescent="0.25">
      <c r="A6045" s="14">
        <v>953044</v>
      </c>
      <c r="B6045" s="14" t="s">
        <v>6159</v>
      </c>
      <c r="C6045" s="14" t="s">
        <v>13033</v>
      </c>
      <c r="D6045" s="15">
        <v>3.6</v>
      </c>
      <c r="E6045" s="16" t="s">
        <v>30</v>
      </c>
    </row>
    <row r="6046" spans="1:5" x14ac:dyDescent="0.25">
      <c r="A6046" s="14">
        <v>953045</v>
      </c>
      <c r="B6046" s="14" t="s">
        <v>6160</v>
      </c>
      <c r="C6046" s="14" t="s">
        <v>13033</v>
      </c>
      <c r="D6046" s="15">
        <v>3.6</v>
      </c>
      <c r="E6046" s="16" t="s">
        <v>30</v>
      </c>
    </row>
    <row r="6047" spans="1:5" x14ac:dyDescent="0.25">
      <c r="A6047" s="14">
        <v>908900</v>
      </c>
      <c r="B6047" s="14" t="s">
        <v>6161</v>
      </c>
      <c r="C6047" s="14" t="s">
        <v>13031</v>
      </c>
      <c r="D6047" s="15">
        <v>7.5</v>
      </c>
      <c r="E6047" s="16" t="s">
        <v>20</v>
      </c>
    </row>
    <row r="6048" spans="1:5" x14ac:dyDescent="0.25">
      <c r="A6048" s="14">
        <v>913114</v>
      </c>
      <c r="B6048" s="14" t="s">
        <v>6162</v>
      </c>
      <c r="C6048" s="14" t="s">
        <v>13031</v>
      </c>
      <c r="D6048" s="15">
        <v>2.85</v>
      </c>
      <c r="E6048" s="16" t="s">
        <v>20</v>
      </c>
    </row>
    <row r="6049" spans="1:5" x14ac:dyDescent="0.25">
      <c r="A6049" s="14">
        <v>913115</v>
      </c>
      <c r="B6049" s="14" t="s">
        <v>6163</v>
      </c>
      <c r="C6049" s="14" t="s">
        <v>13031</v>
      </c>
      <c r="D6049" s="15">
        <v>2.85</v>
      </c>
      <c r="E6049" s="16" t="s">
        <v>20</v>
      </c>
    </row>
    <row r="6050" spans="1:5" x14ac:dyDescent="0.25">
      <c r="A6050" s="14">
        <v>953046</v>
      </c>
      <c r="B6050" s="14" t="s">
        <v>6164</v>
      </c>
      <c r="C6050" s="14" t="s">
        <v>13033</v>
      </c>
      <c r="D6050" s="15">
        <v>6.68</v>
      </c>
      <c r="E6050" s="16" t="s">
        <v>30</v>
      </c>
    </row>
    <row r="6051" spans="1:5" x14ac:dyDescent="0.25">
      <c r="A6051" s="14">
        <v>953047</v>
      </c>
      <c r="B6051" s="14" t="s">
        <v>6165</v>
      </c>
      <c r="C6051" s="14" t="s">
        <v>13033</v>
      </c>
      <c r="D6051" s="15">
        <v>4.08</v>
      </c>
      <c r="E6051" s="16" t="s">
        <v>30</v>
      </c>
    </row>
    <row r="6052" spans="1:5" x14ac:dyDescent="0.25">
      <c r="A6052" s="14">
        <v>953082</v>
      </c>
      <c r="B6052" s="14" t="s">
        <v>6166</v>
      </c>
      <c r="C6052" s="14" t="s">
        <v>13029</v>
      </c>
      <c r="D6052" s="15">
        <v>33.159999999999997</v>
      </c>
      <c r="E6052" s="16" t="s">
        <v>30</v>
      </c>
    </row>
    <row r="6053" spans="1:5" x14ac:dyDescent="0.25">
      <c r="A6053" s="14">
        <v>953083</v>
      </c>
      <c r="B6053" s="14" t="s">
        <v>6167</v>
      </c>
      <c r="C6053" s="14" t="s">
        <v>13029</v>
      </c>
      <c r="D6053" s="15">
        <v>33.159999999999997</v>
      </c>
      <c r="E6053" s="16" t="s">
        <v>30</v>
      </c>
    </row>
    <row r="6054" spans="1:5" x14ac:dyDescent="0.25">
      <c r="A6054" s="14">
        <v>953084</v>
      </c>
      <c r="B6054" s="14" t="s">
        <v>6168</v>
      </c>
      <c r="C6054" s="14" t="s">
        <v>13029</v>
      </c>
      <c r="D6054" s="15">
        <v>33.159999999999997</v>
      </c>
      <c r="E6054" s="16" t="s">
        <v>30</v>
      </c>
    </row>
    <row r="6055" spans="1:5" x14ac:dyDescent="0.25">
      <c r="A6055" s="14">
        <v>933914</v>
      </c>
      <c r="B6055" s="14" t="s">
        <v>6169</v>
      </c>
      <c r="C6055" s="14" t="s">
        <v>13030</v>
      </c>
      <c r="D6055" s="15">
        <v>17.22</v>
      </c>
      <c r="E6055" s="16" t="s">
        <v>20</v>
      </c>
    </row>
    <row r="6056" spans="1:5" x14ac:dyDescent="0.25">
      <c r="A6056" s="14">
        <v>913116</v>
      </c>
      <c r="B6056" s="14" t="s">
        <v>6170</v>
      </c>
      <c r="C6056" s="14" t="s">
        <v>13031</v>
      </c>
      <c r="D6056" s="15">
        <v>2.85</v>
      </c>
      <c r="E6056" s="16" t="s">
        <v>20</v>
      </c>
    </row>
    <row r="6057" spans="1:5" x14ac:dyDescent="0.25">
      <c r="A6057" s="14">
        <v>919251</v>
      </c>
      <c r="B6057" s="14" t="s">
        <v>6171</v>
      </c>
      <c r="C6057" s="14" t="s">
        <v>13031</v>
      </c>
      <c r="D6057" s="15">
        <v>37</v>
      </c>
      <c r="E6057" s="16" t="s">
        <v>20</v>
      </c>
    </row>
    <row r="6058" spans="1:5" x14ac:dyDescent="0.25">
      <c r="A6058" s="14">
        <v>929538</v>
      </c>
      <c r="B6058" s="14" t="s">
        <v>6172</v>
      </c>
      <c r="C6058" s="14" t="s">
        <v>13031</v>
      </c>
      <c r="D6058" s="15">
        <v>8.0500000000000007</v>
      </c>
      <c r="E6058" s="16" t="s">
        <v>20</v>
      </c>
    </row>
    <row r="6059" spans="1:5" x14ac:dyDescent="0.25">
      <c r="A6059" s="14">
        <v>953085</v>
      </c>
      <c r="B6059" s="14" t="s">
        <v>6173</v>
      </c>
      <c r="C6059" s="14" t="s">
        <v>13029</v>
      </c>
      <c r="D6059" s="15">
        <v>33.159999999999997</v>
      </c>
      <c r="E6059" s="16" t="s">
        <v>30</v>
      </c>
    </row>
    <row r="6060" spans="1:5" x14ac:dyDescent="0.25">
      <c r="A6060" s="14">
        <v>953202</v>
      </c>
      <c r="B6060" s="14" t="s">
        <v>6174</v>
      </c>
      <c r="C6060" s="14" t="s">
        <v>13030</v>
      </c>
      <c r="D6060" s="15">
        <v>4.7699999999999996</v>
      </c>
      <c r="E6060" s="16" t="s">
        <v>30</v>
      </c>
    </row>
    <row r="6061" spans="1:5" x14ac:dyDescent="0.25">
      <c r="A6061" s="14">
        <v>953884</v>
      </c>
      <c r="B6061" s="14" t="s">
        <v>6175</v>
      </c>
      <c r="C6061" s="14" t="s">
        <v>13029</v>
      </c>
      <c r="D6061" s="15">
        <v>16.190000000000001</v>
      </c>
      <c r="E6061" s="16" t="s">
        <v>30</v>
      </c>
    </row>
    <row r="6062" spans="1:5" x14ac:dyDescent="0.25">
      <c r="A6062" s="14">
        <v>953885</v>
      </c>
      <c r="B6062" s="14" t="s">
        <v>6176</v>
      </c>
      <c r="C6062" s="14" t="s">
        <v>13029</v>
      </c>
      <c r="D6062" s="15">
        <v>16.190000000000001</v>
      </c>
      <c r="E6062" s="16" t="s">
        <v>30</v>
      </c>
    </row>
    <row r="6063" spans="1:5" x14ac:dyDescent="0.25">
      <c r="A6063" s="14">
        <v>953889</v>
      </c>
      <c r="B6063" s="14" t="s">
        <v>6177</v>
      </c>
      <c r="C6063" s="14" t="s">
        <v>13030</v>
      </c>
      <c r="D6063" s="15">
        <v>28.74</v>
      </c>
      <c r="E6063" s="16" t="s">
        <v>30</v>
      </c>
    </row>
    <row r="6064" spans="1:5" x14ac:dyDescent="0.25">
      <c r="A6064" s="14">
        <v>953895</v>
      </c>
      <c r="B6064" s="14" t="s">
        <v>6178</v>
      </c>
      <c r="C6064" s="14" t="s">
        <v>13031</v>
      </c>
      <c r="D6064" s="15">
        <v>29.59</v>
      </c>
      <c r="E6064" s="16" t="s">
        <v>30</v>
      </c>
    </row>
    <row r="6065" spans="1:5" x14ac:dyDescent="0.25">
      <c r="A6065" s="14">
        <v>953901</v>
      </c>
      <c r="B6065" s="14" t="s">
        <v>6179</v>
      </c>
      <c r="C6065" s="14" t="s">
        <v>13030</v>
      </c>
      <c r="D6065" s="15">
        <v>12.12</v>
      </c>
      <c r="E6065" s="16" t="s">
        <v>30</v>
      </c>
    </row>
    <row r="6066" spans="1:5" x14ac:dyDescent="0.25">
      <c r="A6066" s="14">
        <v>953920</v>
      </c>
      <c r="B6066" s="14" t="s">
        <v>6180</v>
      </c>
      <c r="C6066" s="14" t="s">
        <v>13030</v>
      </c>
      <c r="D6066" s="15">
        <v>6.36</v>
      </c>
      <c r="E6066" s="16" t="s">
        <v>30</v>
      </c>
    </row>
    <row r="6067" spans="1:5" x14ac:dyDescent="0.25">
      <c r="A6067" s="14">
        <v>953923</v>
      </c>
      <c r="B6067" s="14" t="s">
        <v>6181</v>
      </c>
      <c r="C6067" s="14" t="s">
        <v>13030</v>
      </c>
      <c r="D6067" s="15">
        <v>19.760000000000002</v>
      </c>
      <c r="E6067" s="14" t="s">
        <v>30</v>
      </c>
    </row>
    <row r="6068" spans="1:5" x14ac:dyDescent="0.25">
      <c r="A6068" s="14">
        <v>953925</v>
      </c>
      <c r="B6068" s="14" t="s">
        <v>6182</v>
      </c>
      <c r="C6068" s="14" t="s">
        <v>13030</v>
      </c>
      <c r="D6068" s="15">
        <v>31.71</v>
      </c>
      <c r="E6068" s="14" t="s">
        <v>30</v>
      </c>
    </row>
    <row r="6069" spans="1:5" x14ac:dyDescent="0.25">
      <c r="A6069" s="14">
        <v>953926</v>
      </c>
      <c r="B6069" s="14" t="s">
        <v>85</v>
      </c>
      <c r="C6069" s="14" t="s">
        <v>13030</v>
      </c>
      <c r="D6069" s="15">
        <v>122.38</v>
      </c>
      <c r="E6069" s="14" t="s">
        <v>30</v>
      </c>
    </row>
    <row r="6070" spans="1:5" x14ac:dyDescent="0.25">
      <c r="A6070" s="14">
        <v>953927</v>
      </c>
      <c r="B6070" s="14" t="s">
        <v>6183</v>
      </c>
      <c r="C6070" s="14" t="s">
        <v>13030</v>
      </c>
      <c r="D6070" s="15">
        <v>126.54</v>
      </c>
      <c r="E6070" s="16" t="s">
        <v>30</v>
      </c>
    </row>
    <row r="6071" spans="1:5" x14ac:dyDescent="0.25">
      <c r="A6071" s="14">
        <v>953942</v>
      </c>
      <c r="B6071" s="14" t="s">
        <v>6184</v>
      </c>
      <c r="C6071" s="14" t="s">
        <v>13031</v>
      </c>
      <c r="D6071" s="15">
        <v>7.03</v>
      </c>
      <c r="E6071" s="16" t="s">
        <v>30</v>
      </c>
    </row>
    <row r="6072" spans="1:5" x14ac:dyDescent="0.25">
      <c r="A6072" s="14">
        <v>954234</v>
      </c>
      <c r="B6072" s="14" t="s">
        <v>6185</v>
      </c>
      <c r="C6072" s="14" t="s">
        <v>13030</v>
      </c>
      <c r="D6072" s="15">
        <v>9.8000000000000007</v>
      </c>
      <c r="E6072" s="16" t="s">
        <v>30</v>
      </c>
    </row>
    <row r="6073" spans="1:5" x14ac:dyDescent="0.25">
      <c r="A6073" s="14">
        <v>954236</v>
      </c>
      <c r="B6073" s="14" t="s">
        <v>6186</v>
      </c>
      <c r="C6073" s="14" t="s">
        <v>13030</v>
      </c>
      <c r="D6073" s="15">
        <v>7.46</v>
      </c>
      <c r="E6073" s="16" t="s">
        <v>30</v>
      </c>
    </row>
    <row r="6074" spans="1:5" x14ac:dyDescent="0.25">
      <c r="A6074" s="14">
        <v>954240</v>
      </c>
      <c r="B6074" s="14" t="s">
        <v>6187</v>
      </c>
      <c r="C6074" s="14" t="s">
        <v>13031</v>
      </c>
      <c r="D6074" s="15">
        <v>62.45</v>
      </c>
      <c r="E6074" s="16" t="s">
        <v>30</v>
      </c>
    </row>
    <row r="6075" spans="1:5" x14ac:dyDescent="0.25">
      <c r="A6075" s="14">
        <v>954241</v>
      </c>
      <c r="B6075" s="14" t="s">
        <v>6188</v>
      </c>
      <c r="C6075" s="14" t="s">
        <v>13031</v>
      </c>
      <c r="D6075" s="15">
        <v>27.45</v>
      </c>
      <c r="E6075" s="16" t="s">
        <v>30</v>
      </c>
    </row>
    <row r="6076" spans="1:5" x14ac:dyDescent="0.25">
      <c r="A6076" s="14">
        <v>954242</v>
      </c>
      <c r="B6076" s="14" t="s">
        <v>6189</v>
      </c>
      <c r="C6076" s="14" t="s">
        <v>13031</v>
      </c>
      <c r="D6076" s="15">
        <v>24.95</v>
      </c>
      <c r="E6076" s="16" t="s">
        <v>30</v>
      </c>
    </row>
    <row r="6077" spans="1:5" x14ac:dyDescent="0.25">
      <c r="A6077" s="14">
        <v>954247</v>
      </c>
      <c r="B6077" s="14" t="s">
        <v>6190</v>
      </c>
      <c r="C6077" s="14" t="s">
        <v>13030</v>
      </c>
      <c r="D6077" s="15">
        <v>15.95</v>
      </c>
      <c r="E6077" s="16" t="s">
        <v>30</v>
      </c>
    </row>
    <row r="6078" spans="1:5" x14ac:dyDescent="0.25">
      <c r="A6078" s="14">
        <v>954248</v>
      </c>
      <c r="B6078" s="14" t="s">
        <v>6191</v>
      </c>
      <c r="C6078" s="14" t="s">
        <v>13030</v>
      </c>
      <c r="D6078" s="15">
        <v>15.91</v>
      </c>
      <c r="E6078" s="16" t="s">
        <v>30</v>
      </c>
    </row>
    <row r="6079" spans="1:5" x14ac:dyDescent="0.25">
      <c r="A6079" s="14">
        <v>954249</v>
      </c>
      <c r="B6079" s="14" t="s">
        <v>6192</v>
      </c>
      <c r="C6079" s="14" t="s">
        <v>13030</v>
      </c>
      <c r="D6079" s="15">
        <v>4.79</v>
      </c>
      <c r="E6079" s="16" t="s">
        <v>30</v>
      </c>
    </row>
    <row r="6080" spans="1:5" x14ac:dyDescent="0.25">
      <c r="A6080" s="14">
        <v>954255</v>
      </c>
      <c r="B6080" s="14" t="s">
        <v>6193</v>
      </c>
      <c r="C6080" s="14" t="s">
        <v>13030</v>
      </c>
      <c r="D6080" s="15">
        <v>7.78</v>
      </c>
      <c r="E6080" s="16" t="s">
        <v>30</v>
      </c>
    </row>
    <row r="6081" spans="1:5" x14ac:dyDescent="0.25">
      <c r="A6081" s="14">
        <v>954256</v>
      </c>
      <c r="B6081" s="14" t="s">
        <v>6194</v>
      </c>
      <c r="C6081" s="14" t="s">
        <v>13030</v>
      </c>
      <c r="D6081" s="15">
        <v>13.98</v>
      </c>
      <c r="E6081" s="16" t="s">
        <v>30</v>
      </c>
    </row>
    <row r="6082" spans="1:5" x14ac:dyDescent="0.25">
      <c r="A6082" s="14">
        <v>954372</v>
      </c>
      <c r="B6082" s="14" t="s">
        <v>6195</v>
      </c>
      <c r="C6082" s="14" t="s">
        <v>13030</v>
      </c>
      <c r="D6082" s="15">
        <v>9.91</v>
      </c>
      <c r="E6082" s="16" t="s">
        <v>30</v>
      </c>
    </row>
    <row r="6083" spans="1:5" x14ac:dyDescent="0.25">
      <c r="A6083" s="14">
        <v>954519</v>
      </c>
      <c r="B6083" s="14" t="s">
        <v>6196</v>
      </c>
      <c r="C6083" s="14" t="s">
        <v>13031</v>
      </c>
      <c r="D6083" s="15">
        <v>24.75</v>
      </c>
      <c r="E6083" s="16" t="s">
        <v>30</v>
      </c>
    </row>
    <row r="6084" spans="1:5" x14ac:dyDescent="0.25">
      <c r="A6084" s="14">
        <v>954523</v>
      </c>
      <c r="B6084" s="14" t="s">
        <v>6197</v>
      </c>
      <c r="C6084" s="14" t="s">
        <v>13031</v>
      </c>
      <c r="D6084" s="15">
        <v>130.15</v>
      </c>
      <c r="E6084" s="16" t="s">
        <v>30</v>
      </c>
    </row>
    <row r="6085" spans="1:5" x14ac:dyDescent="0.25">
      <c r="A6085" s="14">
        <v>954660</v>
      </c>
      <c r="B6085" s="14" t="s">
        <v>6198</v>
      </c>
      <c r="C6085" s="14" t="s">
        <v>13031</v>
      </c>
      <c r="D6085" s="15">
        <v>26.2</v>
      </c>
      <c r="E6085" s="16" t="s">
        <v>30</v>
      </c>
    </row>
    <row r="6086" spans="1:5" x14ac:dyDescent="0.25">
      <c r="A6086" s="14">
        <v>954668</v>
      </c>
      <c r="B6086" s="14" t="s">
        <v>6199</v>
      </c>
      <c r="C6086" s="14" t="s">
        <v>13030</v>
      </c>
      <c r="D6086" s="15">
        <v>70.03</v>
      </c>
      <c r="E6086" s="14" t="s">
        <v>30</v>
      </c>
    </row>
    <row r="6087" spans="1:5" x14ac:dyDescent="0.25">
      <c r="A6087" s="14">
        <v>954678</v>
      </c>
      <c r="B6087" s="14" t="s">
        <v>6200</v>
      </c>
      <c r="C6087" s="14" t="s">
        <v>13029</v>
      </c>
      <c r="D6087" s="15">
        <v>33.159999999999997</v>
      </c>
      <c r="E6087" s="16" t="s">
        <v>30</v>
      </c>
    </row>
    <row r="6088" spans="1:5" x14ac:dyDescent="0.25">
      <c r="A6088" s="14">
        <v>954679</v>
      </c>
      <c r="B6088" s="14" t="s">
        <v>6201</v>
      </c>
      <c r="C6088" s="14" t="s">
        <v>13029</v>
      </c>
      <c r="D6088" s="15">
        <v>33.159999999999997</v>
      </c>
      <c r="E6088" s="16" t="s">
        <v>30</v>
      </c>
    </row>
    <row r="6089" spans="1:5" x14ac:dyDescent="0.25">
      <c r="A6089" s="14">
        <v>954681</v>
      </c>
      <c r="B6089" s="14" t="s">
        <v>6202</v>
      </c>
      <c r="C6089" s="14" t="s">
        <v>13030</v>
      </c>
      <c r="D6089" s="15">
        <v>105.44</v>
      </c>
      <c r="E6089" s="16" t="s">
        <v>30</v>
      </c>
    </row>
    <row r="6090" spans="1:5" x14ac:dyDescent="0.25">
      <c r="A6090" s="14">
        <v>954682</v>
      </c>
      <c r="B6090" s="14" t="s">
        <v>6203</v>
      </c>
      <c r="C6090" s="14" t="s">
        <v>13030</v>
      </c>
      <c r="D6090" s="15">
        <v>80.819999999999993</v>
      </c>
      <c r="E6090" s="16" t="s">
        <v>30</v>
      </c>
    </row>
    <row r="6091" spans="1:5" x14ac:dyDescent="0.25">
      <c r="A6091" s="14">
        <v>954683</v>
      </c>
      <c r="B6091" s="14" t="s">
        <v>6204</v>
      </c>
      <c r="C6091" s="14" t="s">
        <v>13030</v>
      </c>
      <c r="D6091" s="15">
        <v>34.1</v>
      </c>
      <c r="E6091" s="16" t="s">
        <v>30</v>
      </c>
    </row>
    <row r="6092" spans="1:5" x14ac:dyDescent="0.25">
      <c r="A6092" s="14">
        <v>954760</v>
      </c>
      <c r="B6092" s="14" t="s">
        <v>6205</v>
      </c>
      <c r="C6092" s="14" t="s">
        <v>13031</v>
      </c>
      <c r="D6092" s="15">
        <v>5.51</v>
      </c>
      <c r="E6092" s="16" t="s">
        <v>30</v>
      </c>
    </row>
    <row r="6093" spans="1:5" x14ac:dyDescent="0.25">
      <c r="A6093" s="14">
        <v>954761</v>
      </c>
      <c r="B6093" s="14" t="s">
        <v>6206</v>
      </c>
      <c r="C6093" s="14" t="s">
        <v>13031</v>
      </c>
      <c r="D6093" s="15">
        <v>5.51</v>
      </c>
      <c r="E6093" s="16" t="s">
        <v>30</v>
      </c>
    </row>
    <row r="6094" spans="1:5" x14ac:dyDescent="0.25">
      <c r="A6094" s="14">
        <v>954811</v>
      </c>
      <c r="B6094" s="14" t="s">
        <v>6207</v>
      </c>
      <c r="C6094" s="14" t="s">
        <v>13031</v>
      </c>
      <c r="D6094" s="15">
        <v>5.51</v>
      </c>
      <c r="E6094" s="16" t="s">
        <v>30</v>
      </c>
    </row>
    <row r="6095" spans="1:5" x14ac:dyDescent="0.25">
      <c r="A6095" s="14">
        <v>954812</v>
      </c>
      <c r="B6095" s="14" t="s">
        <v>6208</v>
      </c>
      <c r="C6095" s="14" t="s">
        <v>13031</v>
      </c>
      <c r="D6095" s="15">
        <v>5.51</v>
      </c>
      <c r="E6095" s="16" t="s">
        <v>30</v>
      </c>
    </row>
    <row r="6096" spans="1:5" x14ac:dyDescent="0.25">
      <c r="A6096" s="14">
        <v>955173</v>
      </c>
      <c r="B6096" s="14" t="s">
        <v>6209</v>
      </c>
      <c r="C6096" s="14" t="s">
        <v>13029</v>
      </c>
      <c r="D6096" s="15">
        <v>18.36</v>
      </c>
      <c r="E6096" s="16" t="s">
        <v>30</v>
      </c>
    </row>
    <row r="6097" spans="1:5" x14ac:dyDescent="0.25">
      <c r="A6097" s="14">
        <v>955174</v>
      </c>
      <c r="B6097" s="14" t="s">
        <v>6210</v>
      </c>
      <c r="C6097" s="14" t="s">
        <v>13029</v>
      </c>
      <c r="D6097" s="15">
        <v>22.83</v>
      </c>
      <c r="E6097" s="16" t="s">
        <v>30</v>
      </c>
    </row>
    <row r="6098" spans="1:5" x14ac:dyDescent="0.25">
      <c r="A6098" s="14">
        <v>955175</v>
      </c>
      <c r="B6098" s="14" t="s">
        <v>6211</v>
      </c>
      <c r="C6098" s="14" t="s">
        <v>13029</v>
      </c>
      <c r="D6098" s="15">
        <v>22.83</v>
      </c>
      <c r="E6098" s="16" t="s">
        <v>30</v>
      </c>
    </row>
    <row r="6099" spans="1:5" x14ac:dyDescent="0.25">
      <c r="A6099" s="14">
        <v>955176</v>
      </c>
      <c r="B6099" s="14" t="s">
        <v>6212</v>
      </c>
      <c r="C6099" s="14" t="s">
        <v>13031</v>
      </c>
      <c r="D6099" s="15">
        <v>9.6199999999999992</v>
      </c>
      <c r="E6099" s="16" t="s">
        <v>30</v>
      </c>
    </row>
    <row r="6100" spans="1:5" x14ac:dyDescent="0.25">
      <c r="A6100" s="14">
        <v>955177</v>
      </c>
      <c r="B6100" s="14" t="s">
        <v>6213</v>
      </c>
      <c r="C6100" s="14" t="s">
        <v>13029</v>
      </c>
      <c r="D6100" s="15">
        <v>21</v>
      </c>
      <c r="E6100" s="16" t="s">
        <v>30</v>
      </c>
    </row>
    <row r="6101" spans="1:5" x14ac:dyDescent="0.25">
      <c r="A6101" s="14">
        <v>955249</v>
      </c>
      <c r="B6101" s="14" t="s">
        <v>6214</v>
      </c>
      <c r="C6101" s="14" t="s">
        <v>13031</v>
      </c>
      <c r="D6101" s="15">
        <v>50.96</v>
      </c>
      <c r="E6101" s="16" t="s">
        <v>30</v>
      </c>
    </row>
    <row r="6102" spans="1:5" x14ac:dyDescent="0.25">
      <c r="A6102" s="14">
        <v>956379</v>
      </c>
      <c r="B6102" s="14" t="s">
        <v>6215</v>
      </c>
      <c r="C6102" s="14" t="s">
        <v>13030</v>
      </c>
      <c r="D6102" s="15">
        <v>5.33</v>
      </c>
      <c r="E6102" s="16" t="s">
        <v>30</v>
      </c>
    </row>
    <row r="6103" spans="1:5" x14ac:dyDescent="0.25">
      <c r="A6103" s="14">
        <v>956380</v>
      </c>
      <c r="B6103" s="14" t="s">
        <v>6216</v>
      </c>
      <c r="C6103" s="14" t="s">
        <v>13030</v>
      </c>
      <c r="D6103" s="15">
        <v>5.33</v>
      </c>
      <c r="E6103" s="16" t="s">
        <v>30</v>
      </c>
    </row>
    <row r="6104" spans="1:5" x14ac:dyDescent="0.25">
      <c r="A6104" s="14">
        <v>956381</v>
      </c>
      <c r="B6104" s="14" t="s">
        <v>6217</v>
      </c>
      <c r="C6104" s="14" t="s">
        <v>13030</v>
      </c>
      <c r="D6104" s="15">
        <v>5.33</v>
      </c>
      <c r="E6104" s="16" t="s">
        <v>30</v>
      </c>
    </row>
    <row r="6105" spans="1:5" x14ac:dyDescent="0.25">
      <c r="A6105" s="14">
        <v>956889</v>
      </c>
      <c r="B6105" s="14" t="s">
        <v>6218</v>
      </c>
      <c r="C6105" s="14" t="s">
        <v>13029</v>
      </c>
      <c r="D6105" s="15">
        <v>18</v>
      </c>
      <c r="E6105" s="16" t="s">
        <v>30</v>
      </c>
    </row>
    <row r="6106" spans="1:5" x14ac:dyDescent="0.25">
      <c r="A6106" s="14">
        <v>956892</v>
      </c>
      <c r="B6106" s="14" t="s">
        <v>6219</v>
      </c>
      <c r="C6106" s="14" t="s">
        <v>13030</v>
      </c>
      <c r="D6106" s="15">
        <v>0.01</v>
      </c>
      <c r="E6106" s="16" t="s">
        <v>30</v>
      </c>
    </row>
    <row r="6107" spans="1:5" x14ac:dyDescent="0.25">
      <c r="A6107" s="14">
        <v>956895</v>
      </c>
      <c r="B6107" s="14" t="s">
        <v>6220</v>
      </c>
      <c r="C6107" s="14" t="s">
        <v>13031</v>
      </c>
      <c r="D6107" s="15">
        <v>26.19</v>
      </c>
      <c r="E6107" s="16" t="s">
        <v>30</v>
      </c>
    </row>
    <row r="6108" spans="1:5" x14ac:dyDescent="0.25">
      <c r="A6108" s="14">
        <v>956897</v>
      </c>
      <c r="B6108" s="14" t="s">
        <v>6221</v>
      </c>
      <c r="C6108" s="14" t="s">
        <v>13031</v>
      </c>
      <c r="D6108" s="15">
        <v>11.26</v>
      </c>
      <c r="E6108" s="16" t="s">
        <v>30</v>
      </c>
    </row>
    <row r="6109" spans="1:5" x14ac:dyDescent="0.25">
      <c r="A6109" s="14">
        <v>929927</v>
      </c>
      <c r="B6109" s="14" t="s">
        <v>6222</v>
      </c>
      <c r="C6109" s="14" t="s">
        <v>13031</v>
      </c>
      <c r="D6109" s="15">
        <v>17.149999999999999</v>
      </c>
      <c r="E6109" s="16" t="s">
        <v>20</v>
      </c>
    </row>
    <row r="6110" spans="1:5" x14ac:dyDescent="0.25">
      <c r="A6110" s="14">
        <v>956898</v>
      </c>
      <c r="B6110" s="14" t="s">
        <v>6223</v>
      </c>
      <c r="C6110" s="14" t="s">
        <v>13031</v>
      </c>
      <c r="D6110" s="15">
        <v>8.32</v>
      </c>
      <c r="E6110" s="16" t="s">
        <v>30</v>
      </c>
    </row>
    <row r="6111" spans="1:5" x14ac:dyDescent="0.25">
      <c r="A6111" s="14">
        <v>956899</v>
      </c>
      <c r="B6111" s="14" t="s">
        <v>6224</v>
      </c>
      <c r="C6111" s="14" t="s">
        <v>13031</v>
      </c>
      <c r="D6111" s="15">
        <v>8.32</v>
      </c>
      <c r="E6111" s="16" t="s">
        <v>30</v>
      </c>
    </row>
    <row r="6112" spans="1:5" x14ac:dyDescent="0.25">
      <c r="A6112" s="14">
        <v>956900</v>
      </c>
      <c r="B6112" s="14" t="s">
        <v>6225</v>
      </c>
      <c r="C6112" s="14" t="s">
        <v>13031</v>
      </c>
      <c r="D6112" s="15">
        <v>9.57</v>
      </c>
      <c r="E6112" s="16" t="s">
        <v>30</v>
      </c>
    </row>
    <row r="6113" spans="1:5" x14ac:dyDescent="0.25">
      <c r="A6113" s="14">
        <v>956901</v>
      </c>
      <c r="B6113" s="14" t="s">
        <v>6226</v>
      </c>
      <c r="C6113" s="14" t="s">
        <v>13031</v>
      </c>
      <c r="D6113" s="15">
        <v>8.32</v>
      </c>
      <c r="E6113" s="16" t="s">
        <v>30</v>
      </c>
    </row>
    <row r="6114" spans="1:5" x14ac:dyDescent="0.25">
      <c r="A6114" s="14">
        <v>956902</v>
      </c>
      <c r="B6114" s="14" t="s">
        <v>6227</v>
      </c>
      <c r="C6114" s="14" t="s">
        <v>13031</v>
      </c>
      <c r="D6114" s="15">
        <v>4.4400000000000004</v>
      </c>
      <c r="E6114" s="16" t="s">
        <v>30</v>
      </c>
    </row>
    <row r="6115" spans="1:5" x14ac:dyDescent="0.25">
      <c r="A6115" s="14">
        <v>956903</v>
      </c>
      <c r="B6115" s="14" t="s">
        <v>6228</v>
      </c>
      <c r="C6115" s="14" t="s">
        <v>13031</v>
      </c>
      <c r="D6115" s="15">
        <v>10.67</v>
      </c>
      <c r="E6115" s="16" t="s">
        <v>30</v>
      </c>
    </row>
    <row r="6116" spans="1:5" x14ac:dyDescent="0.25">
      <c r="A6116" s="14">
        <v>956909</v>
      </c>
      <c r="B6116" s="14" t="s">
        <v>6229</v>
      </c>
      <c r="C6116" s="14" t="s">
        <v>13029</v>
      </c>
      <c r="D6116" s="15">
        <v>32.619999999999997</v>
      </c>
      <c r="E6116" s="16" t="s">
        <v>30</v>
      </c>
    </row>
    <row r="6117" spans="1:5" x14ac:dyDescent="0.25">
      <c r="A6117" s="14">
        <v>956910</v>
      </c>
      <c r="B6117" s="14" t="s">
        <v>6230</v>
      </c>
      <c r="C6117" s="14" t="s">
        <v>13029</v>
      </c>
      <c r="D6117" s="15">
        <v>32.619999999999997</v>
      </c>
      <c r="E6117" s="16" t="s">
        <v>30</v>
      </c>
    </row>
    <row r="6118" spans="1:5" x14ac:dyDescent="0.25">
      <c r="A6118" s="14">
        <v>932074</v>
      </c>
      <c r="B6118" s="14" t="s">
        <v>6231</v>
      </c>
      <c r="C6118" s="14" t="s">
        <v>13031</v>
      </c>
      <c r="D6118" s="15">
        <v>2</v>
      </c>
      <c r="E6118" s="16" t="s">
        <v>20</v>
      </c>
    </row>
    <row r="6119" spans="1:5" x14ac:dyDescent="0.25">
      <c r="A6119" s="14">
        <v>956911</v>
      </c>
      <c r="B6119" s="14" t="s">
        <v>6232</v>
      </c>
      <c r="C6119" s="14" t="s">
        <v>13029</v>
      </c>
      <c r="D6119" s="15">
        <v>32.619999999999997</v>
      </c>
      <c r="E6119" s="16" t="s">
        <v>30</v>
      </c>
    </row>
    <row r="6120" spans="1:5" x14ac:dyDescent="0.25">
      <c r="A6120" s="14">
        <v>956922</v>
      </c>
      <c r="B6120" s="14" t="s">
        <v>6233</v>
      </c>
      <c r="C6120" s="14" t="s">
        <v>13031</v>
      </c>
      <c r="D6120" s="15">
        <v>11.5</v>
      </c>
      <c r="E6120" s="16" t="s">
        <v>30</v>
      </c>
    </row>
    <row r="6121" spans="1:5" x14ac:dyDescent="0.25">
      <c r="A6121" s="14">
        <v>956923</v>
      </c>
      <c r="B6121" s="14" t="s">
        <v>6234</v>
      </c>
      <c r="C6121" s="14" t="s">
        <v>13031</v>
      </c>
      <c r="D6121" s="15">
        <v>11.5</v>
      </c>
      <c r="E6121" s="16" t="s">
        <v>30</v>
      </c>
    </row>
    <row r="6122" spans="1:5" x14ac:dyDescent="0.25">
      <c r="A6122" s="14">
        <v>956924</v>
      </c>
      <c r="B6122" s="14" t="s">
        <v>6235</v>
      </c>
      <c r="C6122" s="14" t="s">
        <v>13031</v>
      </c>
      <c r="D6122" s="15">
        <v>11.5</v>
      </c>
      <c r="E6122" s="16" t="s">
        <v>30</v>
      </c>
    </row>
    <row r="6123" spans="1:5" x14ac:dyDescent="0.25">
      <c r="A6123" s="14">
        <v>956925</v>
      </c>
      <c r="B6123" s="14" t="s">
        <v>6236</v>
      </c>
      <c r="C6123" s="14" t="s">
        <v>13031</v>
      </c>
      <c r="D6123" s="15">
        <v>11.5</v>
      </c>
      <c r="E6123" s="16" t="s">
        <v>30</v>
      </c>
    </row>
    <row r="6124" spans="1:5" x14ac:dyDescent="0.25">
      <c r="A6124" s="14">
        <v>956926</v>
      </c>
      <c r="B6124" s="14" t="s">
        <v>6237</v>
      </c>
      <c r="C6124" s="14" t="s">
        <v>13031</v>
      </c>
      <c r="D6124" s="15">
        <v>11.5</v>
      </c>
      <c r="E6124" s="16" t="s">
        <v>30</v>
      </c>
    </row>
    <row r="6125" spans="1:5" x14ac:dyDescent="0.25">
      <c r="A6125" s="14">
        <v>956927</v>
      </c>
      <c r="B6125" s="14" t="s">
        <v>6238</v>
      </c>
      <c r="C6125" s="14" t="s">
        <v>13031</v>
      </c>
      <c r="D6125" s="15">
        <v>11.5</v>
      </c>
      <c r="E6125" s="16" t="s">
        <v>30</v>
      </c>
    </row>
    <row r="6126" spans="1:5" x14ac:dyDescent="0.25">
      <c r="A6126" s="14">
        <v>956928</v>
      </c>
      <c r="B6126" s="14" t="s">
        <v>6239</v>
      </c>
      <c r="C6126" s="14" t="s">
        <v>13031</v>
      </c>
      <c r="D6126" s="15">
        <v>11.5</v>
      </c>
      <c r="E6126" s="16" t="s">
        <v>30</v>
      </c>
    </row>
    <row r="6127" spans="1:5" x14ac:dyDescent="0.25">
      <c r="A6127" s="14">
        <v>956929</v>
      </c>
      <c r="B6127" s="14" t="s">
        <v>6240</v>
      </c>
      <c r="C6127" s="14" t="s">
        <v>13031</v>
      </c>
      <c r="D6127" s="15">
        <v>11.5</v>
      </c>
      <c r="E6127" s="16" t="s">
        <v>30</v>
      </c>
    </row>
    <row r="6128" spans="1:5" x14ac:dyDescent="0.25">
      <c r="A6128" s="14">
        <v>956930</v>
      </c>
      <c r="B6128" s="14" t="s">
        <v>6241</v>
      </c>
      <c r="C6128" s="14" t="s">
        <v>13031</v>
      </c>
      <c r="D6128" s="15">
        <v>11.5</v>
      </c>
      <c r="E6128" s="16" t="s">
        <v>30</v>
      </c>
    </row>
    <row r="6129" spans="1:5" x14ac:dyDescent="0.25">
      <c r="A6129" s="14">
        <v>956931</v>
      </c>
      <c r="B6129" s="14" t="s">
        <v>6242</v>
      </c>
      <c r="C6129" s="14" t="s">
        <v>13031</v>
      </c>
      <c r="D6129" s="15">
        <v>11.5</v>
      </c>
      <c r="E6129" s="16" t="s">
        <v>30</v>
      </c>
    </row>
    <row r="6130" spans="1:5" x14ac:dyDescent="0.25">
      <c r="A6130" s="14">
        <v>956932</v>
      </c>
      <c r="B6130" s="14" t="s">
        <v>6243</v>
      </c>
      <c r="C6130" s="14" t="s">
        <v>13031</v>
      </c>
      <c r="D6130" s="15">
        <v>11.5</v>
      </c>
      <c r="E6130" s="16" t="s">
        <v>30</v>
      </c>
    </row>
    <row r="6131" spans="1:5" x14ac:dyDescent="0.25">
      <c r="A6131" s="14">
        <v>957200</v>
      </c>
      <c r="B6131" s="14" t="s">
        <v>6244</v>
      </c>
      <c r="C6131" s="14" t="s">
        <v>13031</v>
      </c>
      <c r="D6131" s="15">
        <v>9.8800000000000008</v>
      </c>
      <c r="E6131" s="16" t="s">
        <v>30</v>
      </c>
    </row>
    <row r="6132" spans="1:5" x14ac:dyDescent="0.25">
      <c r="A6132" s="14">
        <v>957201</v>
      </c>
      <c r="B6132" s="14" t="s">
        <v>6245</v>
      </c>
      <c r="C6132" s="14" t="s">
        <v>13031</v>
      </c>
      <c r="D6132" s="15">
        <v>5.82</v>
      </c>
      <c r="E6132" s="16" t="s">
        <v>30</v>
      </c>
    </row>
    <row r="6133" spans="1:5" x14ac:dyDescent="0.25">
      <c r="A6133" s="14">
        <v>934426</v>
      </c>
      <c r="B6133" s="14" t="s">
        <v>6246</v>
      </c>
      <c r="C6133" s="14" t="s">
        <v>13031</v>
      </c>
      <c r="D6133" s="15">
        <v>18</v>
      </c>
      <c r="E6133" s="16" t="s">
        <v>20</v>
      </c>
    </row>
    <row r="6134" spans="1:5" x14ac:dyDescent="0.25">
      <c r="A6134" s="14">
        <v>941831</v>
      </c>
      <c r="B6134" s="14" t="s">
        <v>6247</v>
      </c>
      <c r="C6134" s="14" t="s">
        <v>13031</v>
      </c>
      <c r="D6134" s="15">
        <v>8.09</v>
      </c>
      <c r="E6134" s="16" t="s">
        <v>20</v>
      </c>
    </row>
    <row r="6135" spans="1:5" x14ac:dyDescent="0.25">
      <c r="A6135" s="14">
        <v>957203</v>
      </c>
      <c r="B6135" s="14" t="s">
        <v>6248</v>
      </c>
      <c r="C6135" s="14" t="s">
        <v>13034</v>
      </c>
      <c r="D6135" s="15">
        <v>11.26</v>
      </c>
      <c r="E6135" s="16" t="s">
        <v>30</v>
      </c>
    </row>
    <row r="6136" spans="1:5" x14ac:dyDescent="0.25">
      <c r="A6136" s="14">
        <v>957680</v>
      </c>
      <c r="B6136" s="14" t="s">
        <v>6249</v>
      </c>
      <c r="C6136" s="14" t="s">
        <v>13029</v>
      </c>
      <c r="D6136" s="15">
        <v>20.91</v>
      </c>
      <c r="E6136" s="16" t="s">
        <v>30</v>
      </c>
    </row>
    <row r="6137" spans="1:5" x14ac:dyDescent="0.25">
      <c r="A6137" s="14">
        <v>957683</v>
      </c>
      <c r="B6137" s="14" t="s">
        <v>6250</v>
      </c>
      <c r="C6137" s="14" t="s">
        <v>13029</v>
      </c>
      <c r="D6137" s="15">
        <v>16.38</v>
      </c>
      <c r="E6137" s="14" t="s">
        <v>30</v>
      </c>
    </row>
    <row r="6138" spans="1:5" x14ac:dyDescent="0.25">
      <c r="A6138" s="14">
        <v>957684</v>
      </c>
      <c r="B6138" s="14" t="s">
        <v>6251</v>
      </c>
      <c r="C6138" s="14" t="s">
        <v>13029</v>
      </c>
      <c r="D6138" s="15">
        <v>38.07</v>
      </c>
      <c r="E6138" s="14" t="s">
        <v>30</v>
      </c>
    </row>
    <row r="6139" spans="1:5" x14ac:dyDescent="0.25">
      <c r="A6139" s="14">
        <v>957685</v>
      </c>
      <c r="B6139" s="14" t="s">
        <v>6252</v>
      </c>
      <c r="C6139" s="14" t="s">
        <v>13029</v>
      </c>
      <c r="D6139" s="15">
        <v>38.07</v>
      </c>
      <c r="E6139" s="14" t="s">
        <v>30</v>
      </c>
    </row>
    <row r="6140" spans="1:5" x14ac:dyDescent="0.25">
      <c r="A6140" s="14">
        <v>957691</v>
      </c>
      <c r="B6140" s="14" t="s">
        <v>6253</v>
      </c>
      <c r="C6140" s="14" t="s">
        <v>13029</v>
      </c>
      <c r="D6140" s="15">
        <v>29.08</v>
      </c>
      <c r="E6140" s="16" t="s">
        <v>30</v>
      </c>
    </row>
    <row r="6141" spans="1:5" x14ac:dyDescent="0.25">
      <c r="A6141" s="14">
        <v>957692</v>
      </c>
      <c r="B6141" s="14" t="s">
        <v>6254</v>
      </c>
      <c r="C6141" s="14" t="s">
        <v>13029</v>
      </c>
      <c r="D6141" s="15">
        <v>30.54</v>
      </c>
      <c r="E6141" s="16" t="s">
        <v>30</v>
      </c>
    </row>
    <row r="6142" spans="1:5" x14ac:dyDescent="0.25">
      <c r="A6142" s="14">
        <v>957693</v>
      </c>
      <c r="B6142" s="14" t="s">
        <v>6255</v>
      </c>
      <c r="C6142" s="14" t="s">
        <v>13029</v>
      </c>
      <c r="D6142" s="15">
        <v>29.08</v>
      </c>
      <c r="E6142" s="16" t="s">
        <v>30</v>
      </c>
    </row>
    <row r="6143" spans="1:5" x14ac:dyDescent="0.25">
      <c r="A6143" s="14">
        <v>957750</v>
      </c>
      <c r="B6143" s="14" t="s">
        <v>6256</v>
      </c>
      <c r="C6143" s="14" t="s">
        <v>13030</v>
      </c>
      <c r="D6143" s="15">
        <v>131.97</v>
      </c>
      <c r="E6143" s="16" t="s">
        <v>30</v>
      </c>
    </row>
    <row r="6144" spans="1:5" x14ac:dyDescent="0.25">
      <c r="A6144" s="14">
        <v>957751</v>
      </c>
      <c r="B6144" s="14" t="s">
        <v>6257</v>
      </c>
      <c r="C6144" s="14" t="s">
        <v>13030</v>
      </c>
      <c r="D6144" s="15">
        <v>62.47</v>
      </c>
      <c r="E6144" s="16" t="s">
        <v>30</v>
      </c>
    </row>
    <row r="6145" spans="1:5" x14ac:dyDescent="0.25">
      <c r="A6145" s="14">
        <v>957752</v>
      </c>
      <c r="B6145" s="14" t="s">
        <v>6258</v>
      </c>
      <c r="C6145" s="14" t="s">
        <v>13030</v>
      </c>
      <c r="D6145" s="15">
        <v>62.47</v>
      </c>
      <c r="E6145" s="16" t="s">
        <v>30</v>
      </c>
    </row>
    <row r="6146" spans="1:5" x14ac:dyDescent="0.25">
      <c r="A6146" s="14">
        <v>957756</v>
      </c>
      <c r="B6146" s="14" t="s">
        <v>6259</v>
      </c>
      <c r="C6146" s="14" t="s">
        <v>13031</v>
      </c>
      <c r="D6146" s="15">
        <v>7.2</v>
      </c>
      <c r="E6146" s="16" t="s">
        <v>30</v>
      </c>
    </row>
    <row r="6147" spans="1:5" x14ac:dyDescent="0.25">
      <c r="A6147" s="14">
        <v>957757</v>
      </c>
      <c r="B6147" s="14" t="s">
        <v>6260</v>
      </c>
      <c r="C6147" s="14" t="s">
        <v>13031</v>
      </c>
      <c r="D6147" s="15">
        <v>7.26</v>
      </c>
      <c r="E6147" s="16" t="s">
        <v>30</v>
      </c>
    </row>
    <row r="6148" spans="1:5" x14ac:dyDescent="0.25">
      <c r="A6148" s="14">
        <v>957758</v>
      </c>
      <c r="B6148" s="14" t="s">
        <v>6261</v>
      </c>
      <c r="C6148" s="14" t="s">
        <v>13031</v>
      </c>
      <c r="D6148" s="15">
        <v>6.52</v>
      </c>
      <c r="E6148" s="16" t="s">
        <v>30</v>
      </c>
    </row>
    <row r="6149" spans="1:5" x14ac:dyDescent="0.25">
      <c r="A6149" s="14">
        <v>957759</v>
      </c>
      <c r="B6149" s="14" t="s">
        <v>6262</v>
      </c>
      <c r="C6149" s="14" t="s">
        <v>13031</v>
      </c>
      <c r="D6149" s="15">
        <v>17.78</v>
      </c>
      <c r="E6149" s="16" t="s">
        <v>30</v>
      </c>
    </row>
    <row r="6150" spans="1:5" x14ac:dyDescent="0.25">
      <c r="A6150" s="14">
        <v>957837</v>
      </c>
      <c r="B6150" s="14" t="s">
        <v>6263</v>
      </c>
      <c r="C6150" s="14" t="s">
        <v>13029</v>
      </c>
      <c r="D6150" s="15">
        <v>14.08</v>
      </c>
      <c r="E6150" s="16" t="s">
        <v>30</v>
      </c>
    </row>
    <row r="6151" spans="1:5" x14ac:dyDescent="0.25">
      <c r="A6151" s="14">
        <v>957838</v>
      </c>
      <c r="B6151" s="14" t="s">
        <v>6264</v>
      </c>
      <c r="C6151" s="14" t="s">
        <v>13029</v>
      </c>
      <c r="D6151" s="15">
        <v>14.08</v>
      </c>
      <c r="E6151" s="16" t="s">
        <v>30</v>
      </c>
    </row>
    <row r="6152" spans="1:5" x14ac:dyDescent="0.25">
      <c r="A6152" s="14">
        <v>957887</v>
      </c>
      <c r="B6152" s="14" t="s">
        <v>6265</v>
      </c>
      <c r="C6152" s="14" t="s">
        <v>13029</v>
      </c>
      <c r="D6152" s="15">
        <v>25.61</v>
      </c>
      <c r="E6152" s="16" t="s">
        <v>30</v>
      </c>
    </row>
    <row r="6153" spans="1:5" x14ac:dyDescent="0.25">
      <c r="A6153" s="14">
        <v>957888</v>
      </c>
      <c r="B6153" s="14" t="s">
        <v>6266</v>
      </c>
      <c r="C6153" s="14" t="s">
        <v>13029</v>
      </c>
      <c r="D6153" s="15">
        <v>25.61</v>
      </c>
      <c r="E6153" s="16" t="s">
        <v>30</v>
      </c>
    </row>
    <row r="6154" spans="1:5" x14ac:dyDescent="0.25">
      <c r="A6154" s="14">
        <v>957891</v>
      </c>
      <c r="B6154" s="14" t="s">
        <v>6267</v>
      </c>
      <c r="C6154" s="14" t="s">
        <v>13030</v>
      </c>
      <c r="D6154" s="15">
        <v>17.22</v>
      </c>
      <c r="E6154" s="16" t="s">
        <v>30</v>
      </c>
    </row>
    <row r="6155" spans="1:5" x14ac:dyDescent="0.25">
      <c r="A6155" s="14">
        <v>957908</v>
      </c>
      <c r="B6155" s="14" t="s">
        <v>6268</v>
      </c>
      <c r="C6155" s="14" t="s">
        <v>13031</v>
      </c>
      <c r="D6155" s="15">
        <v>16.02</v>
      </c>
      <c r="E6155" s="16" t="s">
        <v>30</v>
      </c>
    </row>
    <row r="6156" spans="1:5" x14ac:dyDescent="0.25">
      <c r="A6156" s="14">
        <v>957909</v>
      </c>
      <c r="B6156" s="14" t="s">
        <v>6269</v>
      </c>
      <c r="C6156" s="14" t="s">
        <v>13031</v>
      </c>
      <c r="D6156" s="15">
        <v>11.21</v>
      </c>
      <c r="E6156" s="16" t="s">
        <v>30</v>
      </c>
    </row>
    <row r="6157" spans="1:5" x14ac:dyDescent="0.25">
      <c r="A6157" s="14">
        <v>957911</v>
      </c>
      <c r="B6157" s="14" t="s">
        <v>6270</v>
      </c>
      <c r="C6157" s="14" t="s">
        <v>13030</v>
      </c>
      <c r="D6157" s="15">
        <v>118.06</v>
      </c>
      <c r="E6157" s="16" t="s">
        <v>30</v>
      </c>
    </row>
    <row r="6158" spans="1:5" x14ac:dyDescent="0.25">
      <c r="A6158" s="14">
        <v>958188</v>
      </c>
      <c r="B6158" s="14" t="s">
        <v>6271</v>
      </c>
      <c r="C6158" s="14" t="s">
        <v>13031</v>
      </c>
      <c r="D6158" s="15">
        <v>11.7</v>
      </c>
      <c r="E6158" s="16" t="s">
        <v>30</v>
      </c>
    </row>
    <row r="6159" spans="1:5" x14ac:dyDescent="0.25">
      <c r="A6159" s="14">
        <v>958229</v>
      </c>
      <c r="B6159" s="14" t="s">
        <v>6272</v>
      </c>
      <c r="C6159" s="14" t="s">
        <v>13029</v>
      </c>
      <c r="D6159" s="15">
        <v>14.27</v>
      </c>
      <c r="E6159" s="16" t="s">
        <v>30</v>
      </c>
    </row>
    <row r="6160" spans="1:5" x14ac:dyDescent="0.25">
      <c r="A6160" s="14">
        <v>958230</v>
      </c>
      <c r="B6160" s="14" t="s">
        <v>6273</v>
      </c>
      <c r="C6160" s="14" t="s">
        <v>13029</v>
      </c>
      <c r="D6160" s="15">
        <v>3.25</v>
      </c>
      <c r="E6160" s="16" t="s">
        <v>30</v>
      </c>
    </row>
    <row r="6161" spans="1:5" x14ac:dyDescent="0.25">
      <c r="A6161" s="14">
        <v>958299</v>
      </c>
      <c r="B6161" s="14" t="s">
        <v>6274</v>
      </c>
      <c r="C6161" s="14" t="s">
        <v>13031</v>
      </c>
      <c r="D6161" s="15">
        <v>3.19</v>
      </c>
      <c r="E6161" s="16" t="s">
        <v>30</v>
      </c>
    </row>
    <row r="6162" spans="1:5" x14ac:dyDescent="0.25">
      <c r="A6162" s="14">
        <v>958300</v>
      </c>
      <c r="B6162" s="14" t="s">
        <v>6275</v>
      </c>
      <c r="C6162" s="14" t="s">
        <v>13031</v>
      </c>
      <c r="D6162" s="15">
        <v>2.42</v>
      </c>
      <c r="E6162" s="16" t="s">
        <v>30</v>
      </c>
    </row>
    <row r="6163" spans="1:5" x14ac:dyDescent="0.25">
      <c r="A6163" s="14">
        <v>958301</v>
      </c>
      <c r="B6163" s="14" t="s">
        <v>6276</v>
      </c>
      <c r="C6163" s="14" t="s">
        <v>13031</v>
      </c>
      <c r="D6163" s="15">
        <v>12.75</v>
      </c>
      <c r="E6163" s="16" t="s">
        <v>30</v>
      </c>
    </row>
    <row r="6164" spans="1:5" x14ac:dyDescent="0.25">
      <c r="A6164" s="14">
        <v>958302</v>
      </c>
      <c r="B6164" s="14" t="s">
        <v>6277</v>
      </c>
      <c r="C6164" s="14" t="s">
        <v>13031</v>
      </c>
      <c r="D6164" s="15">
        <v>12.75</v>
      </c>
      <c r="E6164" s="16" t="s">
        <v>30</v>
      </c>
    </row>
    <row r="6165" spans="1:5" x14ac:dyDescent="0.25">
      <c r="A6165" s="14">
        <v>958303</v>
      </c>
      <c r="B6165" s="14" t="s">
        <v>6278</v>
      </c>
      <c r="C6165" s="14" t="s">
        <v>13031</v>
      </c>
      <c r="D6165" s="15">
        <v>30.03</v>
      </c>
      <c r="E6165" s="16" t="s">
        <v>30</v>
      </c>
    </row>
    <row r="6166" spans="1:5" x14ac:dyDescent="0.25">
      <c r="A6166" s="14">
        <v>959306</v>
      </c>
      <c r="B6166" s="14" t="s">
        <v>6279</v>
      </c>
      <c r="C6166" s="14" t="s">
        <v>13029</v>
      </c>
      <c r="D6166" s="15">
        <v>56.04</v>
      </c>
      <c r="E6166" s="16" t="s">
        <v>30</v>
      </c>
    </row>
    <row r="6167" spans="1:5" x14ac:dyDescent="0.25">
      <c r="A6167" s="14">
        <v>959307</v>
      </c>
      <c r="B6167" s="14" t="s">
        <v>6280</v>
      </c>
      <c r="C6167" s="14" t="s">
        <v>13029</v>
      </c>
      <c r="D6167" s="15">
        <v>53.29</v>
      </c>
      <c r="E6167" s="16" t="s">
        <v>30</v>
      </c>
    </row>
    <row r="6168" spans="1:5" x14ac:dyDescent="0.25">
      <c r="A6168" s="14">
        <v>959308</v>
      </c>
      <c r="B6168" s="14" t="s">
        <v>6281</v>
      </c>
      <c r="C6168" s="14" t="s">
        <v>13029</v>
      </c>
      <c r="D6168" s="15">
        <v>48.7</v>
      </c>
      <c r="E6168" s="16" t="s">
        <v>30</v>
      </c>
    </row>
    <row r="6169" spans="1:5" x14ac:dyDescent="0.25">
      <c r="A6169" s="14">
        <v>959309</v>
      </c>
      <c r="B6169" s="14" t="s">
        <v>6282</v>
      </c>
      <c r="C6169" s="14" t="s">
        <v>13029</v>
      </c>
      <c r="D6169" s="15">
        <v>29.07</v>
      </c>
      <c r="E6169" s="16" t="s">
        <v>30</v>
      </c>
    </row>
    <row r="6170" spans="1:5" x14ac:dyDescent="0.25">
      <c r="A6170" s="14">
        <v>959310</v>
      </c>
      <c r="B6170" s="14" t="s">
        <v>6283</v>
      </c>
      <c r="C6170" s="14" t="s">
        <v>13029</v>
      </c>
      <c r="D6170" s="15">
        <v>81.38</v>
      </c>
      <c r="E6170" s="16" t="s">
        <v>30</v>
      </c>
    </row>
    <row r="6171" spans="1:5" x14ac:dyDescent="0.25">
      <c r="A6171" s="14">
        <v>959311</v>
      </c>
      <c r="B6171" s="14" t="s">
        <v>6284</v>
      </c>
      <c r="C6171" s="14" t="s">
        <v>13029</v>
      </c>
      <c r="D6171" s="15">
        <v>95.55</v>
      </c>
      <c r="E6171" s="16" t="s">
        <v>30</v>
      </c>
    </row>
    <row r="6172" spans="1:5" x14ac:dyDescent="0.25">
      <c r="A6172" s="14">
        <v>959312</v>
      </c>
      <c r="B6172" s="14" t="s">
        <v>6285</v>
      </c>
      <c r="C6172" s="14" t="s">
        <v>13029</v>
      </c>
      <c r="D6172" s="15">
        <v>60.38</v>
      </c>
      <c r="E6172" s="16" t="s">
        <v>30</v>
      </c>
    </row>
    <row r="6173" spans="1:5" x14ac:dyDescent="0.25">
      <c r="A6173" s="14">
        <v>959313</v>
      </c>
      <c r="B6173" s="14" t="s">
        <v>6286</v>
      </c>
      <c r="C6173" s="14" t="s">
        <v>13029</v>
      </c>
      <c r="D6173" s="15">
        <v>119.88</v>
      </c>
      <c r="E6173" s="16" t="s">
        <v>30</v>
      </c>
    </row>
    <row r="6174" spans="1:5" x14ac:dyDescent="0.25">
      <c r="A6174" s="14">
        <v>959334</v>
      </c>
      <c r="B6174" s="14" t="s">
        <v>6287</v>
      </c>
      <c r="C6174" s="14" t="s">
        <v>13031</v>
      </c>
      <c r="D6174" s="15">
        <v>2.2999999999999998</v>
      </c>
      <c r="E6174" s="16" t="s">
        <v>30</v>
      </c>
    </row>
    <row r="6175" spans="1:5" x14ac:dyDescent="0.25">
      <c r="A6175" s="14">
        <v>959335</v>
      </c>
      <c r="B6175" s="14" t="s">
        <v>6288</v>
      </c>
      <c r="C6175" s="14" t="s">
        <v>13031</v>
      </c>
      <c r="D6175" s="15">
        <v>2.2999999999999998</v>
      </c>
      <c r="E6175" s="16" t="s">
        <v>30</v>
      </c>
    </row>
    <row r="6176" spans="1:5" x14ac:dyDescent="0.25">
      <c r="A6176" s="14">
        <v>959336</v>
      </c>
      <c r="B6176" s="14" t="s">
        <v>6289</v>
      </c>
      <c r="C6176" s="14" t="s">
        <v>13031</v>
      </c>
      <c r="D6176" s="15">
        <v>4.22</v>
      </c>
      <c r="E6176" s="16" t="s">
        <v>30</v>
      </c>
    </row>
    <row r="6177" spans="1:5" x14ac:dyDescent="0.25">
      <c r="A6177" s="14">
        <v>959337</v>
      </c>
      <c r="B6177" s="14" t="s">
        <v>6290</v>
      </c>
      <c r="C6177" s="14" t="s">
        <v>13031</v>
      </c>
      <c r="D6177" s="15">
        <v>4.4800000000000004</v>
      </c>
      <c r="E6177" s="16" t="s">
        <v>30</v>
      </c>
    </row>
    <row r="6178" spans="1:5" x14ac:dyDescent="0.25">
      <c r="A6178" s="14">
        <v>959766</v>
      </c>
      <c r="B6178" s="14" t="s">
        <v>6291</v>
      </c>
      <c r="C6178" s="14" t="s">
        <v>13029</v>
      </c>
      <c r="D6178" s="15">
        <v>7.26</v>
      </c>
      <c r="E6178" s="16" t="s">
        <v>30</v>
      </c>
    </row>
    <row r="6179" spans="1:5" x14ac:dyDescent="0.25">
      <c r="A6179" s="14">
        <v>959767</v>
      </c>
      <c r="B6179" s="14" t="s">
        <v>6292</v>
      </c>
      <c r="C6179" s="14" t="s">
        <v>13029</v>
      </c>
      <c r="D6179" s="15">
        <v>21.91</v>
      </c>
      <c r="E6179" s="16" t="s">
        <v>30</v>
      </c>
    </row>
    <row r="6180" spans="1:5" x14ac:dyDescent="0.25">
      <c r="A6180" s="14">
        <v>959768</v>
      </c>
      <c r="B6180" s="14" t="s">
        <v>6293</v>
      </c>
      <c r="C6180" s="14" t="s">
        <v>13029</v>
      </c>
      <c r="D6180" s="15">
        <v>21.91</v>
      </c>
      <c r="E6180" s="16" t="s">
        <v>30</v>
      </c>
    </row>
    <row r="6181" spans="1:5" x14ac:dyDescent="0.25">
      <c r="A6181" s="14">
        <v>959769</v>
      </c>
      <c r="B6181" s="14" t="s">
        <v>6294</v>
      </c>
      <c r="C6181" s="14" t="s">
        <v>13029</v>
      </c>
      <c r="D6181" s="15">
        <v>6.39</v>
      </c>
      <c r="E6181" s="16" t="s">
        <v>30</v>
      </c>
    </row>
    <row r="6182" spans="1:5" x14ac:dyDescent="0.25">
      <c r="A6182" s="14">
        <v>959770</v>
      </c>
      <c r="B6182" s="14" t="s">
        <v>6295</v>
      </c>
      <c r="C6182" s="14" t="s">
        <v>13029</v>
      </c>
      <c r="D6182" s="15">
        <v>14.53</v>
      </c>
      <c r="E6182" s="16" t="s">
        <v>30</v>
      </c>
    </row>
    <row r="6183" spans="1:5" x14ac:dyDescent="0.25">
      <c r="A6183" s="14">
        <v>959771</v>
      </c>
      <c r="B6183" s="14" t="s">
        <v>6296</v>
      </c>
      <c r="C6183" s="14" t="s">
        <v>13029</v>
      </c>
      <c r="D6183" s="15">
        <v>9.19</v>
      </c>
      <c r="E6183" s="16" t="s">
        <v>30</v>
      </c>
    </row>
    <row r="6184" spans="1:5" x14ac:dyDescent="0.25">
      <c r="A6184" s="14">
        <v>959772</v>
      </c>
      <c r="B6184" s="14" t="s">
        <v>6297</v>
      </c>
      <c r="C6184" s="14" t="s">
        <v>13029</v>
      </c>
      <c r="D6184" s="15">
        <v>9.65</v>
      </c>
      <c r="E6184" s="16" t="s">
        <v>30</v>
      </c>
    </row>
    <row r="6185" spans="1:5" x14ac:dyDescent="0.25">
      <c r="A6185" s="14">
        <v>959773</v>
      </c>
      <c r="B6185" s="14" t="s">
        <v>6298</v>
      </c>
      <c r="C6185" s="14" t="s">
        <v>13029</v>
      </c>
      <c r="D6185" s="15">
        <v>5.2</v>
      </c>
      <c r="E6185" s="16" t="s">
        <v>30</v>
      </c>
    </row>
    <row r="6186" spans="1:5" x14ac:dyDescent="0.25">
      <c r="A6186" s="14">
        <v>959774</v>
      </c>
      <c r="B6186" s="14" t="s">
        <v>6299</v>
      </c>
      <c r="C6186" s="14" t="s">
        <v>13029</v>
      </c>
      <c r="D6186" s="15">
        <v>6.39</v>
      </c>
      <c r="E6186" s="16" t="s">
        <v>30</v>
      </c>
    </row>
    <row r="6187" spans="1:5" x14ac:dyDescent="0.25">
      <c r="A6187" s="14">
        <v>942495</v>
      </c>
      <c r="B6187" s="14" t="s">
        <v>6300</v>
      </c>
      <c r="C6187" s="14" t="s">
        <v>13031</v>
      </c>
      <c r="D6187" s="15">
        <v>8</v>
      </c>
      <c r="E6187" s="16" t="s">
        <v>20</v>
      </c>
    </row>
    <row r="6188" spans="1:5" x14ac:dyDescent="0.25">
      <c r="A6188" s="14">
        <v>946598</v>
      </c>
      <c r="B6188" s="14" t="s">
        <v>6301</v>
      </c>
      <c r="C6188" s="14" t="s">
        <v>13031</v>
      </c>
      <c r="D6188" s="15">
        <v>16.63</v>
      </c>
      <c r="E6188" s="16" t="s">
        <v>20</v>
      </c>
    </row>
    <row r="6189" spans="1:5" x14ac:dyDescent="0.25">
      <c r="A6189" s="14">
        <v>959775</v>
      </c>
      <c r="B6189" s="14" t="s">
        <v>6302</v>
      </c>
      <c r="C6189" s="14" t="s">
        <v>13029</v>
      </c>
      <c r="D6189" s="15">
        <v>14.53</v>
      </c>
      <c r="E6189" s="16" t="s">
        <v>30</v>
      </c>
    </row>
    <row r="6190" spans="1:5" x14ac:dyDescent="0.25">
      <c r="A6190" s="14">
        <v>959776</v>
      </c>
      <c r="B6190" s="14" t="s">
        <v>6303</v>
      </c>
      <c r="C6190" s="14" t="s">
        <v>13029</v>
      </c>
      <c r="D6190" s="15">
        <v>12.84</v>
      </c>
      <c r="E6190" s="16" t="s">
        <v>30</v>
      </c>
    </row>
    <row r="6191" spans="1:5" x14ac:dyDescent="0.25">
      <c r="A6191" s="14">
        <v>959802</v>
      </c>
      <c r="B6191" s="14" t="s">
        <v>6304</v>
      </c>
      <c r="C6191" s="14" t="s">
        <v>13030</v>
      </c>
      <c r="D6191" s="15">
        <v>41.69</v>
      </c>
      <c r="E6191" s="16" t="s">
        <v>30</v>
      </c>
    </row>
    <row r="6192" spans="1:5" x14ac:dyDescent="0.25">
      <c r="A6192" s="14">
        <v>959803</v>
      </c>
      <c r="B6192" s="14" t="s">
        <v>6305</v>
      </c>
      <c r="C6192" s="14" t="s">
        <v>13030</v>
      </c>
      <c r="D6192" s="15">
        <v>35.94</v>
      </c>
      <c r="E6192" s="16" t="s">
        <v>30</v>
      </c>
    </row>
    <row r="6193" spans="1:5" x14ac:dyDescent="0.25">
      <c r="A6193" s="14">
        <v>959804</v>
      </c>
      <c r="B6193" s="14" t="s">
        <v>6306</v>
      </c>
      <c r="C6193" s="14" t="s">
        <v>13030</v>
      </c>
      <c r="D6193" s="15">
        <v>32.630000000000003</v>
      </c>
      <c r="E6193" s="16" t="s">
        <v>30</v>
      </c>
    </row>
    <row r="6194" spans="1:5" x14ac:dyDescent="0.25">
      <c r="A6194" s="14">
        <v>959805</v>
      </c>
      <c r="B6194" s="14" t="s">
        <v>6307</v>
      </c>
      <c r="C6194" s="14" t="s">
        <v>13030</v>
      </c>
      <c r="D6194" s="15">
        <v>8.84</v>
      </c>
      <c r="E6194" s="16" t="s">
        <v>30</v>
      </c>
    </row>
    <row r="6195" spans="1:5" x14ac:dyDescent="0.25">
      <c r="A6195" s="14">
        <v>959846</v>
      </c>
      <c r="B6195" s="14" t="s">
        <v>6308</v>
      </c>
      <c r="C6195" s="14" t="s">
        <v>13030</v>
      </c>
      <c r="D6195" s="15">
        <v>5.76</v>
      </c>
      <c r="E6195" s="16" t="s">
        <v>30</v>
      </c>
    </row>
    <row r="6196" spans="1:5" x14ac:dyDescent="0.25">
      <c r="A6196" s="14">
        <v>959847</v>
      </c>
      <c r="B6196" s="14" t="s">
        <v>6309</v>
      </c>
      <c r="C6196" s="14" t="s">
        <v>13030</v>
      </c>
      <c r="D6196" s="15">
        <v>5.76</v>
      </c>
      <c r="E6196" s="16" t="s">
        <v>30</v>
      </c>
    </row>
    <row r="6197" spans="1:5" x14ac:dyDescent="0.25">
      <c r="A6197" s="14">
        <v>959848</v>
      </c>
      <c r="B6197" s="14" t="s">
        <v>6310</v>
      </c>
      <c r="C6197" s="14" t="s">
        <v>13029</v>
      </c>
      <c r="D6197" s="15">
        <v>19.43</v>
      </c>
      <c r="E6197" s="16" t="s">
        <v>30</v>
      </c>
    </row>
    <row r="6198" spans="1:5" x14ac:dyDescent="0.25">
      <c r="A6198" s="14">
        <v>959849</v>
      </c>
      <c r="B6198" s="14" t="s">
        <v>6311</v>
      </c>
      <c r="C6198" s="14" t="s">
        <v>13029</v>
      </c>
      <c r="D6198" s="15">
        <v>26.18</v>
      </c>
      <c r="E6198" s="16" t="s">
        <v>30</v>
      </c>
    </row>
    <row r="6199" spans="1:5" x14ac:dyDescent="0.25">
      <c r="A6199" s="14">
        <v>959850</v>
      </c>
      <c r="B6199" s="14" t="s">
        <v>6312</v>
      </c>
      <c r="C6199" s="14" t="s">
        <v>13029</v>
      </c>
      <c r="D6199" s="15">
        <v>52.43</v>
      </c>
      <c r="E6199" s="16" t="s">
        <v>30</v>
      </c>
    </row>
    <row r="6200" spans="1:5" x14ac:dyDescent="0.25">
      <c r="A6200" s="14">
        <v>959851</v>
      </c>
      <c r="B6200" s="14" t="s">
        <v>6313</v>
      </c>
      <c r="C6200" s="14" t="s">
        <v>13029</v>
      </c>
      <c r="D6200" s="15">
        <v>52.43</v>
      </c>
      <c r="E6200" s="16" t="s">
        <v>30</v>
      </c>
    </row>
    <row r="6201" spans="1:5" x14ac:dyDescent="0.25">
      <c r="A6201" s="14">
        <v>959852</v>
      </c>
      <c r="B6201" s="14" t="s">
        <v>6314</v>
      </c>
      <c r="C6201" s="14" t="s">
        <v>13029</v>
      </c>
      <c r="D6201" s="15">
        <v>52.43</v>
      </c>
      <c r="E6201" s="16" t="s">
        <v>30</v>
      </c>
    </row>
    <row r="6202" spans="1:5" x14ac:dyDescent="0.25">
      <c r="A6202" s="14">
        <v>959853</v>
      </c>
      <c r="B6202" s="14" t="s">
        <v>6315</v>
      </c>
      <c r="C6202" s="14" t="s">
        <v>13029</v>
      </c>
      <c r="D6202" s="15">
        <v>52.43</v>
      </c>
      <c r="E6202" s="16" t="s">
        <v>30</v>
      </c>
    </row>
    <row r="6203" spans="1:5" x14ac:dyDescent="0.25">
      <c r="A6203" s="14">
        <v>959854</v>
      </c>
      <c r="B6203" s="14" t="s">
        <v>6316</v>
      </c>
      <c r="C6203" s="14" t="s">
        <v>13029</v>
      </c>
      <c r="D6203" s="15">
        <v>28.43</v>
      </c>
      <c r="E6203" s="16" t="s">
        <v>30</v>
      </c>
    </row>
    <row r="6204" spans="1:5" x14ac:dyDescent="0.25">
      <c r="A6204" s="14">
        <v>959855</v>
      </c>
      <c r="B6204" s="14" t="s">
        <v>6317</v>
      </c>
      <c r="C6204" s="14" t="s">
        <v>13029</v>
      </c>
      <c r="D6204" s="15">
        <v>28.43</v>
      </c>
      <c r="E6204" s="16" t="s">
        <v>30</v>
      </c>
    </row>
    <row r="6205" spans="1:5" x14ac:dyDescent="0.25">
      <c r="A6205" s="14">
        <v>959856</v>
      </c>
      <c r="B6205" s="14" t="s">
        <v>6318</v>
      </c>
      <c r="C6205" s="14" t="s">
        <v>13029</v>
      </c>
      <c r="D6205" s="15">
        <v>28.43</v>
      </c>
      <c r="E6205" s="16" t="s">
        <v>30</v>
      </c>
    </row>
    <row r="6206" spans="1:5" x14ac:dyDescent="0.25">
      <c r="A6206" s="14">
        <v>959857</v>
      </c>
      <c r="B6206" s="14" t="s">
        <v>6319</v>
      </c>
      <c r="C6206" s="14" t="s">
        <v>13029</v>
      </c>
      <c r="D6206" s="15">
        <v>28.43</v>
      </c>
      <c r="E6206" s="16" t="s">
        <v>30</v>
      </c>
    </row>
    <row r="6207" spans="1:5" x14ac:dyDescent="0.25">
      <c r="A6207" s="14">
        <v>959858</v>
      </c>
      <c r="B6207" s="14" t="s">
        <v>6320</v>
      </c>
      <c r="C6207" s="14" t="s">
        <v>13029</v>
      </c>
      <c r="D6207" s="15">
        <v>19.95</v>
      </c>
      <c r="E6207" s="16" t="s">
        <v>30</v>
      </c>
    </row>
    <row r="6208" spans="1:5" x14ac:dyDescent="0.25">
      <c r="A6208" s="14">
        <v>959866</v>
      </c>
      <c r="B6208" s="14" t="s">
        <v>6321</v>
      </c>
      <c r="C6208" s="14" t="s">
        <v>13029</v>
      </c>
      <c r="D6208" s="15">
        <v>38.26</v>
      </c>
      <c r="E6208" s="14" t="s">
        <v>30</v>
      </c>
    </row>
    <row r="6209" spans="1:5" x14ac:dyDescent="0.25">
      <c r="A6209" s="14">
        <v>959867</v>
      </c>
      <c r="B6209" s="14" t="s">
        <v>6322</v>
      </c>
      <c r="C6209" s="14" t="s">
        <v>13029</v>
      </c>
      <c r="D6209" s="15">
        <v>14.77</v>
      </c>
      <c r="E6209" s="14" t="s">
        <v>30</v>
      </c>
    </row>
    <row r="6210" spans="1:5" x14ac:dyDescent="0.25">
      <c r="A6210" s="14">
        <v>959870</v>
      </c>
      <c r="B6210" s="14" t="s">
        <v>6323</v>
      </c>
      <c r="C6210" s="14" t="s">
        <v>13031</v>
      </c>
      <c r="D6210" s="15">
        <v>13.87</v>
      </c>
      <c r="E6210" s="16" t="s">
        <v>30</v>
      </c>
    </row>
    <row r="6211" spans="1:5" x14ac:dyDescent="0.25">
      <c r="A6211" s="14">
        <v>959872</v>
      </c>
      <c r="B6211" s="14" t="s">
        <v>6324</v>
      </c>
      <c r="C6211" s="14" t="s">
        <v>13029</v>
      </c>
      <c r="D6211" s="15">
        <v>7.3</v>
      </c>
      <c r="E6211" s="16" t="s">
        <v>30</v>
      </c>
    </row>
    <row r="6212" spans="1:5" x14ac:dyDescent="0.25">
      <c r="A6212" s="14">
        <v>947246</v>
      </c>
      <c r="B6212" s="14" t="s">
        <v>6325</v>
      </c>
      <c r="C6212" s="14" t="s">
        <v>13031</v>
      </c>
      <c r="D6212" s="15">
        <v>7.5</v>
      </c>
      <c r="E6212" s="16" t="s">
        <v>20</v>
      </c>
    </row>
    <row r="6213" spans="1:5" x14ac:dyDescent="0.25">
      <c r="A6213" s="14">
        <v>947247</v>
      </c>
      <c r="B6213" s="14" t="s">
        <v>6326</v>
      </c>
      <c r="C6213" s="14" t="s">
        <v>13031</v>
      </c>
      <c r="D6213" s="15">
        <v>16.02</v>
      </c>
      <c r="E6213" s="16" t="s">
        <v>20</v>
      </c>
    </row>
    <row r="6214" spans="1:5" x14ac:dyDescent="0.25">
      <c r="A6214" s="14">
        <v>959873</v>
      </c>
      <c r="B6214" s="14" t="s">
        <v>6327</v>
      </c>
      <c r="C6214" s="14" t="s">
        <v>13029</v>
      </c>
      <c r="D6214" s="15">
        <v>7.08</v>
      </c>
      <c r="E6214" s="16" t="s">
        <v>30</v>
      </c>
    </row>
    <row r="6215" spans="1:5" x14ac:dyDescent="0.25">
      <c r="A6215" s="14">
        <v>959904</v>
      </c>
      <c r="B6215" s="14" t="s">
        <v>6328</v>
      </c>
      <c r="C6215" s="14" t="s">
        <v>13030</v>
      </c>
      <c r="D6215" s="15">
        <v>54.24</v>
      </c>
      <c r="E6215" s="16" t="s">
        <v>30</v>
      </c>
    </row>
    <row r="6216" spans="1:5" x14ac:dyDescent="0.25">
      <c r="A6216" s="14">
        <v>959905</v>
      </c>
      <c r="B6216" s="14" t="s">
        <v>6329</v>
      </c>
      <c r="C6216" s="14" t="s">
        <v>13030</v>
      </c>
      <c r="D6216" s="15">
        <v>54.24</v>
      </c>
      <c r="E6216" s="16" t="s">
        <v>30</v>
      </c>
    </row>
    <row r="6217" spans="1:5" x14ac:dyDescent="0.25">
      <c r="A6217" s="14">
        <v>960185</v>
      </c>
      <c r="B6217" s="14" t="s">
        <v>6330</v>
      </c>
      <c r="C6217" s="14" t="s">
        <v>13029</v>
      </c>
      <c r="D6217" s="15">
        <v>23.19</v>
      </c>
      <c r="E6217" s="16" t="s">
        <v>30</v>
      </c>
    </row>
    <row r="6218" spans="1:5" x14ac:dyDescent="0.25">
      <c r="A6218" s="14">
        <v>960186</v>
      </c>
      <c r="B6218" s="14" t="s">
        <v>6331</v>
      </c>
      <c r="C6218" s="14" t="s">
        <v>13029</v>
      </c>
      <c r="D6218" s="15">
        <v>19.28</v>
      </c>
      <c r="E6218" s="16" t="s">
        <v>30</v>
      </c>
    </row>
    <row r="6219" spans="1:5" x14ac:dyDescent="0.25">
      <c r="A6219" s="14">
        <v>960188</v>
      </c>
      <c r="B6219" s="14" t="s">
        <v>6332</v>
      </c>
      <c r="C6219" s="14" t="s">
        <v>13029</v>
      </c>
      <c r="D6219" s="15">
        <v>33.619999999999997</v>
      </c>
      <c r="E6219" s="16" t="s">
        <v>30</v>
      </c>
    </row>
    <row r="6220" spans="1:5" x14ac:dyDescent="0.25">
      <c r="A6220" s="14">
        <v>960189</v>
      </c>
      <c r="B6220" s="14" t="s">
        <v>6333</v>
      </c>
      <c r="C6220" s="14" t="s">
        <v>13029</v>
      </c>
      <c r="D6220" s="15">
        <v>33.619999999999997</v>
      </c>
      <c r="E6220" s="16" t="s">
        <v>30</v>
      </c>
    </row>
    <row r="6221" spans="1:5" x14ac:dyDescent="0.25">
      <c r="A6221" s="14">
        <v>960190</v>
      </c>
      <c r="B6221" s="14" t="s">
        <v>6334</v>
      </c>
      <c r="C6221" s="14" t="s">
        <v>13029</v>
      </c>
      <c r="D6221" s="15">
        <v>33.619999999999997</v>
      </c>
      <c r="E6221" s="16" t="s">
        <v>30</v>
      </c>
    </row>
    <row r="6222" spans="1:5" x14ac:dyDescent="0.25">
      <c r="A6222" s="14">
        <v>960191</v>
      </c>
      <c r="B6222" s="14" t="s">
        <v>6335</v>
      </c>
      <c r="C6222" s="14" t="s">
        <v>13029</v>
      </c>
      <c r="D6222" s="15">
        <v>31.14</v>
      </c>
      <c r="E6222" s="16" t="s">
        <v>30</v>
      </c>
    </row>
    <row r="6223" spans="1:5" x14ac:dyDescent="0.25">
      <c r="A6223" s="14">
        <v>960192</v>
      </c>
      <c r="B6223" s="14" t="s">
        <v>6336</v>
      </c>
      <c r="C6223" s="14" t="s">
        <v>13029</v>
      </c>
      <c r="D6223" s="15">
        <v>33.619999999999997</v>
      </c>
      <c r="E6223" s="16" t="s">
        <v>30</v>
      </c>
    </row>
    <row r="6224" spans="1:5" x14ac:dyDescent="0.25">
      <c r="A6224" s="14">
        <v>960193</v>
      </c>
      <c r="B6224" s="14" t="s">
        <v>6337</v>
      </c>
      <c r="C6224" s="14" t="s">
        <v>13029</v>
      </c>
      <c r="D6224" s="15">
        <v>31.14</v>
      </c>
      <c r="E6224" s="16" t="s">
        <v>30</v>
      </c>
    </row>
    <row r="6225" spans="1:5" x14ac:dyDescent="0.25">
      <c r="A6225" s="14">
        <v>960194</v>
      </c>
      <c r="B6225" s="14" t="s">
        <v>6338</v>
      </c>
      <c r="C6225" s="14" t="s">
        <v>13029</v>
      </c>
      <c r="D6225" s="15">
        <v>28.6</v>
      </c>
      <c r="E6225" s="16" t="s">
        <v>30</v>
      </c>
    </row>
    <row r="6226" spans="1:5" x14ac:dyDescent="0.25">
      <c r="A6226" s="14">
        <v>960195</v>
      </c>
      <c r="B6226" s="14" t="s">
        <v>6339</v>
      </c>
      <c r="C6226" s="14" t="s">
        <v>13029</v>
      </c>
      <c r="D6226" s="15">
        <v>31.72</v>
      </c>
      <c r="E6226" s="16" t="s">
        <v>30</v>
      </c>
    </row>
    <row r="6227" spans="1:5" x14ac:dyDescent="0.25">
      <c r="A6227" s="14">
        <v>960196</v>
      </c>
      <c r="B6227" s="14" t="s">
        <v>6340</v>
      </c>
      <c r="C6227" s="14" t="s">
        <v>13029</v>
      </c>
      <c r="D6227" s="15">
        <v>31.72</v>
      </c>
      <c r="E6227" s="16" t="s">
        <v>30</v>
      </c>
    </row>
    <row r="6228" spans="1:5" x14ac:dyDescent="0.25">
      <c r="A6228" s="14">
        <v>960197</v>
      </c>
      <c r="B6228" s="14" t="s">
        <v>6341</v>
      </c>
      <c r="C6228" s="14" t="s">
        <v>13029</v>
      </c>
      <c r="D6228" s="15">
        <v>31.14</v>
      </c>
      <c r="E6228" s="16" t="s">
        <v>30</v>
      </c>
    </row>
    <row r="6229" spans="1:5" x14ac:dyDescent="0.25">
      <c r="A6229" s="14">
        <v>960198</v>
      </c>
      <c r="B6229" s="14" t="s">
        <v>6342</v>
      </c>
      <c r="C6229" s="14" t="s">
        <v>13029</v>
      </c>
      <c r="D6229" s="15">
        <v>31.14</v>
      </c>
      <c r="E6229" s="16" t="s">
        <v>30</v>
      </c>
    </row>
    <row r="6230" spans="1:5" x14ac:dyDescent="0.25">
      <c r="A6230" s="14">
        <v>960199</v>
      </c>
      <c r="B6230" s="14" t="s">
        <v>6343</v>
      </c>
      <c r="C6230" s="14" t="s">
        <v>13029</v>
      </c>
      <c r="D6230" s="15">
        <v>31.14</v>
      </c>
      <c r="E6230" s="16" t="s">
        <v>30</v>
      </c>
    </row>
    <row r="6231" spans="1:5" x14ac:dyDescent="0.25">
      <c r="A6231" s="14">
        <v>952080</v>
      </c>
      <c r="B6231" s="14" t="s">
        <v>6344</v>
      </c>
      <c r="C6231" s="14" t="s">
        <v>13030</v>
      </c>
      <c r="D6231" s="15">
        <v>52.19</v>
      </c>
      <c r="E6231" s="16" t="s">
        <v>20</v>
      </c>
    </row>
    <row r="6232" spans="1:5" x14ac:dyDescent="0.25">
      <c r="A6232" s="14">
        <v>952082</v>
      </c>
      <c r="B6232" s="14" t="s">
        <v>6345</v>
      </c>
      <c r="C6232" s="14" t="s">
        <v>13030</v>
      </c>
      <c r="D6232" s="15">
        <v>24.34</v>
      </c>
      <c r="E6232" s="16" t="s">
        <v>20</v>
      </c>
    </row>
    <row r="6233" spans="1:5" x14ac:dyDescent="0.25">
      <c r="A6233" s="14">
        <v>960200</v>
      </c>
      <c r="B6233" s="14" t="s">
        <v>6346</v>
      </c>
      <c r="C6233" s="14" t="s">
        <v>13029</v>
      </c>
      <c r="D6233" s="15">
        <v>31.14</v>
      </c>
      <c r="E6233" s="16" t="s">
        <v>30</v>
      </c>
    </row>
    <row r="6234" spans="1:5" x14ac:dyDescent="0.25">
      <c r="A6234" s="14">
        <v>960207</v>
      </c>
      <c r="B6234" s="14" t="s">
        <v>6347</v>
      </c>
      <c r="C6234" s="14" t="s">
        <v>13031</v>
      </c>
      <c r="D6234" s="15">
        <v>6.82</v>
      </c>
      <c r="E6234" s="16" t="s">
        <v>30</v>
      </c>
    </row>
    <row r="6235" spans="1:5" x14ac:dyDescent="0.25">
      <c r="A6235" s="14">
        <v>960224</v>
      </c>
      <c r="B6235" s="14" t="s">
        <v>6348</v>
      </c>
      <c r="C6235" s="14" t="s">
        <v>13031</v>
      </c>
      <c r="D6235" s="15">
        <v>14.77</v>
      </c>
      <c r="E6235" s="16" t="s">
        <v>30</v>
      </c>
    </row>
    <row r="6236" spans="1:5" x14ac:dyDescent="0.25">
      <c r="A6236" s="14">
        <v>960264</v>
      </c>
      <c r="B6236" s="14" t="s">
        <v>6349</v>
      </c>
      <c r="C6236" s="14" t="s">
        <v>13029</v>
      </c>
      <c r="D6236" s="15">
        <v>33.159999999999997</v>
      </c>
      <c r="E6236" s="16" t="s">
        <v>30</v>
      </c>
    </row>
    <row r="6237" spans="1:5" x14ac:dyDescent="0.25">
      <c r="A6237" s="14">
        <v>960265</v>
      </c>
      <c r="B6237" s="14" t="s">
        <v>6350</v>
      </c>
      <c r="C6237" s="14" t="s">
        <v>13029</v>
      </c>
      <c r="D6237" s="15">
        <v>34.94</v>
      </c>
      <c r="E6237" s="16" t="s">
        <v>30</v>
      </c>
    </row>
    <row r="6238" spans="1:5" x14ac:dyDescent="0.25">
      <c r="A6238" s="14">
        <v>960266</v>
      </c>
      <c r="B6238" s="14" t="s">
        <v>6351</v>
      </c>
      <c r="C6238" s="14" t="s">
        <v>13029</v>
      </c>
      <c r="D6238" s="15">
        <v>34.94</v>
      </c>
      <c r="E6238" s="16" t="s">
        <v>30</v>
      </c>
    </row>
    <row r="6239" spans="1:5" x14ac:dyDescent="0.25">
      <c r="A6239" s="14">
        <v>960267</v>
      </c>
      <c r="B6239" s="14" t="s">
        <v>6352</v>
      </c>
      <c r="C6239" s="14" t="s">
        <v>13029</v>
      </c>
      <c r="D6239" s="15">
        <v>42.62</v>
      </c>
      <c r="E6239" s="16" t="s">
        <v>30</v>
      </c>
    </row>
    <row r="6240" spans="1:5" x14ac:dyDescent="0.25">
      <c r="A6240" s="14">
        <v>960268</v>
      </c>
      <c r="B6240" s="14" t="s">
        <v>6353</v>
      </c>
      <c r="C6240" s="14" t="s">
        <v>13029</v>
      </c>
      <c r="D6240" s="15">
        <v>34.94</v>
      </c>
      <c r="E6240" s="16" t="s">
        <v>30</v>
      </c>
    </row>
    <row r="6241" spans="1:5" x14ac:dyDescent="0.25">
      <c r="A6241" s="14">
        <v>960269</v>
      </c>
      <c r="B6241" s="14" t="s">
        <v>6354</v>
      </c>
      <c r="C6241" s="14" t="s">
        <v>13029</v>
      </c>
      <c r="D6241" s="15">
        <v>33.159999999999997</v>
      </c>
      <c r="E6241" s="16" t="s">
        <v>30</v>
      </c>
    </row>
    <row r="6242" spans="1:5" x14ac:dyDescent="0.25">
      <c r="A6242" s="14">
        <v>960458</v>
      </c>
      <c r="B6242" s="14" t="s">
        <v>6355</v>
      </c>
      <c r="C6242" s="14" t="s">
        <v>13030</v>
      </c>
      <c r="D6242" s="15">
        <v>4.9800000000000004</v>
      </c>
      <c r="E6242" s="16" t="s">
        <v>30</v>
      </c>
    </row>
    <row r="6243" spans="1:5" x14ac:dyDescent="0.25">
      <c r="A6243" s="14">
        <v>960461</v>
      </c>
      <c r="B6243" s="14" t="s">
        <v>6356</v>
      </c>
      <c r="C6243" s="14" t="s">
        <v>13030</v>
      </c>
      <c r="D6243" s="15">
        <v>77.06</v>
      </c>
      <c r="E6243" s="16" t="s">
        <v>30</v>
      </c>
    </row>
    <row r="6244" spans="1:5" x14ac:dyDescent="0.25">
      <c r="A6244" s="14">
        <v>960471</v>
      </c>
      <c r="B6244" s="14" t="s">
        <v>6357</v>
      </c>
      <c r="C6244" s="14" t="s">
        <v>13029</v>
      </c>
      <c r="D6244" s="15">
        <v>44.69</v>
      </c>
      <c r="E6244" s="16" t="s">
        <v>30</v>
      </c>
    </row>
    <row r="6245" spans="1:5" x14ac:dyDescent="0.25">
      <c r="A6245" s="14">
        <v>960472</v>
      </c>
      <c r="B6245" s="14" t="s">
        <v>6358</v>
      </c>
      <c r="C6245" s="14" t="s">
        <v>13029</v>
      </c>
      <c r="D6245" s="15">
        <v>44.69</v>
      </c>
      <c r="E6245" s="16" t="s">
        <v>30</v>
      </c>
    </row>
    <row r="6246" spans="1:5" x14ac:dyDescent="0.25">
      <c r="A6246" s="14">
        <v>960488</v>
      </c>
      <c r="B6246" s="14" t="s">
        <v>6359</v>
      </c>
      <c r="C6246" s="14" t="s">
        <v>13031</v>
      </c>
      <c r="D6246" s="15">
        <v>9.92</v>
      </c>
      <c r="E6246" s="16" t="s">
        <v>30</v>
      </c>
    </row>
    <row r="6247" spans="1:5" x14ac:dyDescent="0.25">
      <c r="A6247" s="14">
        <v>960489</v>
      </c>
      <c r="B6247" s="14" t="s">
        <v>6360</v>
      </c>
      <c r="C6247" s="14" t="s">
        <v>13031</v>
      </c>
      <c r="D6247" s="15">
        <v>9.92</v>
      </c>
      <c r="E6247" s="16" t="s">
        <v>30</v>
      </c>
    </row>
    <row r="6248" spans="1:5" x14ac:dyDescent="0.25">
      <c r="A6248" s="14">
        <v>960490</v>
      </c>
      <c r="B6248" s="14" t="s">
        <v>6361</v>
      </c>
      <c r="C6248" s="14" t="s">
        <v>13031</v>
      </c>
      <c r="D6248" s="15">
        <v>13.1</v>
      </c>
      <c r="E6248" s="16" t="s">
        <v>30</v>
      </c>
    </row>
    <row r="6249" spans="1:5" x14ac:dyDescent="0.25">
      <c r="A6249" s="14">
        <v>960491</v>
      </c>
      <c r="B6249" s="14" t="s">
        <v>6362</v>
      </c>
      <c r="C6249" s="14" t="s">
        <v>13031</v>
      </c>
      <c r="D6249" s="15">
        <v>13.1</v>
      </c>
      <c r="E6249" s="16" t="s">
        <v>30</v>
      </c>
    </row>
    <row r="6250" spans="1:5" x14ac:dyDescent="0.25">
      <c r="A6250" s="14">
        <v>960492</v>
      </c>
      <c r="B6250" s="14" t="s">
        <v>6363</v>
      </c>
      <c r="C6250" s="14" t="s">
        <v>13031</v>
      </c>
      <c r="D6250" s="15">
        <v>3.56</v>
      </c>
      <c r="E6250" s="16" t="s">
        <v>30</v>
      </c>
    </row>
    <row r="6251" spans="1:5" x14ac:dyDescent="0.25">
      <c r="A6251" s="14">
        <v>960493</v>
      </c>
      <c r="B6251" s="14" t="s">
        <v>6364</v>
      </c>
      <c r="C6251" s="14" t="s">
        <v>13031</v>
      </c>
      <c r="D6251" s="15">
        <v>3.56</v>
      </c>
      <c r="E6251" s="16" t="s">
        <v>30</v>
      </c>
    </row>
    <row r="6252" spans="1:5" x14ac:dyDescent="0.25">
      <c r="A6252" s="14">
        <v>960494</v>
      </c>
      <c r="B6252" s="14" t="s">
        <v>6365</v>
      </c>
      <c r="C6252" s="14" t="s">
        <v>13031</v>
      </c>
      <c r="D6252" s="15">
        <v>3.56</v>
      </c>
      <c r="E6252" s="16" t="s">
        <v>30</v>
      </c>
    </row>
    <row r="6253" spans="1:5" x14ac:dyDescent="0.25">
      <c r="A6253" s="14">
        <v>960495</v>
      </c>
      <c r="B6253" s="14" t="s">
        <v>6366</v>
      </c>
      <c r="C6253" s="14" t="s">
        <v>13031</v>
      </c>
      <c r="D6253" s="15">
        <v>3.2</v>
      </c>
      <c r="E6253" s="16" t="s">
        <v>30</v>
      </c>
    </row>
    <row r="6254" spans="1:5" x14ac:dyDescent="0.25">
      <c r="A6254" s="14">
        <v>960496</v>
      </c>
      <c r="B6254" s="14" t="s">
        <v>6367</v>
      </c>
      <c r="C6254" s="14" t="s">
        <v>13031</v>
      </c>
      <c r="D6254" s="15">
        <v>3.56</v>
      </c>
      <c r="E6254" s="16" t="s">
        <v>30</v>
      </c>
    </row>
    <row r="6255" spans="1:5" x14ac:dyDescent="0.25">
      <c r="A6255" s="14">
        <v>960497</v>
      </c>
      <c r="B6255" s="14" t="s">
        <v>6368</v>
      </c>
      <c r="C6255" s="14" t="s">
        <v>13031</v>
      </c>
      <c r="D6255" s="15">
        <v>1.37</v>
      </c>
      <c r="E6255" s="16" t="s">
        <v>30</v>
      </c>
    </row>
    <row r="6256" spans="1:5" x14ac:dyDescent="0.25">
      <c r="A6256" s="14">
        <v>960500</v>
      </c>
      <c r="B6256" s="14" t="s">
        <v>6369</v>
      </c>
      <c r="C6256" s="14" t="s">
        <v>13031</v>
      </c>
      <c r="D6256" s="15">
        <v>4.8</v>
      </c>
      <c r="E6256" s="16" t="s">
        <v>30</v>
      </c>
    </row>
    <row r="6257" spans="1:5" x14ac:dyDescent="0.25">
      <c r="A6257" s="14">
        <v>960501</v>
      </c>
      <c r="B6257" s="14" t="s">
        <v>6370</v>
      </c>
      <c r="C6257" s="14" t="s">
        <v>13031</v>
      </c>
      <c r="D6257" s="15">
        <v>6.68</v>
      </c>
      <c r="E6257" s="16" t="s">
        <v>30</v>
      </c>
    </row>
    <row r="6258" spans="1:5" x14ac:dyDescent="0.25">
      <c r="A6258" s="14">
        <v>960502</v>
      </c>
      <c r="B6258" s="14" t="s">
        <v>6371</v>
      </c>
      <c r="C6258" s="14" t="s">
        <v>13031</v>
      </c>
      <c r="D6258" s="15">
        <v>9.49</v>
      </c>
      <c r="E6258" s="16" t="s">
        <v>30</v>
      </c>
    </row>
    <row r="6259" spans="1:5" x14ac:dyDescent="0.25">
      <c r="A6259" s="14">
        <v>960503</v>
      </c>
      <c r="B6259" s="14" t="s">
        <v>6372</v>
      </c>
      <c r="C6259" s="14" t="s">
        <v>13031</v>
      </c>
      <c r="D6259" s="15">
        <v>8.26</v>
      </c>
      <c r="E6259" s="16" t="s">
        <v>30</v>
      </c>
    </row>
    <row r="6260" spans="1:5" x14ac:dyDescent="0.25">
      <c r="A6260" s="14">
        <v>960504</v>
      </c>
      <c r="B6260" s="14" t="s">
        <v>6373</v>
      </c>
      <c r="C6260" s="14" t="s">
        <v>13031</v>
      </c>
      <c r="D6260" s="15">
        <v>7.29</v>
      </c>
      <c r="E6260" s="16" t="s">
        <v>30</v>
      </c>
    </row>
    <row r="6261" spans="1:5" x14ac:dyDescent="0.25">
      <c r="A6261" s="14">
        <v>960505</v>
      </c>
      <c r="B6261" s="14" t="s">
        <v>6374</v>
      </c>
      <c r="C6261" s="14" t="s">
        <v>13031</v>
      </c>
      <c r="D6261" s="15">
        <v>15.96</v>
      </c>
      <c r="E6261" s="16" t="s">
        <v>30</v>
      </c>
    </row>
    <row r="6262" spans="1:5" x14ac:dyDescent="0.25">
      <c r="A6262" s="14">
        <v>960506</v>
      </c>
      <c r="B6262" s="14" t="s">
        <v>6375</v>
      </c>
      <c r="C6262" s="14" t="s">
        <v>13031</v>
      </c>
      <c r="D6262" s="15">
        <v>15.96</v>
      </c>
      <c r="E6262" s="16" t="s">
        <v>30</v>
      </c>
    </row>
    <row r="6263" spans="1:5" x14ac:dyDescent="0.25">
      <c r="A6263" s="14">
        <v>960507</v>
      </c>
      <c r="B6263" s="14" t="s">
        <v>6376</v>
      </c>
      <c r="C6263" s="14" t="s">
        <v>13031</v>
      </c>
      <c r="D6263" s="15">
        <v>15.96</v>
      </c>
      <c r="E6263" s="16" t="s">
        <v>30</v>
      </c>
    </row>
    <row r="6264" spans="1:5" x14ac:dyDescent="0.25">
      <c r="A6264" s="14">
        <v>960508</v>
      </c>
      <c r="B6264" s="14" t="s">
        <v>6377</v>
      </c>
      <c r="C6264" s="14" t="s">
        <v>13031</v>
      </c>
      <c r="D6264" s="15">
        <v>17.149999999999999</v>
      </c>
      <c r="E6264" s="16" t="s">
        <v>30</v>
      </c>
    </row>
    <row r="6265" spans="1:5" x14ac:dyDescent="0.25">
      <c r="A6265" s="14">
        <v>960509</v>
      </c>
      <c r="B6265" s="14" t="s">
        <v>6378</v>
      </c>
      <c r="C6265" s="14" t="s">
        <v>13031</v>
      </c>
      <c r="D6265" s="15">
        <v>15.96</v>
      </c>
      <c r="E6265" s="16" t="s">
        <v>30</v>
      </c>
    </row>
    <row r="6266" spans="1:5" x14ac:dyDescent="0.25">
      <c r="A6266" s="14">
        <v>960511</v>
      </c>
      <c r="B6266" s="14" t="s">
        <v>6379</v>
      </c>
      <c r="C6266" s="14" t="s">
        <v>13031</v>
      </c>
      <c r="D6266" s="15">
        <v>25.39</v>
      </c>
      <c r="E6266" s="16" t="s">
        <v>30</v>
      </c>
    </row>
    <row r="6267" spans="1:5" x14ac:dyDescent="0.25">
      <c r="A6267" s="14">
        <v>960685</v>
      </c>
      <c r="B6267" s="14" t="s">
        <v>6380</v>
      </c>
      <c r="C6267" s="14" t="s">
        <v>13030</v>
      </c>
      <c r="D6267" s="15">
        <v>82.77</v>
      </c>
      <c r="E6267" s="16" t="s">
        <v>30</v>
      </c>
    </row>
    <row r="6268" spans="1:5" x14ac:dyDescent="0.25">
      <c r="A6268" s="14">
        <v>960686</v>
      </c>
      <c r="B6268" s="14" t="s">
        <v>6381</v>
      </c>
      <c r="C6268" s="14" t="s">
        <v>13029</v>
      </c>
      <c r="D6268" s="15">
        <v>69.13</v>
      </c>
      <c r="E6268" s="16" t="s">
        <v>30</v>
      </c>
    </row>
    <row r="6269" spans="1:5" x14ac:dyDescent="0.25">
      <c r="A6269" s="14">
        <v>960687</v>
      </c>
      <c r="B6269" s="14" t="s">
        <v>6382</v>
      </c>
      <c r="C6269" s="14" t="s">
        <v>13029</v>
      </c>
      <c r="D6269" s="15">
        <v>66.709999999999994</v>
      </c>
      <c r="E6269" s="16" t="s">
        <v>30</v>
      </c>
    </row>
    <row r="6270" spans="1:5" x14ac:dyDescent="0.25">
      <c r="A6270" s="14">
        <v>960688</v>
      </c>
      <c r="B6270" s="14" t="s">
        <v>6383</v>
      </c>
      <c r="C6270" s="14" t="s">
        <v>13029</v>
      </c>
      <c r="D6270" s="15">
        <v>102.38</v>
      </c>
      <c r="E6270" s="16" t="s">
        <v>30</v>
      </c>
    </row>
    <row r="6271" spans="1:5" x14ac:dyDescent="0.25">
      <c r="A6271" s="14">
        <v>960689</v>
      </c>
      <c r="B6271" s="14" t="s">
        <v>6384</v>
      </c>
      <c r="C6271" s="14" t="s">
        <v>13029</v>
      </c>
      <c r="D6271" s="15">
        <v>53.39</v>
      </c>
      <c r="E6271" s="16" t="s">
        <v>30</v>
      </c>
    </row>
    <row r="6272" spans="1:5" x14ac:dyDescent="0.25">
      <c r="A6272" s="14">
        <v>960690</v>
      </c>
      <c r="B6272" s="14" t="s">
        <v>6385</v>
      </c>
      <c r="C6272" s="14" t="s">
        <v>13029</v>
      </c>
      <c r="D6272" s="15">
        <v>68.25</v>
      </c>
      <c r="E6272" s="16" t="s">
        <v>30</v>
      </c>
    </row>
    <row r="6273" spans="1:5" x14ac:dyDescent="0.25">
      <c r="A6273" s="14">
        <v>960691</v>
      </c>
      <c r="B6273" s="14" t="s">
        <v>6386</v>
      </c>
      <c r="C6273" s="14" t="s">
        <v>13029</v>
      </c>
      <c r="D6273" s="15">
        <v>48.7</v>
      </c>
      <c r="E6273" s="16" t="s">
        <v>30</v>
      </c>
    </row>
    <row r="6274" spans="1:5" x14ac:dyDescent="0.25">
      <c r="A6274" s="14">
        <v>960700</v>
      </c>
      <c r="B6274" s="14" t="s">
        <v>6387</v>
      </c>
      <c r="C6274" s="14" t="s">
        <v>13029</v>
      </c>
      <c r="D6274" s="15">
        <v>41.42</v>
      </c>
      <c r="E6274" s="14" t="s">
        <v>30</v>
      </c>
    </row>
    <row r="6275" spans="1:5" x14ac:dyDescent="0.25">
      <c r="A6275" s="14">
        <v>960701</v>
      </c>
      <c r="B6275" s="14" t="s">
        <v>6388</v>
      </c>
      <c r="C6275" s="14" t="s">
        <v>13029</v>
      </c>
      <c r="D6275" s="15">
        <v>41.42</v>
      </c>
      <c r="E6275" s="14" t="s">
        <v>30</v>
      </c>
    </row>
    <row r="6276" spans="1:5" x14ac:dyDescent="0.25">
      <c r="A6276" s="14">
        <v>960959</v>
      </c>
      <c r="B6276" s="14" t="s">
        <v>6389</v>
      </c>
      <c r="C6276" s="14" t="s">
        <v>13031</v>
      </c>
      <c r="D6276" s="15">
        <v>11.81</v>
      </c>
      <c r="E6276" s="16" t="s">
        <v>30</v>
      </c>
    </row>
    <row r="6277" spans="1:5" x14ac:dyDescent="0.25">
      <c r="A6277" s="14">
        <v>960960</v>
      </c>
      <c r="B6277" s="14" t="s">
        <v>6390</v>
      </c>
      <c r="C6277" s="14" t="s">
        <v>13031</v>
      </c>
      <c r="D6277" s="15">
        <v>10.029999999999999</v>
      </c>
      <c r="E6277" s="16" t="s">
        <v>30</v>
      </c>
    </row>
    <row r="6278" spans="1:5" x14ac:dyDescent="0.25">
      <c r="A6278" s="14">
        <v>947248</v>
      </c>
      <c r="B6278" s="14" t="s">
        <v>6391</v>
      </c>
      <c r="C6278" s="14" t="s">
        <v>13031</v>
      </c>
      <c r="D6278" s="15">
        <v>16.02</v>
      </c>
      <c r="E6278" s="16" t="s">
        <v>20</v>
      </c>
    </row>
    <row r="6279" spans="1:5" x14ac:dyDescent="0.25">
      <c r="A6279" s="14">
        <v>960961</v>
      </c>
      <c r="B6279" s="14" t="s">
        <v>6392</v>
      </c>
      <c r="C6279" s="14" t="s">
        <v>13031</v>
      </c>
      <c r="D6279" s="15">
        <v>5.87</v>
      </c>
      <c r="E6279" s="16" t="s">
        <v>30</v>
      </c>
    </row>
    <row r="6280" spans="1:5" x14ac:dyDescent="0.25">
      <c r="A6280" s="14">
        <v>960962</v>
      </c>
      <c r="B6280" s="14" t="s">
        <v>6393</v>
      </c>
      <c r="C6280" s="14" t="s">
        <v>13031</v>
      </c>
      <c r="D6280" s="15">
        <v>10.029999999999999</v>
      </c>
      <c r="E6280" s="16" t="s">
        <v>30</v>
      </c>
    </row>
    <row r="6281" spans="1:5" x14ac:dyDescent="0.25">
      <c r="A6281" s="14">
        <v>960963</v>
      </c>
      <c r="B6281" s="14" t="s">
        <v>6394</v>
      </c>
      <c r="C6281" s="14" t="s">
        <v>13031</v>
      </c>
      <c r="D6281" s="15">
        <v>10.029999999999999</v>
      </c>
      <c r="E6281" s="16" t="s">
        <v>30</v>
      </c>
    </row>
    <row r="6282" spans="1:5" x14ac:dyDescent="0.25">
      <c r="A6282" s="14">
        <v>960964</v>
      </c>
      <c r="B6282" s="14" t="s">
        <v>6395</v>
      </c>
      <c r="C6282" s="14" t="s">
        <v>13031</v>
      </c>
      <c r="D6282" s="15">
        <v>13.29</v>
      </c>
      <c r="E6282" s="16" t="s">
        <v>30</v>
      </c>
    </row>
    <row r="6283" spans="1:5" x14ac:dyDescent="0.25">
      <c r="A6283" s="14">
        <v>960965</v>
      </c>
      <c r="B6283" s="14" t="s">
        <v>6396</v>
      </c>
      <c r="C6283" s="14" t="s">
        <v>13029</v>
      </c>
      <c r="D6283" s="15">
        <v>13.55</v>
      </c>
      <c r="E6283" s="16" t="s">
        <v>30</v>
      </c>
    </row>
    <row r="6284" spans="1:5" x14ac:dyDescent="0.25">
      <c r="A6284" s="14">
        <v>960977</v>
      </c>
      <c r="B6284" s="14" t="s">
        <v>6397</v>
      </c>
      <c r="C6284" s="14" t="s">
        <v>13030</v>
      </c>
      <c r="D6284" s="15">
        <v>40.61</v>
      </c>
      <c r="E6284" s="16" t="s">
        <v>30</v>
      </c>
    </row>
    <row r="6285" spans="1:5" x14ac:dyDescent="0.25">
      <c r="A6285" s="14">
        <v>960982</v>
      </c>
      <c r="B6285" s="14" t="s">
        <v>6398</v>
      </c>
      <c r="C6285" s="14" t="s">
        <v>13030</v>
      </c>
      <c r="D6285" s="15">
        <v>75.63</v>
      </c>
      <c r="E6285" s="16" t="s">
        <v>30</v>
      </c>
    </row>
    <row r="6286" spans="1:5" x14ac:dyDescent="0.25">
      <c r="A6286" s="14">
        <v>960983</v>
      </c>
      <c r="B6286" s="14" t="s">
        <v>6399</v>
      </c>
      <c r="C6286" s="14" t="s">
        <v>13030</v>
      </c>
      <c r="D6286" s="15">
        <v>76.13</v>
      </c>
      <c r="E6286" s="16" t="s">
        <v>30</v>
      </c>
    </row>
    <row r="6287" spans="1:5" x14ac:dyDescent="0.25">
      <c r="A6287" s="14">
        <v>960984</v>
      </c>
      <c r="B6287" s="14" t="s">
        <v>6400</v>
      </c>
      <c r="C6287" s="14" t="s">
        <v>13030</v>
      </c>
      <c r="D6287" s="15">
        <v>69.27</v>
      </c>
      <c r="E6287" s="14" t="s">
        <v>30</v>
      </c>
    </row>
    <row r="6288" spans="1:5" x14ac:dyDescent="0.25">
      <c r="A6288" s="14">
        <v>960987</v>
      </c>
      <c r="B6288" s="14" t="s">
        <v>6401</v>
      </c>
      <c r="C6288" s="14" t="s">
        <v>13030</v>
      </c>
      <c r="D6288" s="15">
        <v>160.46</v>
      </c>
      <c r="E6288" s="16" t="s">
        <v>30</v>
      </c>
    </row>
    <row r="6289" spans="1:5" x14ac:dyDescent="0.25">
      <c r="A6289" s="14">
        <v>960988</v>
      </c>
      <c r="B6289" s="14" t="s">
        <v>6402</v>
      </c>
      <c r="C6289" s="14" t="s">
        <v>13030</v>
      </c>
      <c r="D6289" s="15">
        <v>261.74</v>
      </c>
      <c r="E6289" s="16" t="s">
        <v>30</v>
      </c>
    </row>
    <row r="6290" spans="1:5" x14ac:dyDescent="0.25">
      <c r="A6290" s="14">
        <v>960989</v>
      </c>
      <c r="B6290" s="14" t="s">
        <v>6403</v>
      </c>
      <c r="C6290" s="14" t="s">
        <v>13030</v>
      </c>
      <c r="D6290" s="15">
        <v>2144.98</v>
      </c>
      <c r="E6290" s="16" t="s">
        <v>30</v>
      </c>
    </row>
    <row r="6291" spans="1:5" x14ac:dyDescent="0.25">
      <c r="A6291" s="14">
        <v>960991</v>
      </c>
      <c r="B6291" s="14" t="s">
        <v>6404</v>
      </c>
      <c r="C6291" s="14" t="s">
        <v>13030</v>
      </c>
      <c r="D6291" s="15">
        <v>224.49</v>
      </c>
      <c r="E6291" s="16" t="s">
        <v>30</v>
      </c>
    </row>
    <row r="6292" spans="1:5" x14ac:dyDescent="0.25">
      <c r="A6292" s="14">
        <v>960992</v>
      </c>
      <c r="B6292" s="14" t="s">
        <v>6405</v>
      </c>
      <c r="C6292" s="14" t="s">
        <v>13030</v>
      </c>
      <c r="D6292" s="15">
        <v>975.53</v>
      </c>
      <c r="E6292" s="16" t="s">
        <v>30</v>
      </c>
    </row>
    <row r="6293" spans="1:5" x14ac:dyDescent="0.25">
      <c r="A6293" s="14">
        <v>960998</v>
      </c>
      <c r="B6293" s="14" t="s">
        <v>6406</v>
      </c>
      <c r="C6293" s="14" t="s">
        <v>13030</v>
      </c>
      <c r="D6293" s="15">
        <v>3.1</v>
      </c>
      <c r="E6293" s="16" t="s">
        <v>30</v>
      </c>
    </row>
    <row r="6294" spans="1:5" x14ac:dyDescent="0.25">
      <c r="A6294" s="14">
        <v>960999</v>
      </c>
      <c r="B6294" s="14" t="s">
        <v>6407</v>
      </c>
      <c r="C6294" s="14" t="s">
        <v>13030</v>
      </c>
      <c r="D6294" s="15">
        <v>3.1</v>
      </c>
      <c r="E6294" s="16" t="s">
        <v>30</v>
      </c>
    </row>
    <row r="6295" spans="1:5" x14ac:dyDescent="0.25">
      <c r="A6295" s="14">
        <v>961000</v>
      </c>
      <c r="B6295" s="14" t="s">
        <v>6408</v>
      </c>
      <c r="C6295" s="14" t="s">
        <v>13030</v>
      </c>
      <c r="D6295" s="15">
        <v>3.1</v>
      </c>
      <c r="E6295" s="16" t="s">
        <v>30</v>
      </c>
    </row>
    <row r="6296" spans="1:5" x14ac:dyDescent="0.25">
      <c r="A6296" s="14">
        <v>961001</v>
      </c>
      <c r="B6296" s="14" t="s">
        <v>6409</v>
      </c>
      <c r="C6296" s="14" t="s">
        <v>13030</v>
      </c>
      <c r="D6296" s="15">
        <v>3.1</v>
      </c>
      <c r="E6296" s="16" t="s">
        <v>30</v>
      </c>
    </row>
    <row r="6297" spans="1:5" x14ac:dyDescent="0.25">
      <c r="A6297" s="14">
        <v>961034</v>
      </c>
      <c r="B6297" s="14" t="s">
        <v>6410</v>
      </c>
      <c r="C6297" s="14" t="s">
        <v>13030</v>
      </c>
      <c r="D6297" s="15">
        <v>159.76</v>
      </c>
      <c r="E6297" s="16" t="s">
        <v>30</v>
      </c>
    </row>
    <row r="6298" spans="1:5" x14ac:dyDescent="0.25">
      <c r="A6298" s="14">
        <v>961042</v>
      </c>
      <c r="B6298" s="14" t="s">
        <v>6411</v>
      </c>
      <c r="C6298" s="14" t="s">
        <v>13034</v>
      </c>
      <c r="D6298" s="15">
        <v>20.43</v>
      </c>
      <c r="E6298" s="16" t="s">
        <v>30</v>
      </c>
    </row>
    <row r="6299" spans="1:5" x14ac:dyDescent="0.25">
      <c r="A6299" s="14">
        <v>961043</v>
      </c>
      <c r="B6299" s="14" t="s">
        <v>6412</v>
      </c>
      <c r="C6299" s="14" t="s">
        <v>13034</v>
      </c>
      <c r="D6299" s="15">
        <v>20.43</v>
      </c>
      <c r="E6299" s="16" t="s">
        <v>30</v>
      </c>
    </row>
    <row r="6300" spans="1:5" x14ac:dyDescent="0.25">
      <c r="A6300" s="14">
        <v>961044</v>
      </c>
      <c r="B6300" s="14" t="s">
        <v>6413</v>
      </c>
      <c r="C6300" s="14" t="s">
        <v>13034</v>
      </c>
      <c r="D6300" s="15">
        <v>20.43</v>
      </c>
      <c r="E6300" s="16" t="s">
        <v>30</v>
      </c>
    </row>
    <row r="6301" spans="1:5" x14ac:dyDescent="0.25">
      <c r="A6301" s="14">
        <v>961113</v>
      </c>
      <c r="B6301" s="14" t="s">
        <v>6414</v>
      </c>
      <c r="C6301" s="14" t="s">
        <v>13031</v>
      </c>
      <c r="D6301" s="15">
        <v>17.71</v>
      </c>
      <c r="E6301" s="16" t="s">
        <v>30</v>
      </c>
    </row>
    <row r="6302" spans="1:5" x14ac:dyDescent="0.25">
      <c r="A6302" s="14">
        <v>961114</v>
      </c>
      <c r="B6302" s="14" t="s">
        <v>6415</v>
      </c>
      <c r="C6302" s="14" t="s">
        <v>13031</v>
      </c>
      <c r="D6302" s="15">
        <v>43.03</v>
      </c>
      <c r="E6302" s="16" t="s">
        <v>30</v>
      </c>
    </row>
    <row r="6303" spans="1:5" x14ac:dyDescent="0.25">
      <c r="A6303" s="14">
        <v>961550</v>
      </c>
      <c r="B6303" s="14" t="s">
        <v>6416</v>
      </c>
      <c r="C6303" s="14" t="s">
        <v>13031</v>
      </c>
      <c r="D6303" s="15">
        <v>4.74</v>
      </c>
      <c r="E6303" s="16" t="s">
        <v>30</v>
      </c>
    </row>
    <row r="6304" spans="1:5" x14ac:dyDescent="0.25">
      <c r="A6304" s="14">
        <v>961551</v>
      </c>
      <c r="B6304" s="14" t="s">
        <v>6417</v>
      </c>
      <c r="C6304" s="14" t="s">
        <v>13031</v>
      </c>
      <c r="D6304" s="15">
        <v>8.99</v>
      </c>
      <c r="E6304" s="16" t="s">
        <v>30</v>
      </c>
    </row>
    <row r="6305" spans="1:5" x14ac:dyDescent="0.25">
      <c r="A6305" s="14">
        <v>961552</v>
      </c>
      <c r="B6305" s="14" t="s">
        <v>6418</v>
      </c>
      <c r="C6305" s="14" t="s">
        <v>13031</v>
      </c>
      <c r="D6305" s="15">
        <v>5.04</v>
      </c>
      <c r="E6305" s="16" t="s">
        <v>30</v>
      </c>
    </row>
    <row r="6306" spans="1:5" x14ac:dyDescent="0.25">
      <c r="A6306" s="14">
        <v>961553</v>
      </c>
      <c r="B6306" s="14" t="s">
        <v>6419</v>
      </c>
      <c r="C6306" s="14" t="s">
        <v>13031</v>
      </c>
      <c r="D6306" s="15">
        <v>3.68</v>
      </c>
      <c r="E6306" s="16" t="s">
        <v>30</v>
      </c>
    </row>
    <row r="6307" spans="1:5" x14ac:dyDescent="0.25">
      <c r="A6307" s="14">
        <v>961554</v>
      </c>
      <c r="B6307" s="14" t="s">
        <v>6420</v>
      </c>
      <c r="C6307" s="14" t="s">
        <v>13031</v>
      </c>
      <c r="D6307" s="15">
        <v>7.06</v>
      </c>
      <c r="E6307" s="16" t="s">
        <v>30</v>
      </c>
    </row>
    <row r="6308" spans="1:5" x14ac:dyDescent="0.25">
      <c r="A6308" s="14">
        <v>961555</v>
      </c>
      <c r="B6308" s="14" t="s">
        <v>6421</v>
      </c>
      <c r="C6308" s="14" t="s">
        <v>13031</v>
      </c>
      <c r="D6308" s="15">
        <v>7.06</v>
      </c>
      <c r="E6308" s="16" t="s">
        <v>30</v>
      </c>
    </row>
    <row r="6309" spans="1:5" x14ac:dyDescent="0.25">
      <c r="A6309" s="14">
        <v>961556</v>
      </c>
      <c r="B6309" s="14" t="s">
        <v>6422</v>
      </c>
      <c r="C6309" s="14" t="s">
        <v>13030</v>
      </c>
      <c r="D6309" s="15">
        <v>48.58</v>
      </c>
      <c r="E6309" s="16" t="s">
        <v>30</v>
      </c>
    </row>
    <row r="6310" spans="1:5" x14ac:dyDescent="0.25">
      <c r="A6310" s="14">
        <v>961557</v>
      </c>
      <c r="B6310" s="14" t="s">
        <v>6423</v>
      </c>
      <c r="C6310" s="14" t="s">
        <v>13030</v>
      </c>
      <c r="D6310" s="15">
        <v>5.0199999999999996</v>
      </c>
      <c r="E6310" s="16" t="s">
        <v>30</v>
      </c>
    </row>
    <row r="6311" spans="1:5" x14ac:dyDescent="0.25">
      <c r="A6311" s="14">
        <v>961558</v>
      </c>
      <c r="B6311" s="14" t="s">
        <v>6424</v>
      </c>
      <c r="C6311" s="14" t="s">
        <v>13030</v>
      </c>
      <c r="D6311" s="15">
        <v>5.0199999999999996</v>
      </c>
      <c r="E6311" s="16" t="s">
        <v>30</v>
      </c>
    </row>
    <row r="6312" spans="1:5" x14ac:dyDescent="0.25">
      <c r="A6312" s="14">
        <v>961559</v>
      </c>
      <c r="B6312" s="14" t="s">
        <v>6425</v>
      </c>
      <c r="C6312" s="14" t="s">
        <v>13030</v>
      </c>
      <c r="D6312" s="15">
        <v>5.0199999999999996</v>
      </c>
      <c r="E6312" s="16" t="s">
        <v>30</v>
      </c>
    </row>
    <row r="6313" spans="1:5" x14ac:dyDescent="0.25">
      <c r="A6313" s="14">
        <v>961580</v>
      </c>
      <c r="B6313" s="14" t="s">
        <v>6426</v>
      </c>
      <c r="C6313" s="14" t="s">
        <v>13029</v>
      </c>
      <c r="D6313" s="15">
        <v>6.06</v>
      </c>
      <c r="E6313" s="16" t="s">
        <v>30</v>
      </c>
    </row>
    <row r="6314" spans="1:5" x14ac:dyDescent="0.25">
      <c r="A6314" s="14">
        <v>961581</v>
      </c>
      <c r="B6314" s="14" t="s">
        <v>6427</v>
      </c>
      <c r="C6314" s="14" t="s">
        <v>13029</v>
      </c>
      <c r="D6314" s="15">
        <v>3.63</v>
      </c>
      <c r="E6314" s="16" t="s">
        <v>30</v>
      </c>
    </row>
    <row r="6315" spans="1:5" x14ac:dyDescent="0.25">
      <c r="A6315" s="14">
        <v>961582</v>
      </c>
      <c r="B6315" s="14" t="s">
        <v>6428</v>
      </c>
      <c r="C6315" s="14" t="s">
        <v>13029</v>
      </c>
      <c r="D6315" s="15">
        <v>6.55</v>
      </c>
      <c r="E6315" s="16" t="s">
        <v>30</v>
      </c>
    </row>
    <row r="6316" spans="1:5" x14ac:dyDescent="0.25">
      <c r="A6316" s="14">
        <v>961583</v>
      </c>
      <c r="B6316" s="14" t="s">
        <v>6429</v>
      </c>
      <c r="C6316" s="14" t="s">
        <v>13029</v>
      </c>
      <c r="D6316" s="15">
        <v>24.8</v>
      </c>
      <c r="E6316" s="16" t="s">
        <v>30</v>
      </c>
    </row>
    <row r="6317" spans="1:5" x14ac:dyDescent="0.25">
      <c r="A6317" s="14">
        <v>961584</v>
      </c>
      <c r="B6317" s="14" t="s">
        <v>6430</v>
      </c>
      <c r="C6317" s="14" t="s">
        <v>13029</v>
      </c>
      <c r="D6317" s="15">
        <v>5.45</v>
      </c>
      <c r="E6317" s="16" t="s">
        <v>30</v>
      </c>
    </row>
    <row r="6318" spans="1:5" x14ac:dyDescent="0.25">
      <c r="A6318" s="14">
        <v>961585</v>
      </c>
      <c r="B6318" s="14" t="s">
        <v>6431</v>
      </c>
      <c r="C6318" s="14" t="s">
        <v>13029</v>
      </c>
      <c r="D6318" s="15">
        <v>45.01</v>
      </c>
      <c r="E6318" s="16" t="s">
        <v>30</v>
      </c>
    </row>
    <row r="6319" spans="1:5" x14ac:dyDescent="0.25">
      <c r="A6319" s="14">
        <v>961588</v>
      </c>
      <c r="B6319" s="14" t="s">
        <v>6432</v>
      </c>
      <c r="C6319" s="14" t="s">
        <v>13030</v>
      </c>
      <c r="D6319" s="15">
        <v>2.4500000000000002</v>
      </c>
      <c r="E6319" s="16" t="s">
        <v>30</v>
      </c>
    </row>
    <row r="6320" spans="1:5" x14ac:dyDescent="0.25">
      <c r="A6320" s="14">
        <v>961589</v>
      </c>
      <c r="B6320" s="14" t="s">
        <v>6433</v>
      </c>
      <c r="C6320" s="14" t="s">
        <v>13030</v>
      </c>
      <c r="D6320" s="15">
        <v>4.62</v>
      </c>
      <c r="E6320" s="16" t="s">
        <v>30</v>
      </c>
    </row>
    <row r="6321" spans="1:5" x14ac:dyDescent="0.25">
      <c r="A6321" s="14">
        <v>961610</v>
      </c>
      <c r="B6321" s="14" t="s">
        <v>6434</v>
      </c>
      <c r="C6321" s="14" t="s">
        <v>13031</v>
      </c>
      <c r="D6321" s="15">
        <v>13.35</v>
      </c>
      <c r="E6321" s="16" t="s">
        <v>30</v>
      </c>
    </row>
    <row r="6322" spans="1:5" x14ac:dyDescent="0.25">
      <c r="A6322" s="14">
        <v>961612</v>
      </c>
      <c r="B6322" s="14" t="s">
        <v>6435</v>
      </c>
      <c r="C6322" s="14" t="s">
        <v>13031</v>
      </c>
      <c r="D6322" s="15">
        <v>7.2</v>
      </c>
      <c r="E6322" s="16" t="s">
        <v>30</v>
      </c>
    </row>
    <row r="6323" spans="1:5" x14ac:dyDescent="0.25">
      <c r="A6323" s="14">
        <v>961670</v>
      </c>
      <c r="B6323" s="14" t="s">
        <v>6436</v>
      </c>
      <c r="C6323" s="14" t="s">
        <v>13029</v>
      </c>
      <c r="D6323" s="15">
        <v>4.8499999999999996</v>
      </c>
      <c r="E6323" s="16" t="s">
        <v>30</v>
      </c>
    </row>
    <row r="6324" spans="1:5" x14ac:dyDescent="0.25">
      <c r="A6324" s="14">
        <v>961671</v>
      </c>
      <c r="B6324" s="14" t="s">
        <v>6437</v>
      </c>
      <c r="C6324" s="14" t="s">
        <v>13029</v>
      </c>
      <c r="D6324" s="15">
        <v>2.95</v>
      </c>
      <c r="E6324" s="16" t="s">
        <v>30</v>
      </c>
    </row>
    <row r="6325" spans="1:5" x14ac:dyDescent="0.25">
      <c r="A6325" s="14">
        <v>961843</v>
      </c>
      <c r="B6325" s="14" t="s">
        <v>6438</v>
      </c>
      <c r="C6325" s="14" t="s">
        <v>13031</v>
      </c>
      <c r="D6325" s="15">
        <v>3.04</v>
      </c>
      <c r="E6325" s="16" t="s">
        <v>30</v>
      </c>
    </row>
    <row r="6326" spans="1:5" x14ac:dyDescent="0.25">
      <c r="A6326" s="14">
        <v>961844</v>
      </c>
      <c r="B6326" s="14" t="s">
        <v>6439</v>
      </c>
      <c r="C6326" s="14" t="s">
        <v>13031</v>
      </c>
      <c r="D6326" s="15">
        <v>3.43</v>
      </c>
      <c r="E6326" s="16" t="s">
        <v>30</v>
      </c>
    </row>
    <row r="6327" spans="1:5" x14ac:dyDescent="0.25">
      <c r="A6327" s="14">
        <v>961845</v>
      </c>
      <c r="B6327" s="14" t="s">
        <v>6440</v>
      </c>
      <c r="C6327" s="14" t="s">
        <v>13031</v>
      </c>
      <c r="D6327" s="15">
        <v>3.43</v>
      </c>
      <c r="E6327" s="16" t="s">
        <v>30</v>
      </c>
    </row>
    <row r="6328" spans="1:5" x14ac:dyDescent="0.25">
      <c r="A6328" s="14">
        <v>961846</v>
      </c>
      <c r="B6328" s="14" t="s">
        <v>6441</v>
      </c>
      <c r="C6328" s="14" t="s">
        <v>13031</v>
      </c>
      <c r="D6328" s="15">
        <v>107.45</v>
      </c>
      <c r="E6328" s="16" t="s">
        <v>30</v>
      </c>
    </row>
    <row r="6329" spans="1:5" x14ac:dyDescent="0.25">
      <c r="A6329" s="14">
        <v>961847</v>
      </c>
      <c r="B6329" s="14" t="s">
        <v>6442</v>
      </c>
      <c r="C6329" s="14" t="s">
        <v>13031</v>
      </c>
      <c r="D6329" s="15">
        <v>107.45</v>
      </c>
      <c r="E6329" s="16" t="s">
        <v>30</v>
      </c>
    </row>
    <row r="6330" spans="1:5" x14ac:dyDescent="0.25">
      <c r="A6330" s="14">
        <v>961867</v>
      </c>
      <c r="B6330" s="14" t="s">
        <v>6443</v>
      </c>
      <c r="C6330" s="14" t="s">
        <v>13031</v>
      </c>
      <c r="D6330" s="15">
        <v>7.99</v>
      </c>
      <c r="E6330" s="16" t="s">
        <v>30</v>
      </c>
    </row>
    <row r="6331" spans="1:5" x14ac:dyDescent="0.25">
      <c r="A6331" s="14">
        <v>961868</v>
      </c>
      <c r="B6331" s="14" t="s">
        <v>6444</v>
      </c>
      <c r="C6331" s="14" t="s">
        <v>13031</v>
      </c>
      <c r="D6331" s="15">
        <v>5.75</v>
      </c>
      <c r="E6331" s="16" t="s">
        <v>30</v>
      </c>
    </row>
    <row r="6332" spans="1:5" x14ac:dyDescent="0.25">
      <c r="A6332" s="14">
        <v>961869</v>
      </c>
      <c r="B6332" s="14" t="s">
        <v>6445</v>
      </c>
      <c r="C6332" s="14" t="s">
        <v>13031</v>
      </c>
      <c r="D6332" s="15">
        <v>8.11</v>
      </c>
      <c r="E6332" s="16" t="s">
        <v>30</v>
      </c>
    </row>
    <row r="6333" spans="1:5" x14ac:dyDescent="0.25">
      <c r="A6333" s="14">
        <v>961870</v>
      </c>
      <c r="B6333" s="14" t="s">
        <v>6446</v>
      </c>
      <c r="C6333" s="14" t="s">
        <v>13031</v>
      </c>
      <c r="D6333" s="15">
        <v>9.25</v>
      </c>
      <c r="E6333" s="16" t="s">
        <v>30</v>
      </c>
    </row>
    <row r="6334" spans="1:5" x14ac:dyDescent="0.25">
      <c r="A6334" s="14">
        <v>961871</v>
      </c>
      <c r="B6334" s="14" t="s">
        <v>6447</v>
      </c>
      <c r="C6334" s="14" t="s">
        <v>13031</v>
      </c>
      <c r="D6334" s="15">
        <v>9.25</v>
      </c>
      <c r="E6334" s="16" t="s">
        <v>30</v>
      </c>
    </row>
    <row r="6335" spans="1:5" x14ac:dyDescent="0.25">
      <c r="A6335" s="14">
        <v>947274</v>
      </c>
      <c r="B6335" s="14" t="s">
        <v>6448</v>
      </c>
      <c r="C6335" s="14" t="s">
        <v>13031</v>
      </c>
      <c r="D6335" s="15">
        <v>6.69</v>
      </c>
      <c r="E6335" s="16" t="s">
        <v>20</v>
      </c>
    </row>
    <row r="6336" spans="1:5" x14ac:dyDescent="0.25">
      <c r="A6336" s="14">
        <v>961872</v>
      </c>
      <c r="B6336" s="14" t="s">
        <v>6449</v>
      </c>
      <c r="C6336" s="14" t="s">
        <v>13031</v>
      </c>
      <c r="D6336" s="15">
        <v>9.25</v>
      </c>
      <c r="E6336" s="16" t="s">
        <v>30</v>
      </c>
    </row>
    <row r="6337" spans="1:5" x14ac:dyDescent="0.25">
      <c r="A6337" s="14">
        <v>961873</v>
      </c>
      <c r="B6337" s="14" t="s">
        <v>6450</v>
      </c>
      <c r="C6337" s="14" t="s">
        <v>13031</v>
      </c>
      <c r="D6337" s="15">
        <v>7.65</v>
      </c>
      <c r="E6337" s="16" t="s">
        <v>30</v>
      </c>
    </row>
    <row r="6338" spans="1:5" x14ac:dyDescent="0.25">
      <c r="A6338" s="14">
        <v>961876</v>
      </c>
      <c r="B6338" s="14" t="s">
        <v>6451</v>
      </c>
      <c r="C6338" s="14" t="s">
        <v>13031</v>
      </c>
      <c r="D6338" s="15">
        <v>3.8</v>
      </c>
      <c r="E6338" s="16" t="s">
        <v>30</v>
      </c>
    </row>
    <row r="6339" spans="1:5" x14ac:dyDescent="0.25">
      <c r="A6339" s="14">
        <v>961877</v>
      </c>
      <c r="B6339" s="14" t="s">
        <v>6452</v>
      </c>
      <c r="C6339" s="14" t="s">
        <v>13031</v>
      </c>
      <c r="D6339" s="15">
        <v>3.8</v>
      </c>
      <c r="E6339" s="16" t="s">
        <v>30</v>
      </c>
    </row>
    <row r="6340" spans="1:5" x14ac:dyDescent="0.25">
      <c r="A6340" s="14">
        <v>961878</v>
      </c>
      <c r="B6340" s="14" t="s">
        <v>6453</v>
      </c>
      <c r="C6340" s="14" t="s">
        <v>13031</v>
      </c>
      <c r="D6340" s="15">
        <v>3.8</v>
      </c>
      <c r="E6340" s="16" t="s">
        <v>30</v>
      </c>
    </row>
    <row r="6341" spans="1:5" x14ac:dyDescent="0.25">
      <c r="A6341" s="14">
        <v>961879</v>
      </c>
      <c r="B6341" s="14" t="s">
        <v>6454</v>
      </c>
      <c r="C6341" s="14" t="s">
        <v>13031</v>
      </c>
      <c r="D6341" s="15">
        <v>2.31</v>
      </c>
      <c r="E6341" s="16" t="s">
        <v>30</v>
      </c>
    </row>
    <row r="6342" spans="1:5" x14ac:dyDescent="0.25">
      <c r="A6342" s="14">
        <v>961880</v>
      </c>
      <c r="B6342" s="14" t="s">
        <v>6455</v>
      </c>
      <c r="C6342" s="14" t="s">
        <v>13029</v>
      </c>
      <c r="D6342" s="15">
        <v>13.61</v>
      </c>
      <c r="E6342" s="16" t="s">
        <v>30</v>
      </c>
    </row>
    <row r="6343" spans="1:5" x14ac:dyDescent="0.25">
      <c r="A6343" s="14">
        <v>961988</v>
      </c>
      <c r="B6343" s="14" t="s">
        <v>6456</v>
      </c>
      <c r="C6343" s="14" t="s">
        <v>13029</v>
      </c>
      <c r="D6343" s="15">
        <v>35.479999999999997</v>
      </c>
      <c r="E6343" s="16" t="s">
        <v>30</v>
      </c>
    </row>
    <row r="6344" spans="1:5" x14ac:dyDescent="0.25">
      <c r="A6344" s="14">
        <v>961989</v>
      </c>
      <c r="B6344" s="14" t="s">
        <v>6457</v>
      </c>
      <c r="C6344" s="14" t="s">
        <v>13029</v>
      </c>
      <c r="D6344" s="15">
        <v>14.77</v>
      </c>
      <c r="E6344" s="16" t="s">
        <v>30</v>
      </c>
    </row>
    <row r="6345" spans="1:5" x14ac:dyDescent="0.25">
      <c r="A6345" s="14">
        <v>961990</v>
      </c>
      <c r="B6345" s="14" t="s">
        <v>6458</v>
      </c>
      <c r="C6345" s="14" t="s">
        <v>13029</v>
      </c>
      <c r="D6345" s="15">
        <v>57.2</v>
      </c>
      <c r="E6345" s="16" t="s">
        <v>30</v>
      </c>
    </row>
    <row r="6346" spans="1:5" x14ac:dyDescent="0.25">
      <c r="A6346" s="14">
        <v>961991</v>
      </c>
      <c r="B6346" s="14" t="s">
        <v>6459</v>
      </c>
      <c r="C6346" s="14" t="s">
        <v>13029</v>
      </c>
      <c r="D6346" s="15">
        <v>57.2</v>
      </c>
      <c r="E6346" s="16" t="s">
        <v>30</v>
      </c>
    </row>
    <row r="6347" spans="1:5" x14ac:dyDescent="0.25">
      <c r="A6347" s="14">
        <v>961992</v>
      </c>
      <c r="B6347" s="14" t="s">
        <v>6460</v>
      </c>
      <c r="C6347" s="14" t="s">
        <v>13029</v>
      </c>
      <c r="D6347" s="15">
        <v>20.13</v>
      </c>
      <c r="E6347" s="16" t="s">
        <v>30</v>
      </c>
    </row>
    <row r="6348" spans="1:5" x14ac:dyDescent="0.25">
      <c r="A6348" s="14">
        <v>961993</v>
      </c>
      <c r="B6348" s="14" t="s">
        <v>6461</v>
      </c>
      <c r="C6348" s="14" t="s">
        <v>13029</v>
      </c>
      <c r="D6348" s="15">
        <v>20.13</v>
      </c>
      <c r="E6348" s="16" t="s">
        <v>30</v>
      </c>
    </row>
    <row r="6349" spans="1:5" x14ac:dyDescent="0.25">
      <c r="A6349" s="14">
        <v>961994</v>
      </c>
      <c r="B6349" s="14" t="s">
        <v>6462</v>
      </c>
      <c r="C6349" s="14" t="s">
        <v>13029</v>
      </c>
      <c r="D6349" s="15">
        <v>20.13</v>
      </c>
      <c r="E6349" s="16" t="s">
        <v>30</v>
      </c>
    </row>
    <row r="6350" spans="1:5" x14ac:dyDescent="0.25">
      <c r="A6350" s="14">
        <v>961995</v>
      </c>
      <c r="B6350" s="14" t="s">
        <v>6463</v>
      </c>
      <c r="C6350" s="14" t="s">
        <v>13029</v>
      </c>
      <c r="D6350" s="15">
        <v>20.13</v>
      </c>
      <c r="E6350" s="16" t="s">
        <v>30</v>
      </c>
    </row>
    <row r="6351" spans="1:5" x14ac:dyDescent="0.25">
      <c r="A6351" s="14">
        <v>961996</v>
      </c>
      <c r="B6351" s="14" t="s">
        <v>6464</v>
      </c>
      <c r="C6351" s="14" t="s">
        <v>13029</v>
      </c>
      <c r="D6351" s="15">
        <v>23.77</v>
      </c>
      <c r="E6351" s="16" t="s">
        <v>30</v>
      </c>
    </row>
    <row r="6352" spans="1:5" x14ac:dyDescent="0.25">
      <c r="A6352" s="14">
        <v>961998</v>
      </c>
      <c r="B6352" s="14" t="s">
        <v>6465</v>
      </c>
      <c r="C6352" s="14" t="s">
        <v>13029</v>
      </c>
      <c r="D6352" s="15">
        <v>13.58</v>
      </c>
      <c r="E6352" s="16" t="s">
        <v>30</v>
      </c>
    </row>
    <row r="6353" spans="1:5" x14ac:dyDescent="0.25">
      <c r="A6353" s="14">
        <v>962039</v>
      </c>
      <c r="B6353" s="14" t="s">
        <v>6466</v>
      </c>
      <c r="C6353" s="14" t="s">
        <v>13029</v>
      </c>
      <c r="D6353" s="15">
        <v>23.89</v>
      </c>
      <c r="E6353" s="14" t="s">
        <v>30</v>
      </c>
    </row>
    <row r="6354" spans="1:5" x14ac:dyDescent="0.25">
      <c r="A6354" s="14">
        <v>962057</v>
      </c>
      <c r="B6354" s="14" t="s">
        <v>6467</v>
      </c>
      <c r="C6354" s="14" t="s">
        <v>13029</v>
      </c>
      <c r="D6354" s="15">
        <v>20.74</v>
      </c>
      <c r="E6354" s="16" t="s">
        <v>30</v>
      </c>
    </row>
    <row r="6355" spans="1:5" x14ac:dyDescent="0.25">
      <c r="A6355" s="14">
        <v>962143</v>
      </c>
      <c r="B6355" s="14" t="s">
        <v>6468</v>
      </c>
      <c r="C6355" s="14" t="s">
        <v>13031</v>
      </c>
      <c r="D6355" s="15">
        <v>25.6</v>
      </c>
      <c r="E6355" s="16" t="s">
        <v>30</v>
      </c>
    </row>
    <row r="6356" spans="1:5" x14ac:dyDescent="0.25">
      <c r="A6356" s="14">
        <v>962147</v>
      </c>
      <c r="B6356" s="14" t="s">
        <v>6469</v>
      </c>
      <c r="C6356" s="14" t="s">
        <v>13029</v>
      </c>
      <c r="D6356" s="15">
        <v>26.49</v>
      </c>
      <c r="E6356" s="16" t="s">
        <v>30</v>
      </c>
    </row>
    <row r="6357" spans="1:5" x14ac:dyDescent="0.25">
      <c r="A6357" s="14">
        <v>962148</v>
      </c>
      <c r="B6357" s="14" t="s">
        <v>6470</v>
      </c>
      <c r="C6357" s="14" t="s">
        <v>13029</v>
      </c>
      <c r="D6357" s="15">
        <v>27.4</v>
      </c>
      <c r="E6357" s="16" t="s">
        <v>30</v>
      </c>
    </row>
    <row r="6358" spans="1:5" x14ac:dyDescent="0.25">
      <c r="A6358" s="14">
        <v>962149</v>
      </c>
      <c r="B6358" s="14" t="s">
        <v>6471</v>
      </c>
      <c r="C6358" s="14" t="s">
        <v>13029</v>
      </c>
      <c r="D6358" s="15">
        <v>27.4</v>
      </c>
      <c r="E6358" s="16" t="s">
        <v>30</v>
      </c>
    </row>
    <row r="6359" spans="1:5" x14ac:dyDescent="0.25">
      <c r="A6359" s="14">
        <v>962182</v>
      </c>
      <c r="B6359" s="14" t="s">
        <v>6472</v>
      </c>
      <c r="C6359" s="14" t="s">
        <v>13030</v>
      </c>
      <c r="D6359" s="15">
        <v>11.86</v>
      </c>
      <c r="E6359" s="16" t="s">
        <v>30</v>
      </c>
    </row>
    <row r="6360" spans="1:5" x14ac:dyDescent="0.25">
      <c r="A6360" s="14">
        <v>962183</v>
      </c>
      <c r="B6360" s="14" t="s">
        <v>6473</v>
      </c>
      <c r="C6360" s="14" t="s">
        <v>13030</v>
      </c>
      <c r="D6360" s="15">
        <v>15.42</v>
      </c>
      <c r="E6360" s="16" t="s">
        <v>30</v>
      </c>
    </row>
    <row r="6361" spans="1:5" x14ac:dyDescent="0.25">
      <c r="A6361" s="14">
        <v>962266</v>
      </c>
      <c r="B6361" s="14" t="s">
        <v>6474</v>
      </c>
      <c r="C6361" s="14" t="s">
        <v>13030</v>
      </c>
      <c r="D6361" s="15">
        <v>52.05</v>
      </c>
      <c r="E6361" s="16" t="s">
        <v>30</v>
      </c>
    </row>
    <row r="6362" spans="1:5" x14ac:dyDescent="0.25">
      <c r="A6362" s="14">
        <v>962267</v>
      </c>
      <c r="B6362" s="14" t="s">
        <v>6475</v>
      </c>
      <c r="C6362" s="14" t="s">
        <v>13030</v>
      </c>
      <c r="D6362" s="15">
        <v>52.05</v>
      </c>
      <c r="E6362" s="16" t="s">
        <v>30</v>
      </c>
    </row>
    <row r="6363" spans="1:5" x14ac:dyDescent="0.25">
      <c r="A6363" s="14">
        <v>962268</v>
      </c>
      <c r="B6363" s="14" t="s">
        <v>6476</v>
      </c>
      <c r="C6363" s="14" t="s">
        <v>13030</v>
      </c>
      <c r="D6363" s="15">
        <v>52.05</v>
      </c>
      <c r="E6363" s="16" t="s">
        <v>30</v>
      </c>
    </row>
    <row r="6364" spans="1:5" x14ac:dyDescent="0.25">
      <c r="A6364" s="14">
        <v>962769</v>
      </c>
      <c r="B6364" s="14" t="s">
        <v>6477</v>
      </c>
      <c r="C6364" s="14" t="s">
        <v>13029</v>
      </c>
      <c r="D6364" s="15">
        <v>20.93</v>
      </c>
      <c r="E6364" s="16" t="s">
        <v>30</v>
      </c>
    </row>
    <row r="6365" spans="1:5" x14ac:dyDescent="0.25">
      <c r="A6365" s="14">
        <v>962792</v>
      </c>
      <c r="B6365" s="14" t="s">
        <v>6478</v>
      </c>
      <c r="C6365" s="14" t="s">
        <v>13031</v>
      </c>
      <c r="D6365" s="15">
        <v>4.6500000000000004</v>
      </c>
      <c r="E6365" s="16" t="s">
        <v>30</v>
      </c>
    </row>
    <row r="6366" spans="1:5" x14ac:dyDescent="0.25">
      <c r="A6366" s="14">
        <v>962793</v>
      </c>
      <c r="B6366" s="14" t="s">
        <v>6479</v>
      </c>
      <c r="C6366" s="14" t="s">
        <v>13031</v>
      </c>
      <c r="D6366" s="15">
        <v>4.75</v>
      </c>
      <c r="E6366" s="16" t="s">
        <v>30</v>
      </c>
    </row>
    <row r="6367" spans="1:5" x14ac:dyDescent="0.25">
      <c r="A6367" s="14">
        <v>962794</v>
      </c>
      <c r="B6367" s="14" t="s">
        <v>6480</v>
      </c>
      <c r="C6367" s="14" t="s">
        <v>13031</v>
      </c>
      <c r="D6367" s="15">
        <v>4.4000000000000004</v>
      </c>
      <c r="E6367" s="16" t="s">
        <v>30</v>
      </c>
    </row>
    <row r="6368" spans="1:5" x14ac:dyDescent="0.25">
      <c r="A6368" s="14">
        <v>962795</v>
      </c>
      <c r="B6368" s="14" t="s">
        <v>6481</v>
      </c>
      <c r="C6368" s="14" t="s">
        <v>13031</v>
      </c>
      <c r="D6368" s="15">
        <v>4.6500000000000004</v>
      </c>
      <c r="E6368" s="16" t="s">
        <v>30</v>
      </c>
    </row>
    <row r="6369" spans="1:5" x14ac:dyDescent="0.25">
      <c r="A6369" s="14">
        <v>962796</v>
      </c>
      <c r="B6369" s="14" t="s">
        <v>6482</v>
      </c>
      <c r="C6369" s="14" t="s">
        <v>13031</v>
      </c>
      <c r="D6369" s="15">
        <v>4.6500000000000004</v>
      </c>
      <c r="E6369" s="16" t="s">
        <v>30</v>
      </c>
    </row>
    <row r="6370" spans="1:5" x14ac:dyDescent="0.25">
      <c r="A6370" s="14">
        <v>962797</v>
      </c>
      <c r="B6370" s="14" t="s">
        <v>6483</v>
      </c>
      <c r="C6370" s="14" t="s">
        <v>13031</v>
      </c>
      <c r="D6370" s="15">
        <v>4.25</v>
      </c>
      <c r="E6370" s="16" t="s">
        <v>30</v>
      </c>
    </row>
    <row r="6371" spans="1:5" x14ac:dyDescent="0.25">
      <c r="A6371" s="14">
        <v>962798</v>
      </c>
      <c r="B6371" s="14" t="s">
        <v>6484</v>
      </c>
      <c r="C6371" s="14" t="s">
        <v>13031</v>
      </c>
      <c r="D6371" s="15">
        <v>23.5</v>
      </c>
      <c r="E6371" s="16" t="s">
        <v>30</v>
      </c>
    </row>
    <row r="6372" spans="1:5" x14ac:dyDescent="0.25">
      <c r="A6372" s="14">
        <v>962799</v>
      </c>
      <c r="B6372" s="14" t="s">
        <v>6485</v>
      </c>
      <c r="C6372" s="14" t="s">
        <v>13031</v>
      </c>
      <c r="D6372" s="15">
        <v>9.65</v>
      </c>
      <c r="E6372" s="16" t="s">
        <v>30</v>
      </c>
    </row>
    <row r="6373" spans="1:5" x14ac:dyDescent="0.25">
      <c r="A6373" s="14">
        <v>962800</v>
      </c>
      <c r="B6373" s="14" t="s">
        <v>6486</v>
      </c>
      <c r="C6373" s="14" t="s">
        <v>13031</v>
      </c>
      <c r="D6373" s="15">
        <v>12.4</v>
      </c>
      <c r="E6373" s="16" t="s">
        <v>30</v>
      </c>
    </row>
    <row r="6374" spans="1:5" x14ac:dyDescent="0.25">
      <c r="A6374" s="14">
        <v>947275</v>
      </c>
      <c r="B6374" s="14" t="s">
        <v>6487</v>
      </c>
      <c r="C6374" s="14" t="s">
        <v>13031</v>
      </c>
      <c r="D6374" s="15">
        <v>7.07</v>
      </c>
      <c r="E6374" s="16" t="s">
        <v>20</v>
      </c>
    </row>
    <row r="6375" spans="1:5" x14ac:dyDescent="0.25">
      <c r="A6375" s="14">
        <v>947963</v>
      </c>
      <c r="B6375" s="14" t="s">
        <v>6488</v>
      </c>
      <c r="C6375" s="14" t="s">
        <v>13031</v>
      </c>
      <c r="D6375" s="15">
        <v>5.35</v>
      </c>
      <c r="E6375" s="16" t="s">
        <v>20</v>
      </c>
    </row>
    <row r="6376" spans="1:5" x14ac:dyDescent="0.25">
      <c r="A6376" s="14">
        <v>952981</v>
      </c>
      <c r="B6376" s="14" t="s">
        <v>6489</v>
      </c>
      <c r="C6376" s="14" t="s">
        <v>13030</v>
      </c>
      <c r="D6376" s="15">
        <v>48.53</v>
      </c>
      <c r="E6376" s="16" t="s">
        <v>20</v>
      </c>
    </row>
    <row r="6377" spans="1:5" x14ac:dyDescent="0.25">
      <c r="A6377" s="14">
        <v>962801</v>
      </c>
      <c r="B6377" s="14" t="s">
        <v>6490</v>
      </c>
      <c r="C6377" s="14" t="s">
        <v>13031</v>
      </c>
      <c r="D6377" s="15">
        <v>13.9</v>
      </c>
      <c r="E6377" s="16" t="s">
        <v>30</v>
      </c>
    </row>
    <row r="6378" spans="1:5" x14ac:dyDescent="0.25">
      <c r="A6378" s="14">
        <v>962802</v>
      </c>
      <c r="B6378" s="14" t="s">
        <v>6491</v>
      </c>
      <c r="C6378" s="14" t="s">
        <v>13031</v>
      </c>
      <c r="D6378" s="15">
        <v>21.5</v>
      </c>
      <c r="E6378" s="16" t="s">
        <v>30</v>
      </c>
    </row>
    <row r="6379" spans="1:5" x14ac:dyDescent="0.25">
      <c r="A6379" s="14">
        <v>962803</v>
      </c>
      <c r="B6379" s="14" t="s">
        <v>6492</v>
      </c>
      <c r="C6379" s="14" t="s">
        <v>13031</v>
      </c>
      <c r="D6379" s="15">
        <v>5.6</v>
      </c>
      <c r="E6379" s="16" t="s">
        <v>30</v>
      </c>
    </row>
    <row r="6380" spans="1:5" x14ac:dyDescent="0.25">
      <c r="A6380" s="14">
        <v>962804</v>
      </c>
      <c r="B6380" s="14" t="s">
        <v>6493</v>
      </c>
      <c r="C6380" s="14" t="s">
        <v>13031</v>
      </c>
      <c r="D6380" s="15">
        <v>6.7</v>
      </c>
      <c r="E6380" s="16" t="s">
        <v>30</v>
      </c>
    </row>
    <row r="6381" spans="1:5" x14ac:dyDescent="0.25">
      <c r="A6381" s="14">
        <v>962805</v>
      </c>
      <c r="B6381" s="14" t="s">
        <v>6494</v>
      </c>
      <c r="C6381" s="14" t="s">
        <v>13031</v>
      </c>
      <c r="D6381" s="15">
        <v>6.4</v>
      </c>
      <c r="E6381" s="16" t="s">
        <v>30</v>
      </c>
    </row>
    <row r="6382" spans="1:5" x14ac:dyDescent="0.25">
      <c r="A6382" s="14">
        <v>962806</v>
      </c>
      <c r="B6382" s="14" t="s">
        <v>6495</v>
      </c>
      <c r="C6382" s="14" t="s">
        <v>13031</v>
      </c>
      <c r="D6382" s="15">
        <v>6.4</v>
      </c>
      <c r="E6382" s="16" t="s">
        <v>30</v>
      </c>
    </row>
    <row r="6383" spans="1:5" x14ac:dyDescent="0.25">
      <c r="A6383" s="14">
        <v>962927</v>
      </c>
      <c r="B6383" s="14" t="s">
        <v>6496</v>
      </c>
      <c r="C6383" s="14" t="s">
        <v>13030</v>
      </c>
      <c r="D6383" s="15">
        <v>111.12</v>
      </c>
      <c r="E6383" s="16" t="s">
        <v>30</v>
      </c>
    </row>
    <row r="6384" spans="1:5" x14ac:dyDescent="0.25">
      <c r="A6384" s="14">
        <v>962930</v>
      </c>
      <c r="B6384" s="14" t="s">
        <v>6497</v>
      </c>
      <c r="C6384" s="14" t="s">
        <v>13030</v>
      </c>
      <c r="D6384" s="15">
        <v>21.47</v>
      </c>
      <c r="E6384" s="16" t="s">
        <v>30</v>
      </c>
    </row>
    <row r="6385" spans="1:5" x14ac:dyDescent="0.25">
      <c r="A6385" s="14">
        <v>962931</v>
      </c>
      <c r="B6385" s="14" t="s">
        <v>6498</v>
      </c>
      <c r="C6385" s="14" t="s">
        <v>13030</v>
      </c>
      <c r="D6385" s="15">
        <v>20.85</v>
      </c>
      <c r="E6385" s="16" t="s">
        <v>30</v>
      </c>
    </row>
    <row r="6386" spans="1:5" x14ac:dyDescent="0.25">
      <c r="A6386" s="14">
        <v>962978</v>
      </c>
      <c r="B6386" s="14" t="s">
        <v>6499</v>
      </c>
      <c r="C6386" s="14" t="s">
        <v>13029</v>
      </c>
      <c r="D6386" s="15">
        <v>18.7</v>
      </c>
      <c r="E6386" s="16" t="s">
        <v>30</v>
      </c>
    </row>
    <row r="6387" spans="1:5" x14ac:dyDescent="0.25">
      <c r="A6387" s="14">
        <v>962979</v>
      </c>
      <c r="B6387" s="14" t="s">
        <v>6500</v>
      </c>
      <c r="C6387" s="14" t="s">
        <v>13029</v>
      </c>
      <c r="D6387" s="15">
        <v>16.5</v>
      </c>
      <c r="E6387" s="16" t="s">
        <v>30</v>
      </c>
    </row>
    <row r="6388" spans="1:5" x14ac:dyDescent="0.25">
      <c r="A6388" s="14">
        <v>962980</v>
      </c>
      <c r="B6388" s="14" t="s">
        <v>6501</v>
      </c>
      <c r="C6388" s="14" t="s">
        <v>13029</v>
      </c>
      <c r="D6388" s="15">
        <v>17.63</v>
      </c>
      <c r="E6388" s="16" t="s">
        <v>30</v>
      </c>
    </row>
    <row r="6389" spans="1:5" x14ac:dyDescent="0.25">
      <c r="A6389" s="14">
        <v>963275</v>
      </c>
      <c r="B6389" s="14" t="s">
        <v>6502</v>
      </c>
      <c r="C6389" s="14" t="s">
        <v>13030</v>
      </c>
      <c r="D6389" s="15">
        <v>23.57</v>
      </c>
      <c r="E6389" s="14" t="s">
        <v>30</v>
      </c>
    </row>
    <row r="6390" spans="1:5" x14ac:dyDescent="0.25">
      <c r="A6390" s="14">
        <v>963276</v>
      </c>
      <c r="B6390" s="14" t="s">
        <v>6503</v>
      </c>
      <c r="C6390" s="14" t="s">
        <v>13030</v>
      </c>
      <c r="D6390" s="15">
        <v>23.57</v>
      </c>
      <c r="E6390" s="14" t="s">
        <v>30</v>
      </c>
    </row>
    <row r="6391" spans="1:5" x14ac:dyDescent="0.25">
      <c r="A6391" s="14">
        <v>963277</v>
      </c>
      <c r="B6391" s="14" t="s">
        <v>6504</v>
      </c>
      <c r="C6391" s="14" t="s">
        <v>13030</v>
      </c>
      <c r="D6391" s="15">
        <v>23.57</v>
      </c>
      <c r="E6391" s="14" t="s">
        <v>30</v>
      </c>
    </row>
    <row r="6392" spans="1:5" x14ac:dyDescent="0.25">
      <c r="A6392" s="14">
        <v>963584</v>
      </c>
      <c r="B6392" s="14" t="s">
        <v>6505</v>
      </c>
      <c r="C6392" s="14" t="s">
        <v>13029</v>
      </c>
      <c r="D6392" s="15">
        <v>7.5</v>
      </c>
      <c r="E6392" s="16" t="s">
        <v>30</v>
      </c>
    </row>
    <row r="6393" spans="1:5" x14ac:dyDescent="0.25">
      <c r="A6393" s="14">
        <v>963588</v>
      </c>
      <c r="B6393" s="14" t="s">
        <v>6506</v>
      </c>
      <c r="C6393" s="14" t="s">
        <v>13029</v>
      </c>
      <c r="D6393" s="15">
        <v>10.65</v>
      </c>
      <c r="E6393" s="16" t="s">
        <v>30</v>
      </c>
    </row>
    <row r="6394" spans="1:5" x14ac:dyDescent="0.25">
      <c r="A6394" s="14">
        <v>963591</v>
      </c>
      <c r="B6394" s="14" t="s">
        <v>6507</v>
      </c>
      <c r="C6394" s="14" t="s">
        <v>13029</v>
      </c>
      <c r="D6394" s="15">
        <v>11.81</v>
      </c>
      <c r="E6394" s="14" t="s">
        <v>30</v>
      </c>
    </row>
    <row r="6395" spans="1:5" x14ac:dyDescent="0.25">
      <c r="A6395" s="14">
        <v>963592</v>
      </c>
      <c r="B6395" s="14" t="s">
        <v>6508</v>
      </c>
      <c r="C6395" s="14" t="s">
        <v>13029</v>
      </c>
      <c r="D6395" s="15">
        <v>5.27</v>
      </c>
      <c r="E6395" s="14" t="s">
        <v>30</v>
      </c>
    </row>
    <row r="6396" spans="1:5" x14ac:dyDescent="0.25">
      <c r="A6396" s="14">
        <v>963594</v>
      </c>
      <c r="B6396" s="14" t="s">
        <v>6509</v>
      </c>
      <c r="C6396" s="14" t="s">
        <v>13031</v>
      </c>
      <c r="D6396" s="15">
        <v>10.32</v>
      </c>
      <c r="E6396" s="16" t="s">
        <v>30</v>
      </c>
    </row>
    <row r="6397" spans="1:5" x14ac:dyDescent="0.25">
      <c r="A6397" s="14">
        <v>963595</v>
      </c>
      <c r="B6397" s="14" t="s">
        <v>6510</v>
      </c>
      <c r="C6397" s="14" t="s">
        <v>13031</v>
      </c>
      <c r="D6397" s="15">
        <v>10.32</v>
      </c>
      <c r="E6397" s="16" t="s">
        <v>30</v>
      </c>
    </row>
    <row r="6398" spans="1:5" x14ac:dyDescent="0.25">
      <c r="A6398" s="14">
        <v>963599</v>
      </c>
      <c r="B6398" s="14" t="s">
        <v>6511</v>
      </c>
      <c r="C6398" s="14" t="s">
        <v>13031</v>
      </c>
      <c r="D6398" s="15">
        <v>7.5</v>
      </c>
      <c r="E6398" s="16" t="s">
        <v>30</v>
      </c>
    </row>
    <row r="6399" spans="1:5" x14ac:dyDescent="0.25">
      <c r="A6399" s="14">
        <v>963600</v>
      </c>
      <c r="B6399" s="14" t="s">
        <v>6512</v>
      </c>
      <c r="C6399" s="14" t="s">
        <v>13031</v>
      </c>
      <c r="D6399" s="15">
        <v>7.5</v>
      </c>
      <c r="E6399" s="16" t="s">
        <v>30</v>
      </c>
    </row>
    <row r="6400" spans="1:5" x14ac:dyDescent="0.25">
      <c r="A6400" s="14">
        <v>963605</v>
      </c>
      <c r="B6400" s="14" t="s">
        <v>6513</v>
      </c>
      <c r="C6400" s="14" t="s">
        <v>13029</v>
      </c>
      <c r="D6400" s="15">
        <v>11.85</v>
      </c>
      <c r="E6400" s="16" t="s">
        <v>30</v>
      </c>
    </row>
    <row r="6401" spans="1:5" x14ac:dyDescent="0.25">
      <c r="A6401" s="14">
        <v>963606</v>
      </c>
      <c r="B6401" s="14" t="s">
        <v>6514</v>
      </c>
      <c r="C6401" s="14" t="s">
        <v>13029</v>
      </c>
      <c r="D6401" s="15">
        <v>11.85</v>
      </c>
      <c r="E6401" s="16" t="s">
        <v>30</v>
      </c>
    </row>
    <row r="6402" spans="1:5" x14ac:dyDescent="0.25">
      <c r="A6402" s="14">
        <v>963617</v>
      </c>
      <c r="B6402" s="14" t="s">
        <v>6515</v>
      </c>
      <c r="C6402" s="14" t="s">
        <v>13029</v>
      </c>
      <c r="D6402" s="15">
        <v>12.99</v>
      </c>
      <c r="E6402" s="16" t="s">
        <v>30</v>
      </c>
    </row>
    <row r="6403" spans="1:5" x14ac:dyDescent="0.25">
      <c r="A6403" s="14">
        <v>963618</v>
      </c>
      <c r="B6403" s="14" t="s">
        <v>6516</v>
      </c>
      <c r="C6403" s="14" t="s">
        <v>13029</v>
      </c>
      <c r="D6403" s="15">
        <v>12.99</v>
      </c>
      <c r="E6403" s="16" t="s">
        <v>30</v>
      </c>
    </row>
    <row r="6404" spans="1:5" x14ac:dyDescent="0.25">
      <c r="A6404" s="14">
        <v>963835</v>
      </c>
      <c r="B6404" s="14" t="s">
        <v>6517</v>
      </c>
      <c r="C6404" s="14" t="s">
        <v>13031</v>
      </c>
      <c r="D6404" s="15">
        <v>6.21</v>
      </c>
      <c r="E6404" s="16" t="s">
        <v>30</v>
      </c>
    </row>
    <row r="6405" spans="1:5" x14ac:dyDescent="0.25">
      <c r="A6405" s="14">
        <v>963836</v>
      </c>
      <c r="B6405" s="14" t="s">
        <v>6518</v>
      </c>
      <c r="C6405" s="14" t="s">
        <v>13029</v>
      </c>
      <c r="D6405" s="15">
        <v>7.42</v>
      </c>
      <c r="E6405" s="16" t="s">
        <v>30</v>
      </c>
    </row>
    <row r="6406" spans="1:5" x14ac:dyDescent="0.25">
      <c r="A6406" s="14">
        <v>963837</v>
      </c>
      <c r="B6406" s="14" t="s">
        <v>6519</v>
      </c>
      <c r="C6406" s="14" t="s">
        <v>13029</v>
      </c>
      <c r="D6406" s="15">
        <v>42.65</v>
      </c>
      <c r="E6406" s="14" t="s">
        <v>30</v>
      </c>
    </row>
    <row r="6407" spans="1:5" x14ac:dyDescent="0.25">
      <c r="A6407" s="14">
        <v>952982</v>
      </c>
      <c r="B6407" s="14" t="s">
        <v>6520</v>
      </c>
      <c r="C6407" s="14" t="s">
        <v>13030</v>
      </c>
      <c r="D6407" s="15">
        <v>85.81</v>
      </c>
      <c r="E6407" s="16" t="s">
        <v>20</v>
      </c>
    </row>
    <row r="6408" spans="1:5" x14ac:dyDescent="0.25">
      <c r="A6408" s="14">
        <v>963838</v>
      </c>
      <c r="B6408" s="14" t="s">
        <v>6521</v>
      </c>
      <c r="C6408" s="14" t="s">
        <v>13029</v>
      </c>
      <c r="D6408" s="15">
        <v>53.92</v>
      </c>
      <c r="E6408" s="14" t="s">
        <v>30</v>
      </c>
    </row>
    <row r="6409" spans="1:5" x14ac:dyDescent="0.25">
      <c r="A6409" s="14">
        <v>963882</v>
      </c>
      <c r="B6409" s="14" t="s">
        <v>6522</v>
      </c>
      <c r="C6409" s="14" t="s">
        <v>13031</v>
      </c>
      <c r="D6409" s="15">
        <v>69.319999999999993</v>
      </c>
      <c r="E6409" s="16" t="s">
        <v>30</v>
      </c>
    </row>
    <row r="6410" spans="1:5" x14ac:dyDescent="0.25">
      <c r="A6410" s="14">
        <v>963883</v>
      </c>
      <c r="B6410" s="14" t="s">
        <v>6523</v>
      </c>
      <c r="C6410" s="14" t="s">
        <v>13031</v>
      </c>
      <c r="D6410" s="15">
        <v>11.48</v>
      </c>
      <c r="E6410" s="16" t="s">
        <v>30</v>
      </c>
    </row>
    <row r="6411" spans="1:5" x14ac:dyDescent="0.25">
      <c r="A6411" s="14">
        <v>963884</v>
      </c>
      <c r="B6411" s="14" t="s">
        <v>6524</v>
      </c>
      <c r="C6411" s="14" t="s">
        <v>13031</v>
      </c>
      <c r="D6411" s="15">
        <v>17.260000000000002</v>
      </c>
      <c r="E6411" s="16" t="s">
        <v>30</v>
      </c>
    </row>
    <row r="6412" spans="1:5" x14ac:dyDescent="0.25">
      <c r="A6412" s="14">
        <v>954246</v>
      </c>
      <c r="B6412" s="14" t="s">
        <v>6525</v>
      </c>
      <c r="C6412" s="14" t="s">
        <v>13030</v>
      </c>
      <c r="D6412" s="15">
        <v>22.71</v>
      </c>
      <c r="E6412" s="16" t="s">
        <v>20</v>
      </c>
    </row>
    <row r="6413" spans="1:5" x14ac:dyDescent="0.25">
      <c r="A6413" s="14">
        <v>947964</v>
      </c>
      <c r="B6413" s="14" t="s">
        <v>6526</v>
      </c>
      <c r="C6413" s="14" t="s">
        <v>13031</v>
      </c>
      <c r="D6413" s="15">
        <v>5.35</v>
      </c>
      <c r="E6413" s="16" t="s">
        <v>20</v>
      </c>
    </row>
    <row r="6414" spans="1:5" x14ac:dyDescent="0.25">
      <c r="A6414" s="14">
        <v>963885</v>
      </c>
      <c r="B6414" s="14" t="s">
        <v>6527</v>
      </c>
      <c r="C6414" s="14" t="s">
        <v>13031</v>
      </c>
      <c r="D6414" s="15">
        <v>9.65</v>
      </c>
      <c r="E6414" s="16" t="s">
        <v>30</v>
      </c>
    </row>
    <row r="6415" spans="1:5" x14ac:dyDescent="0.25">
      <c r="A6415" s="14">
        <v>956392</v>
      </c>
      <c r="B6415" s="14" t="s">
        <v>6528</v>
      </c>
      <c r="C6415" s="14" t="s">
        <v>13030</v>
      </c>
      <c r="D6415" s="15">
        <v>65.709999999999994</v>
      </c>
      <c r="E6415" s="16" t="s">
        <v>20</v>
      </c>
    </row>
    <row r="6416" spans="1:5" x14ac:dyDescent="0.25">
      <c r="A6416" s="14">
        <v>956393</v>
      </c>
      <c r="B6416" s="14" t="s">
        <v>6529</v>
      </c>
      <c r="C6416" s="14" t="s">
        <v>13030</v>
      </c>
      <c r="D6416" s="15">
        <v>447.45</v>
      </c>
      <c r="E6416" s="16" t="s">
        <v>20</v>
      </c>
    </row>
    <row r="6417" spans="1:5" x14ac:dyDescent="0.25">
      <c r="A6417" s="14">
        <v>956394</v>
      </c>
      <c r="B6417" s="14" t="s">
        <v>6530</v>
      </c>
      <c r="C6417" s="14" t="s">
        <v>13030</v>
      </c>
      <c r="D6417" s="15">
        <v>1271.18</v>
      </c>
      <c r="E6417" s="16" t="s">
        <v>20</v>
      </c>
    </row>
    <row r="6418" spans="1:5" x14ac:dyDescent="0.25">
      <c r="A6418" s="14">
        <v>947965</v>
      </c>
      <c r="B6418" s="14" t="s">
        <v>6531</v>
      </c>
      <c r="C6418" s="14" t="s">
        <v>13031</v>
      </c>
      <c r="D6418" s="15">
        <v>5.35</v>
      </c>
      <c r="E6418" s="16" t="s">
        <v>20</v>
      </c>
    </row>
    <row r="6419" spans="1:5" x14ac:dyDescent="0.25">
      <c r="A6419" s="14">
        <v>963991</v>
      </c>
      <c r="B6419" s="14" t="s">
        <v>6532</v>
      </c>
      <c r="C6419" s="14" t="s">
        <v>13031</v>
      </c>
      <c r="D6419" s="15">
        <v>10.99</v>
      </c>
      <c r="E6419" s="16" t="s">
        <v>30</v>
      </c>
    </row>
    <row r="6420" spans="1:5" x14ac:dyDescent="0.25">
      <c r="A6420" s="14">
        <v>963992</v>
      </c>
      <c r="B6420" s="14" t="s">
        <v>6533</v>
      </c>
      <c r="C6420" s="14" t="s">
        <v>13031</v>
      </c>
      <c r="D6420" s="15">
        <v>7.9</v>
      </c>
      <c r="E6420" s="16" t="s">
        <v>30</v>
      </c>
    </row>
    <row r="6421" spans="1:5" x14ac:dyDescent="0.25">
      <c r="A6421" s="14">
        <v>964108</v>
      </c>
      <c r="B6421" s="14" t="s">
        <v>6534</v>
      </c>
      <c r="C6421" s="14" t="s">
        <v>13029</v>
      </c>
      <c r="D6421" s="15">
        <v>1.63</v>
      </c>
      <c r="E6421" s="16" t="s">
        <v>30</v>
      </c>
    </row>
    <row r="6422" spans="1:5" x14ac:dyDescent="0.25">
      <c r="A6422" s="14">
        <v>964109</v>
      </c>
      <c r="B6422" s="14" t="s">
        <v>6535</v>
      </c>
      <c r="C6422" s="14" t="s">
        <v>13029</v>
      </c>
      <c r="D6422" s="15">
        <v>3.15</v>
      </c>
      <c r="E6422" s="16" t="s">
        <v>30</v>
      </c>
    </row>
    <row r="6423" spans="1:5" x14ac:dyDescent="0.25">
      <c r="A6423" s="14">
        <v>964110</v>
      </c>
      <c r="B6423" s="14" t="s">
        <v>6536</v>
      </c>
      <c r="C6423" s="14" t="s">
        <v>13029</v>
      </c>
      <c r="D6423" s="15">
        <v>6.04</v>
      </c>
      <c r="E6423" s="16" t="s">
        <v>30</v>
      </c>
    </row>
    <row r="6424" spans="1:5" x14ac:dyDescent="0.25">
      <c r="A6424" s="14">
        <v>964111</v>
      </c>
      <c r="B6424" s="14" t="s">
        <v>6537</v>
      </c>
      <c r="C6424" s="14" t="s">
        <v>13029</v>
      </c>
      <c r="D6424" s="15">
        <v>2.25</v>
      </c>
      <c r="E6424" s="16" t="s">
        <v>30</v>
      </c>
    </row>
    <row r="6425" spans="1:5" x14ac:dyDescent="0.25">
      <c r="A6425" s="14">
        <v>964112</v>
      </c>
      <c r="B6425" s="14" t="s">
        <v>6538</v>
      </c>
      <c r="C6425" s="14" t="s">
        <v>13029</v>
      </c>
      <c r="D6425" s="15">
        <v>3.15</v>
      </c>
      <c r="E6425" s="16" t="s">
        <v>30</v>
      </c>
    </row>
    <row r="6426" spans="1:5" x14ac:dyDescent="0.25">
      <c r="A6426" s="14">
        <v>947966</v>
      </c>
      <c r="B6426" s="14" t="s">
        <v>6539</v>
      </c>
      <c r="C6426" s="14" t="s">
        <v>13031</v>
      </c>
      <c r="D6426" s="15">
        <v>7.12</v>
      </c>
      <c r="E6426" s="16" t="s">
        <v>20</v>
      </c>
    </row>
    <row r="6427" spans="1:5" x14ac:dyDescent="0.25">
      <c r="A6427" s="14">
        <v>964113</v>
      </c>
      <c r="B6427" s="14" t="s">
        <v>6540</v>
      </c>
      <c r="C6427" s="14" t="s">
        <v>13029</v>
      </c>
      <c r="D6427" s="15">
        <v>6.04</v>
      </c>
      <c r="E6427" s="16" t="s">
        <v>30</v>
      </c>
    </row>
    <row r="6428" spans="1:5" x14ac:dyDescent="0.25">
      <c r="A6428" s="14">
        <v>964114</v>
      </c>
      <c r="B6428" s="14" t="s">
        <v>6541</v>
      </c>
      <c r="C6428" s="14" t="s">
        <v>13029</v>
      </c>
      <c r="D6428" s="15">
        <v>2.25</v>
      </c>
      <c r="E6428" s="16" t="s">
        <v>30</v>
      </c>
    </row>
    <row r="6429" spans="1:5" x14ac:dyDescent="0.25">
      <c r="A6429" s="14">
        <v>964115</v>
      </c>
      <c r="B6429" s="14" t="s">
        <v>6542</v>
      </c>
      <c r="C6429" s="14" t="s">
        <v>13029</v>
      </c>
      <c r="D6429" s="15">
        <v>3.98</v>
      </c>
      <c r="E6429" s="16" t="s">
        <v>30</v>
      </c>
    </row>
    <row r="6430" spans="1:5" x14ac:dyDescent="0.25">
      <c r="A6430" s="14">
        <v>964116</v>
      </c>
      <c r="B6430" s="14" t="s">
        <v>6543</v>
      </c>
      <c r="C6430" s="14" t="s">
        <v>13029</v>
      </c>
      <c r="D6430" s="15">
        <v>3.98</v>
      </c>
      <c r="E6430" s="16" t="s">
        <v>30</v>
      </c>
    </row>
    <row r="6431" spans="1:5" x14ac:dyDescent="0.25">
      <c r="A6431" s="14">
        <v>964117</v>
      </c>
      <c r="B6431" s="14" t="s">
        <v>6544</v>
      </c>
      <c r="C6431" s="14" t="s">
        <v>13029</v>
      </c>
      <c r="D6431" s="15">
        <v>7.78</v>
      </c>
      <c r="E6431" s="16" t="s">
        <v>30</v>
      </c>
    </row>
    <row r="6432" spans="1:5" x14ac:dyDescent="0.25">
      <c r="A6432" s="14">
        <v>964118</v>
      </c>
      <c r="B6432" s="14" t="s">
        <v>6545</v>
      </c>
      <c r="C6432" s="14" t="s">
        <v>13030</v>
      </c>
      <c r="D6432" s="15">
        <v>15.91</v>
      </c>
      <c r="E6432" s="16" t="s">
        <v>30</v>
      </c>
    </row>
    <row r="6433" spans="1:5" x14ac:dyDescent="0.25">
      <c r="A6433" s="14">
        <v>964306</v>
      </c>
      <c r="B6433" s="14" t="s">
        <v>6546</v>
      </c>
      <c r="C6433" s="14" t="s">
        <v>13029</v>
      </c>
      <c r="D6433" s="15">
        <v>10.74</v>
      </c>
      <c r="E6433" s="16" t="s">
        <v>30</v>
      </c>
    </row>
    <row r="6434" spans="1:5" x14ac:dyDescent="0.25">
      <c r="A6434" s="14">
        <v>964307</v>
      </c>
      <c r="B6434" s="14" t="s">
        <v>6547</v>
      </c>
      <c r="C6434" s="14" t="s">
        <v>13029</v>
      </c>
      <c r="D6434" s="15">
        <v>10.74</v>
      </c>
      <c r="E6434" s="16" t="s">
        <v>30</v>
      </c>
    </row>
    <row r="6435" spans="1:5" x14ac:dyDescent="0.25">
      <c r="A6435" s="14">
        <v>964308</v>
      </c>
      <c r="B6435" s="14" t="s">
        <v>6548</v>
      </c>
      <c r="C6435" s="14" t="s">
        <v>13029</v>
      </c>
      <c r="D6435" s="15">
        <v>27.49</v>
      </c>
      <c r="E6435" s="16" t="s">
        <v>30</v>
      </c>
    </row>
    <row r="6436" spans="1:5" x14ac:dyDescent="0.25">
      <c r="A6436" s="14">
        <v>964644</v>
      </c>
      <c r="B6436" s="14" t="s">
        <v>6549</v>
      </c>
      <c r="C6436" s="14" t="s">
        <v>13031</v>
      </c>
      <c r="D6436" s="15">
        <v>227.97</v>
      </c>
      <c r="E6436" s="16" t="s">
        <v>30</v>
      </c>
    </row>
    <row r="6437" spans="1:5" x14ac:dyDescent="0.25">
      <c r="A6437" s="14">
        <v>947967</v>
      </c>
      <c r="B6437" s="14" t="s">
        <v>6550</v>
      </c>
      <c r="C6437" s="14" t="s">
        <v>13031</v>
      </c>
      <c r="D6437" s="15">
        <v>5.65</v>
      </c>
      <c r="E6437" s="16" t="s">
        <v>20</v>
      </c>
    </row>
    <row r="6438" spans="1:5" x14ac:dyDescent="0.25">
      <c r="A6438" s="14">
        <v>949166</v>
      </c>
      <c r="B6438" s="14" t="s">
        <v>6551</v>
      </c>
      <c r="C6438" s="14" t="s">
        <v>13031</v>
      </c>
      <c r="D6438" s="15">
        <v>11.8</v>
      </c>
      <c r="E6438" s="16" t="s">
        <v>20</v>
      </c>
    </row>
    <row r="6439" spans="1:5" x14ac:dyDescent="0.25">
      <c r="A6439" s="14">
        <v>964645</v>
      </c>
      <c r="B6439" s="14" t="s">
        <v>6552</v>
      </c>
      <c r="C6439" s="14" t="s">
        <v>13031</v>
      </c>
      <c r="D6439" s="15">
        <v>217.02</v>
      </c>
      <c r="E6439" s="16" t="s">
        <v>30</v>
      </c>
    </row>
    <row r="6440" spans="1:5" x14ac:dyDescent="0.25">
      <c r="A6440" s="14">
        <v>964888</v>
      </c>
      <c r="B6440" s="14" t="s">
        <v>6553</v>
      </c>
      <c r="C6440" s="14" t="s">
        <v>13031</v>
      </c>
      <c r="D6440" s="15">
        <v>7.12</v>
      </c>
      <c r="E6440" s="16" t="s">
        <v>30</v>
      </c>
    </row>
    <row r="6441" spans="1:5" x14ac:dyDescent="0.25">
      <c r="A6441" s="14">
        <v>964889</v>
      </c>
      <c r="B6441" s="14" t="s">
        <v>6554</v>
      </c>
      <c r="C6441" s="14" t="s">
        <v>13031</v>
      </c>
      <c r="D6441" s="15">
        <v>7.12</v>
      </c>
      <c r="E6441" s="16" t="s">
        <v>30</v>
      </c>
    </row>
    <row r="6442" spans="1:5" x14ac:dyDescent="0.25">
      <c r="A6442" s="14">
        <v>964890</v>
      </c>
      <c r="B6442" s="14" t="s">
        <v>6555</v>
      </c>
      <c r="C6442" s="14" t="s">
        <v>13031</v>
      </c>
      <c r="D6442" s="15">
        <v>7.12</v>
      </c>
      <c r="E6442" s="16" t="s">
        <v>30</v>
      </c>
    </row>
    <row r="6443" spans="1:5" x14ac:dyDescent="0.25">
      <c r="A6443" s="14">
        <v>964891</v>
      </c>
      <c r="B6443" s="14" t="s">
        <v>6556</v>
      </c>
      <c r="C6443" s="14" t="s">
        <v>13031</v>
      </c>
      <c r="D6443" s="15">
        <v>7.12</v>
      </c>
      <c r="E6443" s="16" t="s">
        <v>30</v>
      </c>
    </row>
    <row r="6444" spans="1:5" x14ac:dyDescent="0.25">
      <c r="A6444" s="14">
        <v>964896</v>
      </c>
      <c r="B6444" s="14" t="s">
        <v>6557</v>
      </c>
      <c r="C6444" s="14" t="s">
        <v>13031</v>
      </c>
      <c r="D6444" s="15">
        <v>29.8</v>
      </c>
      <c r="E6444" s="16" t="s">
        <v>30</v>
      </c>
    </row>
    <row r="6445" spans="1:5" x14ac:dyDescent="0.25">
      <c r="A6445" s="14">
        <v>964897</v>
      </c>
      <c r="B6445" s="14" t="s">
        <v>6558</v>
      </c>
      <c r="C6445" s="14" t="s">
        <v>13031</v>
      </c>
      <c r="D6445" s="15">
        <v>29.8</v>
      </c>
      <c r="E6445" s="16" t="s">
        <v>30</v>
      </c>
    </row>
    <row r="6446" spans="1:5" x14ac:dyDescent="0.25">
      <c r="A6446" s="14">
        <v>964898</v>
      </c>
      <c r="B6446" s="14" t="s">
        <v>6559</v>
      </c>
      <c r="C6446" s="14" t="s">
        <v>13031</v>
      </c>
      <c r="D6446" s="15">
        <v>29.8</v>
      </c>
      <c r="E6446" s="16" t="s">
        <v>30</v>
      </c>
    </row>
    <row r="6447" spans="1:5" x14ac:dyDescent="0.25">
      <c r="A6447" s="14">
        <v>964908</v>
      </c>
      <c r="B6447" s="14" t="s">
        <v>6560</v>
      </c>
      <c r="C6447" s="14" t="s">
        <v>13030</v>
      </c>
      <c r="D6447" s="15">
        <v>44</v>
      </c>
      <c r="E6447" s="14" t="s">
        <v>30</v>
      </c>
    </row>
    <row r="6448" spans="1:5" x14ac:dyDescent="0.25">
      <c r="A6448" s="14">
        <v>964909</v>
      </c>
      <c r="B6448" s="14" t="s">
        <v>6561</v>
      </c>
      <c r="C6448" s="14" t="s">
        <v>13030</v>
      </c>
      <c r="D6448" s="15">
        <v>49.27</v>
      </c>
      <c r="E6448" s="16" t="s">
        <v>30</v>
      </c>
    </row>
    <row r="6449" spans="1:5" x14ac:dyDescent="0.25">
      <c r="A6449" s="14">
        <v>964910</v>
      </c>
      <c r="B6449" s="14" t="s">
        <v>6562</v>
      </c>
      <c r="C6449" s="14" t="s">
        <v>13030</v>
      </c>
      <c r="D6449" s="15">
        <v>49.27</v>
      </c>
      <c r="E6449" s="16" t="s">
        <v>30</v>
      </c>
    </row>
    <row r="6450" spans="1:5" x14ac:dyDescent="0.25">
      <c r="A6450" s="14">
        <v>964933</v>
      </c>
      <c r="B6450" s="14" t="s">
        <v>6563</v>
      </c>
      <c r="C6450" s="14" t="s">
        <v>13029</v>
      </c>
      <c r="D6450" s="15">
        <v>41.31</v>
      </c>
      <c r="E6450" s="16" t="s">
        <v>30</v>
      </c>
    </row>
    <row r="6451" spans="1:5" x14ac:dyDescent="0.25">
      <c r="A6451" s="14">
        <v>964934</v>
      </c>
      <c r="B6451" s="14" t="s">
        <v>6564</v>
      </c>
      <c r="C6451" s="14" t="s">
        <v>13029</v>
      </c>
      <c r="D6451" s="15">
        <v>41.31</v>
      </c>
      <c r="E6451" s="16" t="s">
        <v>30</v>
      </c>
    </row>
    <row r="6452" spans="1:5" x14ac:dyDescent="0.25">
      <c r="A6452" s="14">
        <v>964935</v>
      </c>
      <c r="B6452" s="14" t="s">
        <v>6565</v>
      </c>
      <c r="C6452" s="14" t="s">
        <v>13029</v>
      </c>
      <c r="D6452" s="15">
        <v>41.31</v>
      </c>
      <c r="E6452" s="16" t="s">
        <v>30</v>
      </c>
    </row>
    <row r="6453" spans="1:5" x14ac:dyDescent="0.25">
      <c r="A6453" s="14">
        <v>964936</v>
      </c>
      <c r="B6453" s="14" t="s">
        <v>6566</v>
      </c>
      <c r="C6453" s="14" t="s">
        <v>13029</v>
      </c>
      <c r="D6453" s="15">
        <v>41.31</v>
      </c>
      <c r="E6453" s="16" t="s">
        <v>30</v>
      </c>
    </row>
    <row r="6454" spans="1:5" x14ac:dyDescent="0.25">
      <c r="A6454" s="14">
        <v>964940</v>
      </c>
      <c r="B6454" s="14" t="s">
        <v>6567</v>
      </c>
      <c r="C6454" s="14" t="s">
        <v>13031</v>
      </c>
      <c r="D6454" s="15">
        <v>7.46</v>
      </c>
      <c r="E6454" s="16" t="s">
        <v>30</v>
      </c>
    </row>
    <row r="6455" spans="1:5" x14ac:dyDescent="0.25">
      <c r="A6455" s="14">
        <v>965038</v>
      </c>
      <c r="B6455" s="14" t="s">
        <v>6568</v>
      </c>
      <c r="C6455" s="14" t="s">
        <v>13029</v>
      </c>
      <c r="D6455" s="15">
        <v>11</v>
      </c>
      <c r="E6455" s="16" t="s">
        <v>30</v>
      </c>
    </row>
    <row r="6456" spans="1:5" x14ac:dyDescent="0.25">
      <c r="A6456" s="14">
        <v>949168</v>
      </c>
      <c r="B6456" s="14" t="s">
        <v>6569</v>
      </c>
      <c r="C6456" s="14" t="s">
        <v>13031</v>
      </c>
      <c r="D6456" s="15">
        <v>20.170000000000002</v>
      </c>
      <c r="E6456" s="16" t="s">
        <v>20</v>
      </c>
    </row>
    <row r="6457" spans="1:5" x14ac:dyDescent="0.25">
      <c r="A6457" s="14">
        <v>965440</v>
      </c>
      <c r="B6457" s="14" t="s">
        <v>6570</v>
      </c>
      <c r="C6457" s="14" t="s">
        <v>13029</v>
      </c>
      <c r="D6457" s="15">
        <v>14.08</v>
      </c>
      <c r="E6457" s="16" t="s">
        <v>30</v>
      </c>
    </row>
    <row r="6458" spans="1:5" x14ac:dyDescent="0.25">
      <c r="A6458" s="14">
        <v>965444</v>
      </c>
      <c r="B6458" s="14" t="s">
        <v>6571</v>
      </c>
      <c r="C6458" s="14" t="s">
        <v>13029</v>
      </c>
      <c r="D6458" s="15">
        <v>4.3499999999999996</v>
      </c>
      <c r="E6458" s="16" t="s">
        <v>30</v>
      </c>
    </row>
    <row r="6459" spans="1:5" x14ac:dyDescent="0.25">
      <c r="A6459" s="14">
        <v>965445</v>
      </c>
      <c r="B6459" s="14" t="s">
        <v>6572</v>
      </c>
      <c r="C6459" s="14" t="s">
        <v>13029</v>
      </c>
      <c r="D6459" s="15">
        <v>4.3499999999999996</v>
      </c>
      <c r="E6459" s="16" t="s">
        <v>30</v>
      </c>
    </row>
    <row r="6460" spans="1:5" x14ac:dyDescent="0.25">
      <c r="A6460" s="14">
        <v>965447</v>
      </c>
      <c r="B6460" s="14" t="s">
        <v>6573</v>
      </c>
      <c r="C6460" s="14" t="s">
        <v>13029</v>
      </c>
      <c r="D6460" s="15">
        <v>17.73</v>
      </c>
      <c r="E6460" s="16" t="s">
        <v>30</v>
      </c>
    </row>
    <row r="6461" spans="1:5" x14ac:dyDescent="0.25">
      <c r="A6461" s="14">
        <v>949393</v>
      </c>
      <c r="B6461" s="14" t="s">
        <v>6574</v>
      </c>
      <c r="C6461" s="14" t="s">
        <v>13031</v>
      </c>
      <c r="D6461" s="15">
        <v>27.42</v>
      </c>
      <c r="E6461" s="16" t="s">
        <v>20</v>
      </c>
    </row>
    <row r="6462" spans="1:5" x14ac:dyDescent="0.25">
      <c r="A6462" s="14">
        <v>965448</v>
      </c>
      <c r="B6462" s="14" t="s">
        <v>6575</v>
      </c>
      <c r="C6462" s="14" t="s">
        <v>13029</v>
      </c>
      <c r="D6462" s="15">
        <v>17.73</v>
      </c>
      <c r="E6462" s="16" t="s">
        <v>30</v>
      </c>
    </row>
    <row r="6463" spans="1:5" x14ac:dyDescent="0.25">
      <c r="A6463" s="14">
        <v>965449</v>
      </c>
      <c r="B6463" s="14" t="s">
        <v>6576</v>
      </c>
      <c r="C6463" s="14" t="s">
        <v>13029</v>
      </c>
      <c r="D6463" s="15">
        <v>64.06</v>
      </c>
      <c r="E6463" s="16" t="s">
        <v>30</v>
      </c>
    </row>
    <row r="6464" spans="1:5" x14ac:dyDescent="0.25">
      <c r="A6464" s="14">
        <v>965463</v>
      </c>
      <c r="B6464" s="14" t="s">
        <v>6577</v>
      </c>
      <c r="C6464" s="14" t="s">
        <v>13030</v>
      </c>
      <c r="D6464" s="15">
        <v>29.81</v>
      </c>
      <c r="E6464" s="16" t="s">
        <v>30</v>
      </c>
    </row>
    <row r="6465" spans="1:5" x14ac:dyDescent="0.25">
      <c r="A6465" s="14">
        <v>965464</v>
      </c>
      <c r="B6465" s="14" t="s">
        <v>6578</v>
      </c>
      <c r="C6465" s="14" t="s">
        <v>13030</v>
      </c>
      <c r="D6465" s="15">
        <v>55.52</v>
      </c>
      <c r="E6465" s="16" t="s">
        <v>30</v>
      </c>
    </row>
    <row r="6466" spans="1:5" x14ac:dyDescent="0.25">
      <c r="A6466" s="14">
        <v>965465</v>
      </c>
      <c r="B6466" s="14" t="s">
        <v>6579</v>
      </c>
      <c r="C6466" s="14" t="s">
        <v>13030</v>
      </c>
      <c r="D6466" s="15">
        <v>90</v>
      </c>
      <c r="E6466" s="16" t="s">
        <v>30</v>
      </c>
    </row>
    <row r="6467" spans="1:5" x14ac:dyDescent="0.25">
      <c r="A6467" s="14">
        <v>965491</v>
      </c>
      <c r="B6467" s="14" t="s">
        <v>6580</v>
      </c>
      <c r="C6467" s="14" t="s">
        <v>13029</v>
      </c>
      <c r="D6467" s="15">
        <v>21.79</v>
      </c>
      <c r="E6467" s="16" t="s">
        <v>30</v>
      </c>
    </row>
    <row r="6468" spans="1:5" x14ac:dyDescent="0.25">
      <c r="A6468" s="14">
        <v>965492</v>
      </c>
      <c r="B6468" s="14" t="s">
        <v>6581</v>
      </c>
      <c r="C6468" s="14" t="s">
        <v>13029</v>
      </c>
      <c r="D6468" s="15">
        <v>21.79</v>
      </c>
      <c r="E6468" s="16" t="s">
        <v>30</v>
      </c>
    </row>
    <row r="6469" spans="1:5" x14ac:dyDescent="0.25">
      <c r="A6469" s="14">
        <v>965493</v>
      </c>
      <c r="B6469" s="14" t="s">
        <v>6582</v>
      </c>
      <c r="C6469" s="14" t="s">
        <v>13029</v>
      </c>
      <c r="D6469" s="15">
        <v>29.08</v>
      </c>
      <c r="E6469" s="16" t="s">
        <v>30</v>
      </c>
    </row>
    <row r="6470" spans="1:5" x14ac:dyDescent="0.25">
      <c r="A6470" s="14">
        <v>965781</v>
      </c>
      <c r="B6470" s="14" t="s">
        <v>6583</v>
      </c>
      <c r="C6470" s="14" t="s">
        <v>13031</v>
      </c>
      <c r="D6470" s="15">
        <v>7.52</v>
      </c>
      <c r="E6470" s="16" t="s">
        <v>30</v>
      </c>
    </row>
    <row r="6471" spans="1:5" x14ac:dyDescent="0.25">
      <c r="A6471" s="14">
        <v>965782</v>
      </c>
      <c r="B6471" s="14" t="s">
        <v>6584</v>
      </c>
      <c r="C6471" s="14" t="s">
        <v>13031</v>
      </c>
      <c r="D6471" s="15">
        <v>20.7</v>
      </c>
      <c r="E6471" s="16" t="s">
        <v>30</v>
      </c>
    </row>
    <row r="6472" spans="1:5" x14ac:dyDescent="0.25">
      <c r="A6472" s="14">
        <v>965784</v>
      </c>
      <c r="B6472" s="14" t="s">
        <v>6585</v>
      </c>
      <c r="C6472" s="14" t="s">
        <v>13031</v>
      </c>
      <c r="D6472" s="15">
        <v>2.5299999999999998</v>
      </c>
      <c r="E6472" s="16" t="s">
        <v>30</v>
      </c>
    </row>
    <row r="6473" spans="1:5" x14ac:dyDescent="0.25">
      <c r="A6473" s="14">
        <v>965799</v>
      </c>
      <c r="B6473" s="14" t="s">
        <v>6586</v>
      </c>
      <c r="C6473" s="14" t="s">
        <v>13031</v>
      </c>
      <c r="D6473" s="15">
        <v>3.2</v>
      </c>
      <c r="E6473" s="16" t="s">
        <v>30</v>
      </c>
    </row>
    <row r="6474" spans="1:5" x14ac:dyDescent="0.25">
      <c r="A6474" s="14">
        <v>965801</v>
      </c>
      <c r="B6474" s="14" t="s">
        <v>6587</v>
      </c>
      <c r="C6474" s="14" t="s">
        <v>13030</v>
      </c>
      <c r="D6474" s="15">
        <v>3.25</v>
      </c>
      <c r="E6474" s="16" t="s">
        <v>30</v>
      </c>
    </row>
    <row r="6475" spans="1:5" x14ac:dyDescent="0.25">
      <c r="A6475" s="14">
        <v>965833</v>
      </c>
      <c r="B6475" s="14" t="s">
        <v>6588</v>
      </c>
      <c r="C6475" s="14" t="s">
        <v>13031</v>
      </c>
      <c r="D6475" s="15">
        <v>4.8</v>
      </c>
      <c r="E6475" s="16" t="s">
        <v>30</v>
      </c>
    </row>
    <row r="6476" spans="1:5" x14ac:dyDescent="0.25">
      <c r="A6476" s="14">
        <v>966040</v>
      </c>
      <c r="B6476" s="14" t="s">
        <v>6589</v>
      </c>
      <c r="C6476" s="14" t="s">
        <v>13030</v>
      </c>
      <c r="D6476" s="15">
        <v>4.8</v>
      </c>
      <c r="E6476" s="16" t="s">
        <v>30</v>
      </c>
    </row>
    <row r="6477" spans="1:5" x14ac:dyDescent="0.25">
      <c r="A6477" s="14">
        <v>966041</v>
      </c>
      <c r="B6477" s="14" t="s">
        <v>6590</v>
      </c>
      <c r="C6477" s="14" t="s">
        <v>13030</v>
      </c>
      <c r="D6477" s="15">
        <v>15.9</v>
      </c>
      <c r="E6477" s="16" t="s">
        <v>30</v>
      </c>
    </row>
    <row r="6478" spans="1:5" x14ac:dyDescent="0.25">
      <c r="A6478" s="14">
        <v>966047</v>
      </c>
      <c r="B6478" s="14" t="s">
        <v>6591</v>
      </c>
      <c r="C6478" s="14" t="s">
        <v>13029</v>
      </c>
      <c r="D6478" s="15">
        <v>79.400000000000006</v>
      </c>
      <c r="E6478" s="16" t="s">
        <v>30</v>
      </c>
    </row>
    <row r="6479" spans="1:5" x14ac:dyDescent="0.25">
      <c r="A6479" s="14">
        <v>966048</v>
      </c>
      <c r="B6479" s="14" t="s">
        <v>6592</v>
      </c>
      <c r="C6479" s="14" t="s">
        <v>13029</v>
      </c>
      <c r="D6479" s="15">
        <v>53.4</v>
      </c>
      <c r="E6479" s="16" t="s">
        <v>30</v>
      </c>
    </row>
    <row r="6480" spans="1:5" x14ac:dyDescent="0.25">
      <c r="A6480" s="14">
        <v>966934</v>
      </c>
      <c r="B6480" s="14" t="s">
        <v>6593</v>
      </c>
      <c r="C6480" s="14" t="s">
        <v>13029</v>
      </c>
      <c r="D6480" s="15">
        <v>11.81</v>
      </c>
      <c r="E6480" s="16" t="s">
        <v>30</v>
      </c>
    </row>
    <row r="6481" spans="1:5" x14ac:dyDescent="0.25">
      <c r="A6481" s="14">
        <v>966935</v>
      </c>
      <c r="B6481" s="14" t="s">
        <v>6594</v>
      </c>
      <c r="C6481" s="14" t="s">
        <v>13029</v>
      </c>
      <c r="D6481" s="15">
        <v>11.81</v>
      </c>
      <c r="E6481" s="16" t="s">
        <v>30</v>
      </c>
    </row>
    <row r="6482" spans="1:5" x14ac:dyDescent="0.25">
      <c r="A6482" s="14">
        <v>966939</v>
      </c>
      <c r="B6482" s="14" t="s">
        <v>6595</v>
      </c>
      <c r="C6482" s="14" t="s">
        <v>13031</v>
      </c>
      <c r="D6482" s="15">
        <v>111.64</v>
      </c>
      <c r="E6482" s="16" t="s">
        <v>30</v>
      </c>
    </row>
    <row r="6483" spans="1:5" x14ac:dyDescent="0.25">
      <c r="A6483" s="14">
        <v>966940</v>
      </c>
      <c r="B6483" s="14" t="s">
        <v>6596</v>
      </c>
      <c r="C6483" s="14" t="s">
        <v>13029</v>
      </c>
      <c r="D6483" s="15">
        <v>3.2</v>
      </c>
      <c r="E6483" s="16" t="s">
        <v>30</v>
      </c>
    </row>
    <row r="6484" spans="1:5" x14ac:dyDescent="0.25">
      <c r="A6484" s="14">
        <v>966941</v>
      </c>
      <c r="B6484" s="14" t="s">
        <v>6597</v>
      </c>
      <c r="C6484" s="14" t="s">
        <v>13029</v>
      </c>
      <c r="D6484" s="15">
        <v>1.62</v>
      </c>
      <c r="E6484" s="16" t="s">
        <v>30</v>
      </c>
    </row>
    <row r="6485" spans="1:5" x14ac:dyDescent="0.25">
      <c r="A6485" s="14">
        <v>966942</v>
      </c>
      <c r="B6485" s="14" t="s">
        <v>6598</v>
      </c>
      <c r="C6485" s="14" t="s">
        <v>13029</v>
      </c>
      <c r="D6485" s="15">
        <v>1.18</v>
      </c>
      <c r="E6485" s="16" t="s">
        <v>30</v>
      </c>
    </row>
    <row r="6486" spans="1:5" x14ac:dyDescent="0.25">
      <c r="A6486" s="14">
        <v>966943</v>
      </c>
      <c r="B6486" s="14" t="s">
        <v>6599</v>
      </c>
      <c r="C6486" s="14" t="s">
        <v>13029</v>
      </c>
      <c r="D6486" s="15">
        <v>1.17</v>
      </c>
      <c r="E6486" s="16" t="s">
        <v>30</v>
      </c>
    </row>
    <row r="6487" spans="1:5" x14ac:dyDescent="0.25">
      <c r="A6487" s="14">
        <v>966944</v>
      </c>
      <c r="B6487" s="14" t="s">
        <v>6600</v>
      </c>
      <c r="C6487" s="14" t="s">
        <v>13029</v>
      </c>
      <c r="D6487" s="15">
        <v>5.61</v>
      </c>
      <c r="E6487" s="16" t="s">
        <v>30</v>
      </c>
    </row>
    <row r="6488" spans="1:5" x14ac:dyDescent="0.25">
      <c r="A6488" s="14">
        <v>966945</v>
      </c>
      <c r="B6488" s="14" t="s">
        <v>6601</v>
      </c>
      <c r="C6488" s="14" t="s">
        <v>13029</v>
      </c>
      <c r="D6488" s="15">
        <v>5.73</v>
      </c>
      <c r="E6488" s="16" t="s">
        <v>30</v>
      </c>
    </row>
    <row r="6489" spans="1:5" x14ac:dyDescent="0.25">
      <c r="A6489" s="14">
        <v>966946</v>
      </c>
      <c r="B6489" s="14" t="s">
        <v>6602</v>
      </c>
      <c r="C6489" s="14" t="s">
        <v>13029</v>
      </c>
      <c r="D6489" s="15">
        <v>5.65</v>
      </c>
      <c r="E6489" s="16" t="s">
        <v>30</v>
      </c>
    </row>
    <row r="6490" spans="1:5" x14ac:dyDescent="0.25">
      <c r="A6490" s="14">
        <v>966947</v>
      </c>
      <c r="B6490" s="14" t="s">
        <v>6603</v>
      </c>
      <c r="C6490" s="14" t="s">
        <v>13029</v>
      </c>
      <c r="D6490" s="15">
        <v>7.8</v>
      </c>
      <c r="E6490" s="16" t="s">
        <v>30</v>
      </c>
    </row>
    <row r="6491" spans="1:5" x14ac:dyDescent="0.25">
      <c r="A6491" s="14">
        <v>966948</v>
      </c>
      <c r="B6491" s="14" t="s">
        <v>6604</v>
      </c>
      <c r="C6491" s="14" t="s">
        <v>13029</v>
      </c>
      <c r="D6491" s="15">
        <v>3.4</v>
      </c>
      <c r="E6491" s="16" t="s">
        <v>30</v>
      </c>
    </row>
    <row r="6492" spans="1:5" x14ac:dyDescent="0.25">
      <c r="A6492" s="14">
        <v>966949</v>
      </c>
      <c r="B6492" s="14" t="s">
        <v>6605</v>
      </c>
      <c r="C6492" s="14" t="s">
        <v>13029</v>
      </c>
      <c r="D6492" s="15">
        <v>4.2</v>
      </c>
      <c r="E6492" s="16" t="s">
        <v>30</v>
      </c>
    </row>
    <row r="6493" spans="1:5" x14ac:dyDescent="0.25">
      <c r="A6493" s="14">
        <v>966951</v>
      </c>
      <c r="B6493" s="14" t="s">
        <v>6606</v>
      </c>
      <c r="C6493" s="14" t="s">
        <v>13029</v>
      </c>
      <c r="D6493" s="15">
        <v>29.63</v>
      </c>
      <c r="E6493" s="16" t="s">
        <v>30</v>
      </c>
    </row>
    <row r="6494" spans="1:5" x14ac:dyDescent="0.25">
      <c r="A6494" s="14">
        <v>966958</v>
      </c>
      <c r="B6494" s="14" t="s">
        <v>6607</v>
      </c>
      <c r="C6494" s="14" t="s">
        <v>13029</v>
      </c>
      <c r="D6494" s="15">
        <v>10.029999999999999</v>
      </c>
      <c r="E6494" s="16" t="s">
        <v>30</v>
      </c>
    </row>
    <row r="6495" spans="1:5" x14ac:dyDescent="0.25">
      <c r="A6495" s="14">
        <v>966983</v>
      </c>
      <c r="B6495" s="14" t="s">
        <v>6608</v>
      </c>
      <c r="C6495" s="14" t="s">
        <v>13031</v>
      </c>
      <c r="D6495" s="15">
        <v>8.98</v>
      </c>
      <c r="E6495" s="16" t="s">
        <v>30</v>
      </c>
    </row>
    <row r="6496" spans="1:5" x14ac:dyDescent="0.25">
      <c r="A6496" s="14">
        <v>966985</v>
      </c>
      <c r="B6496" s="14" t="s">
        <v>6609</v>
      </c>
      <c r="C6496" s="14" t="s">
        <v>13031</v>
      </c>
      <c r="D6496" s="15">
        <v>8.98</v>
      </c>
      <c r="E6496" s="16" t="s">
        <v>30</v>
      </c>
    </row>
    <row r="6497" spans="1:5" x14ac:dyDescent="0.25">
      <c r="A6497" s="14">
        <v>966986</v>
      </c>
      <c r="B6497" s="14" t="s">
        <v>6610</v>
      </c>
      <c r="C6497" s="14" t="s">
        <v>13031</v>
      </c>
      <c r="D6497" s="15">
        <v>8.98</v>
      </c>
      <c r="E6497" s="16" t="s">
        <v>30</v>
      </c>
    </row>
    <row r="6498" spans="1:5" x14ac:dyDescent="0.25">
      <c r="A6498" s="14">
        <v>966987</v>
      </c>
      <c r="B6498" s="14" t="s">
        <v>6611</v>
      </c>
      <c r="C6498" s="14" t="s">
        <v>13031</v>
      </c>
      <c r="D6498" s="15">
        <v>8.98</v>
      </c>
      <c r="E6498" s="16" t="s">
        <v>30</v>
      </c>
    </row>
    <row r="6499" spans="1:5" x14ac:dyDescent="0.25">
      <c r="A6499" s="14">
        <v>966988</v>
      </c>
      <c r="B6499" s="14" t="s">
        <v>6612</v>
      </c>
      <c r="C6499" s="14" t="s">
        <v>13031</v>
      </c>
      <c r="D6499" s="15">
        <v>17.21</v>
      </c>
      <c r="E6499" s="16" t="s">
        <v>30</v>
      </c>
    </row>
    <row r="6500" spans="1:5" x14ac:dyDescent="0.25">
      <c r="A6500" s="14">
        <v>966992</v>
      </c>
      <c r="B6500" s="14" t="s">
        <v>6613</v>
      </c>
      <c r="C6500" s="14" t="s">
        <v>13031</v>
      </c>
      <c r="D6500" s="15">
        <v>22.1</v>
      </c>
      <c r="E6500" s="16" t="s">
        <v>30</v>
      </c>
    </row>
    <row r="6501" spans="1:5" x14ac:dyDescent="0.25">
      <c r="A6501" s="14">
        <v>966993</v>
      </c>
      <c r="B6501" s="14" t="s">
        <v>6614</v>
      </c>
      <c r="C6501" s="14" t="s">
        <v>13031</v>
      </c>
      <c r="D6501" s="15">
        <v>11.85</v>
      </c>
      <c r="E6501" s="16" t="s">
        <v>30</v>
      </c>
    </row>
    <row r="6502" spans="1:5" x14ac:dyDescent="0.25">
      <c r="A6502" s="14">
        <v>966994</v>
      </c>
      <c r="B6502" s="14" t="s">
        <v>6615</v>
      </c>
      <c r="C6502" s="14" t="s">
        <v>13031</v>
      </c>
      <c r="D6502" s="15">
        <v>19.100000000000001</v>
      </c>
      <c r="E6502" s="16" t="s">
        <v>30</v>
      </c>
    </row>
    <row r="6503" spans="1:5" x14ac:dyDescent="0.25">
      <c r="A6503" s="14">
        <v>967020</v>
      </c>
      <c r="B6503" s="14" t="s">
        <v>6616</v>
      </c>
      <c r="C6503" s="14" t="s">
        <v>13031</v>
      </c>
      <c r="D6503" s="15">
        <v>11.03</v>
      </c>
      <c r="E6503" s="16" t="s">
        <v>30</v>
      </c>
    </row>
    <row r="6504" spans="1:5" x14ac:dyDescent="0.25">
      <c r="A6504" s="14">
        <v>967021</v>
      </c>
      <c r="B6504" s="14" t="s">
        <v>6617</v>
      </c>
      <c r="C6504" s="14" t="s">
        <v>13031</v>
      </c>
      <c r="D6504" s="15">
        <v>14.83</v>
      </c>
      <c r="E6504" s="16" t="s">
        <v>30</v>
      </c>
    </row>
    <row r="6505" spans="1:5" x14ac:dyDescent="0.25">
      <c r="A6505" s="14">
        <v>967953</v>
      </c>
      <c r="B6505" s="14" t="s">
        <v>6618</v>
      </c>
      <c r="C6505" s="14" t="s">
        <v>13029</v>
      </c>
      <c r="D6505" s="15">
        <v>21.88</v>
      </c>
      <c r="E6505" s="16" t="s">
        <v>30</v>
      </c>
    </row>
    <row r="6506" spans="1:5" x14ac:dyDescent="0.25">
      <c r="A6506" s="14">
        <v>967954</v>
      </c>
      <c r="B6506" s="14" t="s">
        <v>6619</v>
      </c>
      <c r="C6506" s="14" t="s">
        <v>13029</v>
      </c>
      <c r="D6506" s="15">
        <v>27.41</v>
      </c>
      <c r="E6506" s="16" t="s">
        <v>30</v>
      </c>
    </row>
    <row r="6507" spans="1:5" x14ac:dyDescent="0.25">
      <c r="A6507" s="14">
        <v>967955</v>
      </c>
      <c r="B6507" s="14" t="s">
        <v>6620</v>
      </c>
      <c r="C6507" s="14" t="s">
        <v>13029</v>
      </c>
      <c r="D6507" s="15">
        <v>21.88</v>
      </c>
      <c r="E6507" s="16" t="s">
        <v>30</v>
      </c>
    </row>
    <row r="6508" spans="1:5" x14ac:dyDescent="0.25">
      <c r="A6508" s="14">
        <v>968242</v>
      </c>
      <c r="B6508" s="14" t="s">
        <v>6621</v>
      </c>
      <c r="C6508" s="14" t="s">
        <v>13029</v>
      </c>
      <c r="D6508" s="15">
        <v>12.1</v>
      </c>
      <c r="E6508" s="16" t="s">
        <v>30</v>
      </c>
    </row>
    <row r="6509" spans="1:5" x14ac:dyDescent="0.25">
      <c r="A6509" s="14">
        <v>968251</v>
      </c>
      <c r="B6509" s="14" t="s">
        <v>6622</v>
      </c>
      <c r="C6509" s="14" t="s">
        <v>13030</v>
      </c>
      <c r="D6509" s="15">
        <v>12.65</v>
      </c>
      <c r="E6509" s="16" t="s">
        <v>30</v>
      </c>
    </row>
    <row r="6510" spans="1:5" x14ac:dyDescent="0.25">
      <c r="A6510" s="14">
        <v>968252</v>
      </c>
      <c r="B6510" s="14" t="s">
        <v>6623</v>
      </c>
      <c r="C6510" s="14" t="s">
        <v>13030</v>
      </c>
      <c r="D6510" s="15">
        <v>5</v>
      </c>
      <c r="E6510" s="16" t="s">
        <v>30</v>
      </c>
    </row>
    <row r="6511" spans="1:5" x14ac:dyDescent="0.25">
      <c r="A6511" s="14">
        <v>968253</v>
      </c>
      <c r="B6511" s="14" t="s">
        <v>6624</v>
      </c>
      <c r="C6511" s="14" t="s">
        <v>13030</v>
      </c>
      <c r="D6511" s="15">
        <v>35.159999999999997</v>
      </c>
      <c r="E6511" s="16" t="s">
        <v>30</v>
      </c>
    </row>
    <row r="6512" spans="1:5" x14ac:dyDescent="0.25">
      <c r="A6512" s="14">
        <v>968270</v>
      </c>
      <c r="B6512" s="14" t="s">
        <v>6625</v>
      </c>
      <c r="C6512" s="14" t="s">
        <v>13031</v>
      </c>
      <c r="D6512" s="15">
        <v>6.78</v>
      </c>
      <c r="E6512" s="16" t="s">
        <v>30</v>
      </c>
    </row>
    <row r="6513" spans="1:5" x14ac:dyDescent="0.25">
      <c r="A6513" s="14">
        <v>968271</v>
      </c>
      <c r="B6513" s="14" t="s">
        <v>6626</v>
      </c>
      <c r="C6513" s="14" t="s">
        <v>13031</v>
      </c>
      <c r="D6513" s="15">
        <v>7.29</v>
      </c>
      <c r="E6513" s="16" t="s">
        <v>30</v>
      </c>
    </row>
    <row r="6514" spans="1:5" x14ac:dyDescent="0.25">
      <c r="A6514" s="14">
        <v>968272</v>
      </c>
      <c r="B6514" s="14" t="s">
        <v>6627</v>
      </c>
      <c r="C6514" s="14" t="s">
        <v>13031</v>
      </c>
      <c r="D6514" s="15">
        <v>4.6500000000000004</v>
      </c>
      <c r="E6514" s="16" t="s">
        <v>30</v>
      </c>
    </row>
    <row r="6515" spans="1:5" x14ac:dyDescent="0.25">
      <c r="A6515" s="14">
        <v>968273</v>
      </c>
      <c r="B6515" s="14" t="s">
        <v>6628</v>
      </c>
      <c r="C6515" s="14" t="s">
        <v>13031</v>
      </c>
      <c r="D6515" s="15">
        <v>4.9000000000000004</v>
      </c>
      <c r="E6515" s="16" t="s">
        <v>30</v>
      </c>
    </row>
    <row r="6516" spans="1:5" x14ac:dyDescent="0.25">
      <c r="A6516" s="14">
        <v>968309</v>
      </c>
      <c r="B6516" s="14" t="s">
        <v>6629</v>
      </c>
      <c r="C6516" s="14" t="s">
        <v>13030</v>
      </c>
      <c r="D6516" s="15">
        <v>30.18</v>
      </c>
      <c r="E6516" s="16" t="s">
        <v>30</v>
      </c>
    </row>
    <row r="6517" spans="1:5" x14ac:dyDescent="0.25">
      <c r="A6517" s="14">
        <v>968311</v>
      </c>
      <c r="B6517" s="14" t="s">
        <v>6630</v>
      </c>
      <c r="C6517" s="14" t="s">
        <v>13031</v>
      </c>
      <c r="D6517" s="15">
        <v>13.22</v>
      </c>
      <c r="E6517" s="16" t="s">
        <v>30</v>
      </c>
    </row>
    <row r="6518" spans="1:5" x14ac:dyDescent="0.25">
      <c r="A6518" s="14">
        <v>968312</v>
      </c>
      <c r="B6518" s="14" t="s">
        <v>6631</v>
      </c>
      <c r="C6518" s="14" t="s">
        <v>13031</v>
      </c>
      <c r="D6518" s="15">
        <v>10.45</v>
      </c>
      <c r="E6518" s="16" t="s">
        <v>30</v>
      </c>
    </row>
    <row r="6519" spans="1:5" x14ac:dyDescent="0.25">
      <c r="A6519" s="14">
        <v>968427</v>
      </c>
      <c r="B6519" s="14" t="s">
        <v>6632</v>
      </c>
      <c r="C6519" s="14" t="s">
        <v>13031</v>
      </c>
      <c r="D6519" s="15">
        <v>8.9</v>
      </c>
      <c r="E6519" s="16" t="s">
        <v>30</v>
      </c>
    </row>
    <row r="6520" spans="1:5" x14ac:dyDescent="0.25">
      <c r="A6520" s="14">
        <v>968464</v>
      </c>
      <c r="B6520" s="14" t="s">
        <v>6633</v>
      </c>
      <c r="C6520" s="14" t="s">
        <v>13031</v>
      </c>
      <c r="D6520" s="15">
        <v>1.22</v>
      </c>
      <c r="E6520" s="16" t="s">
        <v>30</v>
      </c>
    </row>
    <row r="6521" spans="1:5" x14ac:dyDescent="0.25">
      <c r="A6521" s="14">
        <v>968465</v>
      </c>
      <c r="B6521" s="14" t="s">
        <v>6634</v>
      </c>
      <c r="C6521" s="14" t="s">
        <v>13031</v>
      </c>
      <c r="D6521" s="15">
        <v>2.2999999999999998</v>
      </c>
      <c r="E6521" s="16" t="s">
        <v>30</v>
      </c>
    </row>
    <row r="6522" spans="1:5" x14ac:dyDescent="0.25">
      <c r="A6522" s="14">
        <v>968468</v>
      </c>
      <c r="B6522" s="14" t="s">
        <v>6635</v>
      </c>
      <c r="C6522" s="14" t="s">
        <v>13031</v>
      </c>
      <c r="D6522" s="15">
        <v>25.7</v>
      </c>
      <c r="E6522" s="16" t="s">
        <v>30</v>
      </c>
    </row>
    <row r="6523" spans="1:5" x14ac:dyDescent="0.25">
      <c r="A6523" s="14">
        <v>968469</v>
      </c>
      <c r="B6523" s="14" t="s">
        <v>6636</v>
      </c>
      <c r="C6523" s="14" t="s">
        <v>13031</v>
      </c>
      <c r="D6523" s="15">
        <v>25.7</v>
      </c>
      <c r="E6523" s="16" t="s">
        <v>30</v>
      </c>
    </row>
    <row r="6524" spans="1:5" x14ac:dyDescent="0.25">
      <c r="A6524" s="14">
        <v>968470</v>
      </c>
      <c r="B6524" s="14" t="s">
        <v>6637</v>
      </c>
      <c r="C6524" s="14" t="s">
        <v>13029</v>
      </c>
      <c r="D6524" s="15">
        <v>5.26</v>
      </c>
      <c r="E6524" s="16" t="s">
        <v>30</v>
      </c>
    </row>
    <row r="6525" spans="1:5" x14ac:dyDescent="0.25">
      <c r="A6525" s="14">
        <v>968471</v>
      </c>
      <c r="B6525" s="14" t="s">
        <v>6638</v>
      </c>
      <c r="C6525" s="14" t="s">
        <v>13029</v>
      </c>
      <c r="D6525" s="15">
        <v>4.34</v>
      </c>
      <c r="E6525" s="16" t="s">
        <v>30</v>
      </c>
    </row>
    <row r="6526" spans="1:5" x14ac:dyDescent="0.25">
      <c r="A6526" s="14">
        <v>968472</v>
      </c>
      <c r="B6526" s="14" t="s">
        <v>6639</v>
      </c>
      <c r="C6526" s="14" t="s">
        <v>13029</v>
      </c>
      <c r="D6526" s="15">
        <v>8.1</v>
      </c>
      <c r="E6526" s="16" t="s">
        <v>30</v>
      </c>
    </row>
    <row r="6527" spans="1:5" x14ac:dyDescent="0.25">
      <c r="A6527" s="14">
        <v>968473</v>
      </c>
      <c r="B6527" s="14" t="s">
        <v>6640</v>
      </c>
      <c r="C6527" s="14" t="s">
        <v>13029</v>
      </c>
      <c r="D6527" s="15">
        <v>15.13</v>
      </c>
      <c r="E6527" s="16" t="s">
        <v>30</v>
      </c>
    </row>
    <row r="6528" spans="1:5" x14ac:dyDescent="0.25">
      <c r="A6528" s="14">
        <v>968477</v>
      </c>
      <c r="B6528" s="14" t="s">
        <v>6641</v>
      </c>
      <c r="C6528" s="14" t="s">
        <v>13031</v>
      </c>
      <c r="D6528" s="15">
        <v>4.16</v>
      </c>
      <c r="E6528" s="16" t="s">
        <v>30</v>
      </c>
    </row>
    <row r="6529" spans="1:5" x14ac:dyDescent="0.25">
      <c r="A6529" s="14">
        <v>968504</v>
      </c>
      <c r="B6529" s="14" t="s">
        <v>6642</v>
      </c>
      <c r="C6529" s="14" t="s">
        <v>13030</v>
      </c>
      <c r="D6529" s="15">
        <v>132.68</v>
      </c>
      <c r="E6529" s="16" t="s">
        <v>30</v>
      </c>
    </row>
    <row r="6530" spans="1:5" x14ac:dyDescent="0.25">
      <c r="A6530" s="14">
        <v>968505</v>
      </c>
      <c r="B6530" s="14" t="s">
        <v>6643</v>
      </c>
      <c r="C6530" s="14" t="s">
        <v>13030</v>
      </c>
      <c r="D6530" s="15">
        <v>132.68</v>
      </c>
      <c r="E6530" s="16" t="s">
        <v>30</v>
      </c>
    </row>
    <row r="6531" spans="1:5" x14ac:dyDescent="0.25">
      <c r="A6531" s="14">
        <v>968508</v>
      </c>
      <c r="B6531" s="14" t="s">
        <v>6644</v>
      </c>
      <c r="C6531" s="14" t="s">
        <v>13030</v>
      </c>
      <c r="D6531" s="15">
        <v>15.74</v>
      </c>
      <c r="E6531" s="16" t="s">
        <v>30</v>
      </c>
    </row>
    <row r="6532" spans="1:5" x14ac:dyDescent="0.25">
      <c r="A6532" s="14">
        <v>968741</v>
      </c>
      <c r="B6532" s="14" t="s">
        <v>6645</v>
      </c>
      <c r="C6532" s="14" t="s">
        <v>13029</v>
      </c>
      <c r="D6532" s="15">
        <v>11.3</v>
      </c>
      <c r="E6532" s="16" t="s">
        <v>30</v>
      </c>
    </row>
    <row r="6533" spans="1:5" x14ac:dyDescent="0.25">
      <c r="A6533" s="14">
        <v>968744</v>
      </c>
      <c r="B6533" s="14" t="s">
        <v>6646</v>
      </c>
      <c r="C6533" s="14" t="s">
        <v>13031</v>
      </c>
      <c r="D6533" s="15">
        <v>4.42</v>
      </c>
      <c r="E6533" s="16" t="s">
        <v>30</v>
      </c>
    </row>
    <row r="6534" spans="1:5" x14ac:dyDescent="0.25">
      <c r="A6534" s="14">
        <v>968754</v>
      </c>
      <c r="B6534" s="14" t="s">
        <v>6647</v>
      </c>
      <c r="C6534" s="14" t="s">
        <v>13030</v>
      </c>
      <c r="D6534" s="15">
        <v>10.57</v>
      </c>
      <c r="E6534" s="16" t="s">
        <v>30</v>
      </c>
    </row>
    <row r="6535" spans="1:5" x14ac:dyDescent="0.25">
      <c r="A6535" s="14">
        <v>968906</v>
      </c>
      <c r="B6535" s="14" t="s">
        <v>6648</v>
      </c>
      <c r="C6535" s="14" t="s">
        <v>13029</v>
      </c>
      <c r="D6535" s="15">
        <v>18.96</v>
      </c>
      <c r="E6535" s="16" t="s">
        <v>30</v>
      </c>
    </row>
    <row r="6536" spans="1:5" x14ac:dyDescent="0.25">
      <c r="A6536" s="14">
        <v>968907</v>
      </c>
      <c r="B6536" s="14" t="s">
        <v>6649</v>
      </c>
      <c r="C6536" s="14" t="s">
        <v>13029</v>
      </c>
      <c r="D6536" s="15">
        <v>18.96</v>
      </c>
      <c r="E6536" s="16" t="s">
        <v>30</v>
      </c>
    </row>
    <row r="6537" spans="1:5" x14ac:dyDescent="0.25">
      <c r="A6537" s="14">
        <v>968908</v>
      </c>
      <c r="B6537" s="14" t="s">
        <v>6650</v>
      </c>
      <c r="C6537" s="14" t="s">
        <v>13029</v>
      </c>
      <c r="D6537" s="15">
        <v>18.96</v>
      </c>
      <c r="E6537" s="16" t="s">
        <v>30</v>
      </c>
    </row>
    <row r="6538" spans="1:5" x14ac:dyDescent="0.25">
      <c r="A6538" s="14">
        <v>968909</v>
      </c>
      <c r="B6538" s="14" t="s">
        <v>6651</v>
      </c>
      <c r="C6538" s="14" t="s">
        <v>13029</v>
      </c>
      <c r="D6538" s="15">
        <v>18.96</v>
      </c>
      <c r="E6538" s="16" t="s">
        <v>30</v>
      </c>
    </row>
    <row r="6539" spans="1:5" x14ac:dyDescent="0.25">
      <c r="A6539" s="14">
        <v>968910</v>
      </c>
      <c r="B6539" s="14" t="s">
        <v>6652</v>
      </c>
      <c r="C6539" s="14" t="s">
        <v>13029</v>
      </c>
      <c r="D6539" s="15">
        <v>18.96</v>
      </c>
      <c r="E6539" s="16" t="s">
        <v>30</v>
      </c>
    </row>
    <row r="6540" spans="1:5" x14ac:dyDescent="0.25">
      <c r="A6540" s="14">
        <v>968911</v>
      </c>
      <c r="B6540" s="14" t="s">
        <v>6653</v>
      </c>
      <c r="C6540" s="14" t="s">
        <v>13029</v>
      </c>
      <c r="D6540" s="15">
        <v>18.96</v>
      </c>
      <c r="E6540" s="16" t="s">
        <v>30</v>
      </c>
    </row>
    <row r="6541" spans="1:5" x14ac:dyDescent="0.25">
      <c r="A6541" s="14">
        <v>968912</v>
      </c>
      <c r="B6541" s="14" t="s">
        <v>6654</v>
      </c>
      <c r="C6541" s="14" t="s">
        <v>13029</v>
      </c>
      <c r="D6541" s="15">
        <v>18.96</v>
      </c>
      <c r="E6541" s="16" t="s">
        <v>30</v>
      </c>
    </row>
    <row r="6542" spans="1:5" x14ac:dyDescent="0.25">
      <c r="A6542" s="14">
        <v>968913</v>
      </c>
      <c r="B6542" s="14" t="s">
        <v>6655</v>
      </c>
      <c r="C6542" s="14" t="s">
        <v>13029</v>
      </c>
      <c r="D6542" s="15">
        <v>18.96</v>
      </c>
      <c r="E6542" s="16" t="s">
        <v>30</v>
      </c>
    </row>
    <row r="6543" spans="1:5" x14ac:dyDescent="0.25">
      <c r="A6543" s="14">
        <v>968914</v>
      </c>
      <c r="B6543" s="14" t="s">
        <v>6656</v>
      </c>
      <c r="C6543" s="14" t="s">
        <v>13029</v>
      </c>
      <c r="D6543" s="15">
        <v>18.96</v>
      </c>
      <c r="E6543" s="16" t="s">
        <v>30</v>
      </c>
    </row>
    <row r="6544" spans="1:5" x14ac:dyDescent="0.25">
      <c r="A6544" s="14">
        <v>968915</v>
      </c>
      <c r="B6544" s="14" t="s">
        <v>6657</v>
      </c>
      <c r="C6544" s="14" t="s">
        <v>13029</v>
      </c>
      <c r="D6544" s="15">
        <v>18.96</v>
      </c>
      <c r="E6544" s="16" t="s">
        <v>30</v>
      </c>
    </row>
    <row r="6545" spans="1:5" x14ac:dyDescent="0.25">
      <c r="A6545" s="14">
        <v>968916</v>
      </c>
      <c r="B6545" s="14" t="s">
        <v>6658</v>
      </c>
      <c r="C6545" s="14" t="s">
        <v>13029</v>
      </c>
      <c r="D6545" s="15">
        <v>18.96</v>
      </c>
      <c r="E6545" s="16" t="s">
        <v>30</v>
      </c>
    </row>
    <row r="6546" spans="1:5" x14ac:dyDescent="0.25">
      <c r="A6546" s="14">
        <v>968917</v>
      </c>
      <c r="B6546" s="14" t="s">
        <v>6659</v>
      </c>
      <c r="C6546" s="14" t="s">
        <v>13029</v>
      </c>
      <c r="D6546" s="15">
        <v>18.96</v>
      </c>
      <c r="E6546" s="16" t="s">
        <v>30</v>
      </c>
    </row>
    <row r="6547" spans="1:5" x14ac:dyDescent="0.25">
      <c r="A6547" s="14">
        <v>968918</v>
      </c>
      <c r="B6547" s="14" t="s">
        <v>6660</v>
      </c>
      <c r="C6547" s="14" t="s">
        <v>13029</v>
      </c>
      <c r="D6547" s="15">
        <v>14.93</v>
      </c>
      <c r="E6547" s="16" t="s">
        <v>30</v>
      </c>
    </row>
    <row r="6548" spans="1:5" x14ac:dyDescent="0.25">
      <c r="A6548" s="14">
        <v>968919</v>
      </c>
      <c r="B6548" s="14" t="s">
        <v>6661</v>
      </c>
      <c r="C6548" s="14" t="s">
        <v>13029</v>
      </c>
      <c r="D6548" s="15">
        <v>12.68</v>
      </c>
      <c r="E6548" s="16" t="s">
        <v>30</v>
      </c>
    </row>
    <row r="6549" spans="1:5" x14ac:dyDescent="0.25">
      <c r="A6549" s="14">
        <v>968920</v>
      </c>
      <c r="B6549" s="14" t="s">
        <v>6662</v>
      </c>
      <c r="C6549" s="14" t="s">
        <v>13029</v>
      </c>
      <c r="D6549" s="15">
        <v>12.68</v>
      </c>
      <c r="E6549" s="16" t="s">
        <v>30</v>
      </c>
    </row>
    <row r="6550" spans="1:5" x14ac:dyDescent="0.25">
      <c r="A6550" s="14">
        <v>968921</v>
      </c>
      <c r="B6550" s="14" t="s">
        <v>6663</v>
      </c>
      <c r="C6550" s="14" t="s">
        <v>13029</v>
      </c>
      <c r="D6550" s="15">
        <v>14.93</v>
      </c>
      <c r="E6550" s="16" t="s">
        <v>30</v>
      </c>
    </row>
    <row r="6551" spans="1:5" x14ac:dyDescent="0.25">
      <c r="A6551" s="14">
        <v>968922</v>
      </c>
      <c r="B6551" s="14" t="s">
        <v>6664</v>
      </c>
      <c r="C6551" s="14" t="s">
        <v>13029</v>
      </c>
      <c r="D6551" s="15">
        <v>12.68</v>
      </c>
      <c r="E6551" s="16" t="s">
        <v>30</v>
      </c>
    </row>
    <row r="6552" spans="1:5" x14ac:dyDescent="0.25">
      <c r="A6552" s="14">
        <v>968923</v>
      </c>
      <c r="B6552" s="14" t="s">
        <v>6665</v>
      </c>
      <c r="C6552" s="14" t="s">
        <v>13029</v>
      </c>
      <c r="D6552" s="15">
        <v>12.68</v>
      </c>
      <c r="E6552" s="16" t="s">
        <v>30</v>
      </c>
    </row>
    <row r="6553" spans="1:5" x14ac:dyDescent="0.25">
      <c r="A6553" s="14">
        <v>968962</v>
      </c>
      <c r="B6553" s="14" t="s">
        <v>6666</v>
      </c>
      <c r="C6553" s="14" t="s">
        <v>13031</v>
      </c>
      <c r="D6553" s="15">
        <v>5</v>
      </c>
      <c r="E6553" s="14" t="s">
        <v>30</v>
      </c>
    </row>
    <row r="6554" spans="1:5" x14ac:dyDescent="0.25">
      <c r="A6554" s="14">
        <v>968963</v>
      </c>
      <c r="B6554" s="14" t="s">
        <v>6667</v>
      </c>
      <c r="C6554" s="14" t="s">
        <v>13031</v>
      </c>
      <c r="D6554" s="15">
        <v>8.99</v>
      </c>
      <c r="E6554" s="16" t="s">
        <v>30</v>
      </c>
    </row>
    <row r="6555" spans="1:5" x14ac:dyDescent="0.25">
      <c r="A6555" s="14">
        <v>968964</v>
      </c>
      <c r="B6555" s="14" t="s">
        <v>6668</v>
      </c>
      <c r="C6555" s="14" t="s">
        <v>13031</v>
      </c>
      <c r="D6555" s="15">
        <v>8.99</v>
      </c>
      <c r="E6555" s="14" t="s">
        <v>30</v>
      </c>
    </row>
    <row r="6556" spans="1:5" x14ac:dyDescent="0.25">
      <c r="A6556" s="14">
        <v>968967</v>
      </c>
      <c r="B6556" s="14" t="s">
        <v>6669</v>
      </c>
      <c r="C6556" s="14" t="s">
        <v>13029</v>
      </c>
      <c r="D6556" s="15">
        <v>14.08</v>
      </c>
      <c r="E6556" s="16" t="s">
        <v>30</v>
      </c>
    </row>
    <row r="6557" spans="1:5" x14ac:dyDescent="0.25">
      <c r="A6557" s="14">
        <v>968968</v>
      </c>
      <c r="B6557" s="14" t="s">
        <v>6670</v>
      </c>
      <c r="C6557" s="14" t="s">
        <v>13029</v>
      </c>
      <c r="D6557" s="15">
        <v>16.23</v>
      </c>
      <c r="E6557" s="16" t="s">
        <v>30</v>
      </c>
    </row>
    <row r="6558" spans="1:5" x14ac:dyDescent="0.25">
      <c r="A6558" s="14">
        <v>968969</v>
      </c>
      <c r="B6558" s="14" t="s">
        <v>6671</v>
      </c>
      <c r="C6558" s="14" t="s">
        <v>13029</v>
      </c>
      <c r="D6558" s="15">
        <v>14.7</v>
      </c>
      <c r="E6558" s="16" t="s">
        <v>30</v>
      </c>
    </row>
    <row r="6559" spans="1:5" x14ac:dyDescent="0.25">
      <c r="A6559" s="14">
        <v>968970</v>
      </c>
      <c r="B6559" s="14" t="s">
        <v>75</v>
      </c>
      <c r="C6559" s="14" t="s">
        <v>13029</v>
      </c>
      <c r="D6559" s="15">
        <v>9.11</v>
      </c>
      <c r="E6559" s="16" t="s">
        <v>30</v>
      </c>
    </row>
    <row r="6560" spans="1:5" x14ac:dyDescent="0.25">
      <c r="A6560" s="14">
        <v>968973</v>
      </c>
      <c r="B6560" s="14" t="s">
        <v>6672</v>
      </c>
      <c r="C6560" s="14" t="s">
        <v>13031</v>
      </c>
      <c r="D6560" s="15">
        <v>10.08</v>
      </c>
      <c r="E6560" s="16" t="s">
        <v>30</v>
      </c>
    </row>
    <row r="6561" spans="1:5" x14ac:dyDescent="0.25">
      <c r="A6561" s="14">
        <v>968974</v>
      </c>
      <c r="B6561" s="14" t="s">
        <v>6673</v>
      </c>
      <c r="C6561" s="14" t="s">
        <v>13031</v>
      </c>
      <c r="D6561" s="15">
        <v>6.63</v>
      </c>
      <c r="E6561" s="16" t="s">
        <v>30</v>
      </c>
    </row>
    <row r="6562" spans="1:5" x14ac:dyDescent="0.25">
      <c r="A6562" s="14">
        <v>968975</v>
      </c>
      <c r="B6562" s="14" t="s">
        <v>6674</v>
      </c>
      <c r="C6562" s="14" t="s">
        <v>13031</v>
      </c>
      <c r="D6562" s="15">
        <v>5.71</v>
      </c>
      <c r="E6562" s="16" t="s">
        <v>30</v>
      </c>
    </row>
    <row r="6563" spans="1:5" x14ac:dyDescent="0.25">
      <c r="A6563" s="14">
        <v>968987</v>
      </c>
      <c r="B6563" s="14" t="s">
        <v>6675</v>
      </c>
      <c r="C6563" s="14" t="s">
        <v>13031</v>
      </c>
      <c r="D6563" s="15">
        <v>9.34</v>
      </c>
      <c r="E6563" s="16" t="s">
        <v>30</v>
      </c>
    </row>
    <row r="6564" spans="1:5" x14ac:dyDescent="0.25">
      <c r="A6564" s="14">
        <v>968988</v>
      </c>
      <c r="B6564" s="14" t="s">
        <v>6676</v>
      </c>
      <c r="C6564" s="14" t="s">
        <v>13031</v>
      </c>
      <c r="D6564" s="15">
        <v>12.41</v>
      </c>
      <c r="E6564" s="16" t="s">
        <v>30</v>
      </c>
    </row>
    <row r="6565" spans="1:5" x14ac:dyDescent="0.25">
      <c r="A6565" s="14">
        <v>968989</v>
      </c>
      <c r="B6565" s="14" t="s">
        <v>6677</v>
      </c>
      <c r="C6565" s="14" t="s">
        <v>13031</v>
      </c>
      <c r="D6565" s="15">
        <v>10.65</v>
      </c>
      <c r="E6565" s="16" t="s">
        <v>30</v>
      </c>
    </row>
    <row r="6566" spans="1:5" x14ac:dyDescent="0.25">
      <c r="A6566" s="14">
        <v>968990</v>
      </c>
      <c r="B6566" s="14" t="s">
        <v>6678</v>
      </c>
      <c r="C6566" s="14" t="s">
        <v>13031</v>
      </c>
      <c r="D6566" s="15">
        <v>10.65</v>
      </c>
      <c r="E6566" s="16" t="s">
        <v>30</v>
      </c>
    </row>
    <row r="6567" spans="1:5" x14ac:dyDescent="0.25">
      <c r="A6567" s="14">
        <v>968991</v>
      </c>
      <c r="B6567" s="14" t="s">
        <v>6679</v>
      </c>
      <c r="C6567" s="14" t="s">
        <v>13031</v>
      </c>
      <c r="D6567" s="15">
        <v>10.65</v>
      </c>
      <c r="E6567" s="16" t="s">
        <v>30</v>
      </c>
    </row>
    <row r="6568" spans="1:5" x14ac:dyDescent="0.25">
      <c r="A6568" s="14">
        <v>968992</v>
      </c>
      <c r="B6568" s="14" t="s">
        <v>6680</v>
      </c>
      <c r="C6568" s="14" t="s">
        <v>13031</v>
      </c>
      <c r="D6568" s="15">
        <v>8.2200000000000006</v>
      </c>
      <c r="E6568" s="16" t="s">
        <v>30</v>
      </c>
    </row>
    <row r="6569" spans="1:5" x14ac:dyDescent="0.25">
      <c r="A6569" s="14">
        <v>968993</v>
      </c>
      <c r="B6569" s="14" t="s">
        <v>6681</v>
      </c>
      <c r="C6569" s="14" t="s">
        <v>13031</v>
      </c>
      <c r="D6569" s="15">
        <v>8.2200000000000006</v>
      </c>
      <c r="E6569" s="16" t="s">
        <v>30</v>
      </c>
    </row>
    <row r="6570" spans="1:5" x14ac:dyDescent="0.25">
      <c r="A6570" s="14">
        <v>968994</v>
      </c>
      <c r="B6570" s="14" t="s">
        <v>6682</v>
      </c>
      <c r="C6570" s="14" t="s">
        <v>13031</v>
      </c>
      <c r="D6570" s="15">
        <v>8.2200000000000006</v>
      </c>
      <c r="E6570" s="16" t="s">
        <v>30</v>
      </c>
    </row>
    <row r="6571" spans="1:5" x14ac:dyDescent="0.25">
      <c r="A6571" s="14">
        <v>968995</v>
      </c>
      <c r="B6571" s="14" t="s">
        <v>6683</v>
      </c>
      <c r="C6571" s="14" t="s">
        <v>13031</v>
      </c>
      <c r="D6571" s="15">
        <v>8.2200000000000006</v>
      </c>
      <c r="E6571" s="16" t="s">
        <v>30</v>
      </c>
    </row>
    <row r="6572" spans="1:5" x14ac:dyDescent="0.25">
      <c r="A6572" s="14">
        <v>968996</v>
      </c>
      <c r="B6572" s="14" t="s">
        <v>6684</v>
      </c>
      <c r="C6572" s="14" t="s">
        <v>13031</v>
      </c>
      <c r="D6572" s="15">
        <v>8.2200000000000006</v>
      </c>
      <c r="E6572" s="16" t="s">
        <v>30</v>
      </c>
    </row>
    <row r="6573" spans="1:5" x14ac:dyDescent="0.25">
      <c r="A6573" s="14">
        <v>968997</v>
      </c>
      <c r="B6573" s="14" t="s">
        <v>6685</v>
      </c>
      <c r="C6573" s="14" t="s">
        <v>13031</v>
      </c>
      <c r="D6573" s="15">
        <v>6.73</v>
      </c>
      <c r="E6573" s="16" t="s">
        <v>30</v>
      </c>
    </row>
    <row r="6574" spans="1:5" x14ac:dyDescent="0.25">
      <c r="A6574" s="14">
        <v>968998</v>
      </c>
      <c r="B6574" s="14" t="s">
        <v>6686</v>
      </c>
      <c r="C6574" s="14" t="s">
        <v>13031</v>
      </c>
      <c r="D6574" s="15">
        <v>6.35</v>
      </c>
      <c r="E6574" s="16" t="s">
        <v>30</v>
      </c>
    </row>
    <row r="6575" spans="1:5" x14ac:dyDescent="0.25">
      <c r="A6575" s="14">
        <v>969003</v>
      </c>
      <c r="B6575" s="14" t="s">
        <v>6687</v>
      </c>
      <c r="C6575" s="14" t="s">
        <v>13029</v>
      </c>
      <c r="D6575" s="15">
        <v>17.57</v>
      </c>
      <c r="E6575" s="16" t="s">
        <v>30</v>
      </c>
    </row>
    <row r="6576" spans="1:5" x14ac:dyDescent="0.25">
      <c r="A6576" s="14">
        <v>969005</v>
      </c>
      <c r="B6576" s="14" t="s">
        <v>6688</v>
      </c>
      <c r="C6576" s="14" t="s">
        <v>13029</v>
      </c>
      <c r="D6576" s="15">
        <v>17.57</v>
      </c>
      <c r="E6576" s="16" t="s">
        <v>30</v>
      </c>
    </row>
    <row r="6577" spans="1:5" x14ac:dyDescent="0.25">
      <c r="A6577" s="14">
        <v>969006</v>
      </c>
      <c r="B6577" s="14" t="s">
        <v>6689</v>
      </c>
      <c r="C6577" s="14" t="s">
        <v>13029</v>
      </c>
      <c r="D6577" s="15">
        <v>17.57</v>
      </c>
      <c r="E6577" s="16" t="s">
        <v>30</v>
      </c>
    </row>
    <row r="6578" spans="1:5" x14ac:dyDescent="0.25">
      <c r="A6578" s="14">
        <v>969007</v>
      </c>
      <c r="B6578" s="14" t="s">
        <v>6690</v>
      </c>
      <c r="C6578" s="14" t="s">
        <v>13029</v>
      </c>
      <c r="D6578" s="15">
        <v>17.57</v>
      </c>
      <c r="E6578" s="16" t="s">
        <v>30</v>
      </c>
    </row>
    <row r="6579" spans="1:5" x14ac:dyDescent="0.25">
      <c r="A6579" s="14">
        <v>969008</v>
      </c>
      <c r="B6579" s="14" t="s">
        <v>6691</v>
      </c>
      <c r="C6579" s="14" t="s">
        <v>13029</v>
      </c>
      <c r="D6579" s="15">
        <v>17.57</v>
      </c>
      <c r="E6579" s="16" t="s">
        <v>30</v>
      </c>
    </row>
    <row r="6580" spans="1:5" x14ac:dyDescent="0.25">
      <c r="A6580" s="14">
        <v>969146</v>
      </c>
      <c r="B6580" s="14" t="s">
        <v>6692</v>
      </c>
      <c r="C6580" s="14" t="s">
        <v>13029</v>
      </c>
      <c r="D6580" s="15">
        <v>20.37</v>
      </c>
      <c r="E6580" s="16" t="s">
        <v>30</v>
      </c>
    </row>
    <row r="6581" spans="1:5" x14ac:dyDescent="0.25">
      <c r="A6581" s="14">
        <v>969147</v>
      </c>
      <c r="B6581" s="14" t="s">
        <v>6693</v>
      </c>
      <c r="C6581" s="14" t="s">
        <v>13029</v>
      </c>
      <c r="D6581" s="15">
        <v>12.13</v>
      </c>
      <c r="E6581" s="16" t="s">
        <v>30</v>
      </c>
    </row>
    <row r="6582" spans="1:5" x14ac:dyDescent="0.25">
      <c r="A6582" s="14">
        <v>969148</v>
      </c>
      <c r="B6582" s="14" t="s">
        <v>6694</v>
      </c>
      <c r="C6582" s="14" t="s">
        <v>13029</v>
      </c>
      <c r="D6582" s="15">
        <v>5.2</v>
      </c>
      <c r="E6582" s="16" t="s">
        <v>30</v>
      </c>
    </row>
    <row r="6583" spans="1:5" x14ac:dyDescent="0.25">
      <c r="A6583" s="14">
        <v>969149</v>
      </c>
      <c r="B6583" s="14" t="s">
        <v>6695</v>
      </c>
      <c r="C6583" s="14" t="s">
        <v>13029</v>
      </c>
      <c r="D6583" s="15">
        <v>13.61</v>
      </c>
      <c r="E6583" s="16" t="s">
        <v>30</v>
      </c>
    </row>
    <row r="6584" spans="1:5" x14ac:dyDescent="0.25">
      <c r="A6584" s="14">
        <v>969150</v>
      </c>
      <c r="B6584" s="14" t="s">
        <v>6696</v>
      </c>
      <c r="C6584" s="14" t="s">
        <v>13030</v>
      </c>
      <c r="D6584" s="15">
        <v>79.3</v>
      </c>
      <c r="E6584" s="16" t="s">
        <v>30</v>
      </c>
    </row>
    <row r="6585" spans="1:5" x14ac:dyDescent="0.25">
      <c r="A6585" s="14">
        <v>969151</v>
      </c>
      <c r="B6585" s="14" t="s">
        <v>6697</v>
      </c>
      <c r="C6585" s="14" t="s">
        <v>13030</v>
      </c>
      <c r="D6585" s="15">
        <v>43.7</v>
      </c>
      <c r="E6585" s="16" t="s">
        <v>30</v>
      </c>
    </row>
    <row r="6586" spans="1:5" x14ac:dyDescent="0.25">
      <c r="A6586" s="14">
        <v>969152</v>
      </c>
      <c r="B6586" s="14" t="s">
        <v>6698</v>
      </c>
      <c r="C6586" s="14" t="s">
        <v>13030</v>
      </c>
      <c r="D6586" s="15">
        <v>33.82</v>
      </c>
      <c r="E6586" s="16" t="s">
        <v>30</v>
      </c>
    </row>
    <row r="6587" spans="1:5" x14ac:dyDescent="0.25">
      <c r="A6587" s="14">
        <v>969153</v>
      </c>
      <c r="B6587" s="14" t="s">
        <v>6699</v>
      </c>
      <c r="C6587" s="14" t="s">
        <v>13030</v>
      </c>
      <c r="D6587" s="15">
        <v>33.82</v>
      </c>
      <c r="E6587" s="16" t="s">
        <v>30</v>
      </c>
    </row>
    <row r="6588" spans="1:5" x14ac:dyDescent="0.25">
      <c r="A6588" s="14">
        <v>969154</v>
      </c>
      <c r="B6588" s="14" t="s">
        <v>6700</v>
      </c>
      <c r="C6588" s="14" t="s">
        <v>13030</v>
      </c>
      <c r="D6588" s="15">
        <v>17</v>
      </c>
      <c r="E6588" s="16" t="s">
        <v>30</v>
      </c>
    </row>
    <row r="6589" spans="1:5" x14ac:dyDescent="0.25">
      <c r="A6589" s="14">
        <v>969155</v>
      </c>
      <c r="B6589" s="14" t="s">
        <v>6701</v>
      </c>
      <c r="C6589" s="14" t="s">
        <v>13031</v>
      </c>
      <c r="D6589" s="15">
        <v>10.98</v>
      </c>
      <c r="E6589" s="16" t="s">
        <v>30</v>
      </c>
    </row>
    <row r="6590" spans="1:5" x14ac:dyDescent="0.25">
      <c r="A6590" s="14">
        <v>969180</v>
      </c>
      <c r="B6590" s="14" t="s">
        <v>6702</v>
      </c>
      <c r="C6590" s="14" t="s">
        <v>13029</v>
      </c>
      <c r="D6590" s="15">
        <v>14.16</v>
      </c>
      <c r="E6590" s="16" t="s">
        <v>30</v>
      </c>
    </row>
    <row r="6591" spans="1:5" x14ac:dyDescent="0.25">
      <c r="A6591" s="14">
        <v>969181</v>
      </c>
      <c r="B6591" s="14" t="s">
        <v>6703</v>
      </c>
      <c r="C6591" s="14" t="s">
        <v>13029</v>
      </c>
      <c r="D6591" s="15">
        <v>14.16</v>
      </c>
      <c r="E6591" s="16" t="s">
        <v>30</v>
      </c>
    </row>
    <row r="6592" spans="1:5" x14ac:dyDescent="0.25">
      <c r="A6592" s="14">
        <v>969191</v>
      </c>
      <c r="B6592" s="14" t="s">
        <v>6704</v>
      </c>
      <c r="C6592" s="14" t="s">
        <v>13031</v>
      </c>
      <c r="D6592" s="15">
        <v>26.44</v>
      </c>
      <c r="E6592" s="14" t="s">
        <v>30</v>
      </c>
    </row>
    <row r="6593" spans="1:5" x14ac:dyDescent="0.25">
      <c r="A6593" s="14">
        <v>969194</v>
      </c>
      <c r="B6593" s="14" t="s">
        <v>6705</v>
      </c>
      <c r="C6593" s="14" t="s">
        <v>13031</v>
      </c>
      <c r="D6593" s="15">
        <v>26.44</v>
      </c>
      <c r="E6593" s="14" t="s">
        <v>30</v>
      </c>
    </row>
    <row r="6594" spans="1:5" x14ac:dyDescent="0.25">
      <c r="A6594" s="14">
        <v>969531</v>
      </c>
      <c r="B6594" s="14" t="s">
        <v>6706</v>
      </c>
      <c r="C6594" s="14" t="s">
        <v>13030</v>
      </c>
      <c r="D6594" s="15">
        <v>4.58</v>
      </c>
      <c r="E6594" s="16" t="s">
        <v>30</v>
      </c>
    </row>
    <row r="6595" spans="1:5" x14ac:dyDescent="0.25">
      <c r="A6595" s="14">
        <v>969533</v>
      </c>
      <c r="B6595" s="14" t="s">
        <v>6707</v>
      </c>
      <c r="C6595" s="14" t="s">
        <v>13029</v>
      </c>
      <c r="D6595" s="15">
        <v>10.23</v>
      </c>
      <c r="E6595" s="16" t="s">
        <v>30</v>
      </c>
    </row>
    <row r="6596" spans="1:5" x14ac:dyDescent="0.25">
      <c r="A6596" s="14">
        <v>969534</v>
      </c>
      <c r="B6596" s="14" t="s">
        <v>6708</v>
      </c>
      <c r="C6596" s="14" t="s">
        <v>13029</v>
      </c>
      <c r="D6596" s="15">
        <v>11.81</v>
      </c>
      <c r="E6596" s="16" t="s">
        <v>30</v>
      </c>
    </row>
    <row r="6597" spans="1:5" x14ac:dyDescent="0.25">
      <c r="A6597" s="14">
        <v>969566</v>
      </c>
      <c r="B6597" s="14" t="s">
        <v>6709</v>
      </c>
      <c r="C6597" s="14" t="s">
        <v>13030</v>
      </c>
      <c r="D6597" s="15">
        <v>47.62</v>
      </c>
      <c r="E6597" s="16" t="s">
        <v>30</v>
      </c>
    </row>
    <row r="6598" spans="1:5" x14ac:dyDescent="0.25">
      <c r="A6598" s="14">
        <v>969567</v>
      </c>
      <c r="B6598" s="14" t="s">
        <v>6710</v>
      </c>
      <c r="C6598" s="14" t="s">
        <v>13030</v>
      </c>
      <c r="D6598" s="15">
        <v>47.62</v>
      </c>
      <c r="E6598" s="16" t="s">
        <v>30</v>
      </c>
    </row>
    <row r="6599" spans="1:5" x14ac:dyDescent="0.25">
      <c r="A6599" s="14">
        <v>969568</v>
      </c>
      <c r="B6599" s="14" t="s">
        <v>6711</v>
      </c>
      <c r="C6599" s="14" t="s">
        <v>13030</v>
      </c>
      <c r="D6599" s="15">
        <v>47.62</v>
      </c>
      <c r="E6599" s="16" t="s">
        <v>30</v>
      </c>
    </row>
    <row r="6600" spans="1:5" x14ac:dyDescent="0.25">
      <c r="A6600" s="14">
        <v>969569</v>
      </c>
      <c r="B6600" s="14" t="s">
        <v>6712</v>
      </c>
      <c r="C6600" s="14" t="s">
        <v>13030</v>
      </c>
      <c r="D6600" s="15">
        <v>49.67</v>
      </c>
      <c r="E6600" s="16" t="s">
        <v>30</v>
      </c>
    </row>
    <row r="6601" spans="1:5" x14ac:dyDescent="0.25">
      <c r="A6601" s="14">
        <v>969570</v>
      </c>
      <c r="B6601" s="14" t="s">
        <v>6713</v>
      </c>
      <c r="C6601" s="14" t="s">
        <v>13030</v>
      </c>
      <c r="D6601" s="15">
        <v>77.599999999999994</v>
      </c>
      <c r="E6601" s="16" t="s">
        <v>30</v>
      </c>
    </row>
    <row r="6602" spans="1:5" x14ac:dyDescent="0.25">
      <c r="A6602" s="14">
        <v>969572</v>
      </c>
      <c r="B6602" s="14" t="s">
        <v>6714</v>
      </c>
      <c r="C6602" s="14" t="s">
        <v>13030</v>
      </c>
      <c r="D6602" s="15">
        <v>6.23</v>
      </c>
      <c r="E6602" s="16" t="s">
        <v>30</v>
      </c>
    </row>
    <row r="6603" spans="1:5" x14ac:dyDescent="0.25">
      <c r="A6603" s="14">
        <v>969573</v>
      </c>
      <c r="B6603" s="14" t="s">
        <v>6715</v>
      </c>
      <c r="C6603" s="14" t="s">
        <v>13030</v>
      </c>
      <c r="D6603" s="15">
        <v>6.23</v>
      </c>
      <c r="E6603" s="16" t="s">
        <v>30</v>
      </c>
    </row>
    <row r="6604" spans="1:5" x14ac:dyDescent="0.25">
      <c r="A6604" s="14">
        <v>969681</v>
      </c>
      <c r="B6604" s="14" t="s">
        <v>6716</v>
      </c>
      <c r="C6604" s="14" t="s">
        <v>13031</v>
      </c>
      <c r="D6604" s="15">
        <v>8.5</v>
      </c>
      <c r="E6604" s="16" t="s">
        <v>30</v>
      </c>
    </row>
    <row r="6605" spans="1:5" x14ac:dyDescent="0.25">
      <c r="A6605" s="14">
        <v>969682</v>
      </c>
      <c r="B6605" s="14" t="s">
        <v>6717</v>
      </c>
      <c r="C6605" s="14" t="s">
        <v>13031</v>
      </c>
      <c r="D6605" s="15">
        <v>15.5</v>
      </c>
      <c r="E6605" s="16" t="s">
        <v>30</v>
      </c>
    </row>
    <row r="6606" spans="1:5" x14ac:dyDescent="0.25">
      <c r="A6606" s="14">
        <v>969789</v>
      </c>
      <c r="B6606" s="14" t="s">
        <v>6718</v>
      </c>
      <c r="C6606" s="14" t="s">
        <v>13033</v>
      </c>
      <c r="D6606" s="15">
        <v>7.61</v>
      </c>
      <c r="E6606" s="16" t="s">
        <v>30</v>
      </c>
    </row>
    <row r="6607" spans="1:5" x14ac:dyDescent="0.25">
      <c r="A6607" s="14">
        <v>969790</v>
      </c>
      <c r="B6607" s="14" t="s">
        <v>6719</v>
      </c>
      <c r="C6607" s="14" t="s">
        <v>13033</v>
      </c>
      <c r="D6607" s="15">
        <v>7.61</v>
      </c>
      <c r="E6607" s="16" t="s">
        <v>30</v>
      </c>
    </row>
    <row r="6608" spans="1:5" x14ac:dyDescent="0.25">
      <c r="A6608" s="14">
        <v>969808</v>
      </c>
      <c r="B6608" s="14" t="s">
        <v>6720</v>
      </c>
      <c r="C6608" s="14" t="s">
        <v>13031</v>
      </c>
      <c r="D6608" s="15">
        <v>2.67</v>
      </c>
      <c r="E6608" s="16" t="s">
        <v>30</v>
      </c>
    </row>
    <row r="6609" spans="1:5" x14ac:dyDescent="0.25">
      <c r="A6609" s="14">
        <v>969809</v>
      </c>
      <c r="B6609" s="14" t="s">
        <v>6721</v>
      </c>
      <c r="C6609" s="14" t="s">
        <v>13031</v>
      </c>
      <c r="D6609" s="15">
        <v>2.67</v>
      </c>
      <c r="E6609" s="16" t="s">
        <v>30</v>
      </c>
    </row>
    <row r="6610" spans="1:5" x14ac:dyDescent="0.25">
      <c r="A6610" s="14">
        <v>969834</v>
      </c>
      <c r="B6610" s="14" t="s">
        <v>6722</v>
      </c>
      <c r="C6610" s="14" t="s">
        <v>13030</v>
      </c>
      <c r="D6610" s="15">
        <v>10.57</v>
      </c>
      <c r="E6610" s="16" t="s">
        <v>30</v>
      </c>
    </row>
    <row r="6611" spans="1:5" x14ac:dyDescent="0.25">
      <c r="A6611" s="14">
        <v>969840</v>
      </c>
      <c r="B6611" s="14" t="s">
        <v>6723</v>
      </c>
      <c r="C6611" s="14" t="s">
        <v>13030</v>
      </c>
      <c r="D6611" s="15">
        <v>19.489999999999998</v>
      </c>
      <c r="E6611" s="16" t="s">
        <v>30</v>
      </c>
    </row>
    <row r="6612" spans="1:5" x14ac:dyDescent="0.25">
      <c r="A6612" s="14">
        <v>949395</v>
      </c>
      <c r="B6612" s="14" t="s">
        <v>6724</v>
      </c>
      <c r="C6612" s="14" t="s">
        <v>13031</v>
      </c>
      <c r="D6612" s="15">
        <v>7.07</v>
      </c>
      <c r="E6612" s="16" t="s">
        <v>20</v>
      </c>
    </row>
    <row r="6613" spans="1:5" x14ac:dyDescent="0.25">
      <c r="A6613" s="14">
        <v>951034</v>
      </c>
      <c r="B6613" s="14" t="s">
        <v>6725</v>
      </c>
      <c r="C6613" s="14" t="s">
        <v>13031</v>
      </c>
      <c r="D6613" s="15">
        <v>23.5</v>
      </c>
      <c r="E6613" s="16" t="s">
        <v>20</v>
      </c>
    </row>
    <row r="6614" spans="1:5" x14ac:dyDescent="0.25">
      <c r="A6614" s="14">
        <v>959686</v>
      </c>
      <c r="B6614" s="14" t="s">
        <v>6726</v>
      </c>
      <c r="C6614" s="14" t="s">
        <v>13031</v>
      </c>
      <c r="D6614" s="15">
        <v>9.2200000000000006</v>
      </c>
      <c r="E6614" s="16" t="s">
        <v>20</v>
      </c>
    </row>
    <row r="6615" spans="1:5" x14ac:dyDescent="0.25">
      <c r="A6615" s="14">
        <v>971241</v>
      </c>
      <c r="B6615" s="14" t="s">
        <v>6727</v>
      </c>
      <c r="C6615" s="14" t="s">
        <v>13031</v>
      </c>
      <c r="D6615" s="15">
        <v>17.600000000000001</v>
      </c>
      <c r="E6615" s="16" t="s">
        <v>30</v>
      </c>
    </row>
    <row r="6616" spans="1:5" x14ac:dyDescent="0.25">
      <c r="A6616" s="14">
        <v>971242</v>
      </c>
      <c r="B6616" s="14" t="s">
        <v>6728</v>
      </c>
      <c r="C6616" s="14" t="s">
        <v>13031</v>
      </c>
      <c r="D6616" s="15">
        <v>28</v>
      </c>
      <c r="E6616" s="16" t="s">
        <v>30</v>
      </c>
    </row>
    <row r="6617" spans="1:5" x14ac:dyDescent="0.25">
      <c r="A6617" s="14">
        <v>971248</v>
      </c>
      <c r="B6617" s="14" t="s">
        <v>6729</v>
      </c>
      <c r="C6617" s="14" t="s">
        <v>13030</v>
      </c>
      <c r="D6617" s="15">
        <v>69.430000000000007</v>
      </c>
      <c r="E6617" s="16" t="s">
        <v>30</v>
      </c>
    </row>
    <row r="6618" spans="1:5" x14ac:dyDescent="0.25">
      <c r="A6618" s="14">
        <v>971249</v>
      </c>
      <c r="B6618" s="14" t="s">
        <v>6730</v>
      </c>
      <c r="C6618" s="14" t="s">
        <v>13030</v>
      </c>
      <c r="D6618" s="15">
        <v>83.33</v>
      </c>
      <c r="E6618" s="16" t="s">
        <v>30</v>
      </c>
    </row>
    <row r="6619" spans="1:5" x14ac:dyDescent="0.25">
      <c r="A6619" s="14">
        <v>971250</v>
      </c>
      <c r="B6619" s="14" t="s">
        <v>6731</v>
      </c>
      <c r="C6619" s="14" t="s">
        <v>13030</v>
      </c>
      <c r="D6619" s="15">
        <v>107.65</v>
      </c>
      <c r="E6619" s="16" t="s">
        <v>30</v>
      </c>
    </row>
    <row r="6620" spans="1:5" x14ac:dyDescent="0.25">
      <c r="A6620" s="14">
        <v>971251</v>
      </c>
      <c r="B6620" s="14" t="s">
        <v>6732</v>
      </c>
      <c r="C6620" s="14" t="s">
        <v>13030</v>
      </c>
      <c r="D6620" s="15">
        <v>34.68</v>
      </c>
      <c r="E6620" s="16" t="s">
        <v>30</v>
      </c>
    </row>
    <row r="6621" spans="1:5" x14ac:dyDescent="0.25">
      <c r="A6621" s="14">
        <v>971252</v>
      </c>
      <c r="B6621" s="14" t="s">
        <v>6733</v>
      </c>
      <c r="C6621" s="14" t="s">
        <v>13030</v>
      </c>
      <c r="D6621" s="15">
        <v>34.68</v>
      </c>
      <c r="E6621" s="16" t="s">
        <v>30</v>
      </c>
    </row>
    <row r="6622" spans="1:5" x14ac:dyDescent="0.25">
      <c r="A6622" s="14">
        <v>971253</v>
      </c>
      <c r="B6622" s="14" t="s">
        <v>6734</v>
      </c>
      <c r="C6622" s="14" t="s">
        <v>13030</v>
      </c>
      <c r="D6622" s="15">
        <v>34.68</v>
      </c>
      <c r="E6622" s="16" t="s">
        <v>30</v>
      </c>
    </row>
    <row r="6623" spans="1:5" x14ac:dyDescent="0.25">
      <c r="A6623" s="14">
        <v>971254</v>
      </c>
      <c r="B6623" s="14" t="s">
        <v>6735</v>
      </c>
      <c r="C6623" s="14" t="s">
        <v>13030</v>
      </c>
      <c r="D6623" s="15">
        <v>48.57</v>
      </c>
      <c r="E6623" s="16" t="s">
        <v>30</v>
      </c>
    </row>
    <row r="6624" spans="1:5" x14ac:dyDescent="0.25">
      <c r="A6624" s="14">
        <v>971255</v>
      </c>
      <c r="B6624" s="14" t="s">
        <v>6736</v>
      </c>
      <c r="C6624" s="14" t="s">
        <v>13030</v>
      </c>
      <c r="D6624" s="15">
        <v>41.62</v>
      </c>
      <c r="E6624" s="16" t="s">
        <v>30</v>
      </c>
    </row>
    <row r="6625" spans="1:5" x14ac:dyDescent="0.25">
      <c r="A6625" s="14">
        <v>971256</v>
      </c>
      <c r="B6625" s="14" t="s">
        <v>6737</v>
      </c>
      <c r="C6625" s="14" t="s">
        <v>13030</v>
      </c>
      <c r="D6625" s="15">
        <v>62.47</v>
      </c>
      <c r="E6625" s="16" t="s">
        <v>30</v>
      </c>
    </row>
    <row r="6626" spans="1:5" x14ac:dyDescent="0.25">
      <c r="A6626" s="14">
        <v>971257</v>
      </c>
      <c r="B6626" s="14" t="s">
        <v>6738</v>
      </c>
      <c r="C6626" s="14" t="s">
        <v>13030</v>
      </c>
      <c r="D6626" s="15">
        <v>138.91</v>
      </c>
      <c r="E6626" s="16" t="s">
        <v>30</v>
      </c>
    </row>
    <row r="6627" spans="1:5" x14ac:dyDescent="0.25">
      <c r="A6627" s="14">
        <v>971388</v>
      </c>
      <c r="B6627" s="14" t="s">
        <v>6739</v>
      </c>
      <c r="C6627" s="14" t="s">
        <v>13029</v>
      </c>
      <c r="D6627" s="15">
        <v>11.27</v>
      </c>
      <c r="E6627" s="16" t="s">
        <v>30</v>
      </c>
    </row>
    <row r="6628" spans="1:5" x14ac:dyDescent="0.25">
      <c r="A6628" s="14">
        <v>971400</v>
      </c>
      <c r="B6628" s="14" t="s">
        <v>6740</v>
      </c>
      <c r="C6628" s="14" t="s">
        <v>13030</v>
      </c>
      <c r="D6628" s="15">
        <v>5.0199999999999996</v>
      </c>
      <c r="E6628" s="16" t="s">
        <v>30</v>
      </c>
    </row>
    <row r="6629" spans="1:5" x14ac:dyDescent="0.25">
      <c r="A6629" s="14">
        <v>971403</v>
      </c>
      <c r="B6629" s="14" t="s">
        <v>6741</v>
      </c>
      <c r="C6629" s="14" t="s">
        <v>13031</v>
      </c>
      <c r="D6629" s="15">
        <v>14.53</v>
      </c>
      <c r="E6629" s="16" t="s">
        <v>30</v>
      </c>
    </row>
    <row r="6630" spans="1:5" x14ac:dyDescent="0.25">
      <c r="A6630" s="14">
        <v>971404</v>
      </c>
      <c r="B6630" s="14" t="s">
        <v>6742</v>
      </c>
      <c r="C6630" s="14" t="s">
        <v>13031</v>
      </c>
      <c r="D6630" s="15">
        <v>7.5</v>
      </c>
      <c r="E6630" s="16" t="s">
        <v>30</v>
      </c>
    </row>
    <row r="6631" spans="1:5" x14ac:dyDescent="0.25">
      <c r="A6631" s="14">
        <v>971451</v>
      </c>
      <c r="B6631" s="14" t="s">
        <v>6743</v>
      </c>
      <c r="C6631" s="14" t="s">
        <v>13030</v>
      </c>
      <c r="D6631" s="15">
        <v>103.11</v>
      </c>
      <c r="E6631" s="16" t="s">
        <v>30</v>
      </c>
    </row>
    <row r="6632" spans="1:5" x14ac:dyDescent="0.25">
      <c r="A6632" s="14">
        <v>971452</v>
      </c>
      <c r="B6632" s="14" t="s">
        <v>6744</v>
      </c>
      <c r="C6632" s="14" t="s">
        <v>13030</v>
      </c>
      <c r="D6632" s="15">
        <v>78.23</v>
      </c>
      <c r="E6632" s="16" t="s">
        <v>30</v>
      </c>
    </row>
    <row r="6633" spans="1:5" x14ac:dyDescent="0.25">
      <c r="A6633" s="14">
        <v>971453</v>
      </c>
      <c r="B6633" s="14" t="s">
        <v>6745</v>
      </c>
      <c r="C6633" s="14" t="s">
        <v>13030</v>
      </c>
      <c r="D6633" s="15">
        <v>110.63</v>
      </c>
      <c r="E6633" s="16" t="s">
        <v>30</v>
      </c>
    </row>
    <row r="6634" spans="1:5" x14ac:dyDescent="0.25">
      <c r="A6634" s="14">
        <v>971598</v>
      </c>
      <c r="B6634" s="14" t="s">
        <v>6746</v>
      </c>
      <c r="C6634" s="14" t="s">
        <v>13031</v>
      </c>
      <c r="D6634" s="15">
        <v>5.51</v>
      </c>
      <c r="E6634" s="16" t="s">
        <v>30</v>
      </c>
    </row>
    <row r="6635" spans="1:5" x14ac:dyDescent="0.25">
      <c r="A6635" s="14">
        <v>971603</v>
      </c>
      <c r="B6635" s="14" t="s">
        <v>6747</v>
      </c>
      <c r="C6635" s="14" t="s">
        <v>13029</v>
      </c>
      <c r="D6635" s="15">
        <v>11.31</v>
      </c>
      <c r="E6635" s="16" t="s">
        <v>30</v>
      </c>
    </row>
    <row r="6636" spans="1:5" x14ac:dyDescent="0.25">
      <c r="A6636" s="14">
        <v>971604</v>
      </c>
      <c r="B6636" s="14" t="s">
        <v>6748</v>
      </c>
      <c r="C6636" s="14" t="s">
        <v>13029</v>
      </c>
      <c r="D6636" s="15">
        <v>11.81</v>
      </c>
      <c r="E6636" s="16" t="s">
        <v>30</v>
      </c>
    </row>
    <row r="6637" spans="1:5" x14ac:dyDescent="0.25">
      <c r="A6637" s="14">
        <v>971619</v>
      </c>
      <c r="B6637" s="14" t="s">
        <v>6749</v>
      </c>
      <c r="C6637" s="14" t="s">
        <v>13031</v>
      </c>
      <c r="D6637" s="15">
        <v>2.4900000000000002</v>
      </c>
      <c r="E6637" s="16" t="s">
        <v>30</v>
      </c>
    </row>
    <row r="6638" spans="1:5" x14ac:dyDescent="0.25">
      <c r="A6638" s="14">
        <v>971620</v>
      </c>
      <c r="B6638" s="14" t="s">
        <v>6750</v>
      </c>
      <c r="C6638" s="14" t="s">
        <v>13031</v>
      </c>
      <c r="D6638" s="15">
        <v>8.85</v>
      </c>
      <c r="E6638" s="16" t="s">
        <v>30</v>
      </c>
    </row>
    <row r="6639" spans="1:5" x14ac:dyDescent="0.25">
      <c r="A6639" s="14">
        <v>971621</v>
      </c>
      <c r="B6639" s="14" t="s">
        <v>6751</v>
      </c>
      <c r="C6639" s="14" t="s">
        <v>13031</v>
      </c>
      <c r="D6639" s="15">
        <v>8.85</v>
      </c>
      <c r="E6639" s="16" t="s">
        <v>30</v>
      </c>
    </row>
    <row r="6640" spans="1:5" x14ac:dyDescent="0.25">
      <c r="A6640" s="14">
        <v>971622</v>
      </c>
      <c r="B6640" s="14" t="s">
        <v>6752</v>
      </c>
      <c r="C6640" s="14" t="s">
        <v>13031</v>
      </c>
      <c r="D6640" s="15">
        <v>8.85</v>
      </c>
      <c r="E6640" s="16" t="s">
        <v>30</v>
      </c>
    </row>
    <row r="6641" spans="1:5" x14ac:dyDescent="0.25">
      <c r="A6641" s="14">
        <v>971623</v>
      </c>
      <c r="B6641" s="14" t="s">
        <v>6753</v>
      </c>
      <c r="C6641" s="14" t="s">
        <v>13031</v>
      </c>
      <c r="D6641" s="15">
        <v>8.2100000000000009</v>
      </c>
      <c r="E6641" s="16" t="s">
        <v>30</v>
      </c>
    </row>
    <row r="6642" spans="1:5" x14ac:dyDescent="0.25">
      <c r="A6642" s="14">
        <v>971624</v>
      </c>
      <c r="B6642" s="14" t="s">
        <v>6754</v>
      </c>
      <c r="C6642" s="14" t="s">
        <v>13031</v>
      </c>
      <c r="D6642" s="15">
        <v>2.2999999999999998</v>
      </c>
      <c r="E6642" s="16" t="s">
        <v>30</v>
      </c>
    </row>
    <row r="6643" spans="1:5" x14ac:dyDescent="0.25">
      <c r="A6643" s="14">
        <v>971625</v>
      </c>
      <c r="B6643" s="14" t="s">
        <v>6755</v>
      </c>
      <c r="C6643" s="14" t="s">
        <v>13031</v>
      </c>
      <c r="D6643" s="15">
        <v>13.39</v>
      </c>
      <c r="E6643" s="16" t="s">
        <v>30</v>
      </c>
    </row>
    <row r="6644" spans="1:5" x14ac:dyDescent="0.25">
      <c r="A6644" s="14">
        <v>971626</v>
      </c>
      <c r="B6644" s="14" t="s">
        <v>6756</v>
      </c>
      <c r="C6644" s="14" t="s">
        <v>13031</v>
      </c>
      <c r="D6644" s="15">
        <v>11.65</v>
      </c>
      <c r="E6644" s="16" t="s">
        <v>30</v>
      </c>
    </row>
    <row r="6645" spans="1:5" x14ac:dyDescent="0.25">
      <c r="A6645" s="14">
        <v>959687</v>
      </c>
      <c r="B6645" s="14" t="s">
        <v>6757</v>
      </c>
      <c r="C6645" s="14" t="s">
        <v>13031</v>
      </c>
      <c r="D6645" s="15">
        <v>9.06</v>
      </c>
      <c r="E6645" s="16" t="s">
        <v>20</v>
      </c>
    </row>
    <row r="6646" spans="1:5" x14ac:dyDescent="0.25">
      <c r="A6646" s="14">
        <v>960515</v>
      </c>
      <c r="B6646" s="14" t="s">
        <v>6758</v>
      </c>
      <c r="C6646" s="14" t="s">
        <v>13030</v>
      </c>
      <c r="D6646" s="15">
        <v>61.52</v>
      </c>
      <c r="E6646" s="16" t="s">
        <v>20</v>
      </c>
    </row>
    <row r="6647" spans="1:5" x14ac:dyDescent="0.25">
      <c r="A6647" s="14">
        <v>960516</v>
      </c>
      <c r="B6647" s="14" t="s">
        <v>6759</v>
      </c>
      <c r="C6647" s="14" t="s">
        <v>13030</v>
      </c>
      <c r="D6647" s="15">
        <v>62.29</v>
      </c>
      <c r="E6647" s="16" t="s">
        <v>20</v>
      </c>
    </row>
    <row r="6648" spans="1:5" x14ac:dyDescent="0.25">
      <c r="A6648" s="14">
        <v>971627</v>
      </c>
      <c r="B6648" s="14" t="s">
        <v>6760</v>
      </c>
      <c r="C6648" s="14" t="s">
        <v>13031</v>
      </c>
      <c r="D6648" s="15">
        <v>13.39</v>
      </c>
      <c r="E6648" s="16" t="s">
        <v>30</v>
      </c>
    </row>
    <row r="6649" spans="1:5" x14ac:dyDescent="0.25">
      <c r="A6649" s="14">
        <v>971628</v>
      </c>
      <c r="B6649" s="14" t="s">
        <v>6761</v>
      </c>
      <c r="C6649" s="14" t="s">
        <v>13031</v>
      </c>
      <c r="D6649" s="15">
        <v>13.39</v>
      </c>
      <c r="E6649" s="16" t="s">
        <v>30</v>
      </c>
    </row>
    <row r="6650" spans="1:5" x14ac:dyDescent="0.25">
      <c r="A6650" s="14">
        <v>971629</v>
      </c>
      <c r="B6650" s="14" t="s">
        <v>6762</v>
      </c>
      <c r="C6650" s="14" t="s">
        <v>13031</v>
      </c>
      <c r="D6650" s="15">
        <v>13.39</v>
      </c>
      <c r="E6650" s="16" t="s">
        <v>30</v>
      </c>
    </row>
    <row r="6651" spans="1:5" x14ac:dyDescent="0.25">
      <c r="A6651" s="14">
        <v>971630</v>
      </c>
      <c r="B6651" s="14" t="s">
        <v>6763</v>
      </c>
      <c r="C6651" s="14" t="s">
        <v>13031</v>
      </c>
      <c r="D6651" s="15">
        <v>13.39</v>
      </c>
      <c r="E6651" s="16" t="s">
        <v>30</v>
      </c>
    </row>
    <row r="6652" spans="1:5" x14ac:dyDescent="0.25">
      <c r="A6652" s="14">
        <v>971631</v>
      </c>
      <c r="B6652" s="14" t="s">
        <v>6764</v>
      </c>
      <c r="C6652" s="14" t="s">
        <v>13031</v>
      </c>
      <c r="D6652" s="15">
        <v>4.96</v>
      </c>
      <c r="E6652" s="14" t="s">
        <v>30</v>
      </c>
    </row>
    <row r="6653" spans="1:5" x14ac:dyDescent="0.25">
      <c r="A6653" s="14">
        <v>971634</v>
      </c>
      <c r="B6653" s="14" t="s">
        <v>6765</v>
      </c>
      <c r="C6653" s="14" t="s">
        <v>13031</v>
      </c>
      <c r="D6653" s="15">
        <v>4.96</v>
      </c>
      <c r="E6653" s="14" t="s">
        <v>30</v>
      </c>
    </row>
    <row r="6654" spans="1:5" x14ac:dyDescent="0.25">
      <c r="A6654" s="14">
        <v>971706</v>
      </c>
      <c r="B6654" s="14" t="s">
        <v>6766</v>
      </c>
      <c r="C6654" s="14" t="s">
        <v>13030</v>
      </c>
      <c r="D6654" s="15">
        <v>319.49</v>
      </c>
      <c r="E6654" s="16" t="s">
        <v>30</v>
      </c>
    </row>
    <row r="6655" spans="1:5" x14ac:dyDescent="0.25">
      <c r="A6655" s="14">
        <v>971707</v>
      </c>
      <c r="B6655" s="14" t="s">
        <v>6767</v>
      </c>
      <c r="C6655" s="14" t="s">
        <v>13030</v>
      </c>
      <c r="D6655" s="15">
        <v>206.37</v>
      </c>
      <c r="E6655" s="16" t="s">
        <v>30</v>
      </c>
    </row>
    <row r="6656" spans="1:5" x14ac:dyDescent="0.25">
      <c r="A6656" s="14">
        <v>971708</v>
      </c>
      <c r="B6656" s="14" t="s">
        <v>6768</v>
      </c>
      <c r="C6656" s="14" t="s">
        <v>13030</v>
      </c>
      <c r="D6656" s="15">
        <v>142.30000000000001</v>
      </c>
      <c r="E6656" s="16" t="s">
        <v>30</v>
      </c>
    </row>
    <row r="6657" spans="1:5" x14ac:dyDescent="0.25">
      <c r="A6657" s="14">
        <v>971709</v>
      </c>
      <c r="B6657" s="14" t="s">
        <v>6769</v>
      </c>
      <c r="C6657" s="14" t="s">
        <v>13030</v>
      </c>
      <c r="D6657" s="15">
        <v>81.53</v>
      </c>
      <c r="E6657" s="16" t="s">
        <v>30</v>
      </c>
    </row>
    <row r="6658" spans="1:5" x14ac:dyDescent="0.25">
      <c r="A6658" s="14">
        <v>971710</v>
      </c>
      <c r="B6658" s="14" t="s">
        <v>6770</v>
      </c>
      <c r="C6658" s="14" t="s">
        <v>13030</v>
      </c>
      <c r="D6658" s="15">
        <v>65.959999999999994</v>
      </c>
      <c r="E6658" s="16" t="s">
        <v>30</v>
      </c>
    </row>
    <row r="6659" spans="1:5" x14ac:dyDescent="0.25">
      <c r="A6659" s="14">
        <v>971711</v>
      </c>
      <c r="B6659" s="14" t="s">
        <v>6771</v>
      </c>
      <c r="C6659" s="14" t="s">
        <v>13030</v>
      </c>
      <c r="D6659" s="15">
        <v>67.75</v>
      </c>
      <c r="E6659" s="16" t="s">
        <v>30</v>
      </c>
    </row>
    <row r="6660" spans="1:5" x14ac:dyDescent="0.25">
      <c r="A6660" s="14">
        <v>971712</v>
      </c>
      <c r="B6660" s="14" t="s">
        <v>6772</v>
      </c>
      <c r="C6660" s="14" t="s">
        <v>13030</v>
      </c>
      <c r="D6660" s="15">
        <v>47.35</v>
      </c>
      <c r="E6660" s="16" t="s">
        <v>30</v>
      </c>
    </row>
    <row r="6661" spans="1:5" x14ac:dyDescent="0.25">
      <c r="A6661" s="14">
        <v>971713</v>
      </c>
      <c r="B6661" s="14" t="s">
        <v>6773</v>
      </c>
      <c r="C6661" s="14" t="s">
        <v>13030</v>
      </c>
      <c r="D6661" s="15">
        <v>47.35</v>
      </c>
      <c r="E6661" s="16" t="s">
        <v>30</v>
      </c>
    </row>
    <row r="6662" spans="1:5" x14ac:dyDescent="0.25">
      <c r="A6662" s="14">
        <v>971765</v>
      </c>
      <c r="B6662" s="14" t="s">
        <v>6774</v>
      </c>
      <c r="C6662" s="14" t="s">
        <v>13030</v>
      </c>
      <c r="D6662" s="15">
        <v>87.55</v>
      </c>
      <c r="E6662" s="16" t="s">
        <v>30</v>
      </c>
    </row>
    <row r="6663" spans="1:5" x14ac:dyDescent="0.25">
      <c r="A6663" s="14">
        <v>971766</v>
      </c>
      <c r="B6663" s="14" t="s">
        <v>6775</v>
      </c>
      <c r="C6663" s="14" t="s">
        <v>13030</v>
      </c>
      <c r="D6663" s="15">
        <v>87.55</v>
      </c>
      <c r="E6663" s="16" t="s">
        <v>30</v>
      </c>
    </row>
    <row r="6664" spans="1:5" x14ac:dyDescent="0.25">
      <c r="A6664" s="14">
        <v>971767</v>
      </c>
      <c r="B6664" s="14" t="s">
        <v>6776</v>
      </c>
      <c r="C6664" s="14" t="s">
        <v>13030</v>
      </c>
      <c r="D6664" s="15">
        <v>87.55</v>
      </c>
      <c r="E6664" s="16" t="s">
        <v>30</v>
      </c>
    </row>
    <row r="6665" spans="1:5" x14ac:dyDescent="0.25">
      <c r="A6665" s="14">
        <v>971768</v>
      </c>
      <c r="B6665" s="14" t="s">
        <v>6777</v>
      </c>
      <c r="C6665" s="14" t="s">
        <v>13030</v>
      </c>
      <c r="D6665" s="15">
        <v>152.82</v>
      </c>
      <c r="E6665" s="16" t="s">
        <v>30</v>
      </c>
    </row>
    <row r="6666" spans="1:5" x14ac:dyDescent="0.25">
      <c r="A6666" s="14">
        <v>971936</v>
      </c>
      <c r="B6666" s="14" t="s">
        <v>6778</v>
      </c>
      <c r="C6666" s="14" t="s">
        <v>13031</v>
      </c>
      <c r="D6666" s="15">
        <v>51.91</v>
      </c>
      <c r="E6666" s="16" t="s">
        <v>30</v>
      </c>
    </row>
    <row r="6667" spans="1:5" x14ac:dyDescent="0.25">
      <c r="A6667" s="14">
        <v>972130</v>
      </c>
      <c r="B6667" s="14" t="s">
        <v>6779</v>
      </c>
      <c r="C6667" s="14" t="s">
        <v>13030</v>
      </c>
      <c r="D6667" s="15">
        <v>2.83</v>
      </c>
      <c r="E6667" s="16" t="s">
        <v>30</v>
      </c>
    </row>
    <row r="6668" spans="1:5" x14ac:dyDescent="0.25">
      <c r="A6668" s="14">
        <v>972132</v>
      </c>
      <c r="B6668" s="14" t="s">
        <v>6780</v>
      </c>
      <c r="C6668" s="14" t="s">
        <v>13030</v>
      </c>
      <c r="D6668" s="15">
        <v>95.83</v>
      </c>
      <c r="E6668" s="16" t="s">
        <v>30</v>
      </c>
    </row>
    <row r="6669" spans="1:5" x14ac:dyDescent="0.25">
      <c r="A6669" s="14">
        <v>972136</v>
      </c>
      <c r="B6669" s="14" t="s">
        <v>6781</v>
      </c>
      <c r="C6669" s="14" t="s">
        <v>13030</v>
      </c>
      <c r="D6669" s="15">
        <v>10.85</v>
      </c>
      <c r="E6669" s="16" t="s">
        <v>30</v>
      </c>
    </row>
    <row r="6670" spans="1:5" x14ac:dyDescent="0.25">
      <c r="A6670" s="14">
        <v>972140</v>
      </c>
      <c r="B6670" s="14" t="s">
        <v>6782</v>
      </c>
      <c r="C6670" s="14" t="s">
        <v>13030</v>
      </c>
      <c r="D6670" s="15">
        <v>189.77</v>
      </c>
      <c r="E6670" s="16" t="s">
        <v>30</v>
      </c>
    </row>
    <row r="6671" spans="1:5" x14ac:dyDescent="0.25">
      <c r="A6671" s="14">
        <v>972141</v>
      </c>
      <c r="B6671" s="14" t="s">
        <v>6783</v>
      </c>
      <c r="C6671" s="14" t="s">
        <v>13030</v>
      </c>
      <c r="D6671" s="15">
        <v>593.16</v>
      </c>
      <c r="E6671" s="16" t="s">
        <v>30</v>
      </c>
    </row>
    <row r="6672" spans="1:5" x14ac:dyDescent="0.25">
      <c r="A6672" s="14">
        <v>972142</v>
      </c>
      <c r="B6672" s="14" t="s">
        <v>6784</v>
      </c>
      <c r="C6672" s="14" t="s">
        <v>13030</v>
      </c>
      <c r="D6672" s="15">
        <v>419.43</v>
      </c>
      <c r="E6672" s="16" t="s">
        <v>30</v>
      </c>
    </row>
    <row r="6673" spans="1:5" x14ac:dyDescent="0.25">
      <c r="A6673" s="14">
        <v>972145</v>
      </c>
      <c r="B6673" s="14" t="s">
        <v>6785</v>
      </c>
      <c r="C6673" s="14" t="s">
        <v>13030</v>
      </c>
      <c r="D6673" s="15">
        <v>7.48</v>
      </c>
      <c r="E6673" s="16" t="s">
        <v>30</v>
      </c>
    </row>
    <row r="6674" spans="1:5" x14ac:dyDescent="0.25">
      <c r="A6674" s="14">
        <v>972146</v>
      </c>
      <c r="B6674" s="14" t="s">
        <v>6786</v>
      </c>
      <c r="C6674" s="14" t="s">
        <v>13030</v>
      </c>
      <c r="D6674" s="15">
        <v>7.65</v>
      </c>
      <c r="E6674" s="16" t="s">
        <v>30</v>
      </c>
    </row>
    <row r="6675" spans="1:5" x14ac:dyDescent="0.25">
      <c r="A6675" s="14">
        <v>972147</v>
      </c>
      <c r="B6675" s="14" t="s">
        <v>6787</v>
      </c>
      <c r="C6675" s="14" t="s">
        <v>13030</v>
      </c>
      <c r="D6675" s="15">
        <v>7.65</v>
      </c>
      <c r="E6675" s="16" t="s">
        <v>30</v>
      </c>
    </row>
    <row r="6676" spans="1:5" x14ac:dyDescent="0.25">
      <c r="A6676" s="14">
        <v>972148</v>
      </c>
      <c r="B6676" s="14" t="s">
        <v>6788</v>
      </c>
      <c r="C6676" s="14" t="s">
        <v>13030</v>
      </c>
      <c r="D6676" s="15">
        <v>7.46</v>
      </c>
      <c r="E6676" s="16" t="s">
        <v>30</v>
      </c>
    </row>
    <row r="6677" spans="1:5" x14ac:dyDescent="0.25">
      <c r="A6677" s="14">
        <v>972149</v>
      </c>
      <c r="B6677" s="14" t="s">
        <v>6789</v>
      </c>
      <c r="C6677" s="14" t="s">
        <v>13030</v>
      </c>
      <c r="D6677" s="15">
        <v>80.540000000000006</v>
      </c>
      <c r="E6677" s="16" t="s">
        <v>30</v>
      </c>
    </row>
    <row r="6678" spans="1:5" x14ac:dyDescent="0.25">
      <c r="A6678" s="14">
        <v>972566</v>
      </c>
      <c r="B6678" s="14" t="s">
        <v>6790</v>
      </c>
      <c r="C6678" s="14" t="s">
        <v>13030</v>
      </c>
      <c r="D6678" s="15">
        <v>22.73</v>
      </c>
      <c r="E6678" s="16" t="s">
        <v>30</v>
      </c>
    </row>
    <row r="6679" spans="1:5" x14ac:dyDescent="0.25">
      <c r="A6679" s="14">
        <v>972567</v>
      </c>
      <c r="B6679" s="14" t="s">
        <v>6791</v>
      </c>
      <c r="C6679" s="14" t="s">
        <v>13030</v>
      </c>
      <c r="D6679" s="15">
        <v>123.7</v>
      </c>
      <c r="E6679" s="16" t="s">
        <v>30</v>
      </c>
    </row>
    <row r="6680" spans="1:5" x14ac:dyDescent="0.25">
      <c r="A6680" s="14">
        <v>972568</v>
      </c>
      <c r="B6680" s="14" t="s">
        <v>6792</v>
      </c>
      <c r="C6680" s="14" t="s">
        <v>13030</v>
      </c>
      <c r="D6680" s="15">
        <v>42.1</v>
      </c>
      <c r="E6680" s="16" t="s">
        <v>30</v>
      </c>
    </row>
    <row r="6681" spans="1:5" x14ac:dyDescent="0.25">
      <c r="A6681" s="14">
        <v>972582</v>
      </c>
      <c r="B6681" s="14" t="s">
        <v>6793</v>
      </c>
      <c r="C6681" s="14" t="s">
        <v>13030</v>
      </c>
      <c r="D6681" s="15">
        <v>12.24</v>
      </c>
      <c r="E6681" s="16" t="s">
        <v>30</v>
      </c>
    </row>
    <row r="6682" spans="1:5" x14ac:dyDescent="0.25">
      <c r="A6682" s="14">
        <v>972583</v>
      </c>
      <c r="B6682" s="14" t="s">
        <v>6794</v>
      </c>
      <c r="C6682" s="14" t="s">
        <v>13030</v>
      </c>
      <c r="D6682" s="15">
        <v>34.79</v>
      </c>
      <c r="E6682" s="16" t="s">
        <v>30</v>
      </c>
    </row>
    <row r="6683" spans="1:5" x14ac:dyDescent="0.25">
      <c r="A6683" s="14">
        <v>972584</v>
      </c>
      <c r="B6683" s="14" t="s">
        <v>6795</v>
      </c>
      <c r="C6683" s="14" t="s">
        <v>13030</v>
      </c>
      <c r="D6683" s="15">
        <v>47.9</v>
      </c>
      <c r="E6683" s="16" t="s">
        <v>30</v>
      </c>
    </row>
    <row r="6684" spans="1:5" x14ac:dyDescent="0.25">
      <c r="A6684" s="14">
        <v>972585</v>
      </c>
      <c r="B6684" s="14" t="s">
        <v>6796</v>
      </c>
      <c r="C6684" s="14" t="s">
        <v>13029</v>
      </c>
      <c r="D6684" s="15">
        <v>23.05</v>
      </c>
      <c r="E6684" s="16" t="s">
        <v>30</v>
      </c>
    </row>
    <row r="6685" spans="1:5" x14ac:dyDescent="0.25">
      <c r="A6685" s="14">
        <v>972586</v>
      </c>
      <c r="B6685" s="14" t="s">
        <v>6797</v>
      </c>
      <c r="C6685" s="14" t="s">
        <v>13029</v>
      </c>
      <c r="D6685" s="15">
        <v>12.68</v>
      </c>
      <c r="E6685" s="16" t="s">
        <v>30</v>
      </c>
    </row>
    <row r="6686" spans="1:5" x14ac:dyDescent="0.25">
      <c r="A6686" s="14">
        <v>972587</v>
      </c>
      <c r="B6686" s="14" t="s">
        <v>6798</v>
      </c>
      <c r="C6686" s="14" t="s">
        <v>13029</v>
      </c>
      <c r="D6686" s="15">
        <v>12.68</v>
      </c>
      <c r="E6686" s="16" t="s">
        <v>30</v>
      </c>
    </row>
    <row r="6687" spans="1:5" x14ac:dyDescent="0.25">
      <c r="A6687" s="14">
        <v>972588</v>
      </c>
      <c r="B6687" s="14" t="s">
        <v>6799</v>
      </c>
      <c r="C6687" s="14" t="s">
        <v>13029</v>
      </c>
      <c r="D6687" s="15">
        <v>12.68</v>
      </c>
      <c r="E6687" s="16" t="s">
        <v>30</v>
      </c>
    </row>
    <row r="6688" spans="1:5" x14ac:dyDescent="0.25">
      <c r="A6688" s="14">
        <v>972589</v>
      </c>
      <c r="B6688" s="14" t="s">
        <v>6800</v>
      </c>
      <c r="C6688" s="14" t="s">
        <v>13029</v>
      </c>
      <c r="D6688" s="15">
        <v>12.68</v>
      </c>
      <c r="E6688" s="16" t="s">
        <v>30</v>
      </c>
    </row>
    <row r="6689" spans="1:5" x14ac:dyDescent="0.25">
      <c r="A6689" s="14">
        <v>972590</v>
      </c>
      <c r="B6689" s="14" t="s">
        <v>6801</v>
      </c>
      <c r="C6689" s="14" t="s">
        <v>13029</v>
      </c>
      <c r="D6689" s="15">
        <v>12.68</v>
      </c>
      <c r="E6689" s="16" t="s">
        <v>30</v>
      </c>
    </row>
    <row r="6690" spans="1:5" x14ac:dyDescent="0.25">
      <c r="A6690" s="14">
        <v>972591</v>
      </c>
      <c r="B6690" s="14" t="s">
        <v>6802</v>
      </c>
      <c r="C6690" s="14" t="s">
        <v>13029</v>
      </c>
      <c r="D6690" s="15">
        <v>23.05</v>
      </c>
      <c r="E6690" s="16" t="s">
        <v>30</v>
      </c>
    </row>
    <row r="6691" spans="1:5" x14ac:dyDescent="0.25">
      <c r="A6691" s="14">
        <v>972592</v>
      </c>
      <c r="B6691" s="14" t="s">
        <v>6803</v>
      </c>
      <c r="C6691" s="14" t="s">
        <v>13029</v>
      </c>
      <c r="D6691" s="15">
        <v>23.05</v>
      </c>
      <c r="E6691" s="16" t="s">
        <v>30</v>
      </c>
    </row>
    <row r="6692" spans="1:5" x14ac:dyDescent="0.25">
      <c r="A6692" s="14">
        <v>972593</v>
      </c>
      <c r="B6692" s="14" t="s">
        <v>6804</v>
      </c>
      <c r="C6692" s="14" t="s">
        <v>13029</v>
      </c>
      <c r="D6692" s="15">
        <v>23.05</v>
      </c>
      <c r="E6692" s="16" t="s">
        <v>30</v>
      </c>
    </row>
    <row r="6693" spans="1:5" x14ac:dyDescent="0.25">
      <c r="A6693" s="14">
        <v>972594</v>
      </c>
      <c r="B6693" s="14" t="s">
        <v>6805</v>
      </c>
      <c r="C6693" s="14" t="s">
        <v>13029</v>
      </c>
      <c r="D6693" s="15">
        <v>23.05</v>
      </c>
      <c r="E6693" s="16" t="s">
        <v>30</v>
      </c>
    </row>
    <row r="6694" spans="1:5" x14ac:dyDescent="0.25">
      <c r="A6694" s="14">
        <v>972595</v>
      </c>
      <c r="B6694" s="14" t="s">
        <v>6806</v>
      </c>
      <c r="C6694" s="14" t="s">
        <v>13029</v>
      </c>
      <c r="D6694" s="15">
        <v>23.05</v>
      </c>
      <c r="E6694" s="16" t="s">
        <v>30</v>
      </c>
    </row>
    <row r="6695" spans="1:5" x14ac:dyDescent="0.25">
      <c r="A6695" s="14">
        <v>972615</v>
      </c>
      <c r="B6695" s="14" t="s">
        <v>6807</v>
      </c>
      <c r="C6695" s="14" t="s">
        <v>13030</v>
      </c>
      <c r="D6695" s="15">
        <v>30.11</v>
      </c>
      <c r="E6695" s="16" t="s">
        <v>30</v>
      </c>
    </row>
    <row r="6696" spans="1:5" x14ac:dyDescent="0.25">
      <c r="A6696" s="14">
        <v>972616</v>
      </c>
      <c r="B6696" s="14" t="s">
        <v>6808</v>
      </c>
      <c r="C6696" s="14" t="s">
        <v>13030</v>
      </c>
      <c r="D6696" s="15">
        <v>29.91</v>
      </c>
      <c r="E6696" s="16" t="s">
        <v>30</v>
      </c>
    </row>
    <row r="6697" spans="1:5" x14ac:dyDescent="0.25">
      <c r="A6697" s="14">
        <v>972617</v>
      </c>
      <c r="B6697" s="14" t="s">
        <v>6809</v>
      </c>
      <c r="C6697" s="14" t="s">
        <v>13030</v>
      </c>
      <c r="D6697" s="15">
        <v>123.8</v>
      </c>
      <c r="E6697" s="16" t="s">
        <v>30</v>
      </c>
    </row>
    <row r="6698" spans="1:5" x14ac:dyDescent="0.25">
      <c r="A6698" s="14">
        <v>972618</v>
      </c>
      <c r="B6698" s="14" t="s">
        <v>6810</v>
      </c>
      <c r="C6698" s="14" t="s">
        <v>13030</v>
      </c>
      <c r="D6698" s="15">
        <v>100.22</v>
      </c>
      <c r="E6698" s="16" t="s">
        <v>30</v>
      </c>
    </row>
    <row r="6699" spans="1:5" x14ac:dyDescent="0.25">
      <c r="A6699" s="14">
        <v>972657</v>
      </c>
      <c r="B6699" s="14" t="s">
        <v>6811</v>
      </c>
      <c r="C6699" s="14" t="s">
        <v>13029</v>
      </c>
      <c r="D6699" s="15">
        <v>4.58</v>
      </c>
      <c r="E6699" s="16" t="s">
        <v>30</v>
      </c>
    </row>
    <row r="6700" spans="1:5" x14ac:dyDescent="0.25">
      <c r="A6700" s="14">
        <v>972658</v>
      </c>
      <c r="B6700" s="14" t="s">
        <v>6812</v>
      </c>
      <c r="C6700" s="14" t="s">
        <v>13029</v>
      </c>
      <c r="D6700" s="15">
        <v>1.65</v>
      </c>
      <c r="E6700" s="16" t="s">
        <v>30</v>
      </c>
    </row>
    <row r="6701" spans="1:5" x14ac:dyDescent="0.25">
      <c r="A6701" s="14">
        <v>972659</v>
      </c>
      <c r="B6701" s="14" t="s">
        <v>6813</v>
      </c>
      <c r="C6701" s="14" t="s">
        <v>13029</v>
      </c>
      <c r="D6701" s="15">
        <v>7.65</v>
      </c>
      <c r="E6701" s="16" t="s">
        <v>30</v>
      </c>
    </row>
    <row r="6702" spans="1:5" x14ac:dyDescent="0.25">
      <c r="A6702" s="14">
        <v>972664</v>
      </c>
      <c r="B6702" s="14" t="s">
        <v>6814</v>
      </c>
      <c r="C6702" s="14" t="s">
        <v>13029</v>
      </c>
      <c r="D6702" s="15">
        <v>9.31</v>
      </c>
      <c r="E6702" s="16" t="s">
        <v>30</v>
      </c>
    </row>
    <row r="6703" spans="1:5" x14ac:dyDescent="0.25">
      <c r="A6703" s="14">
        <v>972666</v>
      </c>
      <c r="B6703" s="14" t="s">
        <v>6815</v>
      </c>
      <c r="C6703" s="14" t="s">
        <v>13029</v>
      </c>
      <c r="D6703" s="15">
        <v>12.07</v>
      </c>
      <c r="E6703" s="16" t="s">
        <v>30</v>
      </c>
    </row>
    <row r="6704" spans="1:5" x14ac:dyDescent="0.25">
      <c r="A6704" s="14">
        <v>973025</v>
      </c>
      <c r="B6704" s="14" t="s">
        <v>6816</v>
      </c>
      <c r="C6704" s="14" t="s">
        <v>13031</v>
      </c>
      <c r="D6704" s="15">
        <v>12.75</v>
      </c>
      <c r="E6704" s="16" t="s">
        <v>30</v>
      </c>
    </row>
    <row r="6705" spans="1:5" x14ac:dyDescent="0.25">
      <c r="A6705" s="14">
        <v>973026</v>
      </c>
      <c r="B6705" s="14" t="s">
        <v>6817</v>
      </c>
      <c r="C6705" s="14" t="s">
        <v>13029</v>
      </c>
      <c r="D6705" s="15">
        <v>21.58</v>
      </c>
      <c r="E6705" s="16" t="s">
        <v>30</v>
      </c>
    </row>
    <row r="6706" spans="1:5" x14ac:dyDescent="0.25">
      <c r="A6706" s="14">
        <v>973046</v>
      </c>
      <c r="B6706" s="14" t="s">
        <v>6818</v>
      </c>
      <c r="C6706" s="14" t="s">
        <v>13033</v>
      </c>
      <c r="D6706" s="15">
        <v>6.37</v>
      </c>
      <c r="E6706" s="16" t="s">
        <v>30</v>
      </c>
    </row>
    <row r="6707" spans="1:5" x14ac:dyDescent="0.25">
      <c r="A6707" s="14">
        <v>973047</v>
      </c>
      <c r="B6707" s="14" t="s">
        <v>6819</v>
      </c>
      <c r="C6707" s="14" t="s">
        <v>13033</v>
      </c>
      <c r="D6707" s="15">
        <v>6.37</v>
      </c>
      <c r="E6707" s="16" t="s">
        <v>30</v>
      </c>
    </row>
    <row r="6708" spans="1:5" x14ac:dyDescent="0.25">
      <c r="A6708" s="14">
        <v>973048</v>
      </c>
      <c r="B6708" s="14" t="s">
        <v>6820</v>
      </c>
      <c r="C6708" s="14" t="s">
        <v>13033</v>
      </c>
      <c r="D6708" s="15">
        <v>6.37</v>
      </c>
      <c r="E6708" s="16" t="s">
        <v>30</v>
      </c>
    </row>
    <row r="6709" spans="1:5" x14ac:dyDescent="0.25">
      <c r="A6709" s="14">
        <v>973049</v>
      </c>
      <c r="B6709" s="14" t="s">
        <v>6821</v>
      </c>
      <c r="C6709" s="14" t="s">
        <v>13033</v>
      </c>
      <c r="D6709" s="15">
        <v>6.37</v>
      </c>
      <c r="E6709" s="16" t="s">
        <v>30</v>
      </c>
    </row>
    <row r="6710" spans="1:5" x14ac:dyDescent="0.25">
      <c r="A6710" s="14">
        <v>973050</v>
      </c>
      <c r="B6710" s="14" t="s">
        <v>6822</v>
      </c>
      <c r="C6710" s="14" t="s">
        <v>13033</v>
      </c>
      <c r="D6710" s="15">
        <v>6.37</v>
      </c>
      <c r="E6710" s="16" t="s">
        <v>30</v>
      </c>
    </row>
    <row r="6711" spans="1:5" x14ac:dyDescent="0.25">
      <c r="A6711" s="14">
        <v>973051</v>
      </c>
      <c r="B6711" s="14" t="s">
        <v>6823</v>
      </c>
      <c r="C6711" s="14" t="s">
        <v>13033</v>
      </c>
      <c r="D6711" s="15">
        <v>6.37</v>
      </c>
      <c r="E6711" s="16" t="s">
        <v>30</v>
      </c>
    </row>
    <row r="6712" spans="1:5" x14ac:dyDescent="0.25">
      <c r="A6712" s="14">
        <v>973052</v>
      </c>
      <c r="B6712" s="14" t="s">
        <v>6824</v>
      </c>
      <c r="C6712" s="14" t="s">
        <v>13033</v>
      </c>
      <c r="D6712" s="15">
        <v>1.39</v>
      </c>
      <c r="E6712" s="16" t="s">
        <v>30</v>
      </c>
    </row>
    <row r="6713" spans="1:5" x14ac:dyDescent="0.25">
      <c r="A6713" s="14">
        <v>973053</v>
      </c>
      <c r="B6713" s="14" t="s">
        <v>6825</v>
      </c>
      <c r="C6713" s="14" t="s">
        <v>13033</v>
      </c>
      <c r="D6713" s="15">
        <v>1.39</v>
      </c>
      <c r="E6713" s="16" t="s">
        <v>30</v>
      </c>
    </row>
    <row r="6714" spans="1:5" x14ac:dyDescent="0.25">
      <c r="A6714" s="14">
        <v>973057</v>
      </c>
      <c r="B6714" s="14" t="s">
        <v>6826</v>
      </c>
      <c r="C6714" s="14" t="s">
        <v>13029</v>
      </c>
      <c r="D6714" s="15">
        <v>21.79</v>
      </c>
      <c r="E6714" s="16" t="s">
        <v>30</v>
      </c>
    </row>
    <row r="6715" spans="1:5" x14ac:dyDescent="0.25">
      <c r="A6715" s="14">
        <v>973061</v>
      </c>
      <c r="B6715" s="14" t="s">
        <v>6827</v>
      </c>
      <c r="C6715" s="14" t="s">
        <v>13030</v>
      </c>
      <c r="D6715" s="15">
        <v>57.41</v>
      </c>
      <c r="E6715" s="16" t="s">
        <v>30</v>
      </c>
    </row>
    <row r="6716" spans="1:5" x14ac:dyDescent="0.25">
      <c r="A6716" s="14">
        <v>973062</v>
      </c>
      <c r="B6716" s="14" t="s">
        <v>6828</v>
      </c>
      <c r="C6716" s="14" t="s">
        <v>13030</v>
      </c>
      <c r="D6716" s="15">
        <v>100.81</v>
      </c>
      <c r="E6716" s="16" t="s">
        <v>30</v>
      </c>
    </row>
    <row r="6717" spans="1:5" x14ac:dyDescent="0.25">
      <c r="A6717" s="14">
        <v>973063</v>
      </c>
      <c r="B6717" s="14" t="s">
        <v>6829</v>
      </c>
      <c r="C6717" s="14" t="s">
        <v>13030</v>
      </c>
      <c r="D6717" s="15">
        <v>64.53</v>
      </c>
      <c r="E6717" s="16" t="s">
        <v>30</v>
      </c>
    </row>
    <row r="6718" spans="1:5" x14ac:dyDescent="0.25">
      <c r="A6718" s="14">
        <v>973064</v>
      </c>
      <c r="B6718" s="14" t="s">
        <v>6830</v>
      </c>
      <c r="C6718" s="14" t="s">
        <v>13030</v>
      </c>
      <c r="D6718" s="15">
        <v>57.11</v>
      </c>
      <c r="E6718" s="16" t="s">
        <v>30</v>
      </c>
    </row>
    <row r="6719" spans="1:5" x14ac:dyDescent="0.25">
      <c r="A6719" s="14">
        <v>960979</v>
      </c>
      <c r="B6719" s="14" t="s">
        <v>6831</v>
      </c>
      <c r="C6719" s="14" t="s">
        <v>13030</v>
      </c>
      <c r="D6719" s="15">
        <v>38.79</v>
      </c>
      <c r="E6719" s="16" t="s">
        <v>20</v>
      </c>
    </row>
    <row r="6720" spans="1:5" x14ac:dyDescent="0.25">
      <c r="A6720" s="14">
        <v>973065</v>
      </c>
      <c r="B6720" s="14" t="s">
        <v>6832</v>
      </c>
      <c r="C6720" s="14" t="s">
        <v>13030</v>
      </c>
      <c r="D6720" s="15">
        <v>48.78</v>
      </c>
      <c r="E6720" s="16" t="s">
        <v>30</v>
      </c>
    </row>
    <row r="6721" spans="1:5" x14ac:dyDescent="0.25">
      <c r="A6721" s="14">
        <v>973066</v>
      </c>
      <c r="B6721" s="14" t="s">
        <v>6833</v>
      </c>
      <c r="C6721" s="14" t="s">
        <v>13030</v>
      </c>
      <c r="D6721" s="15">
        <v>71.64</v>
      </c>
      <c r="E6721" s="16" t="s">
        <v>30</v>
      </c>
    </row>
    <row r="6722" spans="1:5" x14ac:dyDescent="0.25">
      <c r="A6722" s="14">
        <v>973067</v>
      </c>
      <c r="B6722" s="14" t="s">
        <v>6834</v>
      </c>
      <c r="C6722" s="14" t="s">
        <v>13030</v>
      </c>
      <c r="D6722" s="15">
        <v>53.91</v>
      </c>
      <c r="E6722" s="16" t="s">
        <v>30</v>
      </c>
    </row>
    <row r="6723" spans="1:5" x14ac:dyDescent="0.25">
      <c r="A6723" s="14">
        <v>973068</v>
      </c>
      <c r="B6723" s="14" t="s">
        <v>6835</v>
      </c>
      <c r="C6723" s="14" t="s">
        <v>13030</v>
      </c>
      <c r="D6723" s="15">
        <v>82.8</v>
      </c>
      <c r="E6723" s="16" t="s">
        <v>30</v>
      </c>
    </row>
    <row r="6724" spans="1:5" x14ac:dyDescent="0.25">
      <c r="A6724" s="14">
        <v>960980</v>
      </c>
      <c r="B6724" s="14" t="s">
        <v>6836</v>
      </c>
      <c r="C6724" s="14" t="s">
        <v>13030</v>
      </c>
      <c r="D6724" s="15">
        <v>120.13</v>
      </c>
      <c r="E6724" s="16" t="s">
        <v>20</v>
      </c>
    </row>
    <row r="6725" spans="1:5" x14ac:dyDescent="0.25">
      <c r="A6725" s="14">
        <v>973069</v>
      </c>
      <c r="B6725" s="14" t="s">
        <v>6837</v>
      </c>
      <c r="C6725" s="14" t="s">
        <v>13030</v>
      </c>
      <c r="D6725" s="15">
        <v>115.14</v>
      </c>
      <c r="E6725" s="16" t="s">
        <v>30</v>
      </c>
    </row>
    <row r="6726" spans="1:5" x14ac:dyDescent="0.25">
      <c r="A6726" s="14">
        <v>973070</v>
      </c>
      <c r="B6726" s="14" t="s">
        <v>6838</v>
      </c>
      <c r="C6726" s="14" t="s">
        <v>13030</v>
      </c>
      <c r="D6726" s="15">
        <v>121.81</v>
      </c>
      <c r="E6726" s="16" t="s">
        <v>30</v>
      </c>
    </row>
    <row r="6727" spans="1:5" x14ac:dyDescent="0.25">
      <c r="A6727" s="14">
        <v>973071</v>
      </c>
      <c r="B6727" s="14" t="s">
        <v>6839</v>
      </c>
      <c r="C6727" s="14" t="s">
        <v>13030</v>
      </c>
      <c r="D6727" s="15">
        <v>208.84</v>
      </c>
      <c r="E6727" s="16" t="s">
        <v>30</v>
      </c>
    </row>
    <row r="6728" spans="1:5" x14ac:dyDescent="0.25">
      <c r="A6728" s="14">
        <v>973072</v>
      </c>
      <c r="B6728" s="14" t="s">
        <v>6840</v>
      </c>
      <c r="C6728" s="14" t="s">
        <v>13030</v>
      </c>
      <c r="D6728" s="15">
        <v>57.57</v>
      </c>
      <c r="E6728" s="16" t="s">
        <v>30</v>
      </c>
    </row>
    <row r="6729" spans="1:5" x14ac:dyDescent="0.25">
      <c r="A6729" s="14">
        <v>973073</v>
      </c>
      <c r="B6729" s="14" t="s">
        <v>6841</v>
      </c>
      <c r="C6729" s="14" t="s">
        <v>13030</v>
      </c>
      <c r="D6729" s="15">
        <v>56.65</v>
      </c>
      <c r="E6729" s="16" t="s">
        <v>30</v>
      </c>
    </row>
    <row r="6730" spans="1:5" x14ac:dyDescent="0.25">
      <c r="A6730" s="14">
        <v>973074</v>
      </c>
      <c r="B6730" s="14" t="s">
        <v>6842</v>
      </c>
      <c r="C6730" s="14" t="s">
        <v>13030</v>
      </c>
      <c r="D6730" s="15">
        <v>56.65</v>
      </c>
      <c r="E6730" s="16" t="s">
        <v>30</v>
      </c>
    </row>
    <row r="6731" spans="1:5" x14ac:dyDescent="0.25">
      <c r="A6731" s="14">
        <v>973075</v>
      </c>
      <c r="B6731" s="14" t="s">
        <v>6843</v>
      </c>
      <c r="C6731" s="14" t="s">
        <v>13030</v>
      </c>
      <c r="D6731" s="15">
        <v>56.65</v>
      </c>
      <c r="E6731" s="16" t="s">
        <v>30</v>
      </c>
    </row>
    <row r="6732" spans="1:5" x14ac:dyDescent="0.25">
      <c r="A6732" s="14">
        <v>973076</v>
      </c>
      <c r="B6732" s="14" t="s">
        <v>6844</v>
      </c>
      <c r="C6732" s="14" t="s">
        <v>13030</v>
      </c>
      <c r="D6732" s="15">
        <v>38.26</v>
      </c>
      <c r="E6732" s="16" t="s">
        <v>30</v>
      </c>
    </row>
    <row r="6733" spans="1:5" x14ac:dyDescent="0.25">
      <c r="A6733" s="14">
        <v>973077</v>
      </c>
      <c r="B6733" s="14" t="s">
        <v>6845</v>
      </c>
      <c r="C6733" s="14" t="s">
        <v>13030</v>
      </c>
      <c r="D6733" s="15">
        <v>38.26</v>
      </c>
      <c r="E6733" s="16" t="s">
        <v>30</v>
      </c>
    </row>
    <row r="6734" spans="1:5" x14ac:dyDescent="0.25">
      <c r="A6734" s="14">
        <v>973078</v>
      </c>
      <c r="B6734" s="14" t="s">
        <v>6846</v>
      </c>
      <c r="C6734" s="14" t="s">
        <v>13030</v>
      </c>
      <c r="D6734" s="15">
        <v>38.26</v>
      </c>
      <c r="E6734" s="16" t="s">
        <v>30</v>
      </c>
    </row>
    <row r="6735" spans="1:5" x14ac:dyDescent="0.25">
      <c r="A6735" s="14">
        <v>973079</v>
      </c>
      <c r="B6735" s="14" t="s">
        <v>6847</v>
      </c>
      <c r="C6735" s="14" t="s">
        <v>13030</v>
      </c>
      <c r="D6735" s="15">
        <v>83.32</v>
      </c>
      <c r="E6735" s="16" t="s">
        <v>30</v>
      </c>
    </row>
    <row r="6736" spans="1:5" x14ac:dyDescent="0.25">
      <c r="A6736" s="14">
        <v>973080</v>
      </c>
      <c r="B6736" s="14" t="s">
        <v>6848</v>
      </c>
      <c r="C6736" s="14" t="s">
        <v>13030</v>
      </c>
      <c r="D6736" s="15">
        <v>53.44</v>
      </c>
      <c r="E6736" s="16" t="s">
        <v>30</v>
      </c>
    </row>
    <row r="6737" spans="1:5" x14ac:dyDescent="0.25">
      <c r="A6737" s="14">
        <v>973081</v>
      </c>
      <c r="B6737" s="14" t="s">
        <v>6849</v>
      </c>
      <c r="C6737" s="14" t="s">
        <v>13030</v>
      </c>
      <c r="D6737" s="15">
        <v>67.33</v>
      </c>
      <c r="E6737" s="16" t="s">
        <v>30</v>
      </c>
    </row>
    <row r="6738" spans="1:5" x14ac:dyDescent="0.25">
      <c r="A6738" s="14">
        <v>973082</v>
      </c>
      <c r="B6738" s="14" t="s">
        <v>6850</v>
      </c>
      <c r="C6738" s="14" t="s">
        <v>13030</v>
      </c>
      <c r="D6738" s="15">
        <v>39.54</v>
      </c>
      <c r="E6738" s="16" t="s">
        <v>30</v>
      </c>
    </row>
    <row r="6739" spans="1:5" x14ac:dyDescent="0.25">
      <c r="A6739" s="14">
        <v>973083</v>
      </c>
      <c r="B6739" s="14" t="s">
        <v>6851</v>
      </c>
      <c r="C6739" s="14" t="s">
        <v>13030</v>
      </c>
      <c r="D6739" s="15">
        <v>41.47</v>
      </c>
      <c r="E6739" s="16" t="s">
        <v>30</v>
      </c>
    </row>
    <row r="6740" spans="1:5" x14ac:dyDescent="0.25">
      <c r="A6740" s="14">
        <v>973084</v>
      </c>
      <c r="B6740" s="14" t="s">
        <v>6852</v>
      </c>
      <c r="C6740" s="14" t="s">
        <v>13030</v>
      </c>
      <c r="D6740" s="15">
        <v>37.950000000000003</v>
      </c>
      <c r="E6740" s="16" t="s">
        <v>30</v>
      </c>
    </row>
    <row r="6741" spans="1:5" x14ac:dyDescent="0.25">
      <c r="A6741" s="14">
        <v>973085</v>
      </c>
      <c r="B6741" s="14" t="s">
        <v>6853</v>
      </c>
      <c r="C6741" s="14" t="s">
        <v>13030</v>
      </c>
      <c r="D6741" s="15">
        <v>41.47</v>
      </c>
      <c r="E6741" s="16" t="s">
        <v>30</v>
      </c>
    </row>
    <row r="6742" spans="1:5" x14ac:dyDescent="0.25">
      <c r="A6742" s="14">
        <v>973086</v>
      </c>
      <c r="B6742" s="14" t="s">
        <v>6854</v>
      </c>
      <c r="C6742" s="14" t="s">
        <v>13030</v>
      </c>
      <c r="D6742" s="15">
        <v>93.56</v>
      </c>
      <c r="E6742" s="16" t="s">
        <v>30</v>
      </c>
    </row>
    <row r="6743" spans="1:5" x14ac:dyDescent="0.25">
      <c r="A6743" s="14">
        <v>973090</v>
      </c>
      <c r="B6743" s="14" t="s">
        <v>6855</v>
      </c>
      <c r="C6743" s="14" t="s">
        <v>13030</v>
      </c>
      <c r="D6743" s="15">
        <v>99.06</v>
      </c>
      <c r="E6743" s="16" t="s">
        <v>30</v>
      </c>
    </row>
    <row r="6744" spans="1:5" x14ac:dyDescent="0.25">
      <c r="A6744" s="14">
        <v>973091</v>
      </c>
      <c r="B6744" s="14" t="s">
        <v>6856</v>
      </c>
      <c r="C6744" s="14" t="s">
        <v>13030</v>
      </c>
      <c r="D6744" s="15">
        <v>22.16</v>
      </c>
      <c r="E6744" s="16" t="s">
        <v>30</v>
      </c>
    </row>
    <row r="6745" spans="1:5" x14ac:dyDescent="0.25">
      <c r="A6745" s="14">
        <v>973092</v>
      </c>
      <c r="B6745" s="14" t="s">
        <v>6857</v>
      </c>
      <c r="C6745" s="14" t="s">
        <v>13030</v>
      </c>
      <c r="D6745" s="15">
        <v>27.72</v>
      </c>
      <c r="E6745" s="16" t="s">
        <v>30</v>
      </c>
    </row>
    <row r="6746" spans="1:5" x14ac:dyDescent="0.25">
      <c r="A6746" s="14">
        <v>973093</v>
      </c>
      <c r="B6746" s="14" t="s">
        <v>6858</v>
      </c>
      <c r="C6746" s="14" t="s">
        <v>13030</v>
      </c>
      <c r="D6746" s="15">
        <v>27.72</v>
      </c>
      <c r="E6746" s="16" t="s">
        <v>30</v>
      </c>
    </row>
    <row r="6747" spans="1:5" x14ac:dyDescent="0.25">
      <c r="A6747" s="14">
        <v>973094</v>
      </c>
      <c r="B6747" s="14" t="s">
        <v>6859</v>
      </c>
      <c r="C6747" s="14" t="s">
        <v>13030</v>
      </c>
      <c r="D6747" s="15">
        <v>27.72</v>
      </c>
      <c r="E6747" s="16" t="s">
        <v>30</v>
      </c>
    </row>
    <row r="6748" spans="1:5" x14ac:dyDescent="0.25">
      <c r="A6748" s="14">
        <v>973095</v>
      </c>
      <c r="B6748" s="14" t="s">
        <v>6860</v>
      </c>
      <c r="C6748" s="14" t="s">
        <v>13030</v>
      </c>
      <c r="D6748" s="15">
        <v>27.72</v>
      </c>
      <c r="E6748" s="16" t="s">
        <v>30</v>
      </c>
    </row>
    <row r="6749" spans="1:5" x14ac:dyDescent="0.25">
      <c r="A6749" s="14">
        <v>973096</v>
      </c>
      <c r="B6749" s="14" t="s">
        <v>6861</v>
      </c>
      <c r="C6749" s="14" t="s">
        <v>13030</v>
      </c>
      <c r="D6749" s="15">
        <v>57.59</v>
      </c>
      <c r="E6749" s="16" t="s">
        <v>30</v>
      </c>
    </row>
    <row r="6750" spans="1:5" x14ac:dyDescent="0.25">
      <c r="A6750" s="14">
        <v>973105</v>
      </c>
      <c r="B6750" s="14" t="s">
        <v>6862</v>
      </c>
      <c r="C6750" s="14" t="s">
        <v>13031</v>
      </c>
      <c r="D6750" s="15">
        <v>2.6</v>
      </c>
      <c r="E6750" s="16" t="s">
        <v>30</v>
      </c>
    </row>
    <row r="6751" spans="1:5" x14ac:dyDescent="0.25">
      <c r="A6751" s="14">
        <v>973106</v>
      </c>
      <c r="B6751" s="14" t="s">
        <v>6863</v>
      </c>
      <c r="C6751" s="14" t="s">
        <v>13031</v>
      </c>
      <c r="D6751" s="15">
        <v>3.5</v>
      </c>
      <c r="E6751" s="16" t="s">
        <v>30</v>
      </c>
    </row>
    <row r="6752" spans="1:5" x14ac:dyDescent="0.25">
      <c r="A6752" s="14">
        <v>973107</v>
      </c>
      <c r="B6752" s="14" t="s">
        <v>6864</v>
      </c>
      <c r="C6752" s="14" t="s">
        <v>13030</v>
      </c>
      <c r="D6752" s="15">
        <v>7.63</v>
      </c>
      <c r="E6752" s="16" t="s">
        <v>30</v>
      </c>
    </row>
    <row r="6753" spans="1:5" x14ac:dyDescent="0.25">
      <c r="A6753" s="14">
        <v>973109</v>
      </c>
      <c r="B6753" s="14" t="s">
        <v>6865</v>
      </c>
      <c r="C6753" s="14" t="s">
        <v>13029</v>
      </c>
      <c r="D6753" s="15">
        <v>10.029999999999999</v>
      </c>
      <c r="E6753" s="16" t="s">
        <v>30</v>
      </c>
    </row>
    <row r="6754" spans="1:5" x14ac:dyDescent="0.25">
      <c r="A6754" s="14">
        <v>973112</v>
      </c>
      <c r="B6754" s="14" t="s">
        <v>6866</v>
      </c>
      <c r="C6754" s="14" t="s">
        <v>13030</v>
      </c>
      <c r="D6754" s="15">
        <v>30.9</v>
      </c>
      <c r="E6754" s="16" t="s">
        <v>30</v>
      </c>
    </row>
    <row r="6755" spans="1:5" x14ac:dyDescent="0.25">
      <c r="A6755" s="14">
        <v>973113</v>
      </c>
      <c r="B6755" s="14" t="s">
        <v>6867</v>
      </c>
      <c r="C6755" s="14" t="s">
        <v>13030</v>
      </c>
      <c r="D6755" s="15">
        <v>30.9</v>
      </c>
      <c r="E6755" s="16" t="s">
        <v>30</v>
      </c>
    </row>
    <row r="6756" spans="1:5" x14ac:dyDescent="0.25">
      <c r="A6756" s="14">
        <v>973114</v>
      </c>
      <c r="B6756" s="14" t="s">
        <v>6868</v>
      </c>
      <c r="C6756" s="14" t="s">
        <v>13030</v>
      </c>
      <c r="D6756" s="15">
        <v>33.07</v>
      </c>
      <c r="E6756" s="16" t="s">
        <v>30</v>
      </c>
    </row>
    <row r="6757" spans="1:5" x14ac:dyDescent="0.25">
      <c r="A6757" s="14">
        <v>973115</v>
      </c>
      <c r="B6757" s="14" t="s">
        <v>6869</v>
      </c>
      <c r="C6757" s="14" t="s">
        <v>13030</v>
      </c>
      <c r="D6757" s="15">
        <v>23.59</v>
      </c>
      <c r="E6757" s="16" t="s">
        <v>30</v>
      </c>
    </row>
    <row r="6758" spans="1:5" x14ac:dyDescent="0.25">
      <c r="A6758" s="14">
        <v>973116</v>
      </c>
      <c r="B6758" s="14" t="s">
        <v>6870</v>
      </c>
      <c r="C6758" s="14" t="s">
        <v>13030</v>
      </c>
      <c r="D6758" s="15">
        <v>23.59</v>
      </c>
      <c r="E6758" s="16" t="s">
        <v>30</v>
      </c>
    </row>
    <row r="6759" spans="1:5" x14ac:dyDescent="0.25">
      <c r="A6759" s="14">
        <v>973117</v>
      </c>
      <c r="B6759" s="14" t="s">
        <v>6871</v>
      </c>
      <c r="C6759" s="14" t="s">
        <v>13030</v>
      </c>
      <c r="D6759" s="15">
        <v>23.59</v>
      </c>
      <c r="E6759" s="16" t="s">
        <v>30</v>
      </c>
    </row>
    <row r="6760" spans="1:5" x14ac:dyDescent="0.25">
      <c r="A6760" s="14">
        <v>973118</v>
      </c>
      <c r="B6760" s="14" t="s">
        <v>6872</v>
      </c>
      <c r="C6760" s="14" t="s">
        <v>13030</v>
      </c>
      <c r="D6760" s="15">
        <v>16.5</v>
      </c>
      <c r="E6760" s="16" t="s">
        <v>30</v>
      </c>
    </row>
    <row r="6761" spans="1:5" x14ac:dyDescent="0.25">
      <c r="A6761" s="14">
        <v>973119</v>
      </c>
      <c r="B6761" s="14" t="s">
        <v>6873</v>
      </c>
      <c r="C6761" s="14" t="s">
        <v>13030</v>
      </c>
      <c r="D6761" s="15">
        <v>16.489999999999998</v>
      </c>
      <c r="E6761" s="16" t="s">
        <v>30</v>
      </c>
    </row>
    <row r="6762" spans="1:5" x14ac:dyDescent="0.25">
      <c r="A6762" s="14">
        <v>973120</v>
      </c>
      <c r="B6762" s="14" t="s">
        <v>6874</v>
      </c>
      <c r="C6762" s="14" t="s">
        <v>13030</v>
      </c>
      <c r="D6762" s="15">
        <v>16.489999999999998</v>
      </c>
      <c r="E6762" s="16" t="s">
        <v>30</v>
      </c>
    </row>
    <row r="6763" spans="1:5" x14ac:dyDescent="0.25">
      <c r="A6763" s="14">
        <v>973121</v>
      </c>
      <c r="B6763" s="14" t="s">
        <v>6875</v>
      </c>
      <c r="C6763" s="14" t="s">
        <v>13029</v>
      </c>
      <c r="D6763" s="15">
        <v>5.87</v>
      </c>
      <c r="E6763" s="16" t="s">
        <v>30</v>
      </c>
    </row>
    <row r="6764" spans="1:5" x14ac:dyDescent="0.25">
      <c r="A6764" s="14">
        <v>973122</v>
      </c>
      <c r="B6764" s="14" t="s">
        <v>6876</v>
      </c>
      <c r="C6764" s="14" t="s">
        <v>13029</v>
      </c>
      <c r="D6764" s="15">
        <v>5.87</v>
      </c>
      <c r="E6764" s="16" t="s">
        <v>30</v>
      </c>
    </row>
    <row r="6765" spans="1:5" x14ac:dyDescent="0.25">
      <c r="A6765" s="14">
        <v>973124</v>
      </c>
      <c r="B6765" s="14" t="s">
        <v>6877</v>
      </c>
      <c r="C6765" s="14" t="s">
        <v>13031</v>
      </c>
      <c r="D6765" s="15">
        <v>5.85</v>
      </c>
      <c r="E6765" s="16" t="s">
        <v>30</v>
      </c>
    </row>
    <row r="6766" spans="1:5" x14ac:dyDescent="0.25">
      <c r="A6766" s="14">
        <v>973125</v>
      </c>
      <c r="B6766" s="14" t="s">
        <v>6878</v>
      </c>
      <c r="C6766" s="14" t="s">
        <v>13031</v>
      </c>
      <c r="D6766" s="15">
        <v>5.85</v>
      </c>
      <c r="E6766" s="16" t="s">
        <v>30</v>
      </c>
    </row>
    <row r="6767" spans="1:5" x14ac:dyDescent="0.25">
      <c r="A6767" s="14">
        <v>973126</v>
      </c>
      <c r="B6767" s="14" t="s">
        <v>6879</v>
      </c>
      <c r="C6767" s="14" t="s">
        <v>13031</v>
      </c>
      <c r="D6767" s="15">
        <v>5.67</v>
      </c>
      <c r="E6767" s="16" t="s">
        <v>30</v>
      </c>
    </row>
    <row r="6768" spans="1:5" x14ac:dyDescent="0.25">
      <c r="A6768" s="14">
        <v>973207</v>
      </c>
      <c r="B6768" s="14" t="s">
        <v>6880</v>
      </c>
      <c r="C6768" s="14" t="s">
        <v>13030</v>
      </c>
      <c r="D6768" s="15">
        <v>64.41</v>
      </c>
      <c r="E6768" s="16" t="s">
        <v>30</v>
      </c>
    </row>
    <row r="6769" spans="1:5" x14ac:dyDescent="0.25">
      <c r="A6769" s="14">
        <v>973208</v>
      </c>
      <c r="B6769" s="14" t="s">
        <v>6881</v>
      </c>
      <c r="C6769" s="14" t="s">
        <v>13030</v>
      </c>
      <c r="D6769" s="15">
        <v>127.12</v>
      </c>
      <c r="E6769" s="16" t="s">
        <v>30</v>
      </c>
    </row>
    <row r="6770" spans="1:5" x14ac:dyDescent="0.25">
      <c r="A6770" s="14">
        <v>973209</v>
      </c>
      <c r="B6770" s="14" t="s">
        <v>6882</v>
      </c>
      <c r="C6770" s="14" t="s">
        <v>13030</v>
      </c>
      <c r="D6770" s="15">
        <v>135.59</v>
      </c>
      <c r="E6770" s="16" t="s">
        <v>30</v>
      </c>
    </row>
    <row r="6771" spans="1:5" x14ac:dyDescent="0.25">
      <c r="A6771" s="14">
        <v>973211</v>
      </c>
      <c r="B6771" s="14" t="s">
        <v>6883</v>
      </c>
      <c r="C6771" s="14" t="s">
        <v>13030</v>
      </c>
      <c r="D6771" s="15">
        <v>25.5</v>
      </c>
      <c r="E6771" s="16" t="s">
        <v>30</v>
      </c>
    </row>
    <row r="6772" spans="1:5" x14ac:dyDescent="0.25">
      <c r="A6772" s="14">
        <v>973212</v>
      </c>
      <c r="B6772" s="14" t="s">
        <v>6884</v>
      </c>
      <c r="C6772" s="14" t="s">
        <v>13030</v>
      </c>
      <c r="D6772" s="15">
        <v>94.67</v>
      </c>
      <c r="E6772" s="16" t="s">
        <v>30</v>
      </c>
    </row>
    <row r="6773" spans="1:5" x14ac:dyDescent="0.25">
      <c r="A6773" s="14">
        <v>973213</v>
      </c>
      <c r="B6773" s="14" t="s">
        <v>6885</v>
      </c>
      <c r="C6773" s="14" t="s">
        <v>13030</v>
      </c>
      <c r="D6773" s="15">
        <v>110.44</v>
      </c>
      <c r="E6773" s="16" t="s">
        <v>30</v>
      </c>
    </row>
    <row r="6774" spans="1:5" x14ac:dyDescent="0.25">
      <c r="A6774" s="14">
        <v>973214</v>
      </c>
      <c r="B6774" s="14" t="s">
        <v>6886</v>
      </c>
      <c r="C6774" s="14" t="s">
        <v>13030</v>
      </c>
      <c r="D6774" s="15">
        <v>110.44</v>
      </c>
      <c r="E6774" s="16" t="s">
        <v>30</v>
      </c>
    </row>
    <row r="6775" spans="1:5" x14ac:dyDescent="0.25">
      <c r="A6775" s="14">
        <v>973215</v>
      </c>
      <c r="B6775" s="14" t="s">
        <v>6887</v>
      </c>
      <c r="C6775" s="14" t="s">
        <v>13030</v>
      </c>
      <c r="D6775" s="15">
        <v>120.7</v>
      </c>
      <c r="E6775" s="16" t="s">
        <v>30</v>
      </c>
    </row>
    <row r="6776" spans="1:5" x14ac:dyDescent="0.25">
      <c r="A6776" s="14">
        <v>973216</v>
      </c>
      <c r="B6776" s="14" t="s">
        <v>6888</v>
      </c>
      <c r="C6776" s="14" t="s">
        <v>13030</v>
      </c>
      <c r="D6776" s="15">
        <v>110.44</v>
      </c>
      <c r="E6776" s="16" t="s">
        <v>30</v>
      </c>
    </row>
    <row r="6777" spans="1:5" x14ac:dyDescent="0.25">
      <c r="A6777" s="14">
        <v>973217</v>
      </c>
      <c r="B6777" s="14" t="s">
        <v>6889</v>
      </c>
      <c r="C6777" s="14" t="s">
        <v>13030</v>
      </c>
      <c r="D6777" s="15">
        <v>46.31</v>
      </c>
      <c r="E6777" s="16" t="s">
        <v>30</v>
      </c>
    </row>
    <row r="6778" spans="1:5" x14ac:dyDescent="0.25">
      <c r="A6778" s="14">
        <v>973218</v>
      </c>
      <c r="B6778" s="14" t="s">
        <v>6890</v>
      </c>
      <c r="C6778" s="14" t="s">
        <v>13030</v>
      </c>
      <c r="D6778" s="15">
        <v>46.31</v>
      </c>
      <c r="E6778" s="16" t="s">
        <v>30</v>
      </c>
    </row>
    <row r="6779" spans="1:5" x14ac:dyDescent="0.25">
      <c r="A6779" s="14">
        <v>973219</v>
      </c>
      <c r="B6779" s="14" t="s">
        <v>6891</v>
      </c>
      <c r="C6779" s="14" t="s">
        <v>13030</v>
      </c>
      <c r="D6779" s="15">
        <v>46.31</v>
      </c>
      <c r="E6779" s="16" t="s">
        <v>30</v>
      </c>
    </row>
    <row r="6780" spans="1:5" x14ac:dyDescent="0.25">
      <c r="A6780" s="14">
        <v>973220</v>
      </c>
      <c r="B6780" s="14" t="s">
        <v>6892</v>
      </c>
      <c r="C6780" s="14" t="s">
        <v>13030</v>
      </c>
      <c r="D6780" s="15">
        <v>40.840000000000003</v>
      </c>
      <c r="E6780" s="16" t="s">
        <v>30</v>
      </c>
    </row>
    <row r="6781" spans="1:5" x14ac:dyDescent="0.25">
      <c r="A6781" s="14">
        <v>973225</v>
      </c>
      <c r="B6781" s="14" t="s">
        <v>6893</v>
      </c>
      <c r="C6781" s="14" t="s">
        <v>13029</v>
      </c>
      <c r="D6781" s="15">
        <v>11.81</v>
      </c>
      <c r="E6781" s="16" t="s">
        <v>30</v>
      </c>
    </row>
    <row r="6782" spans="1:5" x14ac:dyDescent="0.25">
      <c r="A6782" s="14">
        <v>973226</v>
      </c>
      <c r="B6782" s="14" t="s">
        <v>6894</v>
      </c>
      <c r="C6782" s="14" t="s">
        <v>13029</v>
      </c>
      <c r="D6782" s="15">
        <v>8.84</v>
      </c>
      <c r="E6782" s="16" t="s">
        <v>30</v>
      </c>
    </row>
    <row r="6783" spans="1:5" x14ac:dyDescent="0.25">
      <c r="A6783" s="14">
        <v>973227</v>
      </c>
      <c r="B6783" s="14" t="s">
        <v>6895</v>
      </c>
      <c r="C6783" s="14" t="s">
        <v>13029</v>
      </c>
      <c r="D6783" s="15">
        <v>8.84</v>
      </c>
      <c r="E6783" s="16" t="s">
        <v>30</v>
      </c>
    </row>
    <row r="6784" spans="1:5" x14ac:dyDescent="0.25">
      <c r="A6784" s="14">
        <v>973275</v>
      </c>
      <c r="B6784" s="14" t="s">
        <v>6896</v>
      </c>
      <c r="C6784" s="14" t="s">
        <v>13030</v>
      </c>
      <c r="D6784" s="15">
        <v>93.56</v>
      </c>
      <c r="E6784" s="16" t="s">
        <v>30</v>
      </c>
    </row>
    <row r="6785" spans="1:5" x14ac:dyDescent="0.25">
      <c r="A6785" s="14">
        <v>973276</v>
      </c>
      <c r="B6785" s="14" t="s">
        <v>6897</v>
      </c>
      <c r="C6785" s="14" t="s">
        <v>13030</v>
      </c>
      <c r="D6785" s="15">
        <v>85.65</v>
      </c>
      <c r="E6785" s="16" t="s">
        <v>30</v>
      </c>
    </row>
    <row r="6786" spans="1:5" x14ac:dyDescent="0.25">
      <c r="A6786" s="14">
        <v>973277</v>
      </c>
      <c r="B6786" s="14" t="s">
        <v>6898</v>
      </c>
      <c r="C6786" s="14" t="s">
        <v>13030</v>
      </c>
      <c r="D6786" s="15">
        <v>64.75</v>
      </c>
      <c r="E6786" s="16" t="s">
        <v>30</v>
      </c>
    </row>
    <row r="6787" spans="1:5" x14ac:dyDescent="0.25">
      <c r="A6787" s="14">
        <v>973278</v>
      </c>
      <c r="B6787" s="14" t="s">
        <v>6899</v>
      </c>
      <c r="C6787" s="14" t="s">
        <v>13030</v>
      </c>
      <c r="D6787" s="15">
        <v>53.96</v>
      </c>
      <c r="E6787" s="16" t="s">
        <v>30</v>
      </c>
    </row>
    <row r="6788" spans="1:5" x14ac:dyDescent="0.25">
      <c r="A6788" s="14">
        <v>973279</v>
      </c>
      <c r="B6788" s="14" t="s">
        <v>6900</v>
      </c>
      <c r="C6788" s="14" t="s">
        <v>13030</v>
      </c>
      <c r="D6788" s="15">
        <v>35.950000000000003</v>
      </c>
      <c r="E6788" s="16" t="s">
        <v>30</v>
      </c>
    </row>
    <row r="6789" spans="1:5" x14ac:dyDescent="0.25">
      <c r="A6789" s="14">
        <v>973280</v>
      </c>
      <c r="B6789" s="14" t="s">
        <v>6901</v>
      </c>
      <c r="C6789" s="14" t="s">
        <v>13030</v>
      </c>
      <c r="D6789" s="15">
        <v>32.340000000000003</v>
      </c>
      <c r="E6789" s="16" t="s">
        <v>30</v>
      </c>
    </row>
    <row r="6790" spans="1:5" x14ac:dyDescent="0.25">
      <c r="A6790" s="14">
        <v>973281</v>
      </c>
      <c r="B6790" s="14" t="s">
        <v>6902</v>
      </c>
      <c r="C6790" s="14" t="s">
        <v>13030</v>
      </c>
      <c r="D6790" s="15">
        <v>28.74</v>
      </c>
      <c r="E6790" s="16" t="s">
        <v>30</v>
      </c>
    </row>
    <row r="6791" spans="1:5" x14ac:dyDescent="0.25">
      <c r="A6791" s="14">
        <v>973282</v>
      </c>
      <c r="B6791" s="14" t="s">
        <v>6903</v>
      </c>
      <c r="C6791" s="14" t="s">
        <v>13030</v>
      </c>
      <c r="D6791" s="15">
        <v>43.15</v>
      </c>
      <c r="E6791" s="16" t="s">
        <v>30</v>
      </c>
    </row>
    <row r="6792" spans="1:5" x14ac:dyDescent="0.25">
      <c r="A6792" s="14">
        <v>973303</v>
      </c>
      <c r="B6792" s="14" t="s">
        <v>6904</v>
      </c>
      <c r="C6792" s="14" t="s">
        <v>13031</v>
      </c>
      <c r="D6792" s="15">
        <v>2.31</v>
      </c>
      <c r="E6792" s="16" t="s">
        <v>30</v>
      </c>
    </row>
    <row r="6793" spans="1:5" x14ac:dyDescent="0.25">
      <c r="A6793" s="14">
        <v>973304</v>
      </c>
      <c r="B6793" s="14" t="s">
        <v>6905</v>
      </c>
      <c r="C6793" s="14" t="s">
        <v>13031</v>
      </c>
      <c r="D6793" s="15">
        <v>2.31</v>
      </c>
      <c r="E6793" s="16" t="s">
        <v>30</v>
      </c>
    </row>
    <row r="6794" spans="1:5" x14ac:dyDescent="0.25">
      <c r="A6794" s="14">
        <v>973305</v>
      </c>
      <c r="B6794" s="14" t="s">
        <v>6906</v>
      </c>
      <c r="C6794" s="14" t="s">
        <v>13031</v>
      </c>
      <c r="D6794" s="15">
        <v>2.31</v>
      </c>
      <c r="E6794" s="16" t="s">
        <v>30</v>
      </c>
    </row>
    <row r="6795" spans="1:5" x14ac:dyDescent="0.25">
      <c r="A6795" s="14">
        <v>973307</v>
      </c>
      <c r="B6795" s="14" t="s">
        <v>6907</v>
      </c>
      <c r="C6795" s="14" t="s">
        <v>13031</v>
      </c>
      <c r="D6795" s="15">
        <v>17.72</v>
      </c>
      <c r="E6795" s="16" t="s">
        <v>30</v>
      </c>
    </row>
    <row r="6796" spans="1:5" x14ac:dyDescent="0.25">
      <c r="A6796" s="14">
        <v>973309</v>
      </c>
      <c r="B6796" s="14" t="s">
        <v>6908</v>
      </c>
      <c r="C6796" s="14" t="s">
        <v>13030</v>
      </c>
      <c r="D6796" s="15">
        <v>55.52</v>
      </c>
      <c r="E6796" s="16" t="s">
        <v>30</v>
      </c>
    </row>
    <row r="6797" spans="1:5" x14ac:dyDescent="0.25">
      <c r="A6797" s="14">
        <v>973310</v>
      </c>
      <c r="B6797" s="14" t="s">
        <v>6909</v>
      </c>
      <c r="C6797" s="14" t="s">
        <v>13030</v>
      </c>
      <c r="D6797" s="15">
        <v>55.52</v>
      </c>
      <c r="E6797" s="16" t="s">
        <v>30</v>
      </c>
    </row>
    <row r="6798" spans="1:5" x14ac:dyDescent="0.25">
      <c r="A6798" s="14">
        <v>960202</v>
      </c>
      <c r="B6798" s="14" t="s">
        <v>6910</v>
      </c>
      <c r="C6798" s="14" t="s">
        <v>13031</v>
      </c>
      <c r="D6798" s="15">
        <v>60.13</v>
      </c>
      <c r="E6798" s="16" t="s">
        <v>20</v>
      </c>
    </row>
    <row r="6799" spans="1:5" x14ac:dyDescent="0.25">
      <c r="A6799" s="14">
        <v>973311</v>
      </c>
      <c r="B6799" s="14" t="s">
        <v>6911</v>
      </c>
      <c r="C6799" s="14" t="s">
        <v>13030</v>
      </c>
      <c r="D6799" s="15">
        <v>617.75</v>
      </c>
      <c r="E6799" s="16" t="s">
        <v>30</v>
      </c>
    </row>
    <row r="6800" spans="1:5" x14ac:dyDescent="0.25">
      <c r="A6800" s="14">
        <v>973312</v>
      </c>
      <c r="B6800" s="14" t="s">
        <v>6912</v>
      </c>
      <c r="C6800" s="14" t="s">
        <v>13030</v>
      </c>
      <c r="D6800" s="15">
        <v>55.52</v>
      </c>
      <c r="E6800" s="16" t="s">
        <v>30</v>
      </c>
    </row>
    <row r="6801" spans="1:5" x14ac:dyDescent="0.25">
      <c r="A6801" s="14">
        <v>973313</v>
      </c>
      <c r="B6801" s="14" t="s">
        <v>6913</v>
      </c>
      <c r="C6801" s="14" t="s">
        <v>13030</v>
      </c>
      <c r="D6801" s="15">
        <v>55.52</v>
      </c>
      <c r="E6801" s="16" t="s">
        <v>30</v>
      </c>
    </row>
    <row r="6802" spans="1:5" x14ac:dyDescent="0.25">
      <c r="A6802" s="14">
        <v>973314</v>
      </c>
      <c r="B6802" s="14" t="s">
        <v>6914</v>
      </c>
      <c r="C6802" s="14" t="s">
        <v>13030</v>
      </c>
      <c r="D6802" s="15">
        <v>166.71</v>
      </c>
      <c r="E6802" s="16" t="s">
        <v>30</v>
      </c>
    </row>
    <row r="6803" spans="1:5" x14ac:dyDescent="0.25">
      <c r="A6803" s="14">
        <v>973315</v>
      </c>
      <c r="B6803" s="14" t="s">
        <v>6915</v>
      </c>
      <c r="C6803" s="14" t="s">
        <v>13030</v>
      </c>
      <c r="D6803" s="15">
        <v>111.11</v>
      </c>
      <c r="E6803" s="16" t="s">
        <v>30</v>
      </c>
    </row>
    <row r="6804" spans="1:5" x14ac:dyDescent="0.25">
      <c r="A6804" s="14">
        <v>973316</v>
      </c>
      <c r="B6804" s="14" t="s">
        <v>6916</v>
      </c>
      <c r="C6804" s="14" t="s">
        <v>13030</v>
      </c>
      <c r="D6804" s="15">
        <v>333.47</v>
      </c>
      <c r="E6804" s="16" t="s">
        <v>30</v>
      </c>
    </row>
    <row r="6805" spans="1:5" x14ac:dyDescent="0.25">
      <c r="A6805" s="14">
        <v>973327</v>
      </c>
      <c r="B6805" s="14" t="s">
        <v>6917</v>
      </c>
      <c r="C6805" s="14" t="s">
        <v>13030</v>
      </c>
      <c r="D6805" s="15">
        <v>63.33</v>
      </c>
      <c r="E6805" s="16" t="s">
        <v>30</v>
      </c>
    </row>
    <row r="6806" spans="1:5" x14ac:dyDescent="0.25">
      <c r="A6806" s="14">
        <v>973328</v>
      </c>
      <c r="B6806" s="14" t="s">
        <v>6918</v>
      </c>
      <c r="C6806" s="14" t="s">
        <v>13030</v>
      </c>
      <c r="D6806" s="15">
        <v>43.15</v>
      </c>
      <c r="E6806" s="14" t="s">
        <v>30</v>
      </c>
    </row>
    <row r="6807" spans="1:5" x14ac:dyDescent="0.25">
      <c r="A6807" s="14">
        <v>973329</v>
      </c>
      <c r="B6807" s="14" t="s">
        <v>6919</v>
      </c>
      <c r="C6807" s="14" t="s">
        <v>13030</v>
      </c>
      <c r="D6807" s="15">
        <v>43.15</v>
      </c>
      <c r="E6807" s="16" t="s">
        <v>30</v>
      </c>
    </row>
    <row r="6808" spans="1:5" x14ac:dyDescent="0.25">
      <c r="A6808" s="14">
        <v>973330</v>
      </c>
      <c r="B6808" s="14" t="s">
        <v>6920</v>
      </c>
      <c r="C6808" s="14" t="s">
        <v>13030</v>
      </c>
      <c r="D6808" s="15">
        <v>38.83</v>
      </c>
      <c r="E6808" s="14" t="s">
        <v>30</v>
      </c>
    </row>
    <row r="6809" spans="1:5" x14ac:dyDescent="0.25">
      <c r="A6809" s="14">
        <v>973331</v>
      </c>
      <c r="B6809" s="14" t="s">
        <v>6921</v>
      </c>
      <c r="C6809" s="14" t="s">
        <v>13030</v>
      </c>
      <c r="D6809" s="15">
        <v>86.38</v>
      </c>
      <c r="E6809" s="14" t="s">
        <v>30</v>
      </c>
    </row>
    <row r="6810" spans="1:5" x14ac:dyDescent="0.25">
      <c r="A6810" s="14">
        <v>973332</v>
      </c>
      <c r="B6810" s="14" t="s">
        <v>6922</v>
      </c>
      <c r="C6810" s="14" t="s">
        <v>13030</v>
      </c>
      <c r="D6810" s="15">
        <v>50.36</v>
      </c>
      <c r="E6810" s="14" t="s">
        <v>30</v>
      </c>
    </row>
    <row r="6811" spans="1:5" x14ac:dyDescent="0.25">
      <c r="A6811" s="14">
        <v>973333</v>
      </c>
      <c r="B6811" s="14" t="s">
        <v>6923</v>
      </c>
      <c r="C6811" s="14" t="s">
        <v>13030</v>
      </c>
      <c r="D6811" s="15">
        <v>43.16</v>
      </c>
      <c r="E6811" s="14" t="s">
        <v>30</v>
      </c>
    </row>
    <row r="6812" spans="1:5" x14ac:dyDescent="0.25">
      <c r="A6812" s="14">
        <v>973334</v>
      </c>
      <c r="B6812" s="14" t="s">
        <v>6924</v>
      </c>
      <c r="C6812" s="14" t="s">
        <v>13030</v>
      </c>
      <c r="D6812" s="15">
        <v>32.35</v>
      </c>
      <c r="E6812" s="14" t="s">
        <v>30</v>
      </c>
    </row>
    <row r="6813" spans="1:5" x14ac:dyDescent="0.25">
      <c r="A6813" s="14">
        <v>973335</v>
      </c>
      <c r="B6813" s="14" t="s">
        <v>6925</v>
      </c>
      <c r="C6813" s="14" t="s">
        <v>13030</v>
      </c>
      <c r="D6813" s="15">
        <v>32.35</v>
      </c>
      <c r="E6813" s="14" t="s">
        <v>30</v>
      </c>
    </row>
    <row r="6814" spans="1:5" x14ac:dyDescent="0.25">
      <c r="A6814" s="14">
        <v>973336</v>
      </c>
      <c r="B6814" s="14" t="s">
        <v>6926</v>
      </c>
      <c r="C6814" s="14" t="s">
        <v>13030</v>
      </c>
      <c r="D6814" s="15">
        <v>32.35</v>
      </c>
      <c r="E6814" s="14" t="s">
        <v>30</v>
      </c>
    </row>
    <row r="6815" spans="1:5" x14ac:dyDescent="0.25">
      <c r="A6815" s="14">
        <v>973337</v>
      </c>
      <c r="B6815" s="14" t="s">
        <v>6927</v>
      </c>
      <c r="C6815" s="14" t="s">
        <v>13030</v>
      </c>
      <c r="D6815" s="15">
        <v>53.96</v>
      </c>
      <c r="E6815" s="14" t="s">
        <v>30</v>
      </c>
    </row>
    <row r="6816" spans="1:5" x14ac:dyDescent="0.25">
      <c r="A6816" s="14">
        <v>973338</v>
      </c>
      <c r="B6816" s="14" t="s">
        <v>6928</v>
      </c>
      <c r="C6816" s="14" t="s">
        <v>13030</v>
      </c>
      <c r="D6816" s="15">
        <v>53.96</v>
      </c>
      <c r="E6816" s="14" t="s">
        <v>30</v>
      </c>
    </row>
    <row r="6817" spans="1:5" x14ac:dyDescent="0.25">
      <c r="A6817" s="14">
        <v>960273</v>
      </c>
      <c r="B6817" s="14" t="s">
        <v>6929</v>
      </c>
      <c r="C6817" s="14" t="s">
        <v>13031</v>
      </c>
      <c r="D6817" s="15">
        <v>8.42</v>
      </c>
      <c r="E6817" s="16" t="s">
        <v>20</v>
      </c>
    </row>
    <row r="6818" spans="1:5" x14ac:dyDescent="0.25">
      <c r="A6818" s="14">
        <v>973339</v>
      </c>
      <c r="B6818" s="14" t="s">
        <v>6930</v>
      </c>
      <c r="C6818" s="14" t="s">
        <v>13030</v>
      </c>
      <c r="D6818" s="15">
        <v>180.03</v>
      </c>
      <c r="E6818" s="14" t="s">
        <v>30</v>
      </c>
    </row>
    <row r="6819" spans="1:5" x14ac:dyDescent="0.25">
      <c r="A6819" s="14">
        <v>973340</v>
      </c>
      <c r="B6819" s="14" t="s">
        <v>6931</v>
      </c>
      <c r="C6819" s="14" t="s">
        <v>13030</v>
      </c>
      <c r="D6819" s="15">
        <v>180.02</v>
      </c>
      <c r="E6819" s="14" t="s">
        <v>30</v>
      </c>
    </row>
    <row r="6820" spans="1:5" x14ac:dyDescent="0.25">
      <c r="A6820" s="14">
        <v>973341</v>
      </c>
      <c r="B6820" s="14" t="s">
        <v>6932</v>
      </c>
      <c r="C6820" s="14" t="s">
        <v>13030</v>
      </c>
      <c r="D6820" s="15">
        <v>324.08999999999997</v>
      </c>
      <c r="E6820" s="14" t="s">
        <v>30</v>
      </c>
    </row>
    <row r="6821" spans="1:5" x14ac:dyDescent="0.25">
      <c r="A6821" s="14">
        <v>973342</v>
      </c>
      <c r="B6821" s="14" t="s">
        <v>6933</v>
      </c>
      <c r="C6821" s="14" t="s">
        <v>13030</v>
      </c>
      <c r="D6821" s="15">
        <v>180.03</v>
      </c>
      <c r="E6821" s="14" t="s">
        <v>30</v>
      </c>
    </row>
    <row r="6822" spans="1:5" x14ac:dyDescent="0.25">
      <c r="A6822" s="14">
        <v>973354</v>
      </c>
      <c r="B6822" s="14" t="s">
        <v>6934</v>
      </c>
      <c r="C6822" s="14" t="s">
        <v>13031</v>
      </c>
      <c r="D6822" s="15">
        <v>3.95</v>
      </c>
      <c r="E6822" s="16" t="s">
        <v>30</v>
      </c>
    </row>
    <row r="6823" spans="1:5" x14ac:dyDescent="0.25">
      <c r="A6823" s="14">
        <v>973361</v>
      </c>
      <c r="B6823" s="14" t="s">
        <v>6935</v>
      </c>
      <c r="C6823" s="14" t="s">
        <v>13030</v>
      </c>
      <c r="D6823" s="15">
        <v>76.42</v>
      </c>
      <c r="E6823" s="16" t="s">
        <v>30</v>
      </c>
    </row>
    <row r="6824" spans="1:5" x14ac:dyDescent="0.25">
      <c r="A6824" s="14">
        <v>973362</v>
      </c>
      <c r="B6824" s="14" t="s">
        <v>6936</v>
      </c>
      <c r="C6824" s="14" t="s">
        <v>13030</v>
      </c>
      <c r="D6824" s="15">
        <v>12.82</v>
      </c>
      <c r="E6824" s="16" t="s">
        <v>30</v>
      </c>
    </row>
    <row r="6825" spans="1:5" x14ac:dyDescent="0.25">
      <c r="A6825" s="14">
        <v>960274</v>
      </c>
      <c r="B6825" s="14" t="s">
        <v>6937</v>
      </c>
      <c r="C6825" s="14" t="s">
        <v>13031</v>
      </c>
      <c r="D6825" s="15">
        <v>6.4</v>
      </c>
      <c r="E6825" s="16" t="s">
        <v>20</v>
      </c>
    </row>
    <row r="6826" spans="1:5" x14ac:dyDescent="0.25">
      <c r="A6826" s="14">
        <v>960498</v>
      </c>
      <c r="B6826" s="14" t="s">
        <v>6938</v>
      </c>
      <c r="C6826" s="14" t="s">
        <v>13031</v>
      </c>
      <c r="D6826" s="15">
        <v>1.37</v>
      </c>
      <c r="E6826" s="16" t="s">
        <v>20</v>
      </c>
    </row>
    <row r="6827" spans="1:5" x14ac:dyDescent="0.25">
      <c r="A6827" s="14">
        <v>960499</v>
      </c>
      <c r="B6827" s="14" t="s">
        <v>6939</v>
      </c>
      <c r="C6827" s="14" t="s">
        <v>13031</v>
      </c>
      <c r="D6827" s="15">
        <v>1.37</v>
      </c>
      <c r="E6827" s="16" t="s">
        <v>20</v>
      </c>
    </row>
    <row r="6828" spans="1:5" x14ac:dyDescent="0.25">
      <c r="A6828" s="14">
        <v>965501</v>
      </c>
      <c r="B6828" s="14" t="s">
        <v>6940</v>
      </c>
      <c r="C6828" s="14" t="s">
        <v>13030</v>
      </c>
      <c r="D6828" s="15">
        <v>94.47</v>
      </c>
      <c r="E6828" s="16" t="s">
        <v>20</v>
      </c>
    </row>
    <row r="6829" spans="1:5" x14ac:dyDescent="0.25">
      <c r="A6829" s="14">
        <v>960973</v>
      </c>
      <c r="B6829" s="14" t="s">
        <v>6941</v>
      </c>
      <c r="C6829" s="14" t="s">
        <v>13031</v>
      </c>
      <c r="D6829" s="15">
        <v>11.88</v>
      </c>
      <c r="E6829" s="16" t="s">
        <v>20</v>
      </c>
    </row>
    <row r="6830" spans="1:5" x14ac:dyDescent="0.25">
      <c r="A6830" s="14">
        <v>960974</v>
      </c>
      <c r="B6830" s="14" t="s">
        <v>6942</v>
      </c>
      <c r="C6830" s="14" t="s">
        <v>13031</v>
      </c>
      <c r="D6830" s="15">
        <v>11.88</v>
      </c>
      <c r="E6830" s="16" t="s">
        <v>20</v>
      </c>
    </row>
    <row r="6831" spans="1:5" x14ac:dyDescent="0.25">
      <c r="A6831" s="14">
        <v>960975</v>
      </c>
      <c r="B6831" s="14" t="s">
        <v>6943</v>
      </c>
      <c r="C6831" s="14" t="s">
        <v>13031</v>
      </c>
      <c r="D6831" s="15">
        <v>11.88</v>
      </c>
      <c r="E6831" s="16" t="s">
        <v>20</v>
      </c>
    </row>
    <row r="6832" spans="1:5" x14ac:dyDescent="0.25">
      <c r="A6832" s="14">
        <v>973363</v>
      </c>
      <c r="B6832" s="14" t="s">
        <v>6944</v>
      </c>
      <c r="C6832" s="14" t="s">
        <v>13030</v>
      </c>
      <c r="D6832" s="15">
        <v>12.83</v>
      </c>
      <c r="E6832" s="16" t="s">
        <v>30</v>
      </c>
    </row>
    <row r="6833" spans="1:5" x14ac:dyDescent="0.25">
      <c r="A6833" s="14">
        <v>973472</v>
      </c>
      <c r="B6833" s="14" t="s">
        <v>6945</v>
      </c>
      <c r="C6833" s="14" t="s">
        <v>13030</v>
      </c>
      <c r="D6833" s="15">
        <v>34.68</v>
      </c>
      <c r="E6833" s="16" t="s">
        <v>30</v>
      </c>
    </row>
    <row r="6834" spans="1:5" x14ac:dyDescent="0.25">
      <c r="A6834" s="14">
        <v>973473</v>
      </c>
      <c r="B6834" s="14" t="s">
        <v>6946</v>
      </c>
      <c r="C6834" s="14" t="s">
        <v>13030</v>
      </c>
      <c r="D6834" s="15">
        <v>41.63</v>
      </c>
      <c r="E6834" s="16" t="s">
        <v>30</v>
      </c>
    </row>
    <row r="6835" spans="1:5" x14ac:dyDescent="0.25">
      <c r="A6835" s="14">
        <v>973474</v>
      </c>
      <c r="B6835" s="14" t="s">
        <v>6947</v>
      </c>
      <c r="C6835" s="14" t="s">
        <v>13030</v>
      </c>
      <c r="D6835" s="15">
        <v>41.63</v>
      </c>
      <c r="E6835" s="16" t="s">
        <v>30</v>
      </c>
    </row>
    <row r="6836" spans="1:5" x14ac:dyDescent="0.25">
      <c r="A6836" s="14">
        <v>973475</v>
      </c>
      <c r="B6836" s="14" t="s">
        <v>6948</v>
      </c>
      <c r="C6836" s="14" t="s">
        <v>13030</v>
      </c>
      <c r="D6836" s="15">
        <v>41.63</v>
      </c>
      <c r="E6836" s="16" t="s">
        <v>30</v>
      </c>
    </row>
    <row r="6837" spans="1:5" x14ac:dyDescent="0.25">
      <c r="A6837" s="14">
        <v>973528</v>
      </c>
      <c r="B6837" s="14" t="s">
        <v>6949</v>
      </c>
      <c r="C6837" s="14" t="s">
        <v>13033</v>
      </c>
      <c r="D6837" s="15">
        <v>14.27</v>
      </c>
      <c r="E6837" s="16" t="s">
        <v>30</v>
      </c>
    </row>
    <row r="6838" spans="1:5" x14ac:dyDescent="0.25">
      <c r="A6838" s="14">
        <v>973529</v>
      </c>
      <c r="B6838" s="14" t="s">
        <v>6950</v>
      </c>
      <c r="C6838" s="14" t="s">
        <v>13033</v>
      </c>
      <c r="D6838" s="15">
        <v>8.2100000000000009</v>
      </c>
      <c r="E6838" s="16" t="s">
        <v>30</v>
      </c>
    </row>
    <row r="6839" spans="1:5" x14ac:dyDescent="0.25">
      <c r="A6839" s="14">
        <v>973530</v>
      </c>
      <c r="B6839" s="14" t="s">
        <v>6951</v>
      </c>
      <c r="C6839" s="14" t="s">
        <v>13033</v>
      </c>
      <c r="D6839" s="15">
        <v>14.82</v>
      </c>
      <c r="E6839" s="16" t="s">
        <v>30</v>
      </c>
    </row>
    <row r="6840" spans="1:5" x14ac:dyDescent="0.25">
      <c r="A6840" s="14">
        <v>973538</v>
      </c>
      <c r="B6840" s="14" t="s">
        <v>6952</v>
      </c>
      <c r="C6840" s="14" t="s">
        <v>13033</v>
      </c>
      <c r="D6840" s="15">
        <v>21.67</v>
      </c>
      <c r="E6840" s="16" t="s">
        <v>30</v>
      </c>
    </row>
    <row r="6841" spans="1:5" x14ac:dyDescent="0.25">
      <c r="A6841" s="14">
        <v>973539</v>
      </c>
      <c r="B6841" s="14" t="s">
        <v>6953</v>
      </c>
      <c r="C6841" s="14" t="s">
        <v>13033</v>
      </c>
      <c r="D6841" s="15">
        <v>21.67</v>
      </c>
      <c r="E6841" s="16" t="s">
        <v>30</v>
      </c>
    </row>
    <row r="6842" spans="1:5" x14ac:dyDescent="0.25">
      <c r="A6842" s="14">
        <v>973540</v>
      </c>
      <c r="B6842" s="14" t="s">
        <v>6954</v>
      </c>
      <c r="C6842" s="14" t="s">
        <v>13033</v>
      </c>
      <c r="D6842" s="15">
        <v>21.67</v>
      </c>
      <c r="E6842" s="16" t="s">
        <v>30</v>
      </c>
    </row>
    <row r="6843" spans="1:5" x14ac:dyDescent="0.25">
      <c r="A6843" s="14">
        <v>973606</v>
      </c>
      <c r="B6843" s="14" t="s">
        <v>6955</v>
      </c>
      <c r="C6843" s="14" t="s">
        <v>13029</v>
      </c>
      <c r="D6843" s="15">
        <v>34.11</v>
      </c>
      <c r="E6843" s="16" t="s">
        <v>30</v>
      </c>
    </row>
    <row r="6844" spans="1:5" x14ac:dyDescent="0.25">
      <c r="A6844" s="14">
        <v>973607</v>
      </c>
      <c r="B6844" s="14" t="s">
        <v>6956</v>
      </c>
      <c r="C6844" s="14" t="s">
        <v>13029</v>
      </c>
      <c r="D6844" s="15">
        <v>34.11</v>
      </c>
      <c r="E6844" s="16" t="s">
        <v>30</v>
      </c>
    </row>
    <row r="6845" spans="1:5" x14ac:dyDescent="0.25">
      <c r="A6845" s="14">
        <v>973608</v>
      </c>
      <c r="B6845" s="14" t="s">
        <v>6957</v>
      </c>
      <c r="C6845" s="14" t="s">
        <v>13029</v>
      </c>
      <c r="D6845" s="15">
        <v>66.98</v>
      </c>
      <c r="E6845" s="16" t="s">
        <v>30</v>
      </c>
    </row>
    <row r="6846" spans="1:5" x14ac:dyDescent="0.25">
      <c r="A6846" s="14">
        <v>973609</v>
      </c>
      <c r="B6846" s="14" t="s">
        <v>6958</v>
      </c>
      <c r="C6846" s="14" t="s">
        <v>13029</v>
      </c>
      <c r="D6846" s="15">
        <v>58.23</v>
      </c>
      <c r="E6846" s="16" t="s">
        <v>30</v>
      </c>
    </row>
    <row r="6847" spans="1:5" x14ac:dyDescent="0.25">
      <c r="A6847" s="14">
        <v>973610</v>
      </c>
      <c r="B6847" s="14" t="s">
        <v>6959</v>
      </c>
      <c r="C6847" s="14" t="s">
        <v>13029</v>
      </c>
      <c r="D6847" s="15">
        <v>58.23</v>
      </c>
      <c r="E6847" s="16" t="s">
        <v>30</v>
      </c>
    </row>
    <row r="6848" spans="1:5" x14ac:dyDescent="0.25">
      <c r="A6848" s="14">
        <v>973611</v>
      </c>
      <c r="B6848" s="14" t="s">
        <v>6960</v>
      </c>
      <c r="C6848" s="14" t="s">
        <v>13029</v>
      </c>
      <c r="D6848" s="15">
        <v>58.23</v>
      </c>
      <c r="E6848" s="16" t="s">
        <v>30</v>
      </c>
    </row>
    <row r="6849" spans="1:5" x14ac:dyDescent="0.25">
      <c r="A6849" s="14">
        <v>973612</v>
      </c>
      <c r="B6849" s="14" t="s">
        <v>6961</v>
      </c>
      <c r="C6849" s="14" t="s">
        <v>13029</v>
      </c>
      <c r="D6849" s="15">
        <v>13.61</v>
      </c>
      <c r="E6849" s="16" t="s">
        <v>30</v>
      </c>
    </row>
    <row r="6850" spans="1:5" x14ac:dyDescent="0.25">
      <c r="A6850" s="14">
        <v>960976</v>
      </c>
      <c r="B6850" s="14" t="s">
        <v>6962</v>
      </c>
      <c r="C6850" s="14" t="s">
        <v>13031</v>
      </c>
      <c r="D6850" s="15">
        <v>45.32</v>
      </c>
      <c r="E6850" s="16" t="s">
        <v>20</v>
      </c>
    </row>
    <row r="6851" spans="1:5" x14ac:dyDescent="0.25">
      <c r="A6851" s="14">
        <v>961115</v>
      </c>
      <c r="B6851" s="14" t="s">
        <v>6963</v>
      </c>
      <c r="C6851" s="14" t="s">
        <v>13031</v>
      </c>
      <c r="D6851" s="15">
        <v>8.76</v>
      </c>
      <c r="E6851" s="16" t="s">
        <v>20</v>
      </c>
    </row>
    <row r="6852" spans="1:5" x14ac:dyDescent="0.25">
      <c r="A6852" s="14">
        <v>961116</v>
      </c>
      <c r="B6852" s="14" t="s">
        <v>6964</v>
      </c>
      <c r="C6852" s="14" t="s">
        <v>13031</v>
      </c>
      <c r="D6852" s="15">
        <v>9.18</v>
      </c>
      <c r="E6852" s="16" t="s">
        <v>20</v>
      </c>
    </row>
    <row r="6853" spans="1:5" x14ac:dyDescent="0.25">
      <c r="A6853" s="14">
        <v>961173</v>
      </c>
      <c r="B6853" s="14" t="s">
        <v>6965</v>
      </c>
      <c r="C6853" s="14" t="s">
        <v>13031</v>
      </c>
      <c r="D6853" s="15">
        <v>9.7899999999999991</v>
      </c>
      <c r="E6853" s="16" t="s">
        <v>20</v>
      </c>
    </row>
    <row r="6854" spans="1:5" x14ac:dyDescent="0.25">
      <c r="A6854" s="14">
        <v>973613</v>
      </c>
      <c r="B6854" s="14" t="s">
        <v>6966</v>
      </c>
      <c r="C6854" s="14" t="s">
        <v>13029</v>
      </c>
      <c r="D6854" s="15">
        <v>25.64</v>
      </c>
      <c r="E6854" s="14" t="s">
        <v>30</v>
      </c>
    </row>
    <row r="6855" spans="1:5" x14ac:dyDescent="0.25">
      <c r="A6855" s="14">
        <v>973615</v>
      </c>
      <c r="B6855" s="14" t="s">
        <v>6967</v>
      </c>
      <c r="C6855" s="14" t="s">
        <v>13029</v>
      </c>
      <c r="D6855" s="15">
        <v>15.72</v>
      </c>
      <c r="E6855" s="16" t="s">
        <v>30</v>
      </c>
    </row>
    <row r="6856" spans="1:5" x14ac:dyDescent="0.25">
      <c r="A6856" s="14">
        <v>973616</v>
      </c>
      <c r="B6856" s="14" t="s">
        <v>6968</v>
      </c>
      <c r="C6856" s="14" t="s">
        <v>13029</v>
      </c>
      <c r="D6856" s="15">
        <v>15.72</v>
      </c>
      <c r="E6856" s="16" t="s">
        <v>30</v>
      </c>
    </row>
    <row r="6857" spans="1:5" x14ac:dyDescent="0.25">
      <c r="A6857" s="14">
        <v>973621</v>
      </c>
      <c r="B6857" s="14" t="s">
        <v>6969</v>
      </c>
      <c r="C6857" s="14" t="s">
        <v>13031</v>
      </c>
      <c r="D6857" s="15">
        <v>46.16</v>
      </c>
      <c r="E6857" s="16" t="s">
        <v>30</v>
      </c>
    </row>
    <row r="6858" spans="1:5" x14ac:dyDescent="0.25">
      <c r="A6858" s="14">
        <v>961174</v>
      </c>
      <c r="B6858" s="14" t="s">
        <v>6970</v>
      </c>
      <c r="C6858" s="14" t="s">
        <v>13031</v>
      </c>
      <c r="D6858" s="15">
        <v>9.7899999999999991</v>
      </c>
      <c r="E6858" s="16" t="s">
        <v>20</v>
      </c>
    </row>
    <row r="6859" spans="1:5" x14ac:dyDescent="0.25">
      <c r="A6859" s="14">
        <v>973622</v>
      </c>
      <c r="B6859" s="14" t="s">
        <v>6971</v>
      </c>
      <c r="C6859" s="14" t="s">
        <v>13031</v>
      </c>
      <c r="D6859" s="15">
        <v>46.16</v>
      </c>
      <c r="E6859" s="16" t="s">
        <v>30</v>
      </c>
    </row>
    <row r="6860" spans="1:5" x14ac:dyDescent="0.25">
      <c r="A6860" s="14">
        <v>973624</v>
      </c>
      <c r="B6860" s="14" t="s">
        <v>6972</v>
      </c>
      <c r="C6860" s="14" t="s">
        <v>13030</v>
      </c>
      <c r="D6860" s="15">
        <v>15.68</v>
      </c>
      <c r="E6860" s="16" t="s">
        <v>30</v>
      </c>
    </row>
    <row r="6861" spans="1:5" x14ac:dyDescent="0.25">
      <c r="A6861" s="14">
        <v>973625</v>
      </c>
      <c r="B6861" s="14" t="s">
        <v>6973</v>
      </c>
      <c r="C6861" s="14" t="s">
        <v>13030</v>
      </c>
      <c r="D6861" s="15">
        <v>16.53</v>
      </c>
      <c r="E6861" s="16" t="s">
        <v>30</v>
      </c>
    </row>
    <row r="6862" spans="1:5" x14ac:dyDescent="0.25">
      <c r="A6862" s="14">
        <v>973630</v>
      </c>
      <c r="B6862" s="14" t="s">
        <v>6974</v>
      </c>
      <c r="C6862" s="14" t="s">
        <v>13030</v>
      </c>
      <c r="D6862" s="15">
        <v>76.42</v>
      </c>
      <c r="E6862" s="16" t="s">
        <v>30</v>
      </c>
    </row>
    <row r="6863" spans="1:5" x14ac:dyDescent="0.25">
      <c r="A6863" s="14">
        <v>973631</v>
      </c>
      <c r="B6863" s="14" t="s">
        <v>6975</v>
      </c>
      <c r="C6863" s="14" t="s">
        <v>13031</v>
      </c>
      <c r="D6863" s="15">
        <v>11.02</v>
      </c>
      <c r="E6863" s="16" t="s">
        <v>30</v>
      </c>
    </row>
    <row r="6864" spans="1:5" x14ac:dyDescent="0.25">
      <c r="A6864" s="14">
        <v>973632</v>
      </c>
      <c r="B6864" s="14" t="s">
        <v>6976</v>
      </c>
      <c r="C6864" s="14" t="s">
        <v>13031</v>
      </c>
      <c r="D6864" s="15">
        <v>11.81</v>
      </c>
      <c r="E6864" s="16" t="s">
        <v>30</v>
      </c>
    </row>
    <row r="6865" spans="1:5" x14ac:dyDescent="0.25">
      <c r="A6865" s="14">
        <v>973633</v>
      </c>
      <c r="B6865" s="14" t="s">
        <v>6977</v>
      </c>
      <c r="C6865" s="14" t="s">
        <v>13029</v>
      </c>
      <c r="D6865" s="15">
        <v>31.14</v>
      </c>
      <c r="E6865" s="16" t="s">
        <v>30</v>
      </c>
    </row>
    <row r="6866" spans="1:5" x14ac:dyDescent="0.25">
      <c r="A6866" s="14">
        <v>973634</v>
      </c>
      <c r="B6866" s="14" t="s">
        <v>6978</v>
      </c>
      <c r="C6866" s="14" t="s">
        <v>13029</v>
      </c>
      <c r="D6866" s="15">
        <v>31.14</v>
      </c>
      <c r="E6866" s="16" t="s">
        <v>30</v>
      </c>
    </row>
    <row r="6867" spans="1:5" x14ac:dyDescent="0.25">
      <c r="A6867" s="14">
        <v>973635</v>
      </c>
      <c r="B6867" s="14" t="s">
        <v>6979</v>
      </c>
      <c r="C6867" s="14" t="s">
        <v>13029</v>
      </c>
      <c r="D6867" s="15">
        <v>31.14</v>
      </c>
      <c r="E6867" s="16" t="s">
        <v>30</v>
      </c>
    </row>
    <row r="6868" spans="1:5" x14ac:dyDescent="0.25">
      <c r="A6868" s="14">
        <v>973636</v>
      </c>
      <c r="B6868" s="14" t="s">
        <v>6980</v>
      </c>
      <c r="C6868" s="14" t="s">
        <v>13029</v>
      </c>
      <c r="D6868" s="15">
        <v>31.14</v>
      </c>
      <c r="E6868" s="16" t="s">
        <v>30</v>
      </c>
    </row>
    <row r="6869" spans="1:5" x14ac:dyDescent="0.25">
      <c r="A6869" s="14">
        <v>968243</v>
      </c>
      <c r="B6869" s="14" t="s">
        <v>6981</v>
      </c>
      <c r="C6869" s="14" t="s">
        <v>13030</v>
      </c>
      <c r="D6869" s="15">
        <v>58.95</v>
      </c>
      <c r="E6869" s="16" t="s">
        <v>20</v>
      </c>
    </row>
    <row r="6870" spans="1:5" x14ac:dyDescent="0.25">
      <c r="A6870" s="14">
        <v>963593</v>
      </c>
      <c r="B6870" s="14" t="s">
        <v>6982</v>
      </c>
      <c r="C6870" s="14" t="s">
        <v>13031</v>
      </c>
      <c r="D6870" s="15">
        <v>8.31</v>
      </c>
      <c r="E6870" s="16" t="s">
        <v>20</v>
      </c>
    </row>
    <row r="6871" spans="1:5" x14ac:dyDescent="0.25">
      <c r="A6871" s="14">
        <v>972133</v>
      </c>
      <c r="B6871" s="14" t="s">
        <v>6983</v>
      </c>
      <c r="C6871" s="14" t="s">
        <v>13030</v>
      </c>
      <c r="D6871" s="15">
        <v>197.43</v>
      </c>
      <c r="E6871" s="16" t="s">
        <v>20</v>
      </c>
    </row>
    <row r="6872" spans="1:5" x14ac:dyDescent="0.25">
      <c r="A6872" s="14">
        <v>972134</v>
      </c>
      <c r="B6872" s="14" t="s">
        <v>6984</v>
      </c>
      <c r="C6872" s="14" t="s">
        <v>13030</v>
      </c>
      <c r="D6872" s="15">
        <v>243.22</v>
      </c>
      <c r="E6872" s="16" t="s">
        <v>20</v>
      </c>
    </row>
    <row r="6873" spans="1:5" x14ac:dyDescent="0.25">
      <c r="A6873" s="14">
        <v>972135</v>
      </c>
      <c r="B6873" s="14" t="s">
        <v>6985</v>
      </c>
      <c r="C6873" s="14" t="s">
        <v>13030</v>
      </c>
      <c r="D6873" s="15">
        <v>11.75</v>
      </c>
      <c r="E6873" s="16" t="s">
        <v>20</v>
      </c>
    </row>
    <row r="6874" spans="1:5" x14ac:dyDescent="0.25">
      <c r="A6874" s="14">
        <v>972619</v>
      </c>
      <c r="B6874" s="14" t="s">
        <v>6986</v>
      </c>
      <c r="C6874" s="14" t="s">
        <v>13030</v>
      </c>
      <c r="D6874" s="15">
        <v>36.93</v>
      </c>
      <c r="E6874" s="16" t="s">
        <v>20</v>
      </c>
    </row>
    <row r="6875" spans="1:5" x14ac:dyDescent="0.25">
      <c r="A6875" s="14">
        <v>972620</v>
      </c>
      <c r="B6875" s="14" t="s">
        <v>6987</v>
      </c>
      <c r="C6875" s="14" t="s">
        <v>13030</v>
      </c>
      <c r="D6875" s="15">
        <v>48.49</v>
      </c>
      <c r="E6875" s="16" t="s">
        <v>20</v>
      </c>
    </row>
    <row r="6876" spans="1:5" x14ac:dyDescent="0.25">
      <c r="A6876" s="14">
        <v>972621</v>
      </c>
      <c r="B6876" s="14" t="s">
        <v>6988</v>
      </c>
      <c r="C6876" s="14" t="s">
        <v>13030</v>
      </c>
      <c r="D6876" s="15">
        <v>66.209999999999994</v>
      </c>
      <c r="E6876" s="16" t="s">
        <v>20</v>
      </c>
    </row>
    <row r="6877" spans="1:5" x14ac:dyDescent="0.25">
      <c r="A6877" s="14">
        <v>973637</v>
      </c>
      <c r="B6877" s="14" t="s">
        <v>6989</v>
      </c>
      <c r="C6877" s="14" t="s">
        <v>13029</v>
      </c>
      <c r="D6877" s="15">
        <v>31.14</v>
      </c>
      <c r="E6877" s="16" t="s">
        <v>30</v>
      </c>
    </row>
    <row r="6878" spans="1:5" x14ac:dyDescent="0.25">
      <c r="A6878" s="14">
        <v>973638</v>
      </c>
      <c r="B6878" s="14" t="s">
        <v>6990</v>
      </c>
      <c r="C6878" s="14" t="s">
        <v>13029</v>
      </c>
      <c r="D6878" s="15">
        <v>31.14</v>
      </c>
      <c r="E6878" s="16" t="s">
        <v>30</v>
      </c>
    </row>
    <row r="6879" spans="1:5" x14ac:dyDescent="0.25">
      <c r="A6879" s="14">
        <v>973639</v>
      </c>
      <c r="B6879" s="14" t="s">
        <v>6991</v>
      </c>
      <c r="C6879" s="14" t="s">
        <v>13029</v>
      </c>
      <c r="D6879" s="15">
        <v>46.33</v>
      </c>
      <c r="E6879" s="16" t="s">
        <v>30</v>
      </c>
    </row>
    <row r="6880" spans="1:5" x14ac:dyDescent="0.25">
      <c r="A6880" s="14">
        <v>973640</v>
      </c>
      <c r="B6880" s="14" t="s">
        <v>6992</v>
      </c>
      <c r="C6880" s="14" t="s">
        <v>13029</v>
      </c>
      <c r="D6880" s="15">
        <v>46.33</v>
      </c>
      <c r="E6880" s="16" t="s">
        <v>30</v>
      </c>
    </row>
    <row r="6881" spans="1:5" x14ac:dyDescent="0.25">
      <c r="A6881" s="14">
        <v>973641</v>
      </c>
      <c r="B6881" s="14" t="s">
        <v>6993</v>
      </c>
      <c r="C6881" s="14" t="s">
        <v>13029</v>
      </c>
      <c r="D6881" s="15">
        <v>31.14</v>
      </c>
      <c r="E6881" s="16" t="s">
        <v>30</v>
      </c>
    </row>
    <row r="6882" spans="1:5" x14ac:dyDescent="0.25">
      <c r="A6882" s="14">
        <v>973642</v>
      </c>
      <c r="B6882" s="14" t="s">
        <v>6994</v>
      </c>
      <c r="C6882" s="14" t="s">
        <v>13029</v>
      </c>
      <c r="D6882" s="15">
        <v>56.9</v>
      </c>
      <c r="E6882" s="16" t="s">
        <v>30</v>
      </c>
    </row>
    <row r="6883" spans="1:5" x14ac:dyDescent="0.25">
      <c r="A6883" s="14">
        <v>973643</v>
      </c>
      <c r="B6883" s="14" t="s">
        <v>6995</v>
      </c>
      <c r="C6883" s="14" t="s">
        <v>13029</v>
      </c>
      <c r="D6883" s="15">
        <v>36.17</v>
      </c>
      <c r="E6883" s="16" t="s">
        <v>30</v>
      </c>
    </row>
    <row r="6884" spans="1:5" x14ac:dyDescent="0.25">
      <c r="A6884" s="14">
        <v>973645</v>
      </c>
      <c r="B6884" s="14" t="s">
        <v>6996</v>
      </c>
      <c r="C6884" s="14" t="s">
        <v>13029</v>
      </c>
      <c r="D6884" s="15">
        <v>31.72</v>
      </c>
      <c r="E6884" s="16" t="s">
        <v>30</v>
      </c>
    </row>
    <row r="6885" spans="1:5" x14ac:dyDescent="0.25">
      <c r="A6885" s="14">
        <v>973646</v>
      </c>
      <c r="B6885" s="14" t="s">
        <v>6997</v>
      </c>
      <c r="C6885" s="14" t="s">
        <v>13029</v>
      </c>
      <c r="D6885" s="15">
        <v>41.89</v>
      </c>
      <c r="E6885" s="16" t="s">
        <v>30</v>
      </c>
    </row>
    <row r="6886" spans="1:5" x14ac:dyDescent="0.25">
      <c r="A6886" s="14">
        <v>973647</v>
      </c>
      <c r="B6886" s="14" t="s">
        <v>6998</v>
      </c>
      <c r="C6886" s="14" t="s">
        <v>13029</v>
      </c>
      <c r="D6886" s="15">
        <v>38.07</v>
      </c>
      <c r="E6886" s="16" t="s">
        <v>30</v>
      </c>
    </row>
    <row r="6887" spans="1:5" x14ac:dyDescent="0.25">
      <c r="A6887" s="14">
        <v>973648</v>
      </c>
      <c r="B6887" s="14" t="s">
        <v>6999</v>
      </c>
      <c r="C6887" s="14" t="s">
        <v>13029</v>
      </c>
      <c r="D6887" s="15">
        <v>41.89</v>
      </c>
      <c r="E6887" s="16" t="s">
        <v>30</v>
      </c>
    </row>
    <row r="6888" spans="1:5" x14ac:dyDescent="0.25">
      <c r="A6888" s="14">
        <v>973649</v>
      </c>
      <c r="B6888" s="14" t="s">
        <v>7000</v>
      </c>
      <c r="C6888" s="14" t="s">
        <v>13029</v>
      </c>
      <c r="D6888" s="15">
        <v>31.72</v>
      </c>
      <c r="E6888" s="16" t="s">
        <v>30</v>
      </c>
    </row>
    <row r="6889" spans="1:5" x14ac:dyDescent="0.25">
      <c r="A6889" s="14">
        <v>973650</v>
      </c>
      <c r="B6889" s="14" t="s">
        <v>7001</v>
      </c>
      <c r="C6889" s="14" t="s">
        <v>13029</v>
      </c>
      <c r="D6889" s="15">
        <v>31.72</v>
      </c>
      <c r="E6889" s="16" t="s">
        <v>30</v>
      </c>
    </row>
    <row r="6890" spans="1:5" x14ac:dyDescent="0.25">
      <c r="A6890" s="14">
        <v>973651</v>
      </c>
      <c r="B6890" s="14" t="s">
        <v>7002</v>
      </c>
      <c r="C6890" s="14" t="s">
        <v>13029</v>
      </c>
      <c r="D6890" s="15">
        <v>31.72</v>
      </c>
      <c r="E6890" s="16" t="s">
        <v>30</v>
      </c>
    </row>
    <row r="6891" spans="1:5" x14ac:dyDescent="0.25">
      <c r="A6891" s="14">
        <v>973653</v>
      </c>
      <c r="B6891" s="14" t="s">
        <v>7003</v>
      </c>
      <c r="C6891" s="14" t="s">
        <v>13030</v>
      </c>
      <c r="D6891" s="15">
        <v>40.840000000000003</v>
      </c>
      <c r="E6891" s="16" t="s">
        <v>30</v>
      </c>
    </row>
    <row r="6892" spans="1:5" x14ac:dyDescent="0.25">
      <c r="A6892" s="14">
        <v>973654</v>
      </c>
      <c r="B6892" s="14" t="s">
        <v>7004</v>
      </c>
      <c r="C6892" s="14" t="s">
        <v>13030</v>
      </c>
      <c r="D6892" s="15">
        <v>40.840000000000003</v>
      </c>
      <c r="E6892" s="16" t="s">
        <v>30</v>
      </c>
    </row>
    <row r="6893" spans="1:5" x14ac:dyDescent="0.25">
      <c r="A6893" s="14">
        <v>973655</v>
      </c>
      <c r="B6893" s="14" t="s">
        <v>7005</v>
      </c>
      <c r="C6893" s="14" t="s">
        <v>13030</v>
      </c>
      <c r="D6893" s="15">
        <v>40.840000000000003</v>
      </c>
      <c r="E6893" s="16" t="s">
        <v>30</v>
      </c>
    </row>
    <row r="6894" spans="1:5" x14ac:dyDescent="0.25">
      <c r="A6894" s="14">
        <v>973656</v>
      </c>
      <c r="B6894" s="14" t="s">
        <v>7006</v>
      </c>
      <c r="C6894" s="14" t="s">
        <v>13030</v>
      </c>
      <c r="D6894" s="15">
        <v>40.840000000000003</v>
      </c>
      <c r="E6894" s="16" t="s">
        <v>30</v>
      </c>
    </row>
    <row r="6895" spans="1:5" x14ac:dyDescent="0.25">
      <c r="A6895" s="14">
        <v>973664</v>
      </c>
      <c r="B6895" s="14" t="s">
        <v>7007</v>
      </c>
      <c r="C6895" s="14" t="s">
        <v>13030</v>
      </c>
      <c r="D6895" s="15">
        <v>34.68</v>
      </c>
      <c r="E6895" s="16" t="s">
        <v>30</v>
      </c>
    </row>
    <row r="6896" spans="1:5" x14ac:dyDescent="0.25">
      <c r="A6896" s="14">
        <v>973665</v>
      </c>
      <c r="B6896" s="14" t="s">
        <v>7008</v>
      </c>
      <c r="C6896" s="14" t="s">
        <v>13030</v>
      </c>
      <c r="D6896" s="15">
        <v>34.68</v>
      </c>
      <c r="E6896" s="16" t="s">
        <v>30</v>
      </c>
    </row>
    <row r="6897" spans="1:5" x14ac:dyDescent="0.25">
      <c r="A6897" s="14">
        <v>973666</v>
      </c>
      <c r="B6897" s="14" t="s">
        <v>7009</v>
      </c>
      <c r="C6897" s="14" t="s">
        <v>13030</v>
      </c>
      <c r="D6897" s="15">
        <v>34.68</v>
      </c>
      <c r="E6897" s="16" t="s">
        <v>30</v>
      </c>
    </row>
    <row r="6898" spans="1:5" x14ac:dyDescent="0.25">
      <c r="A6898" s="14">
        <v>973667</v>
      </c>
      <c r="B6898" s="14" t="s">
        <v>7010</v>
      </c>
      <c r="C6898" s="14" t="s">
        <v>13030</v>
      </c>
      <c r="D6898" s="15">
        <v>55.53</v>
      </c>
      <c r="E6898" s="16" t="s">
        <v>30</v>
      </c>
    </row>
    <row r="6899" spans="1:5" x14ac:dyDescent="0.25">
      <c r="A6899" s="14">
        <v>973668</v>
      </c>
      <c r="B6899" s="14" t="s">
        <v>7011</v>
      </c>
      <c r="C6899" s="14" t="s">
        <v>13030</v>
      </c>
      <c r="D6899" s="15">
        <v>39.54</v>
      </c>
      <c r="E6899" s="16" t="s">
        <v>30</v>
      </c>
    </row>
    <row r="6900" spans="1:5" x14ac:dyDescent="0.25">
      <c r="A6900" s="14">
        <v>973671</v>
      </c>
      <c r="B6900" s="14" t="s">
        <v>7012</v>
      </c>
      <c r="C6900" s="14" t="s">
        <v>13030</v>
      </c>
      <c r="D6900" s="15">
        <v>48.59</v>
      </c>
      <c r="E6900" s="16" t="s">
        <v>30</v>
      </c>
    </row>
    <row r="6901" spans="1:5" x14ac:dyDescent="0.25">
      <c r="A6901" s="14">
        <v>973672</v>
      </c>
      <c r="B6901" s="14" t="s">
        <v>7013</v>
      </c>
      <c r="C6901" s="14" t="s">
        <v>13030</v>
      </c>
      <c r="D6901" s="15">
        <v>48.6</v>
      </c>
      <c r="E6901" s="16" t="s">
        <v>30</v>
      </c>
    </row>
    <row r="6902" spans="1:5" x14ac:dyDescent="0.25">
      <c r="A6902" s="14">
        <v>973673</v>
      </c>
      <c r="B6902" s="14" t="s">
        <v>7014</v>
      </c>
      <c r="C6902" s="14" t="s">
        <v>13030</v>
      </c>
      <c r="D6902" s="15">
        <v>48.06</v>
      </c>
      <c r="E6902" s="16" t="s">
        <v>30</v>
      </c>
    </row>
    <row r="6903" spans="1:5" x14ac:dyDescent="0.25">
      <c r="A6903" s="14">
        <v>973841</v>
      </c>
      <c r="B6903" s="14" t="s">
        <v>7015</v>
      </c>
      <c r="C6903" s="14" t="s">
        <v>13029</v>
      </c>
      <c r="D6903" s="15">
        <v>13.37</v>
      </c>
      <c r="E6903" s="14" t="s">
        <v>30</v>
      </c>
    </row>
    <row r="6904" spans="1:5" x14ac:dyDescent="0.25">
      <c r="A6904" s="14">
        <v>973842</v>
      </c>
      <c r="B6904" s="14" t="s">
        <v>7016</v>
      </c>
      <c r="C6904" s="14" t="s">
        <v>13029</v>
      </c>
      <c r="D6904" s="15">
        <v>13.37</v>
      </c>
      <c r="E6904" s="14" t="s">
        <v>30</v>
      </c>
    </row>
    <row r="6905" spans="1:5" x14ac:dyDescent="0.25">
      <c r="A6905" s="14">
        <v>973971</v>
      </c>
      <c r="B6905" s="14" t="s">
        <v>7017</v>
      </c>
      <c r="C6905" s="14" t="s">
        <v>13031</v>
      </c>
      <c r="D6905" s="15">
        <v>22.18</v>
      </c>
      <c r="E6905" s="16" t="s">
        <v>30</v>
      </c>
    </row>
    <row r="6906" spans="1:5" x14ac:dyDescent="0.25">
      <c r="A6906" s="14">
        <v>973972</v>
      </c>
      <c r="B6906" s="14" t="s">
        <v>7018</v>
      </c>
      <c r="C6906" s="14" t="s">
        <v>13031</v>
      </c>
      <c r="D6906" s="15">
        <v>15.19</v>
      </c>
      <c r="E6906" s="16" t="s">
        <v>30</v>
      </c>
    </row>
    <row r="6907" spans="1:5" x14ac:dyDescent="0.25">
      <c r="A6907" s="14">
        <v>973973</v>
      </c>
      <c r="B6907" s="14" t="s">
        <v>7019</v>
      </c>
      <c r="C6907" s="14" t="s">
        <v>13031</v>
      </c>
      <c r="D6907" s="15">
        <v>15.19</v>
      </c>
      <c r="E6907" s="16" t="s">
        <v>30</v>
      </c>
    </row>
    <row r="6908" spans="1:5" x14ac:dyDescent="0.25">
      <c r="A6908" s="14">
        <v>973974</v>
      </c>
      <c r="B6908" s="14" t="s">
        <v>7020</v>
      </c>
      <c r="C6908" s="14" t="s">
        <v>13031</v>
      </c>
      <c r="D6908" s="15">
        <v>2.48</v>
      </c>
      <c r="E6908" s="16" t="s">
        <v>30</v>
      </c>
    </row>
    <row r="6909" spans="1:5" x14ac:dyDescent="0.25">
      <c r="A6909" s="14">
        <v>973210</v>
      </c>
      <c r="B6909" s="14" t="s">
        <v>7021</v>
      </c>
      <c r="C6909" s="14" t="s">
        <v>13030</v>
      </c>
      <c r="D6909" s="15">
        <v>254.72</v>
      </c>
      <c r="E6909" s="16" t="s">
        <v>20</v>
      </c>
    </row>
    <row r="6910" spans="1:5" x14ac:dyDescent="0.25">
      <c r="A6910" s="14">
        <v>968745</v>
      </c>
      <c r="B6910" s="14" t="s">
        <v>7022</v>
      </c>
      <c r="C6910" s="14" t="s">
        <v>13031</v>
      </c>
      <c r="D6910" s="15">
        <v>8.6199999999999992</v>
      </c>
      <c r="E6910" s="16" t="s">
        <v>20</v>
      </c>
    </row>
    <row r="6911" spans="1:5" x14ac:dyDescent="0.25">
      <c r="A6911" s="14">
        <v>968746</v>
      </c>
      <c r="B6911" s="14" t="s">
        <v>7023</v>
      </c>
      <c r="C6911" s="14" t="s">
        <v>13031</v>
      </c>
      <c r="D6911" s="15">
        <v>2.33</v>
      </c>
      <c r="E6911" s="16" t="s">
        <v>20</v>
      </c>
    </row>
    <row r="6912" spans="1:5" x14ac:dyDescent="0.25">
      <c r="A6912" s="14">
        <v>973980</v>
      </c>
      <c r="B6912" s="14" t="s">
        <v>7024</v>
      </c>
      <c r="C6912" s="14" t="s">
        <v>13031</v>
      </c>
      <c r="D6912" s="15">
        <v>28.01</v>
      </c>
      <c r="E6912" s="16" t="s">
        <v>30</v>
      </c>
    </row>
    <row r="6913" spans="1:5" x14ac:dyDescent="0.25">
      <c r="A6913" s="14">
        <v>973986</v>
      </c>
      <c r="B6913" s="14" t="s">
        <v>7025</v>
      </c>
      <c r="C6913" s="14" t="s">
        <v>13030</v>
      </c>
      <c r="D6913" s="15">
        <v>63</v>
      </c>
      <c r="E6913" s="16" t="s">
        <v>30</v>
      </c>
    </row>
    <row r="6914" spans="1:5" x14ac:dyDescent="0.25">
      <c r="A6914" s="14">
        <v>973987</v>
      </c>
      <c r="B6914" s="14" t="s">
        <v>7026</v>
      </c>
      <c r="C6914" s="14" t="s">
        <v>13030</v>
      </c>
      <c r="D6914" s="15">
        <v>63</v>
      </c>
      <c r="E6914" s="16" t="s">
        <v>30</v>
      </c>
    </row>
    <row r="6915" spans="1:5" x14ac:dyDescent="0.25">
      <c r="A6915" s="14">
        <v>973988</v>
      </c>
      <c r="B6915" s="14" t="s">
        <v>7027</v>
      </c>
      <c r="C6915" s="14" t="s">
        <v>13030</v>
      </c>
      <c r="D6915" s="15">
        <v>129.9</v>
      </c>
      <c r="E6915" s="14" t="s">
        <v>30</v>
      </c>
    </row>
    <row r="6916" spans="1:5" x14ac:dyDescent="0.25">
      <c r="A6916" s="14">
        <v>973995</v>
      </c>
      <c r="B6916" s="14" t="s">
        <v>7028</v>
      </c>
      <c r="C6916" s="14" t="s">
        <v>13030</v>
      </c>
      <c r="D6916" s="15">
        <v>6.88</v>
      </c>
      <c r="E6916" s="16" t="s">
        <v>30</v>
      </c>
    </row>
    <row r="6917" spans="1:5" x14ac:dyDescent="0.25">
      <c r="A6917" s="14">
        <v>973996</v>
      </c>
      <c r="B6917" s="14" t="s">
        <v>7029</v>
      </c>
      <c r="C6917" s="14" t="s">
        <v>13030</v>
      </c>
      <c r="D6917" s="15">
        <v>20.079999999999998</v>
      </c>
      <c r="E6917" s="16" t="s">
        <v>30</v>
      </c>
    </row>
    <row r="6918" spans="1:5" x14ac:dyDescent="0.25">
      <c r="A6918" s="14">
        <v>973997</v>
      </c>
      <c r="B6918" s="14" t="s">
        <v>7030</v>
      </c>
      <c r="C6918" s="14" t="s">
        <v>13030</v>
      </c>
      <c r="D6918" s="15">
        <v>15.92</v>
      </c>
      <c r="E6918" s="16" t="s">
        <v>30</v>
      </c>
    </row>
    <row r="6919" spans="1:5" x14ac:dyDescent="0.25">
      <c r="A6919" s="14">
        <v>973998</v>
      </c>
      <c r="B6919" s="14" t="s">
        <v>7031</v>
      </c>
      <c r="C6919" s="14" t="s">
        <v>13030</v>
      </c>
      <c r="D6919" s="15">
        <v>14.75</v>
      </c>
      <c r="E6919" s="16" t="s">
        <v>30</v>
      </c>
    </row>
    <row r="6920" spans="1:5" x14ac:dyDescent="0.25">
      <c r="A6920" s="14">
        <v>974005</v>
      </c>
      <c r="B6920" s="14" t="s">
        <v>7032</v>
      </c>
      <c r="C6920" s="14" t="s">
        <v>13030</v>
      </c>
      <c r="D6920" s="15">
        <v>480.27</v>
      </c>
      <c r="E6920" s="16" t="s">
        <v>30</v>
      </c>
    </row>
    <row r="6921" spans="1:5" x14ac:dyDescent="0.25">
      <c r="A6921" s="14">
        <v>974065</v>
      </c>
      <c r="B6921" s="14" t="s">
        <v>7033</v>
      </c>
      <c r="C6921" s="14" t="s">
        <v>13031</v>
      </c>
      <c r="D6921" s="15">
        <v>9.7899999999999991</v>
      </c>
      <c r="E6921" s="16" t="s">
        <v>30</v>
      </c>
    </row>
    <row r="6922" spans="1:5" x14ac:dyDescent="0.25">
      <c r="A6922" s="14">
        <v>974066</v>
      </c>
      <c r="B6922" s="14" t="s">
        <v>7034</v>
      </c>
      <c r="C6922" s="14" t="s">
        <v>13031</v>
      </c>
      <c r="D6922" s="15">
        <v>8.14</v>
      </c>
      <c r="E6922" s="16" t="s">
        <v>30</v>
      </c>
    </row>
    <row r="6923" spans="1:5" x14ac:dyDescent="0.25">
      <c r="A6923" s="14">
        <v>973657</v>
      </c>
      <c r="B6923" s="14" t="s">
        <v>7035</v>
      </c>
      <c r="C6923" s="14" t="s">
        <v>13030</v>
      </c>
      <c r="D6923" s="15">
        <v>20</v>
      </c>
      <c r="E6923" s="16" t="s">
        <v>20</v>
      </c>
    </row>
    <row r="6924" spans="1:5" x14ac:dyDescent="0.25">
      <c r="A6924" s="14">
        <v>974067</v>
      </c>
      <c r="B6924" s="14" t="s">
        <v>7036</v>
      </c>
      <c r="C6924" s="14" t="s">
        <v>13031</v>
      </c>
      <c r="D6924" s="15">
        <v>8.14</v>
      </c>
      <c r="E6924" s="16" t="s">
        <v>30</v>
      </c>
    </row>
    <row r="6925" spans="1:5" x14ac:dyDescent="0.25">
      <c r="A6925" s="14">
        <v>973658</v>
      </c>
      <c r="B6925" s="14" t="s">
        <v>7037</v>
      </c>
      <c r="C6925" s="14" t="s">
        <v>13030</v>
      </c>
      <c r="D6925" s="15">
        <v>19.71</v>
      </c>
      <c r="E6925" s="16" t="s">
        <v>20</v>
      </c>
    </row>
    <row r="6926" spans="1:5" x14ac:dyDescent="0.25">
      <c r="A6926" s="14">
        <v>974068</v>
      </c>
      <c r="B6926" s="14" t="s">
        <v>7038</v>
      </c>
      <c r="C6926" s="14" t="s">
        <v>13031</v>
      </c>
      <c r="D6926" s="15">
        <v>8.14</v>
      </c>
      <c r="E6926" s="16" t="s">
        <v>30</v>
      </c>
    </row>
    <row r="6927" spans="1:5" x14ac:dyDescent="0.25">
      <c r="A6927" s="14">
        <v>974346</v>
      </c>
      <c r="B6927" s="14" t="s">
        <v>7039</v>
      </c>
      <c r="C6927" s="14" t="s">
        <v>13031</v>
      </c>
      <c r="D6927" s="15">
        <v>7</v>
      </c>
      <c r="E6927" s="16" t="s">
        <v>30</v>
      </c>
    </row>
    <row r="6928" spans="1:5" x14ac:dyDescent="0.25">
      <c r="A6928" s="14">
        <v>974347</v>
      </c>
      <c r="B6928" s="14" t="s">
        <v>7040</v>
      </c>
      <c r="C6928" s="14" t="s">
        <v>13031</v>
      </c>
      <c r="D6928" s="15">
        <v>10.5</v>
      </c>
      <c r="E6928" s="16" t="s">
        <v>30</v>
      </c>
    </row>
    <row r="6929" spans="1:5" x14ac:dyDescent="0.25">
      <c r="A6929" s="14">
        <v>974354</v>
      </c>
      <c r="B6929" s="14" t="s">
        <v>7041</v>
      </c>
      <c r="C6929" s="14" t="s">
        <v>13030</v>
      </c>
      <c r="D6929" s="15">
        <v>12.91</v>
      </c>
      <c r="E6929" s="16" t="s">
        <v>30</v>
      </c>
    </row>
    <row r="6930" spans="1:5" x14ac:dyDescent="0.25">
      <c r="A6930" s="14">
        <v>974356</v>
      </c>
      <c r="B6930" s="14" t="s">
        <v>7042</v>
      </c>
      <c r="C6930" s="14" t="s">
        <v>13030</v>
      </c>
      <c r="D6930" s="15">
        <v>23.47</v>
      </c>
      <c r="E6930" s="16" t="s">
        <v>30</v>
      </c>
    </row>
    <row r="6931" spans="1:5" x14ac:dyDescent="0.25">
      <c r="A6931" s="14">
        <v>974358</v>
      </c>
      <c r="B6931" s="14" t="s">
        <v>7043</v>
      </c>
      <c r="C6931" s="14" t="s">
        <v>13030</v>
      </c>
      <c r="D6931" s="15">
        <v>61.16</v>
      </c>
      <c r="E6931" s="16" t="s">
        <v>30</v>
      </c>
    </row>
    <row r="6932" spans="1:5" x14ac:dyDescent="0.25">
      <c r="A6932" s="14">
        <v>974371</v>
      </c>
      <c r="B6932" s="14" t="s">
        <v>7044</v>
      </c>
      <c r="C6932" s="14" t="s">
        <v>13030</v>
      </c>
      <c r="D6932" s="15">
        <v>175.78</v>
      </c>
      <c r="E6932" s="16" t="s">
        <v>30</v>
      </c>
    </row>
    <row r="6933" spans="1:5" x14ac:dyDescent="0.25">
      <c r="A6933" s="14">
        <v>974373</v>
      </c>
      <c r="B6933" s="14" t="s">
        <v>7045</v>
      </c>
      <c r="C6933" s="14" t="s">
        <v>13030</v>
      </c>
      <c r="D6933" s="15">
        <v>43.15</v>
      </c>
      <c r="E6933" s="16" t="s">
        <v>30</v>
      </c>
    </row>
    <row r="6934" spans="1:5" x14ac:dyDescent="0.25">
      <c r="A6934" s="14">
        <v>974374</v>
      </c>
      <c r="B6934" s="14" t="s">
        <v>7046</v>
      </c>
      <c r="C6934" s="14" t="s">
        <v>13030</v>
      </c>
      <c r="D6934" s="15">
        <v>216.05</v>
      </c>
      <c r="E6934" s="14" t="s">
        <v>30</v>
      </c>
    </row>
    <row r="6935" spans="1:5" x14ac:dyDescent="0.25">
      <c r="A6935" s="14">
        <v>974375</v>
      </c>
      <c r="B6935" s="14" t="s">
        <v>7047</v>
      </c>
      <c r="C6935" s="14" t="s">
        <v>13030</v>
      </c>
      <c r="D6935" s="15">
        <v>43.15</v>
      </c>
      <c r="E6935" s="14" t="s">
        <v>30</v>
      </c>
    </row>
    <row r="6936" spans="1:5" x14ac:dyDescent="0.25">
      <c r="A6936" s="14">
        <v>974376</v>
      </c>
      <c r="B6936" s="14" t="s">
        <v>7048</v>
      </c>
      <c r="C6936" s="14" t="s">
        <v>13030</v>
      </c>
      <c r="D6936" s="15">
        <v>42.43</v>
      </c>
      <c r="E6936" s="14" t="s">
        <v>30</v>
      </c>
    </row>
    <row r="6937" spans="1:5" x14ac:dyDescent="0.25">
      <c r="A6937" s="14">
        <v>974377</v>
      </c>
      <c r="B6937" s="14" t="s">
        <v>7049</v>
      </c>
      <c r="C6937" s="14" t="s">
        <v>13030</v>
      </c>
      <c r="D6937" s="15">
        <v>29.47</v>
      </c>
      <c r="E6937" s="14" t="s">
        <v>30</v>
      </c>
    </row>
    <row r="6938" spans="1:5" x14ac:dyDescent="0.25">
      <c r="A6938" s="14">
        <v>974378</v>
      </c>
      <c r="B6938" s="14" t="s">
        <v>7050</v>
      </c>
      <c r="C6938" s="14" t="s">
        <v>13030</v>
      </c>
      <c r="D6938" s="15">
        <v>597.79</v>
      </c>
      <c r="E6938" s="16" t="s">
        <v>30</v>
      </c>
    </row>
    <row r="6939" spans="1:5" x14ac:dyDescent="0.25">
      <c r="A6939" s="14">
        <v>974381</v>
      </c>
      <c r="B6939" s="14" t="s">
        <v>7051</v>
      </c>
      <c r="C6939" s="14" t="s">
        <v>13029</v>
      </c>
      <c r="D6939" s="15">
        <v>32.57</v>
      </c>
      <c r="E6939" s="16" t="s">
        <v>30</v>
      </c>
    </row>
    <row r="6940" spans="1:5" x14ac:dyDescent="0.25">
      <c r="A6940" s="14">
        <v>974382</v>
      </c>
      <c r="B6940" s="14" t="s">
        <v>7052</v>
      </c>
      <c r="C6940" s="14" t="s">
        <v>13029</v>
      </c>
      <c r="D6940" s="15">
        <v>17.739999999999998</v>
      </c>
      <c r="E6940" s="16" t="s">
        <v>30</v>
      </c>
    </row>
    <row r="6941" spans="1:5" x14ac:dyDescent="0.25">
      <c r="A6941" s="14">
        <v>974383</v>
      </c>
      <c r="B6941" s="14" t="s">
        <v>7053</v>
      </c>
      <c r="C6941" s="14" t="s">
        <v>13029</v>
      </c>
      <c r="D6941" s="15">
        <v>17.739999999999998</v>
      </c>
      <c r="E6941" s="16" t="s">
        <v>30</v>
      </c>
    </row>
    <row r="6942" spans="1:5" x14ac:dyDescent="0.25">
      <c r="A6942" s="14">
        <v>974384</v>
      </c>
      <c r="B6942" s="14" t="s">
        <v>7054</v>
      </c>
      <c r="C6942" s="14" t="s">
        <v>13029</v>
      </c>
      <c r="D6942" s="15">
        <v>13.58</v>
      </c>
      <c r="E6942" s="16" t="s">
        <v>30</v>
      </c>
    </row>
    <row r="6943" spans="1:5" x14ac:dyDescent="0.25">
      <c r="A6943" s="14">
        <v>974385</v>
      </c>
      <c r="B6943" s="14" t="s">
        <v>7055</v>
      </c>
      <c r="C6943" s="14" t="s">
        <v>13029</v>
      </c>
      <c r="D6943" s="15">
        <v>20.7</v>
      </c>
      <c r="E6943" s="16" t="s">
        <v>30</v>
      </c>
    </row>
    <row r="6944" spans="1:5" x14ac:dyDescent="0.25">
      <c r="A6944" s="14">
        <v>974386</v>
      </c>
      <c r="B6944" s="14" t="s">
        <v>7056</v>
      </c>
      <c r="C6944" s="14" t="s">
        <v>13029</v>
      </c>
      <c r="D6944" s="15">
        <v>15.96</v>
      </c>
      <c r="E6944" s="16" t="s">
        <v>30</v>
      </c>
    </row>
    <row r="6945" spans="1:5" x14ac:dyDescent="0.25">
      <c r="A6945" s="14">
        <v>974387</v>
      </c>
      <c r="B6945" s="14" t="s">
        <v>7057</v>
      </c>
      <c r="C6945" s="14" t="s">
        <v>13029</v>
      </c>
      <c r="D6945" s="15">
        <v>15.96</v>
      </c>
      <c r="E6945" s="16" t="s">
        <v>30</v>
      </c>
    </row>
    <row r="6946" spans="1:5" x14ac:dyDescent="0.25">
      <c r="A6946" s="14">
        <v>974388</v>
      </c>
      <c r="B6946" s="14" t="s">
        <v>7058</v>
      </c>
      <c r="C6946" s="14" t="s">
        <v>13029</v>
      </c>
      <c r="D6946" s="15">
        <v>15.38</v>
      </c>
      <c r="E6946" s="16" t="s">
        <v>30</v>
      </c>
    </row>
    <row r="6947" spans="1:5" x14ac:dyDescent="0.25">
      <c r="A6947" s="14">
        <v>974391</v>
      </c>
      <c r="B6947" s="14" t="s">
        <v>7059</v>
      </c>
      <c r="C6947" s="14" t="s">
        <v>13031</v>
      </c>
      <c r="D6947" s="15">
        <v>2.67</v>
      </c>
      <c r="E6947" s="16" t="s">
        <v>30</v>
      </c>
    </row>
    <row r="6948" spans="1:5" x14ac:dyDescent="0.25">
      <c r="A6948" s="14">
        <v>974392</v>
      </c>
      <c r="B6948" s="14" t="s">
        <v>7060</v>
      </c>
      <c r="C6948" s="14" t="s">
        <v>13031</v>
      </c>
      <c r="D6948" s="15">
        <v>2.67</v>
      </c>
      <c r="E6948" s="16" t="s">
        <v>30</v>
      </c>
    </row>
    <row r="6949" spans="1:5" x14ac:dyDescent="0.25">
      <c r="A6949" s="14">
        <v>974393</v>
      </c>
      <c r="B6949" s="14" t="s">
        <v>7061</v>
      </c>
      <c r="C6949" s="14" t="s">
        <v>13031</v>
      </c>
      <c r="D6949" s="15">
        <v>3.26</v>
      </c>
      <c r="E6949" s="16" t="s">
        <v>30</v>
      </c>
    </row>
    <row r="6950" spans="1:5" x14ac:dyDescent="0.25">
      <c r="A6950" s="14">
        <v>974397</v>
      </c>
      <c r="B6950" s="14" t="s">
        <v>7062</v>
      </c>
      <c r="C6950" s="14" t="s">
        <v>13029</v>
      </c>
      <c r="D6950" s="15">
        <v>8.49</v>
      </c>
      <c r="E6950" s="16" t="s">
        <v>30</v>
      </c>
    </row>
    <row r="6951" spans="1:5" x14ac:dyDescent="0.25">
      <c r="A6951" s="14">
        <v>975095</v>
      </c>
      <c r="B6951" s="14" t="s">
        <v>7063</v>
      </c>
      <c r="C6951" s="14" t="s">
        <v>13029</v>
      </c>
      <c r="D6951" s="15">
        <v>10.86</v>
      </c>
      <c r="E6951" s="16" t="s">
        <v>30</v>
      </c>
    </row>
    <row r="6952" spans="1:5" x14ac:dyDescent="0.25">
      <c r="A6952" s="14">
        <v>973659</v>
      </c>
      <c r="B6952" s="14" t="s">
        <v>7064</v>
      </c>
      <c r="C6952" s="14" t="s">
        <v>13030</v>
      </c>
      <c r="D6952" s="15">
        <v>19.670000000000002</v>
      </c>
      <c r="E6952" s="16" t="s">
        <v>20</v>
      </c>
    </row>
    <row r="6953" spans="1:5" x14ac:dyDescent="0.25">
      <c r="A6953" s="14">
        <v>973660</v>
      </c>
      <c r="B6953" s="14" t="s">
        <v>7065</v>
      </c>
      <c r="C6953" s="14" t="s">
        <v>13030</v>
      </c>
      <c r="D6953" s="15">
        <v>19.72</v>
      </c>
      <c r="E6953" s="16" t="s">
        <v>20</v>
      </c>
    </row>
    <row r="6954" spans="1:5" x14ac:dyDescent="0.25">
      <c r="A6954" s="14">
        <v>973661</v>
      </c>
      <c r="B6954" s="14" t="s">
        <v>7066</v>
      </c>
      <c r="C6954" s="14" t="s">
        <v>13030</v>
      </c>
      <c r="D6954" s="15">
        <v>40.619999999999997</v>
      </c>
      <c r="E6954" s="16" t="s">
        <v>20</v>
      </c>
    </row>
    <row r="6955" spans="1:5" x14ac:dyDescent="0.25">
      <c r="A6955" s="14">
        <v>973662</v>
      </c>
      <c r="B6955" s="14" t="s">
        <v>7067</v>
      </c>
      <c r="C6955" s="14" t="s">
        <v>13030</v>
      </c>
      <c r="D6955" s="15">
        <v>108.55</v>
      </c>
      <c r="E6955" s="16" t="s">
        <v>20</v>
      </c>
    </row>
    <row r="6956" spans="1:5" x14ac:dyDescent="0.25">
      <c r="A6956" s="14">
        <v>975096</v>
      </c>
      <c r="B6956" s="14" t="s">
        <v>7068</v>
      </c>
      <c r="C6956" s="14" t="s">
        <v>13029</v>
      </c>
      <c r="D6956" s="15">
        <v>18.14</v>
      </c>
      <c r="E6956" s="16" t="s">
        <v>30</v>
      </c>
    </row>
    <row r="6957" spans="1:5" x14ac:dyDescent="0.25">
      <c r="A6957" s="14">
        <v>975105</v>
      </c>
      <c r="B6957" s="14" t="s">
        <v>7069</v>
      </c>
      <c r="C6957" s="14" t="s">
        <v>13031</v>
      </c>
      <c r="D6957" s="15">
        <v>4.8099999999999996</v>
      </c>
      <c r="E6957" s="16" t="s">
        <v>30</v>
      </c>
    </row>
    <row r="6958" spans="1:5" x14ac:dyDescent="0.25">
      <c r="A6958" s="14">
        <v>975106</v>
      </c>
      <c r="B6958" s="14" t="s">
        <v>7070</v>
      </c>
      <c r="C6958" s="14" t="s">
        <v>13031</v>
      </c>
      <c r="D6958" s="15">
        <v>3.69</v>
      </c>
      <c r="E6958" s="16" t="s">
        <v>30</v>
      </c>
    </row>
    <row r="6959" spans="1:5" x14ac:dyDescent="0.25">
      <c r="A6959" s="14">
        <v>975108</v>
      </c>
      <c r="B6959" s="14" t="s">
        <v>7071</v>
      </c>
      <c r="C6959" s="14" t="s">
        <v>13031</v>
      </c>
      <c r="D6959" s="15">
        <v>6.45</v>
      </c>
      <c r="E6959" s="16" t="s">
        <v>30</v>
      </c>
    </row>
    <row r="6960" spans="1:5" x14ac:dyDescent="0.25">
      <c r="A6960" s="14">
        <v>975109</v>
      </c>
      <c r="B6960" s="14" t="s">
        <v>7072</v>
      </c>
      <c r="C6960" s="14" t="s">
        <v>13031</v>
      </c>
      <c r="D6960" s="15">
        <v>6.52</v>
      </c>
      <c r="E6960" s="16" t="s">
        <v>30</v>
      </c>
    </row>
    <row r="6961" spans="1:5" x14ac:dyDescent="0.25">
      <c r="A6961" s="14">
        <v>975112</v>
      </c>
      <c r="B6961" s="14" t="s">
        <v>7073</v>
      </c>
      <c r="C6961" s="14" t="s">
        <v>13031</v>
      </c>
      <c r="D6961" s="15">
        <v>2.48</v>
      </c>
      <c r="E6961" s="16" t="s">
        <v>30</v>
      </c>
    </row>
    <row r="6962" spans="1:5" x14ac:dyDescent="0.25">
      <c r="A6962" s="14">
        <v>975113</v>
      </c>
      <c r="B6962" s="14" t="s">
        <v>7074</v>
      </c>
      <c r="C6962" s="14" t="s">
        <v>13029</v>
      </c>
      <c r="D6962" s="15">
        <v>21.79</v>
      </c>
      <c r="E6962" s="16" t="s">
        <v>30</v>
      </c>
    </row>
    <row r="6963" spans="1:5" x14ac:dyDescent="0.25">
      <c r="A6963" s="14">
        <v>975114</v>
      </c>
      <c r="B6963" s="14" t="s">
        <v>7075</v>
      </c>
      <c r="C6963" s="14" t="s">
        <v>13029</v>
      </c>
      <c r="D6963" s="15">
        <v>25.36</v>
      </c>
      <c r="E6963" s="16" t="s">
        <v>30</v>
      </c>
    </row>
    <row r="6964" spans="1:5" x14ac:dyDescent="0.25">
      <c r="A6964" s="14">
        <v>975115</v>
      </c>
      <c r="B6964" s="14" t="s">
        <v>7076</v>
      </c>
      <c r="C6964" s="14" t="s">
        <v>13029</v>
      </c>
      <c r="D6964" s="15">
        <v>22.18</v>
      </c>
      <c r="E6964" s="16" t="s">
        <v>30</v>
      </c>
    </row>
    <row r="6965" spans="1:5" x14ac:dyDescent="0.25">
      <c r="A6965" s="14">
        <v>975116</v>
      </c>
      <c r="B6965" s="14" t="s">
        <v>7077</v>
      </c>
      <c r="C6965" s="14" t="s">
        <v>13029</v>
      </c>
      <c r="D6965" s="15">
        <v>24.72</v>
      </c>
      <c r="E6965" s="16" t="s">
        <v>30</v>
      </c>
    </row>
    <row r="6966" spans="1:5" x14ac:dyDescent="0.25">
      <c r="A6966" s="14">
        <v>975130</v>
      </c>
      <c r="B6966" s="14" t="s">
        <v>7078</v>
      </c>
      <c r="C6966" s="14" t="s">
        <v>13031</v>
      </c>
      <c r="D6966" s="15">
        <v>24.9</v>
      </c>
      <c r="E6966" s="16" t="s">
        <v>30</v>
      </c>
    </row>
    <row r="6967" spans="1:5" x14ac:dyDescent="0.25">
      <c r="A6967" s="14">
        <v>975135</v>
      </c>
      <c r="B6967" s="14" t="s">
        <v>7079</v>
      </c>
      <c r="C6967" s="14" t="s">
        <v>13030</v>
      </c>
      <c r="D6967" s="15">
        <v>46.45</v>
      </c>
      <c r="E6967" s="16" t="s">
        <v>30</v>
      </c>
    </row>
    <row r="6968" spans="1:5" x14ac:dyDescent="0.25">
      <c r="A6968" s="14">
        <v>975256</v>
      </c>
      <c r="B6968" s="14" t="s">
        <v>7080</v>
      </c>
      <c r="C6968" s="14" t="s">
        <v>13029</v>
      </c>
      <c r="D6968" s="15">
        <v>21.3</v>
      </c>
      <c r="E6968" s="16" t="s">
        <v>30</v>
      </c>
    </row>
    <row r="6969" spans="1:5" x14ac:dyDescent="0.25">
      <c r="A6969" s="14">
        <v>975260</v>
      </c>
      <c r="B6969" s="14" t="s">
        <v>7081</v>
      </c>
      <c r="C6969" s="14" t="s">
        <v>13029</v>
      </c>
      <c r="D6969" s="15">
        <v>17.57</v>
      </c>
      <c r="E6969" s="16" t="s">
        <v>30</v>
      </c>
    </row>
    <row r="6970" spans="1:5" x14ac:dyDescent="0.25">
      <c r="A6970" s="14">
        <v>975261</v>
      </c>
      <c r="B6970" s="14" t="s">
        <v>7082</v>
      </c>
      <c r="C6970" s="14" t="s">
        <v>13029</v>
      </c>
      <c r="D6970" s="15">
        <v>17.57</v>
      </c>
      <c r="E6970" s="16" t="s">
        <v>30</v>
      </c>
    </row>
    <row r="6971" spans="1:5" x14ac:dyDescent="0.25">
      <c r="A6971" s="14">
        <v>975262</v>
      </c>
      <c r="B6971" s="14" t="s">
        <v>7083</v>
      </c>
      <c r="C6971" s="14" t="s">
        <v>13029</v>
      </c>
      <c r="D6971" s="15">
        <v>17.57</v>
      </c>
      <c r="E6971" s="16" t="s">
        <v>30</v>
      </c>
    </row>
    <row r="6972" spans="1:5" x14ac:dyDescent="0.25">
      <c r="A6972" s="14">
        <v>975263</v>
      </c>
      <c r="B6972" s="14" t="s">
        <v>7084</v>
      </c>
      <c r="C6972" s="14" t="s">
        <v>13029</v>
      </c>
      <c r="D6972" s="15">
        <v>17.57</v>
      </c>
      <c r="E6972" s="16" t="s">
        <v>30</v>
      </c>
    </row>
    <row r="6973" spans="1:5" x14ac:dyDescent="0.25">
      <c r="A6973" s="14">
        <v>975264</v>
      </c>
      <c r="B6973" s="14" t="s">
        <v>7085</v>
      </c>
      <c r="C6973" s="14" t="s">
        <v>13029</v>
      </c>
      <c r="D6973" s="15">
        <v>17.57</v>
      </c>
      <c r="E6973" s="16" t="s">
        <v>30</v>
      </c>
    </row>
    <row r="6974" spans="1:5" x14ac:dyDescent="0.25">
      <c r="A6974" s="14">
        <v>975265</v>
      </c>
      <c r="B6974" s="14" t="s">
        <v>7086</v>
      </c>
      <c r="C6974" s="14" t="s">
        <v>13029</v>
      </c>
      <c r="D6974" s="15">
        <v>17.57</v>
      </c>
      <c r="E6974" s="16" t="s">
        <v>30</v>
      </c>
    </row>
    <row r="6975" spans="1:5" x14ac:dyDescent="0.25">
      <c r="A6975" s="14">
        <v>975266</v>
      </c>
      <c r="B6975" s="14" t="s">
        <v>7087</v>
      </c>
      <c r="C6975" s="14" t="s">
        <v>13029</v>
      </c>
      <c r="D6975" s="15">
        <v>17.57</v>
      </c>
      <c r="E6975" s="16" t="s">
        <v>30</v>
      </c>
    </row>
    <row r="6976" spans="1:5" x14ac:dyDescent="0.25">
      <c r="A6976" s="14">
        <v>975267</v>
      </c>
      <c r="B6976" s="14" t="s">
        <v>7088</v>
      </c>
      <c r="C6976" s="14" t="s">
        <v>13029</v>
      </c>
      <c r="D6976" s="15">
        <v>17.57</v>
      </c>
      <c r="E6976" s="16" t="s">
        <v>30</v>
      </c>
    </row>
    <row r="6977" spans="1:5" x14ac:dyDescent="0.25">
      <c r="A6977" s="14">
        <v>975268</v>
      </c>
      <c r="B6977" s="14" t="s">
        <v>7089</v>
      </c>
      <c r="C6977" s="14" t="s">
        <v>13029</v>
      </c>
      <c r="D6977" s="15">
        <v>15.96</v>
      </c>
      <c r="E6977" s="16" t="s">
        <v>30</v>
      </c>
    </row>
    <row r="6978" spans="1:5" x14ac:dyDescent="0.25">
      <c r="A6978" s="14">
        <v>975269</v>
      </c>
      <c r="B6978" s="14" t="s">
        <v>7090</v>
      </c>
      <c r="C6978" s="14" t="s">
        <v>13029</v>
      </c>
      <c r="D6978" s="15">
        <v>15.96</v>
      </c>
      <c r="E6978" s="16" t="s">
        <v>30</v>
      </c>
    </row>
    <row r="6979" spans="1:5" x14ac:dyDescent="0.25">
      <c r="A6979" s="14">
        <v>975270</v>
      </c>
      <c r="B6979" s="14" t="s">
        <v>7091</v>
      </c>
      <c r="C6979" s="14" t="s">
        <v>13029</v>
      </c>
      <c r="D6979" s="15">
        <v>15.96</v>
      </c>
      <c r="E6979" s="16" t="s">
        <v>30</v>
      </c>
    </row>
    <row r="6980" spans="1:5" x14ac:dyDescent="0.25">
      <c r="A6980" s="14">
        <v>975273</v>
      </c>
      <c r="B6980" s="14" t="s">
        <v>7092</v>
      </c>
      <c r="C6980" s="14" t="s">
        <v>13031</v>
      </c>
      <c r="D6980" s="15">
        <v>4.21</v>
      </c>
      <c r="E6980" s="16" t="s">
        <v>30</v>
      </c>
    </row>
    <row r="6981" spans="1:5" x14ac:dyDescent="0.25">
      <c r="A6981" s="14">
        <v>975274</v>
      </c>
      <c r="B6981" s="14" t="s">
        <v>7093</v>
      </c>
      <c r="C6981" s="14" t="s">
        <v>13031</v>
      </c>
      <c r="D6981" s="15">
        <v>4.21</v>
      </c>
      <c r="E6981" s="16" t="s">
        <v>30</v>
      </c>
    </row>
    <row r="6982" spans="1:5" x14ac:dyDescent="0.25">
      <c r="A6982" s="14">
        <v>975275</v>
      </c>
      <c r="B6982" s="14" t="s">
        <v>7094</v>
      </c>
      <c r="C6982" s="14" t="s">
        <v>13031</v>
      </c>
      <c r="D6982" s="15">
        <v>4.84</v>
      </c>
      <c r="E6982" s="16" t="s">
        <v>30</v>
      </c>
    </row>
    <row r="6983" spans="1:5" x14ac:dyDescent="0.25">
      <c r="A6983" s="14">
        <v>975284</v>
      </c>
      <c r="B6983" s="14" t="s">
        <v>7095</v>
      </c>
      <c r="C6983" s="14" t="s">
        <v>13031</v>
      </c>
      <c r="D6983" s="15">
        <v>7.9</v>
      </c>
      <c r="E6983" s="16" t="s">
        <v>30</v>
      </c>
    </row>
    <row r="6984" spans="1:5" x14ac:dyDescent="0.25">
      <c r="A6984" s="14">
        <v>975285</v>
      </c>
      <c r="B6984" s="14" t="s">
        <v>7096</v>
      </c>
      <c r="C6984" s="14" t="s">
        <v>13031</v>
      </c>
      <c r="D6984" s="15">
        <v>11.53</v>
      </c>
      <c r="E6984" s="16" t="s">
        <v>30</v>
      </c>
    </row>
    <row r="6985" spans="1:5" x14ac:dyDescent="0.25">
      <c r="A6985" s="14">
        <v>975286</v>
      </c>
      <c r="B6985" s="14" t="s">
        <v>7097</v>
      </c>
      <c r="C6985" s="14" t="s">
        <v>13031</v>
      </c>
      <c r="D6985" s="15">
        <v>13.14</v>
      </c>
      <c r="E6985" s="16" t="s">
        <v>30</v>
      </c>
    </row>
    <row r="6986" spans="1:5" x14ac:dyDescent="0.25">
      <c r="A6986" s="14">
        <v>975287</v>
      </c>
      <c r="B6986" s="14" t="s">
        <v>7098</v>
      </c>
      <c r="C6986" s="14" t="s">
        <v>13031</v>
      </c>
      <c r="D6986" s="15">
        <v>24.13</v>
      </c>
      <c r="E6986" s="16" t="s">
        <v>30</v>
      </c>
    </row>
    <row r="6987" spans="1:5" x14ac:dyDescent="0.25">
      <c r="A6987" s="14">
        <v>975299</v>
      </c>
      <c r="B6987" s="14" t="s">
        <v>7099</v>
      </c>
      <c r="C6987" s="14" t="s">
        <v>13031</v>
      </c>
      <c r="D6987" s="15">
        <v>64.52</v>
      </c>
      <c r="E6987" s="16" t="s">
        <v>30</v>
      </c>
    </row>
    <row r="6988" spans="1:5" x14ac:dyDescent="0.25">
      <c r="A6988" s="14">
        <v>975302</v>
      </c>
      <c r="B6988" s="14" t="s">
        <v>7100</v>
      </c>
      <c r="C6988" s="14" t="s">
        <v>13031</v>
      </c>
      <c r="D6988" s="15">
        <v>108.69</v>
      </c>
      <c r="E6988" s="16" t="s">
        <v>30</v>
      </c>
    </row>
    <row r="6989" spans="1:5" x14ac:dyDescent="0.25">
      <c r="A6989" s="14">
        <v>975303</v>
      </c>
      <c r="B6989" s="14" t="s">
        <v>7101</v>
      </c>
      <c r="C6989" s="14" t="s">
        <v>13031</v>
      </c>
      <c r="D6989" s="15">
        <v>4.96</v>
      </c>
      <c r="E6989" s="16" t="s">
        <v>30</v>
      </c>
    </row>
    <row r="6990" spans="1:5" x14ac:dyDescent="0.25">
      <c r="A6990" s="14">
        <v>975348</v>
      </c>
      <c r="B6990" s="14" t="s">
        <v>7102</v>
      </c>
      <c r="C6990" s="14" t="s">
        <v>13031</v>
      </c>
      <c r="D6990" s="15">
        <v>26.83</v>
      </c>
      <c r="E6990" s="16" t="s">
        <v>30</v>
      </c>
    </row>
    <row r="6991" spans="1:5" x14ac:dyDescent="0.25">
      <c r="A6991" s="14">
        <v>973663</v>
      </c>
      <c r="B6991" s="14" t="s">
        <v>7103</v>
      </c>
      <c r="C6991" s="14" t="s">
        <v>13030</v>
      </c>
      <c r="D6991" s="15">
        <v>123.92</v>
      </c>
      <c r="E6991" s="16" t="s">
        <v>20</v>
      </c>
    </row>
    <row r="6992" spans="1:5" x14ac:dyDescent="0.25">
      <c r="A6992" s="14">
        <v>968952</v>
      </c>
      <c r="B6992" s="14" t="s">
        <v>7104</v>
      </c>
      <c r="C6992" s="14" t="s">
        <v>13031</v>
      </c>
      <c r="D6992" s="15">
        <v>6.54</v>
      </c>
      <c r="E6992" s="16" t="s">
        <v>20</v>
      </c>
    </row>
    <row r="6993" spans="1:5" x14ac:dyDescent="0.25">
      <c r="A6993" s="14">
        <v>975349</v>
      </c>
      <c r="B6993" s="14" t="s">
        <v>7105</v>
      </c>
      <c r="C6993" s="14" t="s">
        <v>13031</v>
      </c>
      <c r="D6993" s="15">
        <v>20.59</v>
      </c>
      <c r="E6993" s="16" t="s">
        <v>30</v>
      </c>
    </row>
    <row r="6994" spans="1:5" x14ac:dyDescent="0.25">
      <c r="A6994" s="14">
        <v>975350</v>
      </c>
      <c r="B6994" s="14" t="s">
        <v>7106</v>
      </c>
      <c r="C6994" s="14" t="s">
        <v>13031</v>
      </c>
      <c r="D6994" s="15">
        <v>6.67</v>
      </c>
      <c r="E6994" s="16" t="s">
        <v>30</v>
      </c>
    </row>
    <row r="6995" spans="1:5" x14ac:dyDescent="0.25">
      <c r="A6995" s="14">
        <v>975351</v>
      </c>
      <c r="B6995" s="14" t="s">
        <v>7107</v>
      </c>
      <c r="C6995" s="14" t="s">
        <v>13031</v>
      </c>
      <c r="D6995" s="15">
        <v>9.67</v>
      </c>
      <c r="E6995" s="16" t="s">
        <v>30</v>
      </c>
    </row>
    <row r="6996" spans="1:5" x14ac:dyDescent="0.25">
      <c r="A6996" s="14">
        <v>975352</v>
      </c>
      <c r="B6996" s="14" t="s">
        <v>7108</v>
      </c>
      <c r="C6996" s="14" t="s">
        <v>13031</v>
      </c>
      <c r="D6996" s="15">
        <v>5.5</v>
      </c>
      <c r="E6996" s="16" t="s">
        <v>30</v>
      </c>
    </row>
    <row r="6997" spans="1:5" x14ac:dyDescent="0.25">
      <c r="A6997" s="14">
        <v>975661</v>
      </c>
      <c r="B6997" s="14" t="s">
        <v>7109</v>
      </c>
      <c r="C6997" s="14" t="s">
        <v>13029</v>
      </c>
      <c r="D6997" s="15">
        <v>46.19</v>
      </c>
      <c r="E6997" s="16" t="s">
        <v>30</v>
      </c>
    </row>
    <row r="6998" spans="1:5" x14ac:dyDescent="0.25">
      <c r="A6998" s="14">
        <v>975662</v>
      </c>
      <c r="B6998" s="14" t="s">
        <v>7110</v>
      </c>
      <c r="C6998" s="14" t="s">
        <v>13029</v>
      </c>
      <c r="D6998" s="15">
        <v>46.19</v>
      </c>
      <c r="E6998" s="16" t="s">
        <v>30</v>
      </c>
    </row>
    <row r="6999" spans="1:5" x14ac:dyDescent="0.25">
      <c r="A6999" s="14">
        <v>975663</v>
      </c>
      <c r="B6999" s="14" t="s">
        <v>7111</v>
      </c>
      <c r="C6999" s="14" t="s">
        <v>13029</v>
      </c>
      <c r="D6999" s="15">
        <v>6.44</v>
      </c>
      <c r="E6999" s="16" t="s">
        <v>30</v>
      </c>
    </row>
    <row r="7000" spans="1:5" x14ac:dyDescent="0.25">
      <c r="A7000" s="14">
        <v>975664</v>
      </c>
      <c r="B7000" s="14" t="s">
        <v>7112</v>
      </c>
      <c r="C7000" s="14" t="s">
        <v>13029</v>
      </c>
      <c r="D7000" s="15">
        <v>6.44</v>
      </c>
      <c r="E7000" s="16" t="s">
        <v>30</v>
      </c>
    </row>
    <row r="7001" spans="1:5" x14ac:dyDescent="0.25">
      <c r="A7001" s="14">
        <v>975668</v>
      </c>
      <c r="B7001" s="14" t="s">
        <v>7113</v>
      </c>
      <c r="C7001" s="14" t="s">
        <v>13029</v>
      </c>
      <c r="D7001" s="15">
        <v>21.98</v>
      </c>
      <c r="E7001" s="16" t="s">
        <v>30</v>
      </c>
    </row>
    <row r="7002" spans="1:5" x14ac:dyDescent="0.25">
      <c r="A7002" s="14">
        <v>975669</v>
      </c>
      <c r="B7002" s="14" t="s">
        <v>7114</v>
      </c>
      <c r="C7002" s="14" t="s">
        <v>13029</v>
      </c>
      <c r="D7002" s="15">
        <v>49.52</v>
      </c>
      <c r="E7002" s="16" t="s">
        <v>30</v>
      </c>
    </row>
    <row r="7003" spans="1:5" x14ac:dyDescent="0.25">
      <c r="A7003" s="14">
        <v>975670</v>
      </c>
      <c r="B7003" s="14" t="s">
        <v>7115</v>
      </c>
      <c r="C7003" s="14" t="s">
        <v>13029</v>
      </c>
      <c r="D7003" s="15">
        <v>36.299999999999997</v>
      </c>
      <c r="E7003" s="16" t="s">
        <v>30</v>
      </c>
    </row>
    <row r="7004" spans="1:5" x14ac:dyDescent="0.25">
      <c r="A7004" s="14">
        <v>975691</v>
      </c>
      <c r="B7004" s="14" t="s">
        <v>7116</v>
      </c>
      <c r="C7004" s="14" t="s">
        <v>13029</v>
      </c>
      <c r="D7004" s="15">
        <v>4.32</v>
      </c>
      <c r="E7004" s="16" t="s">
        <v>30</v>
      </c>
    </row>
    <row r="7005" spans="1:5" x14ac:dyDescent="0.25">
      <c r="A7005" s="14">
        <v>975692</v>
      </c>
      <c r="B7005" s="14" t="s">
        <v>7117</v>
      </c>
      <c r="C7005" s="14" t="s">
        <v>13029</v>
      </c>
      <c r="D7005" s="15">
        <v>4.32</v>
      </c>
      <c r="E7005" s="16" t="s">
        <v>30</v>
      </c>
    </row>
    <row r="7006" spans="1:5" x14ac:dyDescent="0.25">
      <c r="A7006" s="14">
        <v>975693</v>
      </c>
      <c r="B7006" s="14" t="s">
        <v>7118</v>
      </c>
      <c r="C7006" s="14" t="s">
        <v>13029</v>
      </c>
      <c r="D7006" s="15">
        <v>4.32</v>
      </c>
      <c r="E7006" s="16" t="s">
        <v>30</v>
      </c>
    </row>
    <row r="7007" spans="1:5" x14ac:dyDescent="0.25">
      <c r="A7007" s="14">
        <v>975721</v>
      </c>
      <c r="B7007" s="14" t="s">
        <v>7119</v>
      </c>
      <c r="C7007" s="14" t="s">
        <v>13029</v>
      </c>
      <c r="D7007" s="15">
        <v>19.46</v>
      </c>
      <c r="E7007" s="16" t="s">
        <v>30</v>
      </c>
    </row>
    <row r="7008" spans="1:5" x14ac:dyDescent="0.25">
      <c r="A7008" s="14">
        <v>975722</v>
      </c>
      <c r="B7008" s="14" t="s">
        <v>7120</v>
      </c>
      <c r="C7008" s="14" t="s">
        <v>13029</v>
      </c>
      <c r="D7008" s="15">
        <v>33.75</v>
      </c>
      <c r="E7008" s="16" t="s">
        <v>30</v>
      </c>
    </row>
    <row r="7009" spans="1:5" x14ac:dyDescent="0.25">
      <c r="A7009" s="14">
        <v>975723</v>
      </c>
      <c r="B7009" s="14" t="s">
        <v>7121</v>
      </c>
      <c r="C7009" s="14" t="s">
        <v>13029</v>
      </c>
      <c r="D7009" s="15">
        <v>26.04</v>
      </c>
      <c r="E7009" s="14" t="s">
        <v>30</v>
      </c>
    </row>
    <row r="7010" spans="1:5" x14ac:dyDescent="0.25">
      <c r="A7010" s="14">
        <v>975929</v>
      </c>
      <c r="B7010" s="14" t="s">
        <v>7122</v>
      </c>
      <c r="C7010" s="14" t="s">
        <v>13029</v>
      </c>
      <c r="D7010" s="15">
        <v>19.559999999999999</v>
      </c>
      <c r="E7010" s="16" t="s">
        <v>30</v>
      </c>
    </row>
    <row r="7011" spans="1:5" x14ac:dyDescent="0.25">
      <c r="A7011" s="14">
        <v>975930</v>
      </c>
      <c r="B7011" s="14" t="s">
        <v>7123</v>
      </c>
      <c r="C7011" s="14" t="s">
        <v>13029</v>
      </c>
      <c r="D7011" s="15">
        <v>24.37</v>
      </c>
      <c r="E7011" s="16" t="s">
        <v>30</v>
      </c>
    </row>
    <row r="7012" spans="1:5" x14ac:dyDescent="0.25">
      <c r="A7012" s="14">
        <v>975931</v>
      </c>
      <c r="B7012" s="14" t="s">
        <v>7124</v>
      </c>
      <c r="C7012" s="14" t="s">
        <v>13031</v>
      </c>
      <c r="D7012" s="15">
        <v>6.94</v>
      </c>
      <c r="E7012" s="16" t="s">
        <v>30</v>
      </c>
    </row>
    <row r="7013" spans="1:5" x14ac:dyDescent="0.25">
      <c r="A7013" s="14">
        <v>975934</v>
      </c>
      <c r="B7013" s="14" t="s">
        <v>7125</v>
      </c>
      <c r="C7013" s="14" t="s">
        <v>13029</v>
      </c>
      <c r="D7013" s="15">
        <v>37.31</v>
      </c>
      <c r="E7013" s="16" t="s">
        <v>30</v>
      </c>
    </row>
    <row r="7014" spans="1:5" x14ac:dyDescent="0.25">
      <c r="A7014" s="14">
        <v>976031</v>
      </c>
      <c r="B7014" s="14" t="s">
        <v>7126</v>
      </c>
      <c r="C7014" s="14" t="s">
        <v>13031</v>
      </c>
      <c r="D7014" s="15">
        <v>7.3</v>
      </c>
      <c r="E7014" s="16" t="s">
        <v>30</v>
      </c>
    </row>
    <row r="7015" spans="1:5" x14ac:dyDescent="0.25">
      <c r="A7015" s="14">
        <v>976032</v>
      </c>
      <c r="B7015" s="14" t="s">
        <v>7127</v>
      </c>
      <c r="C7015" s="14" t="s">
        <v>13031</v>
      </c>
      <c r="D7015" s="15">
        <v>14.05</v>
      </c>
      <c r="E7015" s="16" t="s">
        <v>30</v>
      </c>
    </row>
    <row r="7016" spans="1:5" x14ac:dyDescent="0.25">
      <c r="A7016" s="14">
        <v>976033</v>
      </c>
      <c r="B7016" s="14" t="s">
        <v>7128</v>
      </c>
      <c r="C7016" s="14" t="s">
        <v>13031</v>
      </c>
      <c r="D7016" s="15">
        <v>10.54</v>
      </c>
      <c r="E7016" s="16" t="s">
        <v>30</v>
      </c>
    </row>
    <row r="7017" spans="1:5" x14ac:dyDescent="0.25">
      <c r="A7017" s="14">
        <v>976034</v>
      </c>
      <c r="B7017" s="14" t="s">
        <v>7129</v>
      </c>
      <c r="C7017" s="14" t="s">
        <v>13031</v>
      </c>
      <c r="D7017" s="15">
        <v>10.54</v>
      </c>
      <c r="E7017" s="16" t="s">
        <v>30</v>
      </c>
    </row>
    <row r="7018" spans="1:5" x14ac:dyDescent="0.25">
      <c r="A7018" s="14">
        <v>976038</v>
      </c>
      <c r="B7018" s="14" t="s">
        <v>7130</v>
      </c>
      <c r="C7018" s="14" t="s">
        <v>13031</v>
      </c>
      <c r="D7018" s="15">
        <v>36.71</v>
      </c>
      <c r="E7018" s="16" t="s">
        <v>30</v>
      </c>
    </row>
    <row r="7019" spans="1:5" x14ac:dyDescent="0.25">
      <c r="A7019" s="14">
        <v>976042</v>
      </c>
      <c r="B7019" s="14" t="s">
        <v>7131</v>
      </c>
      <c r="C7019" s="14" t="s">
        <v>13029</v>
      </c>
      <c r="D7019" s="15">
        <v>27.83</v>
      </c>
      <c r="E7019" s="14" t="s">
        <v>30</v>
      </c>
    </row>
    <row r="7020" spans="1:5" x14ac:dyDescent="0.25">
      <c r="A7020" s="14">
        <v>976043</v>
      </c>
      <c r="B7020" s="14" t="s">
        <v>7132</v>
      </c>
      <c r="C7020" s="14" t="s">
        <v>13029</v>
      </c>
      <c r="D7020" s="15">
        <v>27.83</v>
      </c>
      <c r="E7020" s="14" t="s">
        <v>30</v>
      </c>
    </row>
    <row r="7021" spans="1:5" x14ac:dyDescent="0.25">
      <c r="A7021" s="14">
        <v>976044</v>
      </c>
      <c r="B7021" s="14" t="s">
        <v>7133</v>
      </c>
      <c r="C7021" s="14" t="s">
        <v>13029</v>
      </c>
      <c r="D7021" s="15">
        <v>58.08</v>
      </c>
      <c r="E7021" s="14" t="s">
        <v>30</v>
      </c>
    </row>
    <row r="7022" spans="1:5" x14ac:dyDescent="0.25">
      <c r="A7022" s="14">
        <v>976045</v>
      </c>
      <c r="B7022" s="14" t="s">
        <v>7134</v>
      </c>
      <c r="C7022" s="14" t="s">
        <v>13029</v>
      </c>
      <c r="D7022" s="15">
        <v>50.96</v>
      </c>
      <c r="E7022" s="14" t="s">
        <v>30</v>
      </c>
    </row>
    <row r="7023" spans="1:5" x14ac:dyDescent="0.25">
      <c r="A7023" s="14">
        <v>976046</v>
      </c>
      <c r="B7023" s="14" t="s">
        <v>7135</v>
      </c>
      <c r="C7023" s="14" t="s">
        <v>13029</v>
      </c>
      <c r="D7023" s="15">
        <v>21.89</v>
      </c>
      <c r="E7023" s="14" t="s">
        <v>30</v>
      </c>
    </row>
    <row r="7024" spans="1:5" x14ac:dyDescent="0.25">
      <c r="A7024" s="14">
        <v>976047</v>
      </c>
      <c r="B7024" s="14" t="s">
        <v>7136</v>
      </c>
      <c r="C7024" s="14" t="s">
        <v>13031</v>
      </c>
      <c r="D7024" s="15">
        <v>7.25</v>
      </c>
      <c r="E7024" s="16" t="s">
        <v>30</v>
      </c>
    </row>
    <row r="7025" spans="1:5" x14ac:dyDescent="0.25">
      <c r="A7025" s="14">
        <v>976048</v>
      </c>
      <c r="B7025" s="14" t="s">
        <v>7137</v>
      </c>
      <c r="C7025" s="14" t="s">
        <v>13029</v>
      </c>
      <c r="D7025" s="15">
        <v>35.53</v>
      </c>
      <c r="E7025" s="16" t="s">
        <v>30</v>
      </c>
    </row>
    <row r="7026" spans="1:5" x14ac:dyDescent="0.25">
      <c r="A7026" s="14">
        <v>976050</v>
      </c>
      <c r="B7026" s="14" t="s">
        <v>7138</v>
      </c>
      <c r="C7026" s="14" t="s">
        <v>13029</v>
      </c>
      <c r="D7026" s="15">
        <v>40.24</v>
      </c>
      <c r="E7026" s="14" t="s">
        <v>30</v>
      </c>
    </row>
    <row r="7027" spans="1:5" x14ac:dyDescent="0.25">
      <c r="A7027" s="14">
        <v>976051</v>
      </c>
      <c r="B7027" s="14" t="s">
        <v>7139</v>
      </c>
      <c r="C7027" s="14" t="s">
        <v>13029</v>
      </c>
      <c r="D7027" s="15">
        <v>40.24</v>
      </c>
      <c r="E7027" s="16" t="s">
        <v>30</v>
      </c>
    </row>
    <row r="7028" spans="1:5" x14ac:dyDescent="0.25">
      <c r="A7028" s="14">
        <v>976052</v>
      </c>
      <c r="B7028" s="14" t="s">
        <v>7140</v>
      </c>
      <c r="C7028" s="14" t="s">
        <v>13029</v>
      </c>
      <c r="D7028" s="15">
        <v>40.24</v>
      </c>
      <c r="E7028" s="16" t="s">
        <v>30</v>
      </c>
    </row>
    <row r="7029" spans="1:5" x14ac:dyDescent="0.25">
      <c r="A7029" s="14">
        <v>976053</v>
      </c>
      <c r="B7029" s="14" t="s">
        <v>7141</v>
      </c>
      <c r="C7029" s="14" t="s">
        <v>13029</v>
      </c>
      <c r="D7029" s="15">
        <v>40.24</v>
      </c>
      <c r="E7029" s="14" t="s">
        <v>30</v>
      </c>
    </row>
    <row r="7030" spans="1:5" x14ac:dyDescent="0.25">
      <c r="A7030" s="14">
        <v>976055</v>
      </c>
      <c r="B7030" s="14" t="s">
        <v>7142</v>
      </c>
      <c r="C7030" s="14" t="s">
        <v>13029</v>
      </c>
      <c r="D7030" s="15">
        <v>40.24</v>
      </c>
      <c r="E7030" s="14" t="s">
        <v>30</v>
      </c>
    </row>
    <row r="7031" spans="1:5" x14ac:dyDescent="0.25">
      <c r="A7031" s="14">
        <v>976056</v>
      </c>
      <c r="B7031" s="14" t="s">
        <v>7143</v>
      </c>
      <c r="C7031" s="14" t="s">
        <v>13029</v>
      </c>
      <c r="D7031" s="15">
        <v>40.24</v>
      </c>
      <c r="E7031" s="16" t="s">
        <v>30</v>
      </c>
    </row>
    <row r="7032" spans="1:5" x14ac:dyDescent="0.25">
      <c r="A7032" s="14">
        <v>976057</v>
      </c>
      <c r="B7032" s="14" t="s">
        <v>7144</v>
      </c>
      <c r="C7032" s="14" t="s">
        <v>13029</v>
      </c>
      <c r="D7032" s="15">
        <v>40.24</v>
      </c>
      <c r="E7032" s="14" t="s">
        <v>30</v>
      </c>
    </row>
    <row r="7033" spans="1:5" x14ac:dyDescent="0.25">
      <c r="A7033" s="14">
        <v>976058</v>
      </c>
      <c r="B7033" s="14" t="s">
        <v>7145</v>
      </c>
      <c r="C7033" s="14" t="s">
        <v>13029</v>
      </c>
      <c r="D7033" s="15">
        <v>40.24</v>
      </c>
      <c r="E7033" s="14" t="s">
        <v>30</v>
      </c>
    </row>
    <row r="7034" spans="1:5" x14ac:dyDescent="0.25">
      <c r="A7034" s="14">
        <v>976059</v>
      </c>
      <c r="B7034" s="14" t="s">
        <v>7146</v>
      </c>
      <c r="C7034" s="14" t="s">
        <v>13029</v>
      </c>
      <c r="D7034" s="15">
        <v>40.24</v>
      </c>
      <c r="E7034" s="14" t="s">
        <v>30</v>
      </c>
    </row>
    <row r="7035" spans="1:5" x14ac:dyDescent="0.25">
      <c r="A7035" s="14">
        <v>976061</v>
      </c>
      <c r="B7035" s="14" t="s">
        <v>7147</v>
      </c>
      <c r="C7035" s="14" t="s">
        <v>13031</v>
      </c>
      <c r="D7035" s="15">
        <v>2.62</v>
      </c>
      <c r="E7035" s="16" t="s">
        <v>30</v>
      </c>
    </row>
    <row r="7036" spans="1:5" x14ac:dyDescent="0.25">
      <c r="A7036" s="14">
        <v>976089</v>
      </c>
      <c r="B7036" s="14" t="s">
        <v>7148</v>
      </c>
      <c r="C7036" s="14" t="s">
        <v>13031</v>
      </c>
      <c r="D7036" s="15">
        <v>7.43</v>
      </c>
      <c r="E7036" s="16" t="s">
        <v>30</v>
      </c>
    </row>
    <row r="7037" spans="1:5" x14ac:dyDescent="0.25">
      <c r="A7037" s="14">
        <v>976145</v>
      </c>
      <c r="B7037" s="14" t="s">
        <v>7149</v>
      </c>
      <c r="C7037" s="14" t="s">
        <v>13030</v>
      </c>
      <c r="D7037" s="15">
        <v>33.9</v>
      </c>
      <c r="E7037" s="16" t="s">
        <v>30</v>
      </c>
    </row>
    <row r="7038" spans="1:5" x14ac:dyDescent="0.25">
      <c r="A7038" s="14">
        <v>976146</v>
      </c>
      <c r="B7038" s="14" t="s">
        <v>7150</v>
      </c>
      <c r="C7038" s="14" t="s">
        <v>13030</v>
      </c>
      <c r="D7038" s="15">
        <v>27.2</v>
      </c>
      <c r="E7038" s="16" t="s">
        <v>30</v>
      </c>
    </row>
    <row r="7039" spans="1:5" x14ac:dyDescent="0.25">
      <c r="A7039" s="14">
        <v>976147</v>
      </c>
      <c r="B7039" s="14" t="s">
        <v>7151</v>
      </c>
      <c r="C7039" s="14" t="s">
        <v>13030</v>
      </c>
      <c r="D7039" s="15">
        <v>9.93</v>
      </c>
      <c r="E7039" s="16" t="s">
        <v>30</v>
      </c>
    </row>
    <row r="7040" spans="1:5" x14ac:dyDescent="0.25">
      <c r="A7040" s="14">
        <v>976148</v>
      </c>
      <c r="B7040" s="14" t="s">
        <v>7152</v>
      </c>
      <c r="C7040" s="14" t="s">
        <v>13030</v>
      </c>
      <c r="D7040" s="15">
        <v>36.61</v>
      </c>
      <c r="E7040" s="16" t="s">
        <v>30</v>
      </c>
    </row>
    <row r="7041" spans="1:5" x14ac:dyDescent="0.25">
      <c r="A7041" s="14">
        <v>976149</v>
      </c>
      <c r="B7041" s="14" t="s">
        <v>7153</v>
      </c>
      <c r="C7041" s="14" t="s">
        <v>13030</v>
      </c>
      <c r="D7041" s="15">
        <v>36.61</v>
      </c>
      <c r="E7041" s="16" t="s">
        <v>30</v>
      </c>
    </row>
    <row r="7042" spans="1:5" x14ac:dyDescent="0.25">
      <c r="A7042" s="14">
        <v>976156</v>
      </c>
      <c r="B7042" s="14" t="s">
        <v>7154</v>
      </c>
      <c r="C7042" s="14" t="s">
        <v>13030</v>
      </c>
      <c r="D7042" s="15">
        <v>28.06</v>
      </c>
      <c r="E7042" s="16" t="s">
        <v>30</v>
      </c>
    </row>
    <row r="7043" spans="1:5" x14ac:dyDescent="0.25">
      <c r="A7043" s="14">
        <v>976158</v>
      </c>
      <c r="B7043" s="14" t="s">
        <v>7155</v>
      </c>
      <c r="C7043" s="14" t="s">
        <v>13030</v>
      </c>
      <c r="D7043" s="15">
        <v>276.38</v>
      </c>
      <c r="E7043" s="16" t="s">
        <v>30</v>
      </c>
    </row>
    <row r="7044" spans="1:5" x14ac:dyDescent="0.25">
      <c r="A7044" s="14">
        <v>976159</v>
      </c>
      <c r="B7044" s="14" t="s">
        <v>7156</v>
      </c>
      <c r="C7044" s="14" t="s">
        <v>13029</v>
      </c>
      <c r="D7044" s="15">
        <v>8.2100000000000009</v>
      </c>
      <c r="E7044" s="16" t="s">
        <v>30</v>
      </c>
    </row>
    <row r="7045" spans="1:5" x14ac:dyDescent="0.25">
      <c r="A7045" s="14">
        <v>976160</v>
      </c>
      <c r="B7045" s="14" t="s">
        <v>7157</v>
      </c>
      <c r="C7045" s="14" t="s">
        <v>13029</v>
      </c>
      <c r="D7045" s="15">
        <v>5.25</v>
      </c>
      <c r="E7045" s="16" t="s">
        <v>30</v>
      </c>
    </row>
    <row r="7046" spans="1:5" x14ac:dyDescent="0.25">
      <c r="A7046" s="14">
        <v>976168</v>
      </c>
      <c r="B7046" s="14" t="s">
        <v>7158</v>
      </c>
      <c r="C7046" s="14" t="s">
        <v>13031</v>
      </c>
      <c r="D7046" s="15">
        <v>24.92</v>
      </c>
      <c r="E7046" s="16" t="s">
        <v>30</v>
      </c>
    </row>
    <row r="7047" spans="1:5" x14ac:dyDescent="0.25">
      <c r="A7047" s="14">
        <v>976169</v>
      </c>
      <c r="B7047" s="14" t="s">
        <v>7159</v>
      </c>
      <c r="C7047" s="14" t="s">
        <v>13031</v>
      </c>
      <c r="D7047" s="15">
        <v>24.92</v>
      </c>
      <c r="E7047" s="16" t="s">
        <v>30</v>
      </c>
    </row>
    <row r="7048" spans="1:5" x14ac:dyDescent="0.25">
      <c r="A7048" s="14">
        <v>976170</v>
      </c>
      <c r="B7048" s="14" t="s">
        <v>7160</v>
      </c>
      <c r="C7048" s="14" t="s">
        <v>13031</v>
      </c>
      <c r="D7048" s="15">
        <v>20.34</v>
      </c>
      <c r="E7048" s="16" t="s">
        <v>30</v>
      </c>
    </row>
    <row r="7049" spans="1:5" x14ac:dyDescent="0.25">
      <c r="A7049" s="14">
        <v>976175</v>
      </c>
      <c r="B7049" s="14" t="s">
        <v>7161</v>
      </c>
      <c r="C7049" s="14" t="s">
        <v>13029</v>
      </c>
      <c r="D7049" s="15">
        <v>17.329999999999998</v>
      </c>
      <c r="E7049" s="16" t="s">
        <v>30</v>
      </c>
    </row>
    <row r="7050" spans="1:5" x14ac:dyDescent="0.25">
      <c r="A7050" s="14">
        <v>976176</v>
      </c>
      <c r="B7050" s="14" t="s">
        <v>7162</v>
      </c>
      <c r="C7050" s="14" t="s">
        <v>13029</v>
      </c>
      <c r="D7050" s="15">
        <v>20.99</v>
      </c>
      <c r="E7050" s="16" t="s">
        <v>30</v>
      </c>
    </row>
    <row r="7051" spans="1:5" x14ac:dyDescent="0.25">
      <c r="A7051" s="14">
        <v>976177</v>
      </c>
      <c r="B7051" s="14" t="s">
        <v>7163</v>
      </c>
      <c r="C7051" s="14" t="s">
        <v>13029</v>
      </c>
      <c r="D7051" s="15">
        <v>31.23</v>
      </c>
      <c r="E7051" s="16" t="s">
        <v>30</v>
      </c>
    </row>
    <row r="7052" spans="1:5" x14ac:dyDescent="0.25">
      <c r="A7052" s="14">
        <v>976178</v>
      </c>
      <c r="B7052" s="14" t="s">
        <v>7164</v>
      </c>
      <c r="C7052" s="14" t="s">
        <v>13029</v>
      </c>
      <c r="D7052" s="15">
        <v>24.55</v>
      </c>
      <c r="E7052" s="16" t="s">
        <v>30</v>
      </c>
    </row>
    <row r="7053" spans="1:5" x14ac:dyDescent="0.25">
      <c r="A7053" s="14">
        <v>976240</v>
      </c>
      <c r="B7053" s="14" t="s">
        <v>7165</v>
      </c>
      <c r="C7053" s="14" t="s">
        <v>13029</v>
      </c>
      <c r="D7053" s="15">
        <v>50.36</v>
      </c>
      <c r="E7053" s="16" t="s">
        <v>30</v>
      </c>
    </row>
    <row r="7054" spans="1:5" x14ac:dyDescent="0.25">
      <c r="A7054" s="14">
        <v>976241</v>
      </c>
      <c r="B7054" s="14" t="s">
        <v>7166</v>
      </c>
      <c r="C7054" s="14" t="s">
        <v>13029</v>
      </c>
      <c r="D7054" s="15">
        <v>50.36</v>
      </c>
      <c r="E7054" s="16" t="s">
        <v>30</v>
      </c>
    </row>
    <row r="7055" spans="1:5" x14ac:dyDescent="0.25">
      <c r="A7055" s="14">
        <v>976242</v>
      </c>
      <c r="B7055" s="14" t="s">
        <v>7167</v>
      </c>
      <c r="C7055" s="14" t="s">
        <v>13029</v>
      </c>
      <c r="D7055" s="15">
        <v>50.36</v>
      </c>
      <c r="E7055" s="16" t="s">
        <v>30</v>
      </c>
    </row>
    <row r="7056" spans="1:5" x14ac:dyDescent="0.25">
      <c r="A7056" s="14">
        <v>976243</v>
      </c>
      <c r="B7056" s="14" t="s">
        <v>7168</v>
      </c>
      <c r="C7056" s="14" t="s">
        <v>13029</v>
      </c>
      <c r="D7056" s="15">
        <v>50.36</v>
      </c>
      <c r="E7056" s="16" t="s">
        <v>30</v>
      </c>
    </row>
    <row r="7057" spans="1:5" x14ac:dyDescent="0.25">
      <c r="A7057" s="14">
        <v>976244</v>
      </c>
      <c r="B7057" s="14" t="s">
        <v>7169</v>
      </c>
      <c r="C7057" s="14" t="s">
        <v>13029</v>
      </c>
      <c r="D7057" s="15">
        <v>59.26</v>
      </c>
      <c r="E7057" s="16" t="s">
        <v>30</v>
      </c>
    </row>
    <row r="7058" spans="1:5" x14ac:dyDescent="0.25">
      <c r="A7058" s="14">
        <v>976245</v>
      </c>
      <c r="B7058" s="14" t="s">
        <v>7170</v>
      </c>
      <c r="C7058" s="14" t="s">
        <v>13029</v>
      </c>
      <c r="D7058" s="15">
        <v>65.19</v>
      </c>
      <c r="E7058" s="16" t="s">
        <v>30</v>
      </c>
    </row>
    <row r="7059" spans="1:5" x14ac:dyDescent="0.25">
      <c r="A7059" s="14">
        <v>976325</v>
      </c>
      <c r="B7059" s="14" t="s">
        <v>7171</v>
      </c>
      <c r="C7059" s="14" t="s">
        <v>13031</v>
      </c>
      <c r="D7059" s="15">
        <v>84.84</v>
      </c>
      <c r="E7059" s="16" t="s">
        <v>30</v>
      </c>
    </row>
    <row r="7060" spans="1:5" x14ac:dyDescent="0.25">
      <c r="A7060" s="14">
        <v>976326</v>
      </c>
      <c r="B7060" s="14" t="s">
        <v>7172</v>
      </c>
      <c r="C7060" s="14" t="s">
        <v>13031</v>
      </c>
      <c r="D7060" s="15">
        <v>102.58</v>
      </c>
      <c r="E7060" s="16" t="s">
        <v>30</v>
      </c>
    </row>
    <row r="7061" spans="1:5" x14ac:dyDescent="0.25">
      <c r="A7061" s="14">
        <v>976327</v>
      </c>
      <c r="B7061" s="14" t="s">
        <v>7173</v>
      </c>
      <c r="C7061" s="14" t="s">
        <v>13031</v>
      </c>
      <c r="D7061" s="15">
        <v>84.84</v>
      </c>
      <c r="E7061" s="16" t="s">
        <v>30</v>
      </c>
    </row>
    <row r="7062" spans="1:5" x14ac:dyDescent="0.25">
      <c r="A7062" s="14">
        <v>976328</v>
      </c>
      <c r="B7062" s="14" t="s">
        <v>7174</v>
      </c>
      <c r="C7062" s="14" t="s">
        <v>13031</v>
      </c>
      <c r="D7062" s="15">
        <v>102.58</v>
      </c>
      <c r="E7062" s="16" t="s">
        <v>30</v>
      </c>
    </row>
    <row r="7063" spans="1:5" x14ac:dyDescent="0.25">
      <c r="A7063" s="14">
        <v>976364</v>
      </c>
      <c r="B7063" s="14" t="s">
        <v>7175</v>
      </c>
      <c r="C7063" s="14" t="s">
        <v>13030</v>
      </c>
      <c r="D7063" s="15">
        <v>4.6900000000000004</v>
      </c>
      <c r="E7063" s="16" t="s">
        <v>30</v>
      </c>
    </row>
    <row r="7064" spans="1:5" x14ac:dyDescent="0.25">
      <c r="A7064" s="14">
        <v>976367</v>
      </c>
      <c r="B7064" s="14" t="s">
        <v>7176</v>
      </c>
      <c r="C7064" s="14" t="s">
        <v>13030</v>
      </c>
      <c r="D7064" s="15">
        <v>134.16999999999999</v>
      </c>
      <c r="E7064" s="16" t="s">
        <v>30</v>
      </c>
    </row>
    <row r="7065" spans="1:5" x14ac:dyDescent="0.25">
      <c r="A7065" s="14">
        <v>976368</v>
      </c>
      <c r="B7065" s="14" t="s">
        <v>7177</v>
      </c>
      <c r="C7065" s="14" t="s">
        <v>13030</v>
      </c>
      <c r="D7065" s="15">
        <v>83.32</v>
      </c>
      <c r="E7065" s="16" t="s">
        <v>30</v>
      </c>
    </row>
    <row r="7066" spans="1:5" x14ac:dyDescent="0.25">
      <c r="A7066" s="14">
        <v>976369</v>
      </c>
      <c r="B7066" s="14" t="s">
        <v>7178</v>
      </c>
      <c r="C7066" s="14" t="s">
        <v>13030</v>
      </c>
      <c r="D7066" s="15">
        <v>50.76</v>
      </c>
      <c r="E7066" s="16" t="s">
        <v>30</v>
      </c>
    </row>
    <row r="7067" spans="1:5" x14ac:dyDescent="0.25">
      <c r="A7067" s="14">
        <v>976370</v>
      </c>
      <c r="B7067" s="14" t="s">
        <v>7179</v>
      </c>
      <c r="C7067" s="14" t="s">
        <v>13030</v>
      </c>
      <c r="D7067" s="15">
        <v>104.38</v>
      </c>
      <c r="E7067" s="16" t="s">
        <v>30</v>
      </c>
    </row>
    <row r="7068" spans="1:5" x14ac:dyDescent="0.25">
      <c r="A7068" s="14">
        <v>976371</v>
      </c>
      <c r="B7068" s="14" t="s">
        <v>7180</v>
      </c>
      <c r="C7068" s="14" t="s">
        <v>13030</v>
      </c>
      <c r="D7068" s="15">
        <v>46.75</v>
      </c>
      <c r="E7068" s="16" t="s">
        <v>30</v>
      </c>
    </row>
    <row r="7069" spans="1:5" x14ac:dyDescent="0.25">
      <c r="A7069" s="14">
        <v>976372</v>
      </c>
      <c r="B7069" s="14" t="s">
        <v>7181</v>
      </c>
      <c r="C7069" s="14" t="s">
        <v>13030</v>
      </c>
      <c r="D7069" s="15">
        <v>55.39</v>
      </c>
      <c r="E7069" s="16" t="s">
        <v>30</v>
      </c>
    </row>
    <row r="7070" spans="1:5" x14ac:dyDescent="0.25">
      <c r="A7070" s="14">
        <v>976373</v>
      </c>
      <c r="B7070" s="14" t="s">
        <v>7182</v>
      </c>
      <c r="C7070" s="14" t="s">
        <v>13029</v>
      </c>
      <c r="D7070" s="15">
        <v>11.2</v>
      </c>
      <c r="E7070" s="16" t="s">
        <v>30</v>
      </c>
    </row>
    <row r="7071" spans="1:5" x14ac:dyDescent="0.25">
      <c r="A7071" s="14">
        <v>976374</v>
      </c>
      <c r="B7071" s="14" t="s">
        <v>7183</v>
      </c>
      <c r="C7071" s="14" t="s">
        <v>13029</v>
      </c>
      <c r="D7071" s="15">
        <v>11.2</v>
      </c>
      <c r="E7071" s="16" t="s">
        <v>30</v>
      </c>
    </row>
    <row r="7072" spans="1:5" x14ac:dyDescent="0.25">
      <c r="A7072" s="14">
        <v>976378</v>
      </c>
      <c r="B7072" s="14" t="s">
        <v>7184</v>
      </c>
      <c r="C7072" s="14" t="s">
        <v>13029</v>
      </c>
      <c r="D7072" s="15">
        <v>53.33</v>
      </c>
      <c r="E7072" s="16" t="s">
        <v>30</v>
      </c>
    </row>
    <row r="7073" spans="1:5" x14ac:dyDescent="0.25">
      <c r="A7073" s="14">
        <v>976395</v>
      </c>
      <c r="B7073" s="14" t="s">
        <v>7185</v>
      </c>
      <c r="C7073" s="14" t="s">
        <v>13031</v>
      </c>
      <c r="D7073" s="15">
        <v>2.95</v>
      </c>
      <c r="E7073" s="16" t="s">
        <v>30</v>
      </c>
    </row>
    <row r="7074" spans="1:5" x14ac:dyDescent="0.25">
      <c r="A7074" s="14">
        <v>976404</v>
      </c>
      <c r="B7074" s="14" t="s">
        <v>7186</v>
      </c>
      <c r="C7074" s="14" t="s">
        <v>13031</v>
      </c>
      <c r="D7074" s="15">
        <v>2.1800000000000002</v>
      </c>
      <c r="E7074" s="16" t="s">
        <v>30</v>
      </c>
    </row>
    <row r="7075" spans="1:5" x14ac:dyDescent="0.25">
      <c r="A7075" s="14">
        <v>976405</v>
      </c>
      <c r="B7075" s="14" t="s">
        <v>7187</v>
      </c>
      <c r="C7075" s="14" t="s">
        <v>13031</v>
      </c>
      <c r="D7075" s="15">
        <v>38.979999999999997</v>
      </c>
      <c r="E7075" s="16" t="s">
        <v>30</v>
      </c>
    </row>
    <row r="7076" spans="1:5" x14ac:dyDescent="0.25">
      <c r="A7076" s="14">
        <v>976406</v>
      </c>
      <c r="B7076" s="14" t="s">
        <v>7188</v>
      </c>
      <c r="C7076" s="14" t="s">
        <v>13031</v>
      </c>
      <c r="D7076" s="15">
        <v>25.08</v>
      </c>
      <c r="E7076" s="16" t="s">
        <v>30</v>
      </c>
    </row>
    <row r="7077" spans="1:5" x14ac:dyDescent="0.25">
      <c r="A7077" s="14">
        <v>976407</v>
      </c>
      <c r="B7077" s="14" t="s">
        <v>7189</v>
      </c>
      <c r="C7077" s="14" t="s">
        <v>13031</v>
      </c>
      <c r="D7077" s="15">
        <v>22.45</v>
      </c>
      <c r="E7077" s="16" t="s">
        <v>30</v>
      </c>
    </row>
    <row r="7078" spans="1:5" x14ac:dyDescent="0.25">
      <c r="A7078" s="14">
        <v>976408</v>
      </c>
      <c r="B7078" s="14" t="s">
        <v>7190</v>
      </c>
      <c r="C7078" s="14" t="s">
        <v>13031</v>
      </c>
      <c r="D7078" s="15">
        <v>43.25</v>
      </c>
      <c r="E7078" s="16" t="s">
        <v>30</v>
      </c>
    </row>
    <row r="7079" spans="1:5" x14ac:dyDescent="0.25">
      <c r="A7079" s="14">
        <v>976409</v>
      </c>
      <c r="B7079" s="14" t="s">
        <v>7191</v>
      </c>
      <c r="C7079" s="14" t="s">
        <v>13031</v>
      </c>
      <c r="D7079" s="15">
        <v>50.23</v>
      </c>
      <c r="E7079" s="16" t="s">
        <v>30</v>
      </c>
    </row>
    <row r="7080" spans="1:5" x14ac:dyDescent="0.25">
      <c r="A7080" s="14">
        <v>976410</v>
      </c>
      <c r="B7080" s="14" t="s">
        <v>7192</v>
      </c>
      <c r="C7080" s="14" t="s">
        <v>13031</v>
      </c>
      <c r="D7080" s="15">
        <v>24.94</v>
      </c>
      <c r="E7080" s="16" t="s">
        <v>30</v>
      </c>
    </row>
    <row r="7081" spans="1:5" x14ac:dyDescent="0.25">
      <c r="A7081" s="14">
        <v>976411</v>
      </c>
      <c r="B7081" s="14" t="s">
        <v>7193</v>
      </c>
      <c r="C7081" s="14" t="s">
        <v>13031</v>
      </c>
      <c r="D7081" s="15">
        <v>19.93</v>
      </c>
      <c r="E7081" s="16" t="s">
        <v>30</v>
      </c>
    </row>
    <row r="7082" spans="1:5" x14ac:dyDescent="0.25">
      <c r="A7082" s="14">
        <v>976412</v>
      </c>
      <c r="B7082" s="14" t="s">
        <v>7194</v>
      </c>
      <c r="C7082" s="14" t="s">
        <v>13029</v>
      </c>
      <c r="D7082" s="15">
        <v>5.87</v>
      </c>
      <c r="E7082" s="16" t="s">
        <v>30</v>
      </c>
    </row>
    <row r="7083" spans="1:5" x14ac:dyDescent="0.25">
      <c r="A7083" s="14">
        <v>976413</v>
      </c>
      <c r="B7083" s="14" t="s">
        <v>7195</v>
      </c>
      <c r="C7083" s="14" t="s">
        <v>13029</v>
      </c>
      <c r="D7083" s="15">
        <v>5.87</v>
      </c>
      <c r="E7083" s="16" t="s">
        <v>30</v>
      </c>
    </row>
    <row r="7084" spans="1:5" x14ac:dyDescent="0.25">
      <c r="A7084" s="14">
        <v>976414</v>
      </c>
      <c r="B7084" s="14" t="s">
        <v>7196</v>
      </c>
      <c r="C7084" s="14" t="s">
        <v>13029</v>
      </c>
      <c r="D7084" s="15">
        <v>5.87</v>
      </c>
      <c r="E7084" s="16" t="s">
        <v>30</v>
      </c>
    </row>
    <row r="7085" spans="1:5" x14ac:dyDescent="0.25">
      <c r="A7085" s="14">
        <v>976427</v>
      </c>
      <c r="B7085" s="14" t="s">
        <v>7197</v>
      </c>
      <c r="C7085" s="14" t="s">
        <v>13030</v>
      </c>
      <c r="D7085" s="15">
        <v>107.98</v>
      </c>
      <c r="E7085" s="16" t="s">
        <v>30</v>
      </c>
    </row>
    <row r="7086" spans="1:5" x14ac:dyDescent="0.25">
      <c r="A7086" s="14">
        <v>976428</v>
      </c>
      <c r="B7086" s="14" t="s">
        <v>7198</v>
      </c>
      <c r="C7086" s="14" t="s">
        <v>13029</v>
      </c>
      <c r="D7086" s="15">
        <v>38.47</v>
      </c>
      <c r="E7086" s="16" t="s">
        <v>30</v>
      </c>
    </row>
    <row r="7087" spans="1:5" x14ac:dyDescent="0.25">
      <c r="A7087" s="14">
        <v>976429</v>
      </c>
      <c r="B7087" s="14" t="s">
        <v>7199</v>
      </c>
      <c r="C7087" s="14" t="s">
        <v>13029</v>
      </c>
      <c r="D7087" s="15">
        <v>38.47</v>
      </c>
      <c r="E7087" s="16" t="s">
        <v>30</v>
      </c>
    </row>
    <row r="7088" spans="1:5" x14ac:dyDescent="0.25">
      <c r="A7088" s="14">
        <v>976430</v>
      </c>
      <c r="B7088" s="14" t="s">
        <v>7200</v>
      </c>
      <c r="C7088" s="14" t="s">
        <v>13029</v>
      </c>
      <c r="D7088" s="15">
        <v>38.47</v>
      </c>
      <c r="E7088" s="16" t="s">
        <v>30</v>
      </c>
    </row>
    <row r="7089" spans="1:5" x14ac:dyDescent="0.25">
      <c r="A7089" s="14">
        <v>976431</v>
      </c>
      <c r="B7089" s="14" t="s">
        <v>7201</v>
      </c>
      <c r="C7089" s="14" t="s">
        <v>13029</v>
      </c>
      <c r="D7089" s="15">
        <v>38.47</v>
      </c>
      <c r="E7089" s="16" t="s">
        <v>30</v>
      </c>
    </row>
    <row r="7090" spans="1:5" x14ac:dyDescent="0.25">
      <c r="A7090" s="14">
        <v>976432</v>
      </c>
      <c r="B7090" s="14" t="s">
        <v>7202</v>
      </c>
      <c r="C7090" s="14" t="s">
        <v>13029</v>
      </c>
      <c r="D7090" s="15">
        <v>38.47</v>
      </c>
      <c r="E7090" s="16" t="s">
        <v>30</v>
      </c>
    </row>
    <row r="7091" spans="1:5" x14ac:dyDescent="0.25">
      <c r="A7091" s="14">
        <v>976434</v>
      </c>
      <c r="B7091" s="14" t="s">
        <v>7203</v>
      </c>
      <c r="C7091" s="14" t="s">
        <v>13029</v>
      </c>
      <c r="D7091" s="15">
        <v>35.54</v>
      </c>
      <c r="E7091" s="16" t="s">
        <v>30</v>
      </c>
    </row>
    <row r="7092" spans="1:5" x14ac:dyDescent="0.25">
      <c r="A7092" s="14">
        <v>976605</v>
      </c>
      <c r="B7092" s="14" t="s">
        <v>7204</v>
      </c>
      <c r="C7092" s="14" t="s">
        <v>13031</v>
      </c>
      <c r="D7092" s="15">
        <v>15.97</v>
      </c>
      <c r="E7092" s="16" t="s">
        <v>30</v>
      </c>
    </row>
    <row r="7093" spans="1:5" x14ac:dyDescent="0.25">
      <c r="A7093" s="14">
        <v>976606</v>
      </c>
      <c r="B7093" s="14" t="s">
        <v>7205</v>
      </c>
      <c r="C7093" s="14" t="s">
        <v>13031</v>
      </c>
      <c r="D7093" s="15">
        <v>15.5</v>
      </c>
      <c r="E7093" s="16" t="s">
        <v>30</v>
      </c>
    </row>
    <row r="7094" spans="1:5" x14ac:dyDescent="0.25">
      <c r="A7094" s="14">
        <v>976619</v>
      </c>
      <c r="B7094" s="14" t="s">
        <v>7206</v>
      </c>
      <c r="C7094" s="14" t="s">
        <v>13031</v>
      </c>
      <c r="D7094" s="15">
        <v>23.76</v>
      </c>
      <c r="E7094" s="16" t="s">
        <v>30</v>
      </c>
    </row>
    <row r="7095" spans="1:5" x14ac:dyDescent="0.25">
      <c r="A7095" s="14">
        <v>976620</v>
      </c>
      <c r="B7095" s="14" t="s">
        <v>7207</v>
      </c>
      <c r="C7095" s="14" t="s">
        <v>13031</v>
      </c>
      <c r="D7095" s="15">
        <v>3.76</v>
      </c>
      <c r="E7095" s="16" t="s">
        <v>30</v>
      </c>
    </row>
    <row r="7096" spans="1:5" x14ac:dyDescent="0.25">
      <c r="A7096" s="14">
        <v>976621</v>
      </c>
      <c r="B7096" s="14" t="s">
        <v>7208</v>
      </c>
      <c r="C7096" s="14" t="s">
        <v>13031</v>
      </c>
      <c r="D7096" s="15">
        <v>8.1199999999999992</v>
      </c>
      <c r="E7096" s="16" t="s">
        <v>30</v>
      </c>
    </row>
    <row r="7097" spans="1:5" x14ac:dyDescent="0.25">
      <c r="A7097" s="14">
        <v>976622</v>
      </c>
      <c r="B7097" s="14" t="s">
        <v>7209</v>
      </c>
      <c r="C7097" s="14" t="s">
        <v>13031</v>
      </c>
      <c r="D7097" s="15">
        <v>3.99</v>
      </c>
      <c r="E7097" s="16" t="s">
        <v>30</v>
      </c>
    </row>
    <row r="7098" spans="1:5" x14ac:dyDescent="0.25">
      <c r="A7098" s="14">
        <v>976623</v>
      </c>
      <c r="B7098" s="14" t="s">
        <v>7210</v>
      </c>
      <c r="C7098" s="14" t="s">
        <v>13031</v>
      </c>
      <c r="D7098" s="15">
        <v>3.99</v>
      </c>
      <c r="E7098" s="16" t="s">
        <v>30</v>
      </c>
    </row>
    <row r="7099" spans="1:5" x14ac:dyDescent="0.25">
      <c r="A7099" s="14">
        <v>976632</v>
      </c>
      <c r="B7099" s="14" t="s">
        <v>7211</v>
      </c>
      <c r="C7099" s="14" t="s">
        <v>13031</v>
      </c>
      <c r="D7099" s="15">
        <v>4.09</v>
      </c>
      <c r="E7099" s="16" t="s">
        <v>30</v>
      </c>
    </row>
    <row r="7100" spans="1:5" x14ac:dyDescent="0.25">
      <c r="A7100" s="14">
        <v>976633</v>
      </c>
      <c r="B7100" s="14" t="s">
        <v>7212</v>
      </c>
      <c r="C7100" s="14" t="s">
        <v>13031</v>
      </c>
      <c r="D7100" s="15">
        <v>4.09</v>
      </c>
      <c r="E7100" s="16" t="s">
        <v>30</v>
      </c>
    </row>
    <row r="7101" spans="1:5" x14ac:dyDescent="0.25">
      <c r="A7101" s="14">
        <v>976634</v>
      </c>
      <c r="B7101" s="14" t="s">
        <v>7213</v>
      </c>
      <c r="C7101" s="14" t="s">
        <v>13031</v>
      </c>
      <c r="D7101" s="15">
        <v>4.09</v>
      </c>
      <c r="E7101" s="16" t="s">
        <v>30</v>
      </c>
    </row>
    <row r="7102" spans="1:5" x14ac:dyDescent="0.25">
      <c r="A7102" s="14">
        <v>976649</v>
      </c>
      <c r="B7102" s="14" t="s">
        <v>7214</v>
      </c>
      <c r="C7102" s="14" t="s">
        <v>13029</v>
      </c>
      <c r="D7102" s="15">
        <v>3.98</v>
      </c>
      <c r="E7102" s="16" t="s">
        <v>30</v>
      </c>
    </row>
    <row r="7103" spans="1:5" x14ac:dyDescent="0.25">
      <c r="A7103" s="14">
        <v>976650</v>
      </c>
      <c r="B7103" s="14" t="s">
        <v>7215</v>
      </c>
      <c r="C7103" s="14" t="s">
        <v>13029</v>
      </c>
      <c r="D7103" s="15">
        <v>8.01</v>
      </c>
      <c r="E7103" s="16" t="s">
        <v>30</v>
      </c>
    </row>
    <row r="7104" spans="1:5" x14ac:dyDescent="0.25">
      <c r="A7104" s="14">
        <v>976651</v>
      </c>
      <c r="B7104" s="14" t="s">
        <v>7216</v>
      </c>
      <c r="C7104" s="14" t="s">
        <v>13029</v>
      </c>
      <c r="D7104" s="15">
        <v>6.04</v>
      </c>
      <c r="E7104" s="16" t="s">
        <v>30</v>
      </c>
    </row>
    <row r="7105" spans="1:5" x14ac:dyDescent="0.25">
      <c r="A7105" s="14">
        <v>976695</v>
      </c>
      <c r="B7105" s="14" t="s">
        <v>7217</v>
      </c>
      <c r="C7105" s="14" t="s">
        <v>13029</v>
      </c>
      <c r="D7105" s="15">
        <v>8.81</v>
      </c>
      <c r="E7105" s="16" t="s">
        <v>30</v>
      </c>
    </row>
    <row r="7106" spans="1:5" x14ac:dyDescent="0.25">
      <c r="A7106" s="14">
        <v>976696</v>
      </c>
      <c r="B7106" s="14" t="s">
        <v>7218</v>
      </c>
      <c r="C7106" s="14" t="s">
        <v>13029</v>
      </c>
      <c r="D7106" s="15">
        <v>8.81</v>
      </c>
      <c r="E7106" s="16" t="s">
        <v>30</v>
      </c>
    </row>
    <row r="7107" spans="1:5" x14ac:dyDescent="0.25">
      <c r="A7107" s="14">
        <v>976697</v>
      </c>
      <c r="B7107" s="14" t="s">
        <v>7219</v>
      </c>
      <c r="C7107" s="14" t="s">
        <v>13029</v>
      </c>
      <c r="D7107" s="15">
        <v>8.81</v>
      </c>
      <c r="E7107" s="16" t="s">
        <v>30</v>
      </c>
    </row>
    <row r="7108" spans="1:5" x14ac:dyDescent="0.25">
      <c r="A7108" s="14">
        <v>976707</v>
      </c>
      <c r="B7108" s="14" t="s">
        <v>7220</v>
      </c>
      <c r="C7108" s="14" t="s">
        <v>13030</v>
      </c>
      <c r="D7108" s="15">
        <v>23.7</v>
      </c>
      <c r="E7108" s="16" t="s">
        <v>30</v>
      </c>
    </row>
    <row r="7109" spans="1:5" x14ac:dyDescent="0.25">
      <c r="A7109" s="14">
        <v>976708</v>
      </c>
      <c r="B7109" s="14" t="s">
        <v>7221</v>
      </c>
      <c r="C7109" s="14" t="s">
        <v>13030</v>
      </c>
      <c r="D7109" s="15">
        <v>26.58</v>
      </c>
      <c r="E7109" s="16" t="s">
        <v>30</v>
      </c>
    </row>
    <row r="7110" spans="1:5" x14ac:dyDescent="0.25">
      <c r="A7110" s="14">
        <v>976709</v>
      </c>
      <c r="B7110" s="14" t="s">
        <v>7222</v>
      </c>
      <c r="C7110" s="14" t="s">
        <v>13030</v>
      </c>
      <c r="D7110" s="15">
        <v>34.83</v>
      </c>
      <c r="E7110" s="16" t="s">
        <v>30</v>
      </c>
    </row>
    <row r="7111" spans="1:5" x14ac:dyDescent="0.25">
      <c r="A7111" s="14">
        <v>976710</v>
      </c>
      <c r="B7111" s="14" t="s">
        <v>7223</v>
      </c>
      <c r="C7111" s="14" t="s">
        <v>13030</v>
      </c>
      <c r="D7111" s="15">
        <v>47.88</v>
      </c>
      <c r="E7111" s="16" t="s">
        <v>30</v>
      </c>
    </row>
    <row r="7112" spans="1:5" x14ac:dyDescent="0.25">
      <c r="A7112" s="14">
        <v>976712</v>
      </c>
      <c r="B7112" s="14" t="s">
        <v>7224</v>
      </c>
      <c r="C7112" s="14" t="s">
        <v>13030</v>
      </c>
      <c r="D7112" s="15">
        <v>44.59</v>
      </c>
      <c r="E7112" s="16" t="s">
        <v>30</v>
      </c>
    </row>
    <row r="7113" spans="1:5" x14ac:dyDescent="0.25">
      <c r="A7113" s="14">
        <v>976715</v>
      </c>
      <c r="B7113" s="14" t="s">
        <v>7225</v>
      </c>
      <c r="C7113" s="14" t="s">
        <v>13029</v>
      </c>
      <c r="D7113" s="15">
        <v>61.94</v>
      </c>
      <c r="E7113" s="16" t="s">
        <v>30</v>
      </c>
    </row>
    <row r="7114" spans="1:5" x14ac:dyDescent="0.25">
      <c r="A7114" s="14">
        <v>976717</v>
      </c>
      <c r="B7114" s="14" t="s">
        <v>7226</v>
      </c>
      <c r="C7114" s="14" t="s">
        <v>13029</v>
      </c>
      <c r="D7114" s="15">
        <v>26.69</v>
      </c>
      <c r="E7114" s="16" t="s">
        <v>30</v>
      </c>
    </row>
    <row r="7115" spans="1:5" x14ac:dyDescent="0.25">
      <c r="A7115" s="14">
        <v>976718</v>
      </c>
      <c r="B7115" s="14" t="s">
        <v>7227</v>
      </c>
      <c r="C7115" s="14" t="s">
        <v>13029</v>
      </c>
      <c r="D7115" s="15">
        <v>64.66</v>
      </c>
      <c r="E7115" s="16" t="s">
        <v>30</v>
      </c>
    </row>
    <row r="7116" spans="1:5" x14ac:dyDescent="0.25">
      <c r="A7116" s="14">
        <v>976719</v>
      </c>
      <c r="B7116" s="14" t="s">
        <v>7228</v>
      </c>
      <c r="C7116" s="14" t="s">
        <v>13029</v>
      </c>
      <c r="D7116" s="15">
        <v>64.66</v>
      </c>
      <c r="E7116" s="16" t="s">
        <v>30</v>
      </c>
    </row>
    <row r="7117" spans="1:5" x14ac:dyDescent="0.25">
      <c r="A7117" s="14">
        <v>976720</v>
      </c>
      <c r="B7117" s="14" t="s">
        <v>7229</v>
      </c>
      <c r="C7117" s="14" t="s">
        <v>13029</v>
      </c>
      <c r="D7117" s="15">
        <v>53.33</v>
      </c>
      <c r="E7117" s="16" t="s">
        <v>30</v>
      </c>
    </row>
    <row r="7118" spans="1:5" x14ac:dyDescent="0.25">
      <c r="A7118" s="14">
        <v>976721</v>
      </c>
      <c r="B7118" s="14" t="s">
        <v>7230</v>
      </c>
      <c r="C7118" s="14" t="s">
        <v>13029</v>
      </c>
      <c r="D7118" s="15">
        <v>53.33</v>
      </c>
      <c r="E7118" s="16" t="s">
        <v>30</v>
      </c>
    </row>
    <row r="7119" spans="1:5" x14ac:dyDescent="0.25">
      <c r="A7119" s="14">
        <v>976722</v>
      </c>
      <c r="B7119" s="14" t="s">
        <v>7231</v>
      </c>
      <c r="C7119" s="14" t="s">
        <v>13029</v>
      </c>
      <c r="D7119" s="15">
        <v>53.33</v>
      </c>
      <c r="E7119" s="16" t="s">
        <v>30</v>
      </c>
    </row>
    <row r="7120" spans="1:5" x14ac:dyDescent="0.25">
      <c r="A7120" s="14">
        <v>976723</v>
      </c>
      <c r="B7120" s="14" t="s">
        <v>7232</v>
      </c>
      <c r="C7120" s="14" t="s">
        <v>13029</v>
      </c>
      <c r="D7120" s="15">
        <v>70.59</v>
      </c>
      <c r="E7120" s="16" t="s">
        <v>30</v>
      </c>
    </row>
    <row r="7121" spans="1:5" x14ac:dyDescent="0.25">
      <c r="A7121" s="14">
        <v>976724</v>
      </c>
      <c r="B7121" s="14" t="s">
        <v>7233</v>
      </c>
      <c r="C7121" s="14" t="s">
        <v>13029</v>
      </c>
      <c r="D7121" s="15">
        <v>70.59</v>
      </c>
      <c r="E7121" s="16" t="s">
        <v>30</v>
      </c>
    </row>
    <row r="7122" spans="1:5" x14ac:dyDescent="0.25">
      <c r="A7122" s="14">
        <v>976725</v>
      </c>
      <c r="B7122" s="14" t="s">
        <v>7234</v>
      </c>
      <c r="C7122" s="14" t="s">
        <v>13029</v>
      </c>
      <c r="D7122" s="15">
        <v>41.47</v>
      </c>
      <c r="E7122" s="16" t="s">
        <v>30</v>
      </c>
    </row>
    <row r="7123" spans="1:5" x14ac:dyDescent="0.25">
      <c r="A7123" s="14">
        <v>976726</v>
      </c>
      <c r="B7123" s="14" t="s">
        <v>7235</v>
      </c>
      <c r="C7123" s="14" t="s">
        <v>13029</v>
      </c>
      <c r="D7123" s="15">
        <v>41.47</v>
      </c>
      <c r="E7123" s="16" t="s">
        <v>30</v>
      </c>
    </row>
    <row r="7124" spans="1:5" x14ac:dyDescent="0.25">
      <c r="A7124" s="14">
        <v>976727</v>
      </c>
      <c r="B7124" s="14" t="s">
        <v>7236</v>
      </c>
      <c r="C7124" s="14" t="s">
        <v>13029</v>
      </c>
      <c r="D7124" s="15">
        <v>41.47</v>
      </c>
      <c r="E7124" s="16" t="s">
        <v>30</v>
      </c>
    </row>
    <row r="7125" spans="1:5" x14ac:dyDescent="0.25">
      <c r="A7125" s="14">
        <v>976728</v>
      </c>
      <c r="B7125" s="14" t="s">
        <v>7237</v>
      </c>
      <c r="C7125" s="14" t="s">
        <v>13029</v>
      </c>
      <c r="D7125" s="15">
        <v>76.47</v>
      </c>
      <c r="E7125" s="14" t="s">
        <v>30</v>
      </c>
    </row>
    <row r="7126" spans="1:5" x14ac:dyDescent="0.25">
      <c r="A7126" s="14">
        <v>976729</v>
      </c>
      <c r="B7126" s="14" t="s">
        <v>7238</v>
      </c>
      <c r="C7126" s="14" t="s">
        <v>13029</v>
      </c>
      <c r="D7126" s="15">
        <v>89.99</v>
      </c>
      <c r="E7126" s="14" t="s">
        <v>30</v>
      </c>
    </row>
    <row r="7127" spans="1:5" x14ac:dyDescent="0.25">
      <c r="A7127" s="14">
        <v>976732</v>
      </c>
      <c r="B7127" s="14" t="s">
        <v>7239</v>
      </c>
      <c r="C7127" s="14" t="s">
        <v>13029</v>
      </c>
      <c r="D7127" s="15">
        <v>81.790000000000006</v>
      </c>
      <c r="E7127" s="16" t="s">
        <v>30</v>
      </c>
    </row>
    <row r="7128" spans="1:5" x14ac:dyDescent="0.25">
      <c r="A7128" s="14">
        <v>976733</v>
      </c>
      <c r="B7128" s="14" t="s">
        <v>7240</v>
      </c>
      <c r="C7128" s="14" t="s">
        <v>13029</v>
      </c>
      <c r="D7128" s="15">
        <v>51.57</v>
      </c>
      <c r="E7128" s="14" t="s">
        <v>30</v>
      </c>
    </row>
    <row r="7129" spans="1:5" x14ac:dyDescent="0.25">
      <c r="A7129" s="14">
        <v>976734</v>
      </c>
      <c r="B7129" s="14" t="s">
        <v>7241</v>
      </c>
      <c r="C7129" s="14" t="s">
        <v>13029</v>
      </c>
      <c r="D7129" s="15">
        <v>46.23</v>
      </c>
      <c r="E7129" s="16" t="s">
        <v>30</v>
      </c>
    </row>
    <row r="7130" spans="1:5" x14ac:dyDescent="0.25">
      <c r="A7130" s="14">
        <v>976735</v>
      </c>
      <c r="B7130" s="14" t="s">
        <v>7242</v>
      </c>
      <c r="C7130" s="14" t="s">
        <v>13029</v>
      </c>
      <c r="D7130" s="15">
        <v>26.65</v>
      </c>
      <c r="E7130" s="16" t="s">
        <v>30</v>
      </c>
    </row>
    <row r="7131" spans="1:5" x14ac:dyDescent="0.25">
      <c r="A7131" s="14">
        <v>976745</v>
      </c>
      <c r="B7131" s="14" t="s">
        <v>7243</v>
      </c>
      <c r="C7131" s="14" t="s">
        <v>13031</v>
      </c>
      <c r="D7131" s="15">
        <v>5.62</v>
      </c>
      <c r="E7131" s="16" t="s">
        <v>30</v>
      </c>
    </row>
    <row r="7132" spans="1:5" x14ac:dyDescent="0.25">
      <c r="A7132" s="14">
        <v>976746</v>
      </c>
      <c r="B7132" s="14" t="s">
        <v>7244</v>
      </c>
      <c r="C7132" s="14" t="s">
        <v>13031</v>
      </c>
      <c r="D7132" s="15">
        <v>306.72000000000003</v>
      </c>
      <c r="E7132" s="16" t="s">
        <v>30</v>
      </c>
    </row>
    <row r="7133" spans="1:5" x14ac:dyDescent="0.25">
      <c r="A7133" s="14">
        <v>976747</v>
      </c>
      <c r="B7133" s="14" t="s">
        <v>7245</v>
      </c>
      <c r="C7133" s="14" t="s">
        <v>13031</v>
      </c>
      <c r="D7133" s="15">
        <v>5.81</v>
      </c>
      <c r="E7133" s="16" t="s">
        <v>30</v>
      </c>
    </row>
    <row r="7134" spans="1:5" x14ac:dyDescent="0.25">
      <c r="A7134" s="14">
        <v>976748</v>
      </c>
      <c r="B7134" s="14" t="s">
        <v>7246</v>
      </c>
      <c r="C7134" s="14" t="s">
        <v>13031</v>
      </c>
      <c r="D7134" s="15">
        <v>5.14</v>
      </c>
      <c r="E7134" s="16" t="s">
        <v>30</v>
      </c>
    </row>
    <row r="7135" spans="1:5" x14ac:dyDescent="0.25">
      <c r="A7135" s="14">
        <v>976749</v>
      </c>
      <c r="B7135" s="14" t="s">
        <v>7247</v>
      </c>
      <c r="C7135" s="14" t="s">
        <v>13031</v>
      </c>
      <c r="D7135" s="15">
        <v>23.22</v>
      </c>
      <c r="E7135" s="16" t="s">
        <v>30</v>
      </c>
    </row>
    <row r="7136" spans="1:5" x14ac:dyDescent="0.25">
      <c r="A7136" s="14">
        <v>976750</v>
      </c>
      <c r="B7136" s="14" t="s">
        <v>7248</v>
      </c>
      <c r="C7136" s="14" t="s">
        <v>13031</v>
      </c>
      <c r="D7136" s="15">
        <v>278.64</v>
      </c>
      <c r="E7136" s="16" t="s">
        <v>30</v>
      </c>
    </row>
    <row r="7137" spans="1:5" x14ac:dyDescent="0.25">
      <c r="A7137" s="14">
        <v>976751</v>
      </c>
      <c r="B7137" s="14" t="s">
        <v>7249</v>
      </c>
      <c r="C7137" s="14" t="s">
        <v>13031</v>
      </c>
      <c r="D7137" s="15">
        <v>5.76</v>
      </c>
      <c r="E7137" s="16" t="s">
        <v>30</v>
      </c>
    </row>
    <row r="7138" spans="1:5" x14ac:dyDescent="0.25">
      <c r="A7138" s="14">
        <v>976752</v>
      </c>
      <c r="B7138" s="14" t="s">
        <v>7250</v>
      </c>
      <c r="C7138" s="14" t="s">
        <v>13031</v>
      </c>
      <c r="D7138" s="15">
        <v>5.14</v>
      </c>
      <c r="E7138" s="16" t="s">
        <v>30</v>
      </c>
    </row>
    <row r="7139" spans="1:5" x14ac:dyDescent="0.25">
      <c r="A7139" s="14">
        <v>976753</v>
      </c>
      <c r="B7139" s="14" t="s">
        <v>7251</v>
      </c>
      <c r="C7139" s="14" t="s">
        <v>13031</v>
      </c>
      <c r="D7139" s="15">
        <v>7.12</v>
      </c>
      <c r="E7139" s="16" t="s">
        <v>30</v>
      </c>
    </row>
    <row r="7140" spans="1:5" x14ac:dyDescent="0.25">
      <c r="A7140" s="14">
        <v>976754</v>
      </c>
      <c r="B7140" s="14" t="s">
        <v>7252</v>
      </c>
      <c r="C7140" s="14" t="s">
        <v>13031</v>
      </c>
      <c r="D7140" s="15">
        <v>10.07</v>
      </c>
      <c r="E7140" s="16" t="s">
        <v>30</v>
      </c>
    </row>
    <row r="7141" spans="1:5" x14ac:dyDescent="0.25">
      <c r="A7141" s="14">
        <v>976755</v>
      </c>
      <c r="B7141" s="14" t="s">
        <v>7253</v>
      </c>
      <c r="C7141" s="14" t="s">
        <v>13031</v>
      </c>
      <c r="D7141" s="15">
        <v>10.07</v>
      </c>
      <c r="E7141" s="16" t="s">
        <v>30</v>
      </c>
    </row>
    <row r="7142" spans="1:5" x14ac:dyDescent="0.25">
      <c r="A7142" s="14">
        <v>976756</v>
      </c>
      <c r="B7142" s="14" t="s">
        <v>7254</v>
      </c>
      <c r="C7142" s="14" t="s">
        <v>13031</v>
      </c>
      <c r="D7142" s="15">
        <v>13.94</v>
      </c>
      <c r="E7142" s="16" t="s">
        <v>30</v>
      </c>
    </row>
    <row r="7143" spans="1:5" x14ac:dyDescent="0.25">
      <c r="A7143" s="14">
        <v>976757</v>
      </c>
      <c r="B7143" s="14" t="s">
        <v>7255</v>
      </c>
      <c r="C7143" s="14" t="s">
        <v>13031</v>
      </c>
      <c r="D7143" s="15">
        <v>306.72000000000003</v>
      </c>
      <c r="E7143" s="16" t="s">
        <v>30</v>
      </c>
    </row>
    <row r="7144" spans="1:5" x14ac:dyDescent="0.25">
      <c r="A7144" s="14">
        <v>976800</v>
      </c>
      <c r="B7144" s="14" t="s">
        <v>7256</v>
      </c>
      <c r="C7144" s="14" t="s">
        <v>13029</v>
      </c>
      <c r="D7144" s="15">
        <v>18.170000000000002</v>
      </c>
      <c r="E7144" s="14" t="s">
        <v>30</v>
      </c>
    </row>
    <row r="7145" spans="1:5" x14ac:dyDescent="0.25">
      <c r="A7145" s="14">
        <v>976832</v>
      </c>
      <c r="B7145" s="14" t="s">
        <v>7257</v>
      </c>
      <c r="C7145" s="14" t="s">
        <v>13031</v>
      </c>
      <c r="D7145" s="15">
        <v>6.87</v>
      </c>
      <c r="E7145" s="16" t="s">
        <v>30</v>
      </c>
    </row>
    <row r="7146" spans="1:5" x14ac:dyDescent="0.25">
      <c r="A7146" s="14">
        <v>976833</v>
      </c>
      <c r="B7146" s="14" t="s">
        <v>7258</v>
      </c>
      <c r="C7146" s="14" t="s">
        <v>13031</v>
      </c>
      <c r="D7146" s="15">
        <v>10</v>
      </c>
      <c r="E7146" s="16" t="s">
        <v>30</v>
      </c>
    </row>
    <row r="7147" spans="1:5" x14ac:dyDescent="0.25">
      <c r="A7147" s="14">
        <v>976834</v>
      </c>
      <c r="B7147" s="14" t="s">
        <v>7259</v>
      </c>
      <c r="C7147" s="14" t="s">
        <v>13031</v>
      </c>
      <c r="D7147" s="15">
        <v>53.39</v>
      </c>
      <c r="E7147" s="16" t="s">
        <v>30</v>
      </c>
    </row>
    <row r="7148" spans="1:5" x14ac:dyDescent="0.25">
      <c r="A7148" s="14">
        <v>976835</v>
      </c>
      <c r="B7148" s="14" t="s">
        <v>7260</v>
      </c>
      <c r="C7148" s="14" t="s">
        <v>13031</v>
      </c>
      <c r="D7148" s="15">
        <v>8.9</v>
      </c>
      <c r="E7148" s="16" t="s">
        <v>30</v>
      </c>
    </row>
    <row r="7149" spans="1:5" x14ac:dyDescent="0.25">
      <c r="A7149" s="14">
        <v>976836</v>
      </c>
      <c r="B7149" s="14" t="s">
        <v>7261</v>
      </c>
      <c r="C7149" s="14" t="s">
        <v>13031</v>
      </c>
      <c r="D7149" s="15">
        <v>38.56</v>
      </c>
      <c r="E7149" s="16" t="s">
        <v>30</v>
      </c>
    </row>
    <row r="7150" spans="1:5" x14ac:dyDescent="0.25">
      <c r="A7150" s="14">
        <v>976837</v>
      </c>
      <c r="B7150" s="14" t="s">
        <v>7262</v>
      </c>
      <c r="C7150" s="14" t="s">
        <v>13031</v>
      </c>
      <c r="D7150" s="15">
        <v>35.590000000000003</v>
      </c>
      <c r="E7150" s="16" t="s">
        <v>30</v>
      </c>
    </row>
    <row r="7151" spans="1:5" x14ac:dyDescent="0.25">
      <c r="A7151" s="14">
        <v>976838</v>
      </c>
      <c r="B7151" s="14" t="s">
        <v>7263</v>
      </c>
      <c r="C7151" s="14" t="s">
        <v>13031</v>
      </c>
      <c r="D7151" s="15">
        <v>53.3</v>
      </c>
      <c r="E7151" s="16" t="s">
        <v>30</v>
      </c>
    </row>
    <row r="7152" spans="1:5" x14ac:dyDescent="0.25">
      <c r="A7152" s="14">
        <v>976839</v>
      </c>
      <c r="B7152" s="14" t="s">
        <v>7264</v>
      </c>
      <c r="C7152" s="14" t="s">
        <v>13031</v>
      </c>
      <c r="D7152" s="15">
        <v>8.9</v>
      </c>
      <c r="E7152" s="16" t="s">
        <v>30</v>
      </c>
    </row>
    <row r="7153" spans="1:5" x14ac:dyDescent="0.25">
      <c r="A7153" s="14">
        <v>976875</v>
      </c>
      <c r="B7153" s="14" t="s">
        <v>7265</v>
      </c>
      <c r="C7153" s="14" t="s">
        <v>13029</v>
      </c>
      <c r="D7153" s="15">
        <v>47.4</v>
      </c>
      <c r="E7153" s="16" t="s">
        <v>30</v>
      </c>
    </row>
    <row r="7154" spans="1:5" x14ac:dyDescent="0.25">
      <c r="A7154" s="14">
        <v>976876</v>
      </c>
      <c r="B7154" s="14" t="s">
        <v>7266</v>
      </c>
      <c r="C7154" s="14" t="s">
        <v>13029</v>
      </c>
      <c r="D7154" s="15">
        <v>47.4</v>
      </c>
      <c r="E7154" s="16" t="s">
        <v>30</v>
      </c>
    </row>
    <row r="7155" spans="1:5" x14ac:dyDescent="0.25">
      <c r="A7155" s="14">
        <v>976877</v>
      </c>
      <c r="B7155" s="14" t="s">
        <v>7267</v>
      </c>
      <c r="C7155" s="14" t="s">
        <v>13029</v>
      </c>
      <c r="D7155" s="15">
        <v>40.93</v>
      </c>
      <c r="E7155" s="16" t="s">
        <v>30</v>
      </c>
    </row>
    <row r="7156" spans="1:5" x14ac:dyDescent="0.25">
      <c r="A7156" s="14">
        <v>976878</v>
      </c>
      <c r="B7156" s="14" t="s">
        <v>7268</v>
      </c>
      <c r="C7156" s="14" t="s">
        <v>13029</v>
      </c>
      <c r="D7156" s="15">
        <v>40.93</v>
      </c>
      <c r="E7156" s="16" t="s">
        <v>30</v>
      </c>
    </row>
    <row r="7157" spans="1:5" x14ac:dyDescent="0.25">
      <c r="A7157" s="14">
        <v>976883</v>
      </c>
      <c r="B7157" s="14" t="s">
        <v>7269</v>
      </c>
      <c r="C7157" s="14" t="s">
        <v>13029</v>
      </c>
      <c r="D7157" s="15">
        <v>22.09</v>
      </c>
      <c r="E7157" s="14" t="s">
        <v>30</v>
      </c>
    </row>
    <row r="7158" spans="1:5" x14ac:dyDescent="0.25">
      <c r="A7158" s="14">
        <v>976884</v>
      </c>
      <c r="B7158" s="14" t="s">
        <v>7270</v>
      </c>
      <c r="C7158" s="14" t="s">
        <v>13029</v>
      </c>
      <c r="D7158" s="15">
        <v>22.09</v>
      </c>
      <c r="E7158" s="14" t="s">
        <v>30</v>
      </c>
    </row>
    <row r="7159" spans="1:5" x14ac:dyDescent="0.25">
      <c r="A7159" s="14">
        <v>976950</v>
      </c>
      <c r="B7159" s="14" t="s">
        <v>7271</v>
      </c>
      <c r="C7159" s="14" t="s">
        <v>13029</v>
      </c>
      <c r="D7159" s="15">
        <v>2.25</v>
      </c>
      <c r="E7159" s="16" t="s">
        <v>30</v>
      </c>
    </row>
    <row r="7160" spans="1:5" x14ac:dyDescent="0.25">
      <c r="A7160" s="14">
        <v>976951</v>
      </c>
      <c r="B7160" s="14" t="s">
        <v>7272</v>
      </c>
      <c r="C7160" s="14" t="s">
        <v>13029</v>
      </c>
      <c r="D7160" s="15">
        <v>1.63</v>
      </c>
      <c r="E7160" s="16" t="s">
        <v>30</v>
      </c>
    </row>
    <row r="7161" spans="1:5" x14ac:dyDescent="0.25">
      <c r="A7161" s="14">
        <v>976952</v>
      </c>
      <c r="B7161" s="14" t="s">
        <v>7273</v>
      </c>
      <c r="C7161" s="14" t="s">
        <v>13029</v>
      </c>
      <c r="D7161" s="15">
        <v>3.15</v>
      </c>
      <c r="E7161" s="16" t="s">
        <v>30</v>
      </c>
    </row>
    <row r="7162" spans="1:5" x14ac:dyDescent="0.25">
      <c r="A7162" s="14">
        <v>976953</v>
      </c>
      <c r="B7162" s="14" t="s">
        <v>7274</v>
      </c>
      <c r="C7162" s="14" t="s">
        <v>13029</v>
      </c>
      <c r="D7162" s="15">
        <v>35.53</v>
      </c>
      <c r="E7162" s="16" t="s">
        <v>30</v>
      </c>
    </row>
    <row r="7163" spans="1:5" x14ac:dyDescent="0.25">
      <c r="A7163" s="14">
        <v>976954</v>
      </c>
      <c r="B7163" s="14" t="s">
        <v>7275</v>
      </c>
      <c r="C7163" s="14" t="s">
        <v>13029</v>
      </c>
      <c r="D7163" s="15">
        <v>35.53</v>
      </c>
      <c r="E7163" s="16" t="s">
        <v>30</v>
      </c>
    </row>
    <row r="7164" spans="1:5" x14ac:dyDescent="0.25">
      <c r="A7164" s="14">
        <v>976955</v>
      </c>
      <c r="B7164" s="14" t="s">
        <v>7276</v>
      </c>
      <c r="C7164" s="14" t="s">
        <v>13029</v>
      </c>
      <c r="D7164" s="15">
        <v>35.53</v>
      </c>
      <c r="E7164" s="16" t="s">
        <v>30</v>
      </c>
    </row>
    <row r="7165" spans="1:5" x14ac:dyDescent="0.25">
      <c r="A7165" s="14">
        <v>976956</v>
      </c>
      <c r="B7165" s="14" t="s">
        <v>7277</v>
      </c>
      <c r="C7165" s="14" t="s">
        <v>13029</v>
      </c>
      <c r="D7165" s="15">
        <v>35.53</v>
      </c>
      <c r="E7165" s="16" t="s">
        <v>30</v>
      </c>
    </row>
    <row r="7166" spans="1:5" x14ac:dyDescent="0.25">
      <c r="A7166" s="14">
        <v>976957</v>
      </c>
      <c r="B7166" s="14" t="s">
        <v>7278</v>
      </c>
      <c r="C7166" s="14" t="s">
        <v>13029</v>
      </c>
      <c r="D7166" s="15">
        <v>35.53</v>
      </c>
      <c r="E7166" s="16" t="s">
        <v>30</v>
      </c>
    </row>
    <row r="7167" spans="1:5" x14ac:dyDescent="0.25">
      <c r="A7167" s="14">
        <v>976958</v>
      </c>
      <c r="B7167" s="14" t="s">
        <v>7279</v>
      </c>
      <c r="C7167" s="14" t="s">
        <v>13029</v>
      </c>
      <c r="D7167" s="15">
        <v>35.53</v>
      </c>
      <c r="E7167" s="16" t="s">
        <v>30</v>
      </c>
    </row>
    <row r="7168" spans="1:5" x14ac:dyDescent="0.25">
      <c r="A7168" s="14">
        <v>976959</v>
      </c>
      <c r="B7168" s="14" t="s">
        <v>7280</v>
      </c>
      <c r="C7168" s="14" t="s">
        <v>13029</v>
      </c>
      <c r="D7168" s="15">
        <v>23.67</v>
      </c>
      <c r="E7168" s="16" t="s">
        <v>30</v>
      </c>
    </row>
    <row r="7169" spans="1:5" x14ac:dyDescent="0.25">
      <c r="A7169" s="14">
        <v>976960</v>
      </c>
      <c r="B7169" s="14" t="s">
        <v>7281</v>
      </c>
      <c r="C7169" s="14" t="s">
        <v>13029</v>
      </c>
      <c r="D7169" s="15">
        <v>23.67</v>
      </c>
      <c r="E7169" s="16" t="s">
        <v>30</v>
      </c>
    </row>
    <row r="7170" spans="1:5" x14ac:dyDescent="0.25">
      <c r="A7170" s="14">
        <v>976961</v>
      </c>
      <c r="B7170" s="14" t="s">
        <v>7282</v>
      </c>
      <c r="C7170" s="14" t="s">
        <v>13029</v>
      </c>
      <c r="D7170" s="15">
        <v>23.67</v>
      </c>
      <c r="E7170" s="16" t="s">
        <v>30</v>
      </c>
    </row>
    <row r="7171" spans="1:5" x14ac:dyDescent="0.25">
      <c r="A7171" s="14">
        <v>976962</v>
      </c>
      <c r="B7171" s="14" t="s">
        <v>7283</v>
      </c>
      <c r="C7171" s="14" t="s">
        <v>13029</v>
      </c>
      <c r="D7171" s="15">
        <v>23.67</v>
      </c>
      <c r="E7171" s="16" t="s">
        <v>30</v>
      </c>
    </row>
    <row r="7172" spans="1:5" x14ac:dyDescent="0.25">
      <c r="A7172" s="14">
        <v>976970</v>
      </c>
      <c r="B7172" s="14" t="s">
        <v>7284</v>
      </c>
      <c r="C7172" s="14" t="s">
        <v>13030</v>
      </c>
      <c r="D7172" s="15">
        <v>24.81</v>
      </c>
      <c r="E7172" s="16" t="s">
        <v>30</v>
      </c>
    </row>
    <row r="7173" spans="1:5" x14ac:dyDescent="0.25">
      <c r="A7173" s="14">
        <v>976971</v>
      </c>
      <c r="B7173" s="14" t="s">
        <v>7285</v>
      </c>
      <c r="C7173" s="14" t="s">
        <v>13030</v>
      </c>
      <c r="D7173" s="15">
        <v>24.81</v>
      </c>
      <c r="E7173" s="16" t="s">
        <v>30</v>
      </c>
    </row>
    <row r="7174" spans="1:5" x14ac:dyDescent="0.25">
      <c r="A7174" s="14">
        <v>976972</v>
      </c>
      <c r="B7174" s="14" t="s">
        <v>7286</v>
      </c>
      <c r="C7174" s="14" t="s">
        <v>13030</v>
      </c>
      <c r="D7174" s="15">
        <v>24.81</v>
      </c>
      <c r="E7174" s="14" t="s">
        <v>30</v>
      </c>
    </row>
    <row r="7175" spans="1:5" x14ac:dyDescent="0.25">
      <c r="A7175" s="14">
        <v>976973</v>
      </c>
      <c r="B7175" s="14" t="s">
        <v>7287</v>
      </c>
      <c r="C7175" s="14" t="s">
        <v>13030</v>
      </c>
      <c r="D7175" s="15">
        <v>24.81</v>
      </c>
      <c r="E7175" s="14" t="s">
        <v>30</v>
      </c>
    </row>
    <row r="7176" spans="1:5" x14ac:dyDescent="0.25">
      <c r="A7176" s="14">
        <v>976974</v>
      </c>
      <c r="B7176" s="14" t="s">
        <v>7288</v>
      </c>
      <c r="C7176" s="14" t="s">
        <v>13029</v>
      </c>
      <c r="D7176" s="15">
        <v>11.27</v>
      </c>
      <c r="E7176" s="16" t="s">
        <v>30</v>
      </c>
    </row>
    <row r="7177" spans="1:5" x14ac:dyDescent="0.25">
      <c r="A7177" s="14">
        <v>977033</v>
      </c>
      <c r="B7177" s="14" t="s">
        <v>7289</v>
      </c>
      <c r="C7177" s="14" t="s">
        <v>13029</v>
      </c>
      <c r="D7177" s="15">
        <v>12.81</v>
      </c>
      <c r="E7177" s="16" t="s">
        <v>30</v>
      </c>
    </row>
    <row r="7178" spans="1:5" x14ac:dyDescent="0.25">
      <c r="A7178" s="14">
        <v>977034</v>
      </c>
      <c r="B7178" s="14" t="s">
        <v>7290</v>
      </c>
      <c r="C7178" s="14" t="s">
        <v>13029</v>
      </c>
      <c r="D7178" s="15">
        <v>20.7</v>
      </c>
      <c r="E7178" s="16" t="s">
        <v>30</v>
      </c>
    </row>
    <row r="7179" spans="1:5" x14ac:dyDescent="0.25">
      <c r="A7179" s="14">
        <v>977036</v>
      </c>
      <c r="B7179" s="14" t="s">
        <v>7291</v>
      </c>
      <c r="C7179" s="14" t="s">
        <v>13030</v>
      </c>
      <c r="D7179" s="15">
        <v>51.8</v>
      </c>
      <c r="E7179" s="16" t="s">
        <v>30</v>
      </c>
    </row>
    <row r="7180" spans="1:5" x14ac:dyDescent="0.25">
      <c r="A7180" s="14">
        <v>977037</v>
      </c>
      <c r="B7180" s="14" t="s">
        <v>7292</v>
      </c>
      <c r="C7180" s="14" t="s">
        <v>13030</v>
      </c>
      <c r="D7180" s="15">
        <v>32.340000000000003</v>
      </c>
      <c r="E7180" s="16" t="s">
        <v>30</v>
      </c>
    </row>
    <row r="7181" spans="1:5" x14ac:dyDescent="0.25">
      <c r="A7181" s="14">
        <v>977038</v>
      </c>
      <c r="B7181" s="14" t="s">
        <v>7293</v>
      </c>
      <c r="C7181" s="14" t="s">
        <v>13030</v>
      </c>
      <c r="D7181" s="15">
        <v>60.25</v>
      </c>
      <c r="E7181" s="16" t="s">
        <v>30</v>
      </c>
    </row>
    <row r="7182" spans="1:5" x14ac:dyDescent="0.25">
      <c r="A7182" s="14">
        <v>977297</v>
      </c>
      <c r="B7182" s="14" t="s">
        <v>7294</v>
      </c>
      <c r="C7182" s="14" t="s">
        <v>13031</v>
      </c>
      <c r="D7182" s="15">
        <v>7.5</v>
      </c>
      <c r="E7182" s="16" t="s">
        <v>30</v>
      </c>
    </row>
    <row r="7183" spans="1:5" x14ac:dyDescent="0.25">
      <c r="A7183" s="14">
        <v>977396</v>
      </c>
      <c r="B7183" s="14" t="s">
        <v>7295</v>
      </c>
      <c r="C7183" s="14" t="s">
        <v>13031</v>
      </c>
      <c r="D7183" s="15">
        <v>4.5599999999999996</v>
      </c>
      <c r="E7183" s="16" t="s">
        <v>30</v>
      </c>
    </row>
    <row r="7184" spans="1:5" x14ac:dyDescent="0.25">
      <c r="A7184" s="14">
        <v>977397</v>
      </c>
      <c r="B7184" s="14" t="s">
        <v>7296</v>
      </c>
      <c r="C7184" s="14" t="s">
        <v>13031</v>
      </c>
      <c r="D7184" s="15">
        <v>4.5599999999999996</v>
      </c>
      <c r="E7184" s="16" t="s">
        <v>30</v>
      </c>
    </row>
    <row r="7185" spans="1:5" x14ac:dyDescent="0.25">
      <c r="A7185" s="14">
        <v>977398</v>
      </c>
      <c r="B7185" s="14" t="s">
        <v>7297</v>
      </c>
      <c r="C7185" s="14" t="s">
        <v>13031</v>
      </c>
      <c r="D7185" s="15">
        <v>4.5599999999999996</v>
      </c>
      <c r="E7185" s="16" t="s">
        <v>30</v>
      </c>
    </row>
    <row r="7186" spans="1:5" x14ac:dyDescent="0.25">
      <c r="A7186" s="14">
        <v>977441</v>
      </c>
      <c r="B7186" s="14" t="s">
        <v>7298</v>
      </c>
      <c r="C7186" s="14" t="s">
        <v>13031</v>
      </c>
      <c r="D7186" s="15">
        <v>9.76</v>
      </c>
      <c r="E7186" s="16" t="s">
        <v>30</v>
      </c>
    </row>
    <row r="7187" spans="1:5" x14ac:dyDescent="0.25">
      <c r="A7187" s="14">
        <v>977442</v>
      </c>
      <c r="B7187" s="14" t="s">
        <v>7299</v>
      </c>
      <c r="C7187" s="14" t="s">
        <v>13031</v>
      </c>
      <c r="D7187" s="15">
        <v>3.5</v>
      </c>
      <c r="E7187" s="16" t="s">
        <v>30</v>
      </c>
    </row>
    <row r="7188" spans="1:5" x14ac:dyDescent="0.25">
      <c r="A7188" s="14">
        <v>977448</v>
      </c>
      <c r="B7188" s="14" t="s">
        <v>7300</v>
      </c>
      <c r="C7188" s="14" t="s">
        <v>13030</v>
      </c>
      <c r="D7188" s="15">
        <v>3.89</v>
      </c>
      <c r="E7188" s="16" t="s">
        <v>30</v>
      </c>
    </row>
    <row r="7189" spans="1:5" x14ac:dyDescent="0.25">
      <c r="A7189" s="14">
        <v>977452</v>
      </c>
      <c r="B7189" s="14" t="s">
        <v>7301</v>
      </c>
      <c r="C7189" s="14" t="s">
        <v>13029</v>
      </c>
      <c r="D7189" s="15">
        <v>34.89</v>
      </c>
      <c r="E7189" s="16" t="s">
        <v>30</v>
      </c>
    </row>
    <row r="7190" spans="1:5" x14ac:dyDescent="0.25">
      <c r="A7190" s="14">
        <v>977453</v>
      </c>
      <c r="B7190" s="14" t="s">
        <v>7302</v>
      </c>
      <c r="C7190" s="14" t="s">
        <v>13029</v>
      </c>
      <c r="D7190" s="15">
        <v>34.89</v>
      </c>
      <c r="E7190" s="16" t="s">
        <v>30</v>
      </c>
    </row>
    <row r="7191" spans="1:5" x14ac:dyDescent="0.25">
      <c r="A7191" s="14">
        <v>977454</v>
      </c>
      <c r="B7191" s="14" t="s">
        <v>7303</v>
      </c>
      <c r="C7191" s="14" t="s">
        <v>13029</v>
      </c>
      <c r="D7191" s="15">
        <v>34.89</v>
      </c>
      <c r="E7191" s="16" t="s">
        <v>30</v>
      </c>
    </row>
    <row r="7192" spans="1:5" x14ac:dyDescent="0.25">
      <c r="A7192" s="14">
        <v>977455</v>
      </c>
      <c r="B7192" s="14" t="s">
        <v>7304</v>
      </c>
      <c r="C7192" s="14" t="s">
        <v>13029</v>
      </c>
      <c r="D7192" s="15">
        <v>34.89</v>
      </c>
      <c r="E7192" s="16" t="s">
        <v>30</v>
      </c>
    </row>
    <row r="7193" spans="1:5" x14ac:dyDescent="0.25">
      <c r="A7193" s="14">
        <v>977456</v>
      </c>
      <c r="B7193" s="14" t="s">
        <v>7305</v>
      </c>
      <c r="C7193" s="14" t="s">
        <v>13029</v>
      </c>
      <c r="D7193" s="15">
        <v>34.89</v>
      </c>
      <c r="E7193" s="16" t="s">
        <v>30</v>
      </c>
    </row>
    <row r="7194" spans="1:5" x14ac:dyDescent="0.25">
      <c r="A7194" s="14">
        <v>977457</v>
      </c>
      <c r="B7194" s="14" t="s">
        <v>7306</v>
      </c>
      <c r="C7194" s="14" t="s">
        <v>13029</v>
      </c>
      <c r="D7194" s="15">
        <v>34.89</v>
      </c>
      <c r="E7194" s="16" t="s">
        <v>30</v>
      </c>
    </row>
    <row r="7195" spans="1:5" x14ac:dyDescent="0.25">
      <c r="A7195" s="14">
        <v>977458</v>
      </c>
      <c r="B7195" s="14" t="s">
        <v>7307</v>
      </c>
      <c r="C7195" s="14" t="s">
        <v>13029</v>
      </c>
      <c r="D7195" s="15">
        <v>34.89</v>
      </c>
      <c r="E7195" s="16" t="s">
        <v>30</v>
      </c>
    </row>
    <row r="7196" spans="1:5" x14ac:dyDescent="0.25">
      <c r="A7196" s="14">
        <v>977459</v>
      </c>
      <c r="B7196" s="14" t="s">
        <v>7308</v>
      </c>
      <c r="C7196" s="14" t="s">
        <v>13029</v>
      </c>
      <c r="D7196" s="15">
        <v>34.89</v>
      </c>
      <c r="E7196" s="16" t="s">
        <v>30</v>
      </c>
    </row>
    <row r="7197" spans="1:5" x14ac:dyDescent="0.25">
      <c r="A7197" s="14">
        <v>977460</v>
      </c>
      <c r="B7197" s="14" t="s">
        <v>7309</v>
      </c>
      <c r="C7197" s="14" t="s">
        <v>13029</v>
      </c>
      <c r="D7197" s="15">
        <v>31.08</v>
      </c>
      <c r="E7197" s="16" t="s">
        <v>30</v>
      </c>
    </row>
    <row r="7198" spans="1:5" x14ac:dyDescent="0.25">
      <c r="A7198" s="14">
        <v>977461</v>
      </c>
      <c r="B7198" s="14" t="s">
        <v>7310</v>
      </c>
      <c r="C7198" s="14" t="s">
        <v>13029</v>
      </c>
      <c r="D7198" s="15">
        <v>34.89</v>
      </c>
      <c r="E7198" s="16" t="s">
        <v>30</v>
      </c>
    </row>
    <row r="7199" spans="1:5" x14ac:dyDescent="0.25">
      <c r="A7199" s="14">
        <v>977462</v>
      </c>
      <c r="B7199" s="14" t="s">
        <v>7311</v>
      </c>
      <c r="C7199" s="14" t="s">
        <v>13029</v>
      </c>
      <c r="D7199" s="15">
        <v>53.33</v>
      </c>
      <c r="E7199" s="16" t="s">
        <v>30</v>
      </c>
    </row>
    <row r="7200" spans="1:5" x14ac:dyDescent="0.25">
      <c r="A7200" s="14">
        <v>977507</v>
      </c>
      <c r="B7200" s="14" t="s">
        <v>7312</v>
      </c>
      <c r="C7200" s="14" t="s">
        <v>13030</v>
      </c>
      <c r="D7200" s="15">
        <v>31.15</v>
      </c>
      <c r="E7200" s="16" t="s">
        <v>30</v>
      </c>
    </row>
    <row r="7201" spans="1:5" x14ac:dyDescent="0.25">
      <c r="A7201" s="14">
        <v>977508</v>
      </c>
      <c r="B7201" s="14" t="s">
        <v>7313</v>
      </c>
      <c r="C7201" s="14" t="s">
        <v>13030</v>
      </c>
      <c r="D7201" s="15">
        <v>32.4</v>
      </c>
      <c r="E7201" s="16" t="s">
        <v>30</v>
      </c>
    </row>
    <row r="7202" spans="1:5" x14ac:dyDescent="0.25">
      <c r="A7202" s="14">
        <v>977509</v>
      </c>
      <c r="B7202" s="14" t="s">
        <v>7314</v>
      </c>
      <c r="C7202" s="14" t="s">
        <v>13030</v>
      </c>
      <c r="D7202" s="15">
        <v>32.15</v>
      </c>
      <c r="E7202" s="16" t="s">
        <v>30</v>
      </c>
    </row>
    <row r="7203" spans="1:5" x14ac:dyDescent="0.25">
      <c r="A7203" s="14">
        <v>977510</v>
      </c>
      <c r="B7203" s="14" t="s">
        <v>7315</v>
      </c>
      <c r="C7203" s="14" t="s">
        <v>13029</v>
      </c>
      <c r="D7203" s="15">
        <v>38.07</v>
      </c>
      <c r="E7203" s="16" t="s">
        <v>30</v>
      </c>
    </row>
    <row r="7204" spans="1:5" x14ac:dyDescent="0.25">
      <c r="A7204" s="14">
        <v>977511</v>
      </c>
      <c r="B7204" s="14" t="s">
        <v>7316</v>
      </c>
      <c r="C7204" s="14" t="s">
        <v>13029</v>
      </c>
      <c r="D7204" s="15">
        <v>38.07</v>
      </c>
      <c r="E7204" s="16" t="s">
        <v>30</v>
      </c>
    </row>
    <row r="7205" spans="1:5" x14ac:dyDescent="0.25">
      <c r="A7205" s="14">
        <v>977512</v>
      </c>
      <c r="B7205" s="14" t="s">
        <v>7317</v>
      </c>
      <c r="C7205" s="14" t="s">
        <v>13029</v>
      </c>
      <c r="D7205" s="15">
        <v>38.07</v>
      </c>
      <c r="E7205" s="16" t="s">
        <v>30</v>
      </c>
    </row>
    <row r="7206" spans="1:5" x14ac:dyDescent="0.25">
      <c r="A7206" s="14">
        <v>977513</v>
      </c>
      <c r="B7206" s="14" t="s">
        <v>7318</v>
      </c>
      <c r="C7206" s="14" t="s">
        <v>13029</v>
      </c>
      <c r="D7206" s="15">
        <v>17.739999999999998</v>
      </c>
      <c r="E7206" s="16" t="s">
        <v>30</v>
      </c>
    </row>
    <row r="7207" spans="1:5" x14ac:dyDescent="0.25">
      <c r="A7207" s="14">
        <v>977600</v>
      </c>
      <c r="B7207" s="14" t="s">
        <v>7319</v>
      </c>
      <c r="C7207" s="14" t="s">
        <v>13030</v>
      </c>
      <c r="D7207" s="15">
        <v>27.05</v>
      </c>
      <c r="E7207" s="16" t="s">
        <v>30</v>
      </c>
    </row>
    <row r="7208" spans="1:5" x14ac:dyDescent="0.25">
      <c r="A7208" s="14">
        <v>977601</v>
      </c>
      <c r="B7208" s="14" t="s">
        <v>7320</v>
      </c>
      <c r="C7208" s="14" t="s">
        <v>13030</v>
      </c>
      <c r="D7208" s="15">
        <v>26.37</v>
      </c>
      <c r="E7208" s="16" t="s">
        <v>30</v>
      </c>
    </row>
    <row r="7209" spans="1:5" x14ac:dyDescent="0.25">
      <c r="A7209" s="14">
        <v>977603</v>
      </c>
      <c r="B7209" s="14" t="s">
        <v>7321</v>
      </c>
      <c r="C7209" s="14" t="s">
        <v>13029</v>
      </c>
      <c r="D7209" s="15">
        <v>18.690000000000001</v>
      </c>
      <c r="E7209" s="16" t="s">
        <v>30</v>
      </c>
    </row>
    <row r="7210" spans="1:5" x14ac:dyDescent="0.25">
      <c r="A7210" s="14">
        <v>977604</v>
      </c>
      <c r="B7210" s="14" t="s">
        <v>7322</v>
      </c>
      <c r="C7210" s="14" t="s">
        <v>13029</v>
      </c>
      <c r="D7210" s="15">
        <v>25.45</v>
      </c>
      <c r="E7210" s="16" t="s">
        <v>30</v>
      </c>
    </row>
    <row r="7211" spans="1:5" x14ac:dyDescent="0.25">
      <c r="A7211" s="14">
        <v>977605</v>
      </c>
      <c r="B7211" s="14" t="s">
        <v>7323</v>
      </c>
      <c r="C7211" s="14" t="s">
        <v>13029</v>
      </c>
      <c r="D7211" s="15">
        <v>7.22</v>
      </c>
      <c r="E7211" s="16" t="s">
        <v>30</v>
      </c>
    </row>
    <row r="7212" spans="1:5" x14ac:dyDescent="0.25">
      <c r="A7212" s="14">
        <v>977890</v>
      </c>
      <c r="B7212" s="14" t="s">
        <v>7324</v>
      </c>
      <c r="C7212" s="14" t="s">
        <v>13029</v>
      </c>
      <c r="D7212" s="15">
        <v>39.17</v>
      </c>
      <c r="E7212" s="16" t="s">
        <v>30</v>
      </c>
    </row>
    <row r="7213" spans="1:5" x14ac:dyDescent="0.25">
      <c r="A7213" s="14">
        <v>977891</v>
      </c>
      <c r="B7213" s="14" t="s">
        <v>7325</v>
      </c>
      <c r="C7213" s="14" t="s">
        <v>13029</v>
      </c>
      <c r="D7213" s="15">
        <v>39.17</v>
      </c>
      <c r="E7213" s="16" t="s">
        <v>30</v>
      </c>
    </row>
    <row r="7214" spans="1:5" x14ac:dyDescent="0.25">
      <c r="A7214" s="14">
        <v>977892</v>
      </c>
      <c r="B7214" s="14" t="s">
        <v>7326</v>
      </c>
      <c r="C7214" s="14" t="s">
        <v>13029</v>
      </c>
      <c r="D7214" s="15">
        <v>39.17</v>
      </c>
      <c r="E7214" s="16" t="s">
        <v>30</v>
      </c>
    </row>
    <row r="7215" spans="1:5" x14ac:dyDescent="0.25">
      <c r="A7215" s="14">
        <v>977893</v>
      </c>
      <c r="B7215" s="14" t="s">
        <v>7327</v>
      </c>
      <c r="C7215" s="14" t="s">
        <v>13029</v>
      </c>
      <c r="D7215" s="15">
        <v>39.17</v>
      </c>
      <c r="E7215" s="16" t="s">
        <v>30</v>
      </c>
    </row>
    <row r="7216" spans="1:5" x14ac:dyDescent="0.25">
      <c r="A7216" s="14">
        <v>977894</v>
      </c>
      <c r="B7216" s="14" t="s">
        <v>7328</v>
      </c>
      <c r="C7216" s="14" t="s">
        <v>13029</v>
      </c>
      <c r="D7216" s="15">
        <v>39.17</v>
      </c>
      <c r="E7216" s="16" t="s">
        <v>30</v>
      </c>
    </row>
    <row r="7217" spans="1:5" x14ac:dyDescent="0.25">
      <c r="A7217" s="14">
        <v>977895</v>
      </c>
      <c r="B7217" s="14" t="s">
        <v>7329</v>
      </c>
      <c r="C7217" s="14" t="s">
        <v>13029</v>
      </c>
      <c r="D7217" s="15">
        <v>39.17</v>
      </c>
      <c r="E7217" s="16" t="s">
        <v>30</v>
      </c>
    </row>
    <row r="7218" spans="1:5" x14ac:dyDescent="0.25">
      <c r="A7218" s="14">
        <v>977900</v>
      </c>
      <c r="B7218" s="14" t="s">
        <v>7330</v>
      </c>
      <c r="C7218" s="14" t="s">
        <v>13029</v>
      </c>
      <c r="D7218" s="15">
        <v>32.89</v>
      </c>
      <c r="E7218" s="16" t="s">
        <v>30</v>
      </c>
    </row>
    <row r="7219" spans="1:5" x14ac:dyDescent="0.25">
      <c r="A7219" s="14">
        <v>977901</v>
      </c>
      <c r="B7219" s="14" t="s">
        <v>7331</v>
      </c>
      <c r="C7219" s="14" t="s">
        <v>13031</v>
      </c>
      <c r="D7219" s="15">
        <v>15.08</v>
      </c>
      <c r="E7219" s="16" t="s">
        <v>30</v>
      </c>
    </row>
    <row r="7220" spans="1:5" x14ac:dyDescent="0.25">
      <c r="A7220" s="14">
        <v>977921</v>
      </c>
      <c r="B7220" s="14" t="s">
        <v>7332</v>
      </c>
      <c r="C7220" s="14" t="s">
        <v>13031</v>
      </c>
      <c r="D7220" s="15">
        <v>7.94</v>
      </c>
      <c r="E7220" s="16" t="s">
        <v>30</v>
      </c>
    </row>
    <row r="7221" spans="1:5" x14ac:dyDescent="0.25">
      <c r="A7221" s="14">
        <v>977922</v>
      </c>
      <c r="B7221" s="14" t="s">
        <v>7333</v>
      </c>
      <c r="C7221" s="14" t="s">
        <v>13031</v>
      </c>
      <c r="D7221" s="15">
        <v>64.8</v>
      </c>
      <c r="E7221" s="16" t="s">
        <v>30</v>
      </c>
    </row>
    <row r="7222" spans="1:5" x14ac:dyDescent="0.25">
      <c r="A7222" s="14">
        <v>977937</v>
      </c>
      <c r="B7222" s="14" t="s">
        <v>7334</v>
      </c>
      <c r="C7222" s="14" t="s">
        <v>13030</v>
      </c>
      <c r="D7222" s="15">
        <v>15.91</v>
      </c>
      <c r="E7222" s="16" t="s">
        <v>30</v>
      </c>
    </row>
    <row r="7223" spans="1:5" x14ac:dyDescent="0.25">
      <c r="A7223" s="14">
        <v>977938</v>
      </c>
      <c r="B7223" s="14" t="s">
        <v>7335</v>
      </c>
      <c r="C7223" s="14" t="s">
        <v>13030</v>
      </c>
      <c r="D7223" s="15">
        <v>77.760000000000005</v>
      </c>
      <c r="E7223" s="16" t="s">
        <v>30</v>
      </c>
    </row>
    <row r="7224" spans="1:5" x14ac:dyDescent="0.25">
      <c r="A7224" s="14">
        <v>977939</v>
      </c>
      <c r="B7224" s="14" t="s">
        <v>7336</v>
      </c>
      <c r="C7224" s="14" t="s">
        <v>13030</v>
      </c>
      <c r="D7224" s="15">
        <v>40.25</v>
      </c>
      <c r="E7224" s="16" t="s">
        <v>30</v>
      </c>
    </row>
    <row r="7225" spans="1:5" x14ac:dyDescent="0.25">
      <c r="A7225" s="14">
        <v>977943</v>
      </c>
      <c r="B7225" s="14" t="s">
        <v>7337</v>
      </c>
      <c r="C7225" s="14" t="s">
        <v>13029</v>
      </c>
      <c r="D7225" s="15">
        <v>11.85</v>
      </c>
      <c r="E7225" s="16" t="s">
        <v>30</v>
      </c>
    </row>
    <row r="7226" spans="1:5" x14ac:dyDescent="0.25">
      <c r="A7226" s="14">
        <v>977944</v>
      </c>
      <c r="B7226" s="14" t="s">
        <v>7338</v>
      </c>
      <c r="C7226" s="14" t="s">
        <v>13029</v>
      </c>
      <c r="D7226" s="15">
        <v>11.85</v>
      </c>
      <c r="E7226" s="16" t="s">
        <v>30</v>
      </c>
    </row>
    <row r="7227" spans="1:5" x14ac:dyDescent="0.25">
      <c r="A7227" s="14">
        <v>977945</v>
      </c>
      <c r="B7227" s="14" t="s">
        <v>7339</v>
      </c>
      <c r="C7227" s="14" t="s">
        <v>13029</v>
      </c>
      <c r="D7227" s="15">
        <v>11.85</v>
      </c>
      <c r="E7227" s="16" t="s">
        <v>30</v>
      </c>
    </row>
    <row r="7228" spans="1:5" x14ac:dyDescent="0.25">
      <c r="A7228" s="14">
        <v>977946</v>
      </c>
      <c r="B7228" s="14" t="s">
        <v>7340</v>
      </c>
      <c r="C7228" s="14" t="s">
        <v>13029</v>
      </c>
      <c r="D7228" s="15">
        <v>9.43</v>
      </c>
      <c r="E7228" s="16" t="s">
        <v>30</v>
      </c>
    </row>
    <row r="7229" spans="1:5" x14ac:dyDescent="0.25">
      <c r="A7229" s="14">
        <v>978179</v>
      </c>
      <c r="B7229" s="14" t="s">
        <v>7341</v>
      </c>
      <c r="C7229" s="14" t="s">
        <v>13031</v>
      </c>
      <c r="D7229" s="15">
        <v>4.3600000000000003</v>
      </c>
      <c r="E7229" s="16" t="s">
        <v>30</v>
      </c>
    </row>
    <row r="7230" spans="1:5" x14ac:dyDescent="0.25">
      <c r="A7230" s="14">
        <v>978180</v>
      </c>
      <c r="B7230" s="14" t="s">
        <v>7342</v>
      </c>
      <c r="C7230" s="14" t="s">
        <v>13031</v>
      </c>
      <c r="D7230" s="15">
        <v>4.76</v>
      </c>
      <c r="E7230" s="16" t="s">
        <v>30</v>
      </c>
    </row>
    <row r="7231" spans="1:5" x14ac:dyDescent="0.25">
      <c r="A7231" s="14">
        <v>978181</v>
      </c>
      <c r="B7231" s="14" t="s">
        <v>7343</v>
      </c>
      <c r="C7231" s="14" t="s">
        <v>13031</v>
      </c>
      <c r="D7231" s="15">
        <v>3.22</v>
      </c>
      <c r="E7231" s="16" t="s">
        <v>30</v>
      </c>
    </row>
    <row r="7232" spans="1:5" x14ac:dyDescent="0.25">
      <c r="A7232" s="14">
        <v>978182</v>
      </c>
      <c r="B7232" s="14" t="s">
        <v>7344</v>
      </c>
      <c r="C7232" s="14" t="s">
        <v>13031</v>
      </c>
      <c r="D7232" s="15">
        <v>2.82</v>
      </c>
      <c r="E7232" s="16" t="s">
        <v>30</v>
      </c>
    </row>
    <row r="7233" spans="1:5" x14ac:dyDescent="0.25">
      <c r="A7233" s="14">
        <v>978184</v>
      </c>
      <c r="B7233" s="14" t="s">
        <v>7345</v>
      </c>
      <c r="C7233" s="14" t="s">
        <v>13031</v>
      </c>
      <c r="D7233" s="15">
        <v>7.65</v>
      </c>
      <c r="E7233" s="16" t="s">
        <v>30</v>
      </c>
    </row>
    <row r="7234" spans="1:5" x14ac:dyDescent="0.25">
      <c r="A7234" s="14">
        <v>978220</v>
      </c>
      <c r="B7234" s="14" t="s">
        <v>7346</v>
      </c>
      <c r="C7234" s="14" t="s">
        <v>13031</v>
      </c>
      <c r="D7234" s="15">
        <v>10.45</v>
      </c>
      <c r="E7234" s="16" t="s">
        <v>30</v>
      </c>
    </row>
    <row r="7235" spans="1:5" x14ac:dyDescent="0.25">
      <c r="A7235" s="14">
        <v>978221</v>
      </c>
      <c r="B7235" s="14" t="s">
        <v>7347</v>
      </c>
      <c r="C7235" s="14" t="s">
        <v>13031</v>
      </c>
      <c r="D7235" s="15">
        <v>10.45</v>
      </c>
      <c r="E7235" s="16" t="s">
        <v>30</v>
      </c>
    </row>
    <row r="7236" spans="1:5" x14ac:dyDescent="0.25">
      <c r="A7236" s="14">
        <v>978222</v>
      </c>
      <c r="B7236" s="14" t="s">
        <v>7348</v>
      </c>
      <c r="C7236" s="14" t="s">
        <v>13031</v>
      </c>
      <c r="D7236" s="15">
        <v>8.7899999999999991</v>
      </c>
      <c r="E7236" s="16" t="s">
        <v>30</v>
      </c>
    </row>
    <row r="7237" spans="1:5" x14ac:dyDescent="0.25">
      <c r="A7237" s="14">
        <v>978223</v>
      </c>
      <c r="B7237" s="14" t="s">
        <v>7349</v>
      </c>
      <c r="C7237" s="14" t="s">
        <v>13031</v>
      </c>
      <c r="D7237" s="15">
        <v>7.97</v>
      </c>
      <c r="E7237" s="16" t="s">
        <v>30</v>
      </c>
    </row>
    <row r="7238" spans="1:5" x14ac:dyDescent="0.25">
      <c r="A7238" s="14">
        <v>978588</v>
      </c>
      <c r="B7238" s="14" t="s">
        <v>7350</v>
      </c>
      <c r="C7238" s="14" t="s">
        <v>13029</v>
      </c>
      <c r="D7238" s="15">
        <v>5.45</v>
      </c>
      <c r="E7238" s="16" t="s">
        <v>30</v>
      </c>
    </row>
    <row r="7239" spans="1:5" x14ac:dyDescent="0.25">
      <c r="A7239" s="14">
        <v>978589</v>
      </c>
      <c r="B7239" s="14" t="s">
        <v>7351</v>
      </c>
      <c r="C7239" s="14" t="s">
        <v>13029</v>
      </c>
      <c r="D7239" s="15">
        <v>5.45</v>
      </c>
      <c r="E7239" s="16" t="s">
        <v>30</v>
      </c>
    </row>
    <row r="7240" spans="1:5" x14ac:dyDescent="0.25">
      <c r="A7240" s="14">
        <v>978590</v>
      </c>
      <c r="B7240" s="14" t="s">
        <v>7352</v>
      </c>
      <c r="C7240" s="14" t="s">
        <v>13029</v>
      </c>
      <c r="D7240" s="15">
        <v>5.45</v>
      </c>
      <c r="E7240" s="16" t="s">
        <v>30</v>
      </c>
    </row>
    <row r="7241" spans="1:5" x14ac:dyDescent="0.25">
      <c r="A7241" s="14">
        <v>978592</v>
      </c>
      <c r="B7241" s="14" t="s">
        <v>7353</v>
      </c>
      <c r="C7241" s="14" t="s">
        <v>13029</v>
      </c>
      <c r="D7241" s="15">
        <v>8.0500000000000007</v>
      </c>
      <c r="E7241" s="16" t="s">
        <v>30</v>
      </c>
    </row>
    <row r="7242" spans="1:5" x14ac:dyDescent="0.25">
      <c r="A7242" s="14">
        <v>979241</v>
      </c>
      <c r="B7242" s="14" t="s">
        <v>7354</v>
      </c>
      <c r="C7242" s="14" t="s">
        <v>13029</v>
      </c>
      <c r="D7242" s="15">
        <v>40.28</v>
      </c>
      <c r="E7242" s="16" t="s">
        <v>30</v>
      </c>
    </row>
    <row r="7243" spans="1:5" x14ac:dyDescent="0.25">
      <c r="A7243" s="14">
        <v>979373</v>
      </c>
      <c r="B7243" s="14" t="s">
        <v>7355</v>
      </c>
      <c r="C7243" s="14" t="s">
        <v>13029</v>
      </c>
      <c r="D7243" s="15">
        <v>12.68</v>
      </c>
      <c r="E7243" s="16" t="s">
        <v>30</v>
      </c>
    </row>
    <row r="7244" spans="1:5" x14ac:dyDescent="0.25">
      <c r="A7244" s="14">
        <v>979374</v>
      </c>
      <c r="B7244" s="14" t="s">
        <v>7356</v>
      </c>
      <c r="C7244" s="14" t="s">
        <v>13029</v>
      </c>
      <c r="D7244" s="15">
        <v>12.68</v>
      </c>
      <c r="E7244" s="16" t="s">
        <v>30</v>
      </c>
    </row>
    <row r="7245" spans="1:5" x14ac:dyDescent="0.25">
      <c r="A7245" s="14">
        <v>979375</v>
      </c>
      <c r="B7245" s="14" t="s">
        <v>7357</v>
      </c>
      <c r="C7245" s="14" t="s">
        <v>13029</v>
      </c>
      <c r="D7245" s="15">
        <v>12.68</v>
      </c>
      <c r="E7245" s="16" t="s">
        <v>30</v>
      </c>
    </row>
    <row r="7246" spans="1:5" x14ac:dyDescent="0.25">
      <c r="A7246" s="14">
        <v>979376</v>
      </c>
      <c r="B7246" s="14" t="s">
        <v>7358</v>
      </c>
      <c r="C7246" s="14" t="s">
        <v>13029</v>
      </c>
      <c r="D7246" s="15">
        <v>36.17</v>
      </c>
      <c r="E7246" s="16" t="s">
        <v>30</v>
      </c>
    </row>
    <row r="7247" spans="1:5" x14ac:dyDescent="0.25">
      <c r="A7247" s="14">
        <v>979377</v>
      </c>
      <c r="B7247" s="14" t="s">
        <v>7359</v>
      </c>
      <c r="C7247" s="14" t="s">
        <v>13029</v>
      </c>
      <c r="D7247" s="15">
        <v>36.17</v>
      </c>
      <c r="E7247" s="16" t="s">
        <v>30</v>
      </c>
    </row>
    <row r="7248" spans="1:5" x14ac:dyDescent="0.25">
      <c r="A7248" s="14">
        <v>979378</v>
      </c>
      <c r="B7248" s="14" t="s">
        <v>7360</v>
      </c>
      <c r="C7248" s="14" t="s">
        <v>13029</v>
      </c>
      <c r="D7248" s="15">
        <v>36.17</v>
      </c>
      <c r="E7248" s="16" t="s">
        <v>30</v>
      </c>
    </row>
    <row r="7249" spans="1:5" x14ac:dyDescent="0.25">
      <c r="A7249" s="14">
        <v>979379</v>
      </c>
      <c r="B7249" s="14" t="s">
        <v>7361</v>
      </c>
      <c r="C7249" s="14" t="s">
        <v>13029</v>
      </c>
      <c r="D7249" s="15">
        <v>36.17</v>
      </c>
      <c r="E7249" s="16" t="s">
        <v>30</v>
      </c>
    </row>
    <row r="7250" spans="1:5" x14ac:dyDescent="0.25">
      <c r="A7250" s="14">
        <v>979380</v>
      </c>
      <c r="B7250" s="14" t="s">
        <v>7362</v>
      </c>
      <c r="C7250" s="14" t="s">
        <v>13029</v>
      </c>
      <c r="D7250" s="15">
        <v>31.72</v>
      </c>
      <c r="E7250" s="16" t="s">
        <v>30</v>
      </c>
    </row>
    <row r="7251" spans="1:5" x14ac:dyDescent="0.25">
      <c r="A7251" s="14">
        <v>979381</v>
      </c>
      <c r="B7251" s="14" t="s">
        <v>7363</v>
      </c>
      <c r="C7251" s="14" t="s">
        <v>13029</v>
      </c>
      <c r="D7251" s="15">
        <v>30.44</v>
      </c>
      <c r="E7251" s="16" t="s">
        <v>30</v>
      </c>
    </row>
    <row r="7252" spans="1:5" x14ac:dyDescent="0.25">
      <c r="A7252" s="14">
        <v>979389</v>
      </c>
      <c r="B7252" s="14" t="s">
        <v>7364</v>
      </c>
      <c r="C7252" s="14" t="s">
        <v>13030</v>
      </c>
      <c r="D7252" s="15">
        <v>22.16</v>
      </c>
      <c r="E7252" s="16" t="s">
        <v>30</v>
      </c>
    </row>
    <row r="7253" spans="1:5" x14ac:dyDescent="0.25">
      <c r="A7253" s="14">
        <v>979390</v>
      </c>
      <c r="B7253" s="14" t="s">
        <v>7365</v>
      </c>
      <c r="C7253" s="14" t="s">
        <v>13030</v>
      </c>
      <c r="D7253" s="15">
        <v>22.16</v>
      </c>
      <c r="E7253" s="16" t="s">
        <v>30</v>
      </c>
    </row>
    <row r="7254" spans="1:5" x14ac:dyDescent="0.25">
      <c r="A7254" s="14">
        <v>979391</v>
      </c>
      <c r="B7254" s="14" t="s">
        <v>7366</v>
      </c>
      <c r="C7254" s="14" t="s">
        <v>13030</v>
      </c>
      <c r="D7254" s="15">
        <v>40</v>
      </c>
      <c r="E7254" s="16" t="s">
        <v>30</v>
      </c>
    </row>
    <row r="7255" spans="1:5" x14ac:dyDescent="0.25">
      <c r="A7255" s="14">
        <v>979392</v>
      </c>
      <c r="B7255" s="14" t="s">
        <v>7367</v>
      </c>
      <c r="C7255" s="14" t="s">
        <v>13030</v>
      </c>
      <c r="D7255" s="15">
        <v>34.26</v>
      </c>
      <c r="E7255" s="16" t="s">
        <v>30</v>
      </c>
    </row>
    <row r="7256" spans="1:5" x14ac:dyDescent="0.25">
      <c r="A7256" s="14">
        <v>979393</v>
      </c>
      <c r="B7256" s="14" t="s">
        <v>7368</v>
      </c>
      <c r="C7256" s="14" t="s">
        <v>13030</v>
      </c>
      <c r="D7256" s="15">
        <v>35.799999999999997</v>
      </c>
      <c r="E7256" s="16" t="s">
        <v>30</v>
      </c>
    </row>
    <row r="7257" spans="1:5" x14ac:dyDescent="0.25">
      <c r="A7257" s="14">
        <v>979394</v>
      </c>
      <c r="B7257" s="14" t="s">
        <v>7369</v>
      </c>
      <c r="C7257" s="14" t="s">
        <v>13030</v>
      </c>
      <c r="D7257" s="15">
        <v>46.51</v>
      </c>
      <c r="E7257" s="16" t="s">
        <v>30</v>
      </c>
    </row>
    <row r="7258" spans="1:5" x14ac:dyDescent="0.25">
      <c r="A7258" s="14">
        <v>979395</v>
      </c>
      <c r="B7258" s="14" t="s">
        <v>7370</v>
      </c>
      <c r="C7258" s="14" t="s">
        <v>13030</v>
      </c>
      <c r="D7258" s="15">
        <v>68.069999999999993</v>
      </c>
      <c r="E7258" s="16" t="s">
        <v>30</v>
      </c>
    </row>
    <row r="7259" spans="1:5" x14ac:dyDescent="0.25">
      <c r="A7259" s="14">
        <v>979396</v>
      </c>
      <c r="B7259" s="14" t="s">
        <v>7371</v>
      </c>
      <c r="C7259" s="14" t="s">
        <v>13030</v>
      </c>
      <c r="D7259" s="15">
        <v>57.85</v>
      </c>
      <c r="E7259" s="16" t="s">
        <v>30</v>
      </c>
    </row>
    <row r="7260" spans="1:5" x14ac:dyDescent="0.25">
      <c r="A7260" s="14">
        <v>979397</v>
      </c>
      <c r="B7260" s="14" t="s">
        <v>7372</v>
      </c>
      <c r="C7260" s="14" t="s">
        <v>13030</v>
      </c>
      <c r="D7260" s="15">
        <v>60.56</v>
      </c>
      <c r="E7260" s="16" t="s">
        <v>30</v>
      </c>
    </row>
    <row r="7261" spans="1:5" x14ac:dyDescent="0.25">
      <c r="A7261" s="14">
        <v>979398</v>
      </c>
      <c r="B7261" s="14" t="s">
        <v>7373</v>
      </c>
      <c r="C7261" s="14" t="s">
        <v>13030</v>
      </c>
      <c r="D7261" s="15">
        <v>61.01</v>
      </c>
      <c r="E7261" s="16" t="s">
        <v>30</v>
      </c>
    </row>
    <row r="7262" spans="1:5" x14ac:dyDescent="0.25">
      <c r="A7262" s="14">
        <v>979399</v>
      </c>
      <c r="B7262" s="14" t="s">
        <v>7374</v>
      </c>
      <c r="C7262" s="14" t="s">
        <v>13030</v>
      </c>
      <c r="D7262" s="15">
        <v>57.85</v>
      </c>
      <c r="E7262" s="16" t="s">
        <v>30</v>
      </c>
    </row>
    <row r="7263" spans="1:5" x14ac:dyDescent="0.25">
      <c r="A7263" s="14">
        <v>979400</v>
      </c>
      <c r="B7263" s="14" t="s">
        <v>7375</v>
      </c>
      <c r="C7263" s="14" t="s">
        <v>13030</v>
      </c>
      <c r="D7263" s="15">
        <v>57.59</v>
      </c>
      <c r="E7263" s="16" t="s">
        <v>30</v>
      </c>
    </row>
    <row r="7264" spans="1:5" x14ac:dyDescent="0.25">
      <c r="A7264" s="14">
        <v>979403</v>
      </c>
      <c r="B7264" s="14" t="s">
        <v>7376</v>
      </c>
      <c r="C7264" s="14" t="s">
        <v>13030</v>
      </c>
      <c r="D7264" s="15">
        <v>26.29</v>
      </c>
      <c r="E7264" s="16" t="s">
        <v>30</v>
      </c>
    </row>
    <row r="7265" spans="1:5" x14ac:dyDescent="0.25">
      <c r="A7265" s="14">
        <v>979404</v>
      </c>
      <c r="B7265" s="14" t="s">
        <v>7377</v>
      </c>
      <c r="C7265" s="14" t="s">
        <v>13030</v>
      </c>
      <c r="D7265" s="15">
        <v>27.93</v>
      </c>
      <c r="E7265" s="16" t="s">
        <v>30</v>
      </c>
    </row>
    <row r="7266" spans="1:5" x14ac:dyDescent="0.25">
      <c r="A7266" s="14">
        <v>979405</v>
      </c>
      <c r="B7266" s="14" t="s">
        <v>7378</v>
      </c>
      <c r="C7266" s="14" t="s">
        <v>13030</v>
      </c>
      <c r="D7266" s="15">
        <v>24.2</v>
      </c>
      <c r="E7266" s="16" t="s">
        <v>30</v>
      </c>
    </row>
    <row r="7267" spans="1:5" x14ac:dyDescent="0.25">
      <c r="A7267" s="14">
        <v>979406</v>
      </c>
      <c r="B7267" s="14" t="s">
        <v>7379</v>
      </c>
      <c r="C7267" s="14" t="s">
        <v>13030</v>
      </c>
      <c r="D7267" s="15">
        <v>24.2</v>
      </c>
      <c r="E7267" s="16" t="s">
        <v>30</v>
      </c>
    </row>
    <row r="7268" spans="1:5" x14ac:dyDescent="0.25">
      <c r="A7268" s="14">
        <v>979407</v>
      </c>
      <c r="B7268" s="14" t="s">
        <v>7380</v>
      </c>
      <c r="C7268" s="14" t="s">
        <v>13030</v>
      </c>
      <c r="D7268" s="15">
        <v>24.2</v>
      </c>
      <c r="E7268" s="16" t="s">
        <v>30</v>
      </c>
    </row>
    <row r="7269" spans="1:5" x14ac:dyDescent="0.25">
      <c r="A7269" s="14">
        <v>979408</v>
      </c>
      <c r="B7269" s="14" t="s">
        <v>7381</v>
      </c>
      <c r="C7269" s="14" t="s">
        <v>13030</v>
      </c>
      <c r="D7269" s="15">
        <v>39.549999999999997</v>
      </c>
      <c r="E7269" s="16" t="s">
        <v>30</v>
      </c>
    </row>
    <row r="7270" spans="1:5" x14ac:dyDescent="0.25">
      <c r="A7270" s="14">
        <v>979409</v>
      </c>
      <c r="B7270" s="14" t="s">
        <v>7382</v>
      </c>
      <c r="C7270" s="14" t="s">
        <v>13030</v>
      </c>
      <c r="D7270" s="15">
        <v>41.62</v>
      </c>
      <c r="E7270" s="16" t="s">
        <v>30</v>
      </c>
    </row>
    <row r="7271" spans="1:5" x14ac:dyDescent="0.25">
      <c r="A7271" s="14">
        <v>979410</v>
      </c>
      <c r="B7271" s="14" t="s">
        <v>7383</v>
      </c>
      <c r="C7271" s="14" t="s">
        <v>13030</v>
      </c>
      <c r="D7271" s="15">
        <v>21.67</v>
      </c>
      <c r="E7271" s="16" t="s">
        <v>30</v>
      </c>
    </row>
    <row r="7272" spans="1:5" x14ac:dyDescent="0.25">
      <c r="A7272" s="14">
        <v>979412</v>
      </c>
      <c r="B7272" s="14" t="s">
        <v>7384</v>
      </c>
      <c r="C7272" s="14" t="s">
        <v>13030</v>
      </c>
      <c r="D7272" s="15">
        <v>27.49</v>
      </c>
      <c r="E7272" s="16" t="s">
        <v>30</v>
      </c>
    </row>
    <row r="7273" spans="1:5" x14ac:dyDescent="0.25">
      <c r="A7273" s="14">
        <v>979413</v>
      </c>
      <c r="B7273" s="14" t="s">
        <v>7385</v>
      </c>
      <c r="C7273" s="14" t="s">
        <v>13030</v>
      </c>
      <c r="D7273" s="15">
        <v>27.49</v>
      </c>
      <c r="E7273" s="16" t="s">
        <v>30</v>
      </c>
    </row>
    <row r="7274" spans="1:5" x14ac:dyDescent="0.25">
      <c r="A7274" s="14">
        <v>979414</v>
      </c>
      <c r="B7274" s="14" t="s">
        <v>7386</v>
      </c>
      <c r="C7274" s="14" t="s">
        <v>13030</v>
      </c>
      <c r="D7274" s="15">
        <v>27.49</v>
      </c>
      <c r="E7274" s="16" t="s">
        <v>30</v>
      </c>
    </row>
    <row r="7275" spans="1:5" x14ac:dyDescent="0.25">
      <c r="A7275" s="14">
        <v>979415</v>
      </c>
      <c r="B7275" s="14" t="s">
        <v>7387</v>
      </c>
      <c r="C7275" s="14" t="s">
        <v>13030</v>
      </c>
      <c r="D7275" s="15">
        <v>40.229999999999997</v>
      </c>
      <c r="E7275" s="16" t="s">
        <v>30</v>
      </c>
    </row>
    <row r="7276" spans="1:5" x14ac:dyDescent="0.25">
      <c r="A7276" s="14">
        <v>979416</v>
      </c>
      <c r="B7276" s="14" t="s">
        <v>7388</v>
      </c>
      <c r="C7276" s="14" t="s">
        <v>13030</v>
      </c>
      <c r="D7276" s="15">
        <v>40.229999999999997</v>
      </c>
      <c r="E7276" s="16" t="s">
        <v>30</v>
      </c>
    </row>
    <row r="7277" spans="1:5" x14ac:dyDescent="0.25">
      <c r="A7277" s="14">
        <v>979417</v>
      </c>
      <c r="B7277" s="14" t="s">
        <v>7389</v>
      </c>
      <c r="C7277" s="14" t="s">
        <v>13030</v>
      </c>
      <c r="D7277" s="15">
        <v>40.229999999999997</v>
      </c>
      <c r="E7277" s="16" t="s">
        <v>30</v>
      </c>
    </row>
    <row r="7278" spans="1:5" x14ac:dyDescent="0.25">
      <c r="A7278" s="14">
        <v>979435</v>
      </c>
      <c r="B7278" s="14" t="s">
        <v>7390</v>
      </c>
      <c r="C7278" s="14" t="s">
        <v>13029</v>
      </c>
      <c r="D7278" s="15">
        <v>11.47</v>
      </c>
      <c r="E7278" s="16" t="s">
        <v>30</v>
      </c>
    </row>
    <row r="7279" spans="1:5" x14ac:dyDescent="0.25">
      <c r="A7279" s="14">
        <v>979436</v>
      </c>
      <c r="B7279" s="14" t="s">
        <v>7391</v>
      </c>
      <c r="C7279" s="14" t="s">
        <v>13029</v>
      </c>
      <c r="D7279" s="15">
        <v>7.65</v>
      </c>
      <c r="E7279" s="14" t="s">
        <v>30</v>
      </c>
    </row>
    <row r="7280" spans="1:5" x14ac:dyDescent="0.25">
      <c r="A7280" s="14">
        <v>979437</v>
      </c>
      <c r="B7280" s="14" t="s">
        <v>7392</v>
      </c>
      <c r="C7280" s="14" t="s">
        <v>13029</v>
      </c>
      <c r="D7280" s="15">
        <v>7.65</v>
      </c>
      <c r="E7280" s="14" t="s">
        <v>30</v>
      </c>
    </row>
    <row r="7281" spans="1:5" x14ac:dyDescent="0.25">
      <c r="A7281" s="14">
        <v>979438</v>
      </c>
      <c r="B7281" s="14" t="s">
        <v>7393</v>
      </c>
      <c r="C7281" s="14" t="s">
        <v>13031</v>
      </c>
      <c r="D7281" s="15">
        <v>11.54</v>
      </c>
      <c r="E7281" s="16" t="s">
        <v>30</v>
      </c>
    </row>
    <row r="7282" spans="1:5" x14ac:dyDescent="0.25">
      <c r="A7282" s="14">
        <v>979439</v>
      </c>
      <c r="B7282" s="14" t="s">
        <v>7394</v>
      </c>
      <c r="C7282" s="14" t="s">
        <v>13031</v>
      </c>
      <c r="D7282" s="15">
        <v>379.6</v>
      </c>
      <c r="E7282" s="16" t="s">
        <v>30</v>
      </c>
    </row>
    <row r="7283" spans="1:5" x14ac:dyDescent="0.25">
      <c r="A7283" s="14">
        <v>979440</v>
      </c>
      <c r="B7283" s="14" t="s">
        <v>7395</v>
      </c>
      <c r="C7283" s="14" t="s">
        <v>13031</v>
      </c>
      <c r="D7283" s="15">
        <v>45.92</v>
      </c>
      <c r="E7283" s="16" t="s">
        <v>30</v>
      </c>
    </row>
    <row r="7284" spans="1:5" x14ac:dyDescent="0.25">
      <c r="A7284" s="14">
        <v>979997</v>
      </c>
      <c r="B7284" s="14" t="s">
        <v>7396</v>
      </c>
      <c r="C7284" s="14" t="s">
        <v>13030</v>
      </c>
      <c r="D7284" s="15">
        <v>49.33</v>
      </c>
      <c r="E7284" s="16" t="s">
        <v>30</v>
      </c>
    </row>
    <row r="7285" spans="1:5" x14ac:dyDescent="0.25">
      <c r="A7285" s="14">
        <v>980000</v>
      </c>
      <c r="B7285" s="14" t="s">
        <v>7397</v>
      </c>
      <c r="C7285" s="14" t="s">
        <v>13030</v>
      </c>
      <c r="D7285" s="15">
        <v>61.59</v>
      </c>
      <c r="E7285" s="16" t="s">
        <v>30</v>
      </c>
    </row>
    <row r="7286" spans="1:5" x14ac:dyDescent="0.25">
      <c r="A7286" s="14">
        <v>980001</v>
      </c>
      <c r="B7286" s="14" t="s">
        <v>7398</v>
      </c>
      <c r="C7286" s="14" t="s">
        <v>13030</v>
      </c>
      <c r="D7286" s="15">
        <v>15.13</v>
      </c>
      <c r="E7286" s="16" t="s">
        <v>30</v>
      </c>
    </row>
    <row r="7287" spans="1:5" x14ac:dyDescent="0.25">
      <c r="A7287" s="14">
        <v>980002</v>
      </c>
      <c r="B7287" s="14" t="s">
        <v>7399</v>
      </c>
      <c r="C7287" s="14" t="s">
        <v>13031</v>
      </c>
      <c r="D7287" s="15">
        <v>21.89</v>
      </c>
      <c r="E7287" s="16" t="s">
        <v>30</v>
      </c>
    </row>
    <row r="7288" spans="1:5" x14ac:dyDescent="0.25">
      <c r="A7288" s="14">
        <v>980003</v>
      </c>
      <c r="B7288" s="14" t="s">
        <v>7400</v>
      </c>
      <c r="C7288" s="14" t="s">
        <v>13031</v>
      </c>
      <c r="D7288" s="15">
        <v>20.65</v>
      </c>
      <c r="E7288" s="16" t="s">
        <v>30</v>
      </c>
    </row>
    <row r="7289" spans="1:5" x14ac:dyDescent="0.25">
      <c r="A7289" s="14">
        <v>980009</v>
      </c>
      <c r="B7289" s="14" t="s">
        <v>7401</v>
      </c>
      <c r="C7289" s="14" t="s">
        <v>13031</v>
      </c>
      <c r="D7289" s="15">
        <v>4.58</v>
      </c>
      <c r="E7289" s="16" t="s">
        <v>30</v>
      </c>
    </row>
    <row r="7290" spans="1:5" x14ac:dyDescent="0.25">
      <c r="A7290" s="14">
        <v>980013</v>
      </c>
      <c r="B7290" s="14" t="s">
        <v>7402</v>
      </c>
      <c r="C7290" s="14" t="s">
        <v>13031</v>
      </c>
      <c r="D7290" s="15">
        <v>9.4</v>
      </c>
      <c r="E7290" s="16" t="s">
        <v>30</v>
      </c>
    </row>
    <row r="7291" spans="1:5" x14ac:dyDescent="0.25">
      <c r="A7291" s="14">
        <v>980064</v>
      </c>
      <c r="B7291" s="14" t="s">
        <v>7403</v>
      </c>
      <c r="C7291" s="14" t="s">
        <v>13029</v>
      </c>
      <c r="D7291" s="15">
        <v>2.2599999999999998</v>
      </c>
      <c r="E7291" s="16" t="s">
        <v>30</v>
      </c>
    </row>
    <row r="7292" spans="1:5" x14ac:dyDescent="0.25">
      <c r="A7292" s="14">
        <v>980065</v>
      </c>
      <c r="B7292" s="14" t="s">
        <v>7404</v>
      </c>
      <c r="C7292" s="14" t="s">
        <v>13029</v>
      </c>
      <c r="D7292" s="15">
        <v>2.2599999999999998</v>
      </c>
      <c r="E7292" s="16" t="s">
        <v>30</v>
      </c>
    </row>
    <row r="7293" spans="1:5" x14ac:dyDescent="0.25">
      <c r="A7293" s="14">
        <v>980066</v>
      </c>
      <c r="B7293" s="14" t="s">
        <v>7405</v>
      </c>
      <c r="C7293" s="14" t="s">
        <v>13029</v>
      </c>
      <c r="D7293" s="15">
        <v>2.2599999999999998</v>
      </c>
      <c r="E7293" s="16" t="s">
        <v>30</v>
      </c>
    </row>
    <row r="7294" spans="1:5" x14ac:dyDescent="0.25">
      <c r="A7294" s="14">
        <v>980067</v>
      </c>
      <c r="B7294" s="14" t="s">
        <v>7406</v>
      </c>
      <c r="C7294" s="14" t="s">
        <v>13029</v>
      </c>
      <c r="D7294" s="15">
        <v>3.88</v>
      </c>
      <c r="E7294" s="16" t="s">
        <v>30</v>
      </c>
    </row>
    <row r="7295" spans="1:5" x14ac:dyDescent="0.25">
      <c r="A7295" s="14">
        <v>980068</v>
      </c>
      <c r="B7295" s="14" t="s">
        <v>7407</v>
      </c>
      <c r="C7295" s="14" t="s">
        <v>13029</v>
      </c>
      <c r="D7295" s="15">
        <v>3.88</v>
      </c>
      <c r="E7295" s="16" t="s">
        <v>30</v>
      </c>
    </row>
    <row r="7296" spans="1:5" x14ac:dyDescent="0.25">
      <c r="A7296" s="14">
        <v>980069</v>
      </c>
      <c r="B7296" s="14" t="s">
        <v>7408</v>
      </c>
      <c r="C7296" s="14" t="s">
        <v>13029</v>
      </c>
      <c r="D7296" s="15">
        <v>3.88</v>
      </c>
      <c r="E7296" s="16" t="s">
        <v>30</v>
      </c>
    </row>
    <row r="7297" spans="1:5" x14ac:dyDescent="0.25">
      <c r="A7297" s="14">
        <v>980070</v>
      </c>
      <c r="B7297" s="14" t="s">
        <v>7409</v>
      </c>
      <c r="C7297" s="14" t="s">
        <v>13029</v>
      </c>
      <c r="D7297" s="15">
        <v>3.88</v>
      </c>
      <c r="E7297" s="16" t="s">
        <v>30</v>
      </c>
    </row>
    <row r="7298" spans="1:5" x14ac:dyDescent="0.25">
      <c r="A7298" s="14">
        <v>980071</v>
      </c>
      <c r="B7298" s="14" t="s">
        <v>7410</v>
      </c>
      <c r="C7298" s="14" t="s">
        <v>13029</v>
      </c>
      <c r="D7298" s="15">
        <v>5.2</v>
      </c>
      <c r="E7298" s="16" t="s">
        <v>30</v>
      </c>
    </row>
    <row r="7299" spans="1:5" x14ac:dyDescent="0.25">
      <c r="A7299" s="14">
        <v>980072</v>
      </c>
      <c r="B7299" s="14" t="s">
        <v>7411</v>
      </c>
      <c r="C7299" s="14" t="s">
        <v>13029</v>
      </c>
      <c r="D7299" s="15">
        <v>5.75</v>
      </c>
      <c r="E7299" s="16" t="s">
        <v>30</v>
      </c>
    </row>
    <row r="7300" spans="1:5" x14ac:dyDescent="0.25">
      <c r="A7300" s="14">
        <v>980073</v>
      </c>
      <c r="B7300" s="14" t="s">
        <v>7412</v>
      </c>
      <c r="C7300" s="14" t="s">
        <v>13029</v>
      </c>
      <c r="D7300" s="15">
        <v>6.25</v>
      </c>
      <c r="E7300" s="16" t="s">
        <v>30</v>
      </c>
    </row>
    <row r="7301" spans="1:5" x14ac:dyDescent="0.25">
      <c r="A7301" s="14">
        <v>980074</v>
      </c>
      <c r="B7301" s="14" t="s">
        <v>7413</v>
      </c>
      <c r="C7301" s="14" t="s">
        <v>13029</v>
      </c>
      <c r="D7301" s="15">
        <v>5.2</v>
      </c>
      <c r="E7301" s="16" t="s">
        <v>30</v>
      </c>
    </row>
    <row r="7302" spans="1:5" x14ac:dyDescent="0.25">
      <c r="A7302" s="14">
        <v>980075</v>
      </c>
      <c r="B7302" s="14" t="s">
        <v>7414</v>
      </c>
      <c r="C7302" s="14" t="s">
        <v>13029</v>
      </c>
      <c r="D7302" s="15">
        <v>5.2</v>
      </c>
      <c r="E7302" s="16" t="s">
        <v>30</v>
      </c>
    </row>
    <row r="7303" spans="1:5" x14ac:dyDescent="0.25">
      <c r="A7303" s="14">
        <v>980076</v>
      </c>
      <c r="B7303" s="14" t="s">
        <v>7415</v>
      </c>
      <c r="C7303" s="14" t="s">
        <v>13029</v>
      </c>
      <c r="D7303" s="15">
        <v>5.2</v>
      </c>
      <c r="E7303" s="16" t="s">
        <v>30</v>
      </c>
    </row>
    <row r="7304" spans="1:5" x14ac:dyDescent="0.25">
      <c r="A7304" s="14">
        <v>980737</v>
      </c>
      <c r="B7304" s="14" t="s">
        <v>7416</v>
      </c>
      <c r="C7304" s="14" t="s">
        <v>13037</v>
      </c>
      <c r="D7304" s="15">
        <v>0.03</v>
      </c>
      <c r="E7304" s="16" t="s">
        <v>30</v>
      </c>
    </row>
    <row r="7305" spans="1:5" x14ac:dyDescent="0.25">
      <c r="A7305" s="14">
        <v>980738</v>
      </c>
      <c r="B7305" s="14" t="s">
        <v>7417</v>
      </c>
      <c r="C7305" s="14" t="s">
        <v>13037</v>
      </c>
      <c r="D7305" s="15">
        <v>0.03</v>
      </c>
      <c r="E7305" s="16" t="s">
        <v>30</v>
      </c>
    </row>
    <row r="7306" spans="1:5" x14ac:dyDescent="0.25">
      <c r="A7306" s="14">
        <v>981089</v>
      </c>
      <c r="B7306" s="14" t="s">
        <v>7418</v>
      </c>
      <c r="C7306" s="14" t="s">
        <v>13030</v>
      </c>
      <c r="D7306" s="15">
        <v>28.74</v>
      </c>
      <c r="E7306" s="16" t="s">
        <v>30</v>
      </c>
    </row>
    <row r="7307" spans="1:5" x14ac:dyDescent="0.25">
      <c r="A7307" s="14">
        <v>981090</v>
      </c>
      <c r="B7307" s="14" t="s">
        <v>7419</v>
      </c>
      <c r="C7307" s="14" t="s">
        <v>13030</v>
      </c>
      <c r="D7307" s="15">
        <v>50.36</v>
      </c>
      <c r="E7307" s="16" t="s">
        <v>30</v>
      </c>
    </row>
    <row r="7308" spans="1:5" x14ac:dyDescent="0.25">
      <c r="A7308" s="14">
        <v>981103</v>
      </c>
      <c r="B7308" s="14" t="s">
        <v>7420</v>
      </c>
      <c r="C7308" s="14" t="s">
        <v>13031</v>
      </c>
      <c r="D7308" s="15">
        <v>10.72</v>
      </c>
      <c r="E7308" s="16" t="s">
        <v>30</v>
      </c>
    </row>
    <row r="7309" spans="1:5" x14ac:dyDescent="0.25">
      <c r="A7309" s="14">
        <v>981104</v>
      </c>
      <c r="B7309" s="14" t="s">
        <v>7421</v>
      </c>
      <c r="C7309" s="14" t="s">
        <v>13031</v>
      </c>
      <c r="D7309" s="15">
        <v>15.61</v>
      </c>
      <c r="E7309" s="16" t="s">
        <v>30</v>
      </c>
    </row>
    <row r="7310" spans="1:5" x14ac:dyDescent="0.25">
      <c r="A7310" s="14">
        <v>981105</v>
      </c>
      <c r="B7310" s="14" t="s">
        <v>7422</v>
      </c>
      <c r="C7310" s="14" t="s">
        <v>13031</v>
      </c>
      <c r="D7310" s="15">
        <v>5.89</v>
      </c>
      <c r="E7310" s="16" t="s">
        <v>30</v>
      </c>
    </row>
    <row r="7311" spans="1:5" x14ac:dyDescent="0.25">
      <c r="A7311" s="14">
        <v>981106</v>
      </c>
      <c r="B7311" s="14" t="s">
        <v>7423</v>
      </c>
      <c r="C7311" s="14" t="s">
        <v>13031</v>
      </c>
      <c r="D7311" s="15">
        <v>8.5</v>
      </c>
      <c r="E7311" s="16" t="s">
        <v>30</v>
      </c>
    </row>
    <row r="7312" spans="1:5" x14ac:dyDescent="0.25">
      <c r="A7312" s="14">
        <v>981107</v>
      </c>
      <c r="B7312" s="14" t="s">
        <v>7424</v>
      </c>
      <c r="C7312" s="14" t="s">
        <v>13031</v>
      </c>
      <c r="D7312" s="15">
        <v>15.68</v>
      </c>
      <c r="E7312" s="16" t="s">
        <v>30</v>
      </c>
    </row>
    <row r="7313" spans="1:5" x14ac:dyDescent="0.25">
      <c r="A7313" s="14">
        <v>981108</v>
      </c>
      <c r="B7313" s="14" t="s">
        <v>7425</v>
      </c>
      <c r="C7313" s="14" t="s">
        <v>13031</v>
      </c>
      <c r="D7313" s="15">
        <v>7</v>
      </c>
      <c r="E7313" s="16" t="s">
        <v>30</v>
      </c>
    </row>
    <row r="7314" spans="1:5" x14ac:dyDescent="0.25">
      <c r="A7314" s="14">
        <v>981109</v>
      </c>
      <c r="B7314" s="14" t="s">
        <v>7426</v>
      </c>
      <c r="C7314" s="14" t="s">
        <v>13031</v>
      </c>
      <c r="D7314" s="15">
        <v>29</v>
      </c>
      <c r="E7314" s="16" t="s">
        <v>30</v>
      </c>
    </row>
    <row r="7315" spans="1:5" x14ac:dyDescent="0.25">
      <c r="A7315" s="14">
        <v>981110</v>
      </c>
      <c r="B7315" s="14" t="s">
        <v>7427</v>
      </c>
      <c r="C7315" s="14" t="s">
        <v>13031</v>
      </c>
      <c r="D7315" s="15">
        <v>7.11</v>
      </c>
      <c r="E7315" s="16" t="s">
        <v>30</v>
      </c>
    </row>
    <row r="7316" spans="1:5" x14ac:dyDescent="0.25">
      <c r="A7316" s="14">
        <v>981111</v>
      </c>
      <c r="B7316" s="14" t="s">
        <v>7428</v>
      </c>
      <c r="C7316" s="14" t="s">
        <v>13031</v>
      </c>
      <c r="D7316" s="15">
        <v>7.61</v>
      </c>
      <c r="E7316" s="16" t="s">
        <v>30</v>
      </c>
    </row>
    <row r="7317" spans="1:5" x14ac:dyDescent="0.25">
      <c r="A7317" s="14">
        <v>981112</v>
      </c>
      <c r="B7317" s="14" t="s">
        <v>7429</v>
      </c>
      <c r="C7317" s="14" t="s">
        <v>13031</v>
      </c>
      <c r="D7317" s="15">
        <v>7.61</v>
      </c>
      <c r="E7317" s="16" t="s">
        <v>30</v>
      </c>
    </row>
    <row r="7318" spans="1:5" x14ac:dyDescent="0.25">
      <c r="A7318" s="14">
        <v>981113</v>
      </c>
      <c r="B7318" s="14" t="s">
        <v>7430</v>
      </c>
      <c r="C7318" s="14" t="s">
        <v>13031</v>
      </c>
      <c r="D7318" s="15">
        <v>10.55</v>
      </c>
      <c r="E7318" s="16" t="s">
        <v>30</v>
      </c>
    </row>
    <row r="7319" spans="1:5" x14ac:dyDescent="0.25">
      <c r="A7319" s="14">
        <v>981114</v>
      </c>
      <c r="B7319" s="14" t="s">
        <v>7431</v>
      </c>
      <c r="C7319" s="14" t="s">
        <v>13031</v>
      </c>
      <c r="D7319" s="15">
        <v>10.39</v>
      </c>
      <c r="E7319" s="16" t="s">
        <v>30</v>
      </c>
    </row>
    <row r="7320" spans="1:5" x14ac:dyDescent="0.25">
      <c r="A7320" s="14">
        <v>981115</v>
      </c>
      <c r="B7320" s="14" t="s">
        <v>7432</v>
      </c>
      <c r="C7320" s="14" t="s">
        <v>13031</v>
      </c>
      <c r="D7320" s="15">
        <v>11.83</v>
      </c>
      <c r="E7320" s="16" t="s">
        <v>30</v>
      </c>
    </row>
    <row r="7321" spans="1:5" x14ac:dyDescent="0.25">
      <c r="A7321" s="14">
        <v>981116</v>
      </c>
      <c r="B7321" s="14" t="s">
        <v>7433</v>
      </c>
      <c r="C7321" s="14" t="s">
        <v>13031</v>
      </c>
      <c r="D7321" s="15">
        <v>10.72</v>
      </c>
      <c r="E7321" s="16" t="s">
        <v>30</v>
      </c>
    </row>
    <row r="7322" spans="1:5" x14ac:dyDescent="0.25">
      <c r="A7322" s="14">
        <v>981117</v>
      </c>
      <c r="B7322" s="14" t="s">
        <v>7434</v>
      </c>
      <c r="C7322" s="14" t="s">
        <v>13031</v>
      </c>
      <c r="D7322" s="15">
        <v>12.61</v>
      </c>
      <c r="E7322" s="16" t="s">
        <v>30</v>
      </c>
    </row>
    <row r="7323" spans="1:5" x14ac:dyDescent="0.25">
      <c r="A7323" s="14">
        <v>981118</v>
      </c>
      <c r="B7323" s="14" t="s">
        <v>7435</v>
      </c>
      <c r="C7323" s="14" t="s">
        <v>13031</v>
      </c>
      <c r="D7323" s="15">
        <v>5.5</v>
      </c>
      <c r="E7323" s="16" t="s">
        <v>30</v>
      </c>
    </row>
    <row r="7324" spans="1:5" x14ac:dyDescent="0.25">
      <c r="A7324" s="14">
        <v>968953</v>
      </c>
      <c r="B7324" s="14" t="s">
        <v>7436</v>
      </c>
      <c r="C7324" s="14" t="s">
        <v>13031</v>
      </c>
      <c r="D7324" s="15">
        <v>6.56</v>
      </c>
      <c r="E7324" s="16" t="s">
        <v>20</v>
      </c>
    </row>
    <row r="7325" spans="1:5" x14ac:dyDescent="0.25">
      <c r="A7325" s="14">
        <v>981119</v>
      </c>
      <c r="B7325" s="14" t="s">
        <v>7437</v>
      </c>
      <c r="C7325" s="14" t="s">
        <v>13031</v>
      </c>
      <c r="D7325" s="15">
        <v>4.4400000000000004</v>
      </c>
      <c r="E7325" s="16" t="s">
        <v>30</v>
      </c>
    </row>
    <row r="7326" spans="1:5" x14ac:dyDescent="0.25">
      <c r="A7326" s="14">
        <v>981126</v>
      </c>
      <c r="B7326" s="14" t="s">
        <v>7438</v>
      </c>
      <c r="C7326" s="14" t="s">
        <v>13030</v>
      </c>
      <c r="D7326" s="15">
        <v>165</v>
      </c>
      <c r="E7326" s="16" t="s">
        <v>30</v>
      </c>
    </row>
    <row r="7327" spans="1:5" x14ac:dyDescent="0.25">
      <c r="A7327" s="14">
        <v>981127</v>
      </c>
      <c r="B7327" s="14" t="s">
        <v>7439</v>
      </c>
      <c r="C7327" s="14" t="s">
        <v>13030</v>
      </c>
      <c r="D7327" s="15">
        <v>88</v>
      </c>
      <c r="E7327" s="16" t="s">
        <v>30</v>
      </c>
    </row>
    <row r="7328" spans="1:5" x14ac:dyDescent="0.25">
      <c r="A7328" s="14">
        <v>981128</v>
      </c>
      <c r="B7328" s="14" t="s">
        <v>7440</v>
      </c>
      <c r="C7328" s="14" t="s">
        <v>13030</v>
      </c>
      <c r="D7328" s="15">
        <v>12.83</v>
      </c>
      <c r="E7328" s="16" t="s">
        <v>30</v>
      </c>
    </row>
    <row r="7329" spans="1:5" x14ac:dyDescent="0.25">
      <c r="A7329" s="14">
        <v>981129</v>
      </c>
      <c r="B7329" s="14" t="s">
        <v>7441</v>
      </c>
      <c r="C7329" s="14" t="s">
        <v>13030</v>
      </c>
      <c r="D7329" s="15">
        <v>41.71</v>
      </c>
      <c r="E7329" s="16" t="s">
        <v>30</v>
      </c>
    </row>
    <row r="7330" spans="1:5" x14ac:dyDescent="0.25">
      <c r="A7330" s="14">
        <v>981130</v>
      </c>
      <c r="B7330" s="14" t="s">
        <v>7442</v>
      </c>
      <c r="C7330" s="14" t="s">
        <v>13030</v>
      </c>
      <c r="D7330" s="15">
        <v>41.71</v>
      </c>
      <c r="E7330" s="16" t="s">
        <v>30</v>
      </c>
    </row>
    <row r="7331" spans="1:5" x14ac:dyDescent="0.25">
      <c r="A7331" s="14">
        <v>981131</v>
      </c>
      <c r="B7331" s="14" t="s">
        <v>7443</v>
      </c>
      <c r="C7331" s="14" t="s">
        <v>13030</v>
      </c>
      <c r="D7331" s="15">
        <v>31.68</v>
      </c>
      <c r="E7331" s="16" t="s">
        <v>30</v>
      </c>
    </row>
    <row r="7332" spans="1:5" x14ac:dyDescent="0.25">
      <c r="A7332" s="14">
        <v>981132</v>
      </c>
      <c r="B7332" s="14" t="s">
        <v>7444</v>
      </c>
      <c r="C7332" s="14" t="s">
        <v>13030</v>
      </c>
      <c r="D7332" s="15">
        <v>20.239999999999998</v>
      </c>
      <c r="E7332" s="16" t="s">
        <v>30</v>
      </c>
    </row>
    <row r="7333" spans="1:5" x14ac:dyDescent="0.25">
      <c r="A7333" s="14">
        <v>981133</v>
      </c>
      <c r="B7333" s="14" t="s">
        <v>7445</v>
      </c>
      <c r="C7333" s="14" t="s">
        <v>13030</v>
      </c>
      <c r="D7333" s="15">
        <v>25.05</v>
      </c>
      <c r="E7333" s="16" t="s">
        <v>30</v>
      </c>
    </row>
    <row r="7334" spans="1:5" x14ac:dyDescent="0.25">
      <c r="A7334" s="14">
        <v>981134</v>
      </c>
      <c r="B7334" s="14" t="s">
        <v>7446</v>
      </c>
      <c r="C7334" s="14" t="s">
        <v>13030</v>
      </c>
      <c r="D7334" s="15">
        <v>25.05</v>
      </c>
      <c r="E7334" s="16" t="s">
        <v>30</v>
      </c>
    </row>
    <row r="7335" spans="1:5" x14ac:dyDescent="0.25">
      <c r="A7335" s="14">
        <v>981135</v>
      </c>
      <c r="B7335" s="14" t="s">
        <v>7447</v>
      </c>
      <c r="C7335" s="14" t="s">
        <v>13031</v>
      </c>
      <c r="D7335" s="15">
        <v>15.26</v>
      </c>
      <c r="E7335" s="16" t="s">
        <v>30</v>
      </c>
    </row>
    <row r="7336" spans="1:5" x14ac:dyDescent="0.25">
      <c r="A7336" s="14">
        <v>981481</v>
      </c>
      <c r="B7336" s="14" t="s">
        <v>7448</v>
      </c>
      <c r="C7336" s="14" t="s">
        <v>13031</v>
      </c>
      <c r="D7336" s="15">
        <v>5.5</v>
      </c>
      <c r="E7336" s="16" t="s">
        <v>30</v>
      </c>
    </row>
    <row r="7337" spans="1:5" x14ac:dyDescent="0.25">
      <c r="A7337" s="14">
        <v>981626</v>
      </c>
      <c r="B7337" s="14" t="s">
        <v>7449</v>
      </c>
      <c r="C7337" s="14" t="s">
        <v>13029</v>
      </c>
      <c r="D7337" s="15">
        <v>74.69</v>
      </c>
      <c r="E7337" s="16" t="s">
        <v>30</v>
      </c>
    </row>
    <row r="7338" spans="1:5" x14ac:dyDescent="0.25">
      <c r="A7338" s="14">
        <v>981631</v>
      </c>
      <c r="B7338" s="14" t="s">
        <v>7450</v>
      </c>
      <c r="C7338" s="14" t="s">
        <v>13030</v>
      </c>
      <c r="D7338" s="15">
        <v>69.42</v>
      </c>
      <c r="E7338" s="16" t="s">
        <v>30</v>
      </c>
    </row>
    <row r="7339" spans="1:5" x14ac:dyDescent="0.25">
      <c r="A7339" s="14">
        <v>981635</v>
      </c>
      <c r="B7339" s="14" t="s">
        <v>7451</v>
      </c>
      <c r="C7339" s="14" t="s">
        <v>13030</v>
      </c>
      <c r="D7339" s="15">
        <v>20.88</v>
      </c>
      <c r="E7339" s="16" t="s">
        <v>30</v>
      </c>
    </row>
    <row r="7340" spans="1:5" x14ac:dyDescent="0.25">
      <c r="A7340" s="14">
        <v>981901</v>
      </c>
      <c r="B7340" s="14" t="s">
        <v>7452</v>
      </c>
      <c r="C7340" s="14" t="s">
        <v>13031</v>
      </c>
      <c r="D7340" s="15">
        <v>24.49</v>
      </c>
      <c r="E7340" s="16" t="s">
        <v>30</v>
      </c>
    </row>
    <row r="7341" spans="1:5" x14ac:dyDescent="0.25">
      <c r="A7341" s="14">
        <v>981903</v>
      </c>
      <c r="B7341" s="14" t="s">
        <v>7453</v>
      </c>
      <c r="C7341" s="14" t="s">
        <v>13031</v>
      </c>
      <c r="D7341" s="15">
        <v>7.88</v>
      </c>
      <c r="E7341" s="16" t="s">
        <v>30</v>
      </c>
    </row>
    <row r="7342" spans="1:5" x14ac:dyDescent="0.25">
      <c r="A7342" s="14">
        <v>981905</v>
      </c>
      <c r="B7342" s="14" t="s">
        <v>7454</v>
      </c>
      <c r="C7342" s="14" t="s">
        <v>13031</v>
      </c>
      <c r="D7342" s="15">
        <v>2.2000000000000002</v>
      </c>
      <c r="E7342" s="16" t="s">
        <v>30</v>
      </c>
    </row>
    <row r="7343" spans="1:5" x14ac:dyDescent="0.25">
      <c r="A7343" s="14">
        <v>981906</v>
      </c>
      <c r="B7343" s="14" t="s">
        <v>7455</v>
      </c>
      <c r="C7343" s="14" t="s">
        <v>13031</v>
      </c>
      <c r="D7343" s="15">
        <v>2.2000000000000002</v>
      </c>
      <c r="E7343" s="16" t="s">
        <v>30</v>
      </c>
    </row>
    <row r="7344" spans="1:5" x14ac:dyDescent="0.25">
      <c r="A7344" s="14">
        <v>981907</v>
      </c>
      <c r="B7344" s="14" t="s">
        <v>7456</v>
      </c>
      <c r="C7344" s="14" t="s">
        <v>13031</v>
      </c>
      <c r="D7344" s="15">
        <v>1.21</v>
      </c>
      <c r="E7344" s="16" t="s">
        <v>30</v>
      </c>
    </row>
    <row r="7345" spans="1:5" x14ac:dyDescent="0.25">
      <c r="A7345" s="14">
        <v>981908</v>
      </c>
      <c r="B7345" s="14" t="s">
        <v>7457</v>
      </c>
      <c r="C7345" s="14" t="s">
        <v>13031</v>
      </c>
      <c r="D7345" s="15">
        <v>1.38</v>
      </c>
      <c r="E7345" s="16" t="s">
        <v>30</v>
      </c>
    </row>
    <row r="7346" spans="1:5" x14ac:dyDescent="0.25">
      <c r="A7346" s="14">
        <v>981909</v>
      </c>
      <c r="B7346" s="14" t="s">
        <v>7458</v>
      </c>
      <c r="C7346" s="14" t="s">
        <v>13031</v>
      </c>
      <c r="D7346" s="15">
        <v>1.1000000000000001</v>
      </c>
      <c r="E7346" s="16" t="s">
        <v>30</v>
      </c>
    </row>
    <row r="7347" spans="1:5" x14ac:dyDescent="0.25">
      <c r="A7347" s="14">
        <v>981910</v>
      </c>
      <c r="B7347" s="14" t="s">
        <v>7459</v>
      </c>
      <c r="C7347" s="14" t="s">
        <v>13031</v>
      </c>
      <c r="D7347" s="15">
        <v>2.48</v>
      </c>
      <c r="E7347" s="16" t="s">
        <v>30</v>
      </c>
    </row>
    <row r="7348" spans="1:5" x14ac:dyDescent="0.25">
      <c r="A7348" s="14">
        <v>981918</v>
      </c>
      <c r="B7348" s="14" t="s">
        <v>7460</v>
      </c>
      <c r="C7348" s="14" t="s">
        <v>13030</v>
      </c>
      <c r="D7348" s="15">
        <v>8.16</v>
      </c>
      <c r="E7348" s="16" t="s">
        <v>30</v>
      </c>
    </row>
    <row r="7349" spans="1:5" x14ac:dyDescent="0.25">
      <c r="A7349" s="14">
        <v>981919</v>
      </c>
      <c r="B7349" s="14" t="s">
        <v>7461</v>
      </c>
      <c r="C7349" s="14" t="s">
        <v>13030</v>
      </c>
      <c r="D7349" s="15">
        <v>4.96</v>
      </c>
      <c r="E7349" s="16" t="s">
        <v>30</v>
      </c>
    </row>
    <row r="7350" spans="1:5" x14ac:dyDescent="0.25">
      <c r="A7350" s="14">
        <v>981920</v>
      </c>
      <c r="B7350" s="14" t="s">
        <v>7462</v>
      </c>
      <c r="C7350" s="14" t="s">
        <v>13030</v>
      </c>
      <c r="D7350" s="15">
        <v>3.68</v>
      </c>
      <c r="E7350" s="16" t="s">
        <v>30</v>
      </c>
    </row>
    <row r="7351" spans="1:5" x14ac:dyDescent="0.25">
      <c r="A7351" s="14">
        <v>981937</v>
      </c>
      <c r="B7351" s="14" t="s">
        <v>7463</v>
      </c>
      <c r="C7351" s="14" t="s">
        <v>13030</v>
      </c>
      <c r="D7351" s="15">
        <v>59.4</v>
      </c>
      <c r="E7351" s="16" t="s">
        <v>30</v>
      </c>
    </row>
    <row r="7352" spans="1:5" x14ac:dyDescent="0.25">
      <c r="A7352" s="14">
        <v>981938</v>
      </c>
      <c r="B7352" s="14" t="s">
        <v>7464</v>
      </c>
      <c r="C7352" s="14" t="s">
        <v>13030</v>
      </c>
      <c r="D7352" s="15">
        <v>61.55</v>
      </c>
      <c r="E7352" s="16" t="s">
        <v>30</v>
      </c>
    </row>
    <row r="7353" spans="1:5" x14ac:dyDescent="0.25">
      <c r="A7353" s="14">
        <v>982349</v>
      </c>
      <c r="B7353" s="14" t="s">
        <v>7465</v>
      </c>
      <c r="C7353" s="14" t="s">
        <v>13029</v>
      </c>
      <c r="D7353" s="15">
        <v>39.090000000000003</v>
      </c>
      <c r="E7353" s="16" t="s">
        <v>30</v>
      </c>
    </row>
    <row r="7354" spans="1:5" x14ac:dyDescent="0.25">
      <c r="A7354" s="14">
        <v>982350</v>
      </c>
      <c r="B7354" s="14" t="s">
        <v>7466</v>
      </c>
      <c r="C7354" s="14" t="s">
        <v>13029</v>
      </c>
      <c r="D7354" s="15">
        <v>36.840000000000003</v>
      </c>
      <c r="E7354" s="16" t="s">
        <v>30</v>
      </c>
    </row>
    <row r="7355" spans="1:5" x14ac:dyDescent="0.25">
      <c r="A7355" s="14">
        <v>982351</v>
      </c>
      <c r="B7355" s="14" t="s">
        <v>7467</v>
      </c>
      <c r="C7355" s="14" t="s">
        <v>13029</v>
      </c>
      <c r="D7355" s="15">
        <v>36.840000000000003</v>
      </c>
      <c r="E7355" s="16" t="s">
        <v>30</v>
      </c>
    </row>
    <row r="7356" spans="1:5" x14ac:dyDescent="0.25">
      <c r="A7356" s="14">
        <v>982352</v>
      </c>
      <c r="B7356" s="14" t="s">
        <v>7468</v>
      </c>
      <c r="C7356" s="14" t="s">
        <v>13029</v>
      </c>
      <c r="D7356" s="15">
        <v>36.840000000000003</v>
      </c>
      <c r="E7356" s="16" t="s">
        <v>30</v>
      </c>
    </row>
    <row r="7357" spans="1:5" x14ac:dyDescent="0.25">
      <c r="A7357" s="14">
        <v>982374</v>
      </c>
      <c r="B7357" s="14" t="s">
        <v>7469</v>
      </c>
      <c r="C7357" s="14" t="s">
        <v>13029</v>
      </c>
      <c r="D7357" s="15">
        <v>41.31</v>
      </c>
      <c r="E7357" s="16" t="s">
        <v>30</v>
      </c>
    </row>
    <row r="7358" spans="1:5" x14ac:dyDescent="0.25">
      <c r="A7358" s="14">
        <v>982375</v>
      </c>
      <c r="B7358" s="14" t="s">
        <v>7470</v>
      </c>
      <c r="C7358" s="14" t="s">
        <v>13029</v>
      </c>
      <c r="D7358" s="15">
        <v>41.31</v>
      </c>
      <c r="E7358" s="16" t="s">
        <v>30</v>
      </c>
    </row>
    <row r="7359" spans="1:5" x14ac:dyDescent="0.25">
      <c r="A7359" s="14">
        <v>982376</v>
      </c>
      <c r="B7359" s="14" t="s">
        <v>7471</v>
      </c>
      <c r="C7359" s="14" t="s">
        <v>13029</v>
      </c>
      <c r="D7359" s="15">
        <v>41.31</v>
      </c>
      <c r="E7359" s="16" t="s">
        <v>30</v>
      </c>
    </row>
    <row r="7360" spans="1:5" x14ac:dyDescent="0.25">
      <c r="A7360" s="14">
        <v>982377</v>
      </c>
      <c r="B7360" s="14" t="s">
        <v>7472</v>
      </c>
      <c r="C7360" s="14" t="s">
        <v>13029</v>
      </c>
      <c r="D7360" s="15">
        <v>41.31</v>
      </c>
      <c r="E7360" s="16" t="s">
        <v>30</v>
      </c>
    </row>
    <row r="7361" spans="1:5" x14ac:dyDescent="0.25">
      <c r="A7361" s="14">
        <v>982378</v>
      </c>
      <c r="B7361" s="14" t="s">
        <v>7473</v>
      </c>
      <c r="C7361" s="14" t="s">
        <v>13029</v>
      </c>
      <c r="D7361" s="15">
        <v>41.31</v>
      </c>
      <c r="E7361" s="16" t="s">
        <v>30</v>
      </c>
    </row>
    <row r="7362" spans="1:5" x14ac:dyDescent="0.25">
      <c r="A7362" s="14">
        <v>983154</v>
      </c>
      <c r="B7362" s="14" t="s">
        <v>7474</v>
      </c>
      <c r="C7362" s="14" t="s">
        <v>13031</v>
      </c>
      <c r="D7362" s="15">
        <v>3.49</v>
      </c>
      <c r="E7362" s="16" t="s">
        <v>30</v>
      </c>
    </row>
    <row r="7363" spans="1:5" x14ac:dyDescent="0.25">
      <c r="A7363" s="14">
        <v>983155</v>
      </c>
      <c r="B7363" s="14" t="s">
        <v>7475</v>
      </c>
      <c r="C7363" s="14" t="s">
        <v>13031</v>
      </c>
      <c r="D7363" s="15">
        <v>3.49</v>
      </c>
      <c r="E7363" s="16" t="s">
        <v>30</v>
      </c>
    </row>
    <row r="7364" spans="1:5" x14ac:dyDescent="0.25">
      <c r="A7364" s="14">
        <v>983156</v>
      </c>
      <c r="B7364" s="14" t="s">
        <v>7476</v>
      </c>
      <c r="C7364" s="14" t="s">
        <v>13031</v>
      </c>
      <c r="D7364" s="15">
        <v>6.12</v>
      </c>
      <c r="E7364" s="16" t="s">
        <v>30</v>
      </c>
    </row>
    <row r="7365" spans="1:5" x14ac:dyDescent="0.25">
      <c r="A7365" s="14">
        <v>983157</v>
      </c>
      <c r="B7365" s="14" t="s">
        <v>7477</v>
      </c>
      <c r="C7365" s="14" t="s">
        <v>13031</v>
      </c>
      <c r="D7365" s="15">
        <v>6.12</v>
      </c>
      <c r="E7365" s="16" t="s">
        <v>30</v>
      </c>
    </row>
    <row r="7366" spans="1:5" x14ac:dyDescent="0.25">
      <c r="A7366" s="14">
        <v>983193</v>
      </c>
      <c r="B7366" s="14" t="s">
        <v>7478</v>
      </c>
      <c r="C7366" s="14" t="s">
        <v>13029</v>
      </c>
      <c r="D7366" s="15">
        <v>26.63</v>
      </c>
      <c r="E7366" s="16" t="s">
        <v>30</v>
      </c>
    </row>
    <row r="7367" spans="1:5" x14ac:dyDescent="0.25">
      <c r="A7367" s="14">
        <v>983194</v>
      </c>
      <c r="B7367" s="14" t="s">
        <v>7479</v>
      </c>
      <c r="C7367" s="14" t="s">
        <v>13029</v>
      </c>
      <c r="D7367" s="15">
        <v>26.63</v>
      </c>
      <c r="E7367" s="16" t="s">
        <v>30</v>
      </c>
    </row>
    <row r="7368" spans="1:5" x14ac:dyDescent="0.25">
      <c r="A7368" s="14">
        <v>983197</v>
      </c>
      <c r="B7368" s="14" t="s">
        <v>7480</v>
      </c>
      <c r="C7368" s="14" t="s">
        <v>13031</v>
      </c>
      <c r="D7368" s="15">
        <v>9.43</v>
      </c>
      <c r="E7368" s="16" t="s">
        <v>30</v>
      </c>
    </row>
    <row r="7369" spans="1:5" x14ac:dyDescent="0.25">
      <c r="A7369" s="14">
        <v>983198</v>
      </c>
      <c r="B7369" s="14" t="s">
        <v>7481</v>
      </c>
      <c r="C7369" s="14" t="s">
        <v>13031</v>
      </c>
      <c r="D7369" s="15">
        <v>9.43</v>
      </c>
      <c r="E7369" s="16" t="s">
        <v>30</v>
      </c>
    </row>
    <row r="7370" spans="1:5" x14ac:dyDescent="0.25">
      <c r="A7370" s="14">
        <v>983199</v>
      </c>
      <c r="B7370" s="14" t="s">
        <v>7482</v>
      </c>
      <c r="C7370" s="14" t="s">
        <v>13031</v>
      </c>
      <c r="D7370" s="15">
        <v>8.25</v>
      </c>
      <c r="E7370" s="16" t="s">
        <v>30</v>
      </c>
    </row>
    <row r="7371" spans="1:5" x14ac:dyDescent="0.25">
      <c r="A7371" s="14">
        <v>983200</v>
      </c>
      <c r="B7371" s="14" t="s">
        <v>7483</v>
      </c>
      <c r="C7371" s="14" t="s">
        <v>13031</v>
      </c>
      <c r="D7371" s="15">
        <v>17</v>
      </c>
      <c r="E7371" s="16" t="s">
        <v>30</v>
      </c>
    </row>
    <row r="7372" spans="1:5" x14ac:dyDescent="0.25">
      <c r="A7372" s="14">
        <v>983686</v>
      </c>
      <c r="B7372" s="14" t="s">
        <v>7484</v>
      </c>
      <c r="C7372" s="14" t="s">
        <v>13030</v>
      </c>
      <c r="D7372" s="15">
        <v>100.69</v>
      </c>
      <c r="E7372" s="16" t="s">
        <v>30</v>
      </c>
    </row>
    <row r="7373" spans="1:5" x14ac:dyDescent="0.25">
      <c r="A7373" s="14">
        <v>983687</v>
      </c>
      <c r="B7373" s="14" t="s">
        <v>7485</v>
      </c>
      <c r="C7373" s="14" t="s">
        <v>13030</v>
      </c>
      <c r="D7373" s="15">
        <v>100.69</v>
      </c>
      <c r="E7373" s="16" t="s">
        <v>30</v>
      </c>
    </row>
    <row r="7374" spans="1:5" x14ac:dyDescent="0.25">
      <c r="A7374" s="14">
        <v>983688</v>
      </c>
      <c r="B7374" s="14" t="s">
        <v>7486</v>
      </c>
      <c r="C7374" s="14" t="s">
        <v>13030</v>
      </c>
      <c r="D7374" s="15">
        <v>73.069999999999993</v>
      </c>
      <c r="E7374" s="16" t="s">
        <v>30</v>
      </c>
    </row>
    <row r="7375" spans="1:5" x14ac:dyDescent="0.25">
      <c r="A7375" s="14">
        <v>983699</v>
      </c>
      <c r="B7375" s="14" t="s">
        <v>7487</v>
      </c>
      <c r="C7375" s="14" t="s">
        <v>13029</v>
      </c>
      <c r="D7375" s="15">
        <v>23.05</v>
      </c>
      <c r="E7375" s="16" t="s">
        <v>30</v>
      </c>
    </row>
    <row r="7376" spans="1:5" x14ac:dyDescent="0.25">
      <c r="A7376" s="14">
        <v>983700</v>
      </c>
      <c r="B7376" s="14" t="s">
        <v>7488</v>
      </c>
      <c r="C7376" s="14" t="s">
        <v>13029</v>
      </c>
      <c r="D7376" s="15">
        <v>14.98</v>
      </c>
      <c r="E7376" s="16" t="s">
        <v>30</v>
      </c>
    </row>
    <row r="7377" spans="1:5" x14ac:dyDescent="0.25">
      <c r="A7377" s="14">
        <v>983715</v>
      </c>
      <c r="B7377" s="14" t="s">
        <v>7489</v>
      </c>
      <c r="C7377" s="14" t="s">
        <v>13029</v>
      </c>
      <c r="D7377" s="15">
        <v>29.42</v>
      </c>
      <c r="E7377" s="16" t="s">
        <v>30</v>
      </c>
    </row>
    <row r="7378" spans="1:5" x14ac:dyDescent="0.25">
      <c r="A7378" s="14">
        <v>983716</v>
      </c>
      <c r="B7378" s="14" t="s">
        <v>7490</v>
      </c>
      <c r="C7378" s="14" t="s">
        <v>13029</v>
      </c>
      <c r="D7378" s="15">
        <v>4.83</v>
      </c>
      <c r="E7378" s="16" t="s">
        <v>30</v>
      </c>
    </row>
    <row r="7379" spans="1:5" x14ac:dyDescent="0.25">
      <c r="A7379" s="14">
        <v>983857</v>
      </c>
      <c r="B7379" s="14" t="s">
        <v>7491</v>
      </c>
      <c r="C7379" s="14" t="s">
        <v>13031</v>
      </c>
      <c r="D7379" s="15">
        <v>6.29</v>
      </c>
      <c r="E7379" s="16" t="s">
        <v>30</v>
      </c>
    </row>
    <row r="7380" spans="1:5" x14ac:dyDescent="0.25">
      <c r="A7380" s="14">
        <v>983898</v>
      </c>
      <c r="B7380" s="14" t="s">
        <v>7492</v>
      </c>
      <c r="C7380" s="14" t="s">
        <v>13029</v>
      </c>
      <c r="D7380" s="15">
        <v>7.49</v>
      </c>
      <c r="E7380" s="16" t="s">
        <v>30</v>
      </c>
    </row>
    <row r="7381" spans="1:5" x14ac:dyDescent="0.25">
      <c r="A7381" s="14">
        <v>983899</v>
      </c>
      <c r="B7381" s="14" t="s">
        <v>7493</v>
      </c>
      <c r="C7381" s="14" t="s">
        <v>13029</v>
      </c>
      <c r="D7381" s="15">
        <v>7.49</v>
      </c>
      <c r="E7381" s="16" t="s">
        <v>30</v>
      </c>
    </row>
    <row r="7382" spans="1:5" x14ac:dyDescent="0.25">
      <c r="A7382" s="14">
        <v>983900</v>
      </c>
      <c r="B7382" s="14" t="s">
        <v>7494</v>
      </c>
      <c r="C7382" s="14" t="s">
        <v>13029</v>
      </c>
      <c r="D7382" s="15">
        <v>7.49</v>
      </c>
      <c r="E7382" s="16" t="s">
        <v>30</v>
      </c>
    </row>
    <row r="7383" spans="1:5" x14ac:dyDescent="0.25">
      <c r="A7383" s="14">
        <v>983901</v>
      </c>
      <c r="B7383" s="14" t="s">
        <v>7495</v>
      </c>
      <c r="C7383" s="14" t="s">
        <v>13029</v>
      </c>
      <c r="D7383" s="15">
        <v>7.49</v>
      </c>
      <c r="E7383" s="16" t="s">
        <v>30</v>
      </c>
    </row>
    <row r="7384" spans="1:5" x14ac:dyDescent="0.25">
      <c r="A7384" s="14">
        <v>983922</v>
      </c>
      <c r="B7384" s="14" t="s">
        <v>7496</v>
      </c>
      <c r="C7384" s="14" t="s">
        <v>13031</v>
      </c>
      <c r="D7384" s="15">
        <v>5.4</v>
      </c>
      <c r="E7384" s="16" t="s">
        <v>30</v>
      </c>
    </row>
    <row r="7385" spans="1:5" x14ac:dyDescent="0.25">
      <c r="A7385" s="14">
        <v>983923</v>
      </c>
      <c r="B7385" s="14" t="s">
        <v>7497</v>
      </c>
      <c r="C7385" s="14" t="s">
        <v>13031</v>
      </c>
      <c r="D7385" s="15">
        <v>5.4</v>
      </c>
      <c r="E7385" s="16" t="s">
        <v>30</v>
      </c>
    </row>
    <row r="7386" spans="1:5" x14ac:dyDescent="0.25">
      <c r="A7386" s="14">
        <v>983926</v>
      </c>
      <c r="B7386" s="14" t="s">
        <v>7498</v>
      </c>
      <c r="C7386" s="14" t="s">
        <v>13031</v>
      </c>
      <c r="D7386" s="15">
        <v>4.4000000000000004</v>
      </c>
      <c r="E7386" s="16" t="s">
        <v>30</v>
      </c>
    </row>
    <row r="7387" spans="1:5" x14ac:dyDescent="0.25">
      <c r="A7387" s="14">
        <v>983927</v>
      </c>
      <c r="B7387" s="14" t="s">
        <v>7499</v>
      </c>
      <c r="C7387" s="14" t="s">
        <v>13031</v>
      </c>
      <c r="D7387" s="15">
        <v>4.4000000000000004</v>
      </c>
      <c r="E7387" s="16" t="s">
        <v>30</v>
      </c>
    </row>
    <row r="7388" spans="1:5" x14ac:dyDescent="0.25">
      <c r="A7388" s="14">
        <v>983928</v>
      </c>
      <c r="B7388" s="14" t="s">
        <v>7500</v>
      </c>
      <c r="C7388" s="14" t="s">
        <v>13031</v>
      </c>
      <c r="D7388" s="15">
        <v>4.4000000000000004</v>
      </c>
      <c r="E7388" s="16" t="s">
        <v>30</v>
      </c>
    </row>
    <row r="7389" spans="1:5" x14ac:dyDescent="0.25">
      <c r="A7389" s="14">
        <v>983929</v>
      </c>
      <c r="B7389" s="14" t="s">
        <v>7501</v>
      </c>
      <c r="C7389" s="14" t="s">
        <v>13030</v>
      </c>
      <c r="D7389" s="15">
        <v>16.79</v>
      </c>
      <c r="E7389" s="16" t="s">
        <v>30</v>
      </c>
    </row>
    <row r="7390" spans="1:5" x14ac:dyDescent="0.25">
      <c r="A7390" s="14">
        <v>983944</v>
      </c>
      <c r="B7390" s="14" t="s">
        <v>7502</v>
      </c>
      <c r="C7390" s="14" t="s">
        <v>13030</v>
      </c>
      <c r="D7390" s="15">
        <v>61.15</v>
      </c>
      <c r="E7390" s="16" t="s">
        <v>30</v>
      </c>
    </row>
    <row r="7391" spans="1:5" x14ac:dyDescent="0.25">
      <c r="A7391" s="14">
        <v>983945</v>
      </c>
      <c r="B7391" s="14" t="s">
        <v>7503</v>
      </c>
      <c r="C7391" s="14" t="s">
        <v>13030</v>
      </c>
      <c r="D7391" s="15">
        <v>61.13</v>
      </c>
      <c r="E7391" s="16" t="s">
        <v>30</v>
      </c>
    </row>
    <row r="7392" spans="1:5" x14ac:dyDescent="0.25">
      <c r="A7392" s="14">
        <v>983946</v>
      </c>
      <c r="B7392" s="14" t="s">
        <v>7504</v>
      </c>
      <c r="C7392" s="14" t="s">
        <v>13030</v>
      </c>
      <c r="D7392" s="15">
        <v>61.16</v>
      </c>
      <c r="E7392" s="16" t="s">
        <v>30</v>
      </c>
    </row>
    <row r="7393" spans="1:5" x14ac:dyDescent="0.25">
      <c r="A7393" s="14">
        <v>983947</v>
      </c>
      <c r="B7393" s="14" t="s">
        <v>7505</v>
      </c>
      <c r="C7393" s="14" t="s">
        <v>13030</v>
      </c>
      <c r="D7393" s="15">
        <v>41.51</v>
      </c>
      <c r="E7393" s="16" t="s">
        <v>30</v>
      </c>
    </row>
    <row r="7394" spans="1:5" x14ac:dyDescent="0.25">
      <c r="A7394" s="14">
        <v>983948</v>
      </c>
      <c r="B7394" s="14" t="s">
        <v>7506</v>
      </c>
      <c r="C7394" s="14" t="s">
        <v>13030</v>
      </c>
      <c r="D7394" s="15">
        <v>22.49</v>
      </c>
      <c r="E7394" s="16" t="s">
        <v>30</v>
      </c>
    </row>
    <row r="7395" spans="1:5" x14ac:dyDescent="0.25">
      <c r="A7395" s="14">
        <v>983949</v>
      </c>
      <c r="B7395" s="14" t="s">
        <v>7507</v>
      </c>
      <c r="C7395" s="14" t="s">
        <v>13030</v>
      </c>
      <c r="D7395" s="15">
        <v>166.4</v>
      </c>
      <c r="E7395" s="16" t="s">
        <v>30</v>
      </c>
    </row>
    <row r="7396" spans="1:5" x14ac:dyDescent="0.25">
      <c r="A7396" s="14">
        <v>983950</v>
      </c>
      <c r="B7396" s="14" t="s">
        <v>7508</v>
      </c>
      <c r="C7396" s="14" t="s">
        <v>13030</v>
      </c>
      <c r="D7396" s="15">
        <v>17.8</v>
      </c>
      <c r="E7396" s="16" t="s">
        <v>30</v>
      </c>
    </row>
    <row r="7397" spans="1:5" x14ac:dyDescent="0.25">
      <c r="A7397" s="14">
        <v>983951</v>
      </c>
      <c r="B7397" s="14" t="s">
        <v>7509</v>
      </c>
      <c r="C7397" s="14" t="s">
        <v>13030</v>
      </c>
      <c r="D7397" s="15">
        <v>17.8</v>
      </c>
      <c r="E7397" s="16" t="s">
        <v>30</v>
      </c>
    </row>
    <row r="7398" spans="1:5" x14ac:dyDescent="0.25">
      <c r="A7398" s="14">
        <v>983958</v>
      </c>
      <c r="B7398" s="14" t="s">
        <v>7510</v>
      </c>
      <c r="C7398" s="14" t="s">
        <v>13029</v>
      </c>
      <c r="D7398" s="15">
        <v>13.05</v>
      </c>
      <c r="E7398" s="16" t="s">
        <v>30</v>
      </c>
    </row>
    <row r="7399" spans="1:5" x14ac:dyDescent="0.25">
      <c r="A7399" s="14">
        <v>983961</v>
      </c>
      <c r="B7399" s="14" t="s">
        <v>7511</v>
      </c>
      <c r="C7399" s="14" t="s">
        <v>13030</v>
      </c>
      <c r="D7399" s="15">
        <v>153</v>
      </c>
      <c r="E7399" s="16" t="s">
        <v>30</v>
      </c>
    </row>
    <row r="7400" spans="1:5" x14ac:dyDescent="0.25">
      <c r="A7400" s="14">
        <v>984281</v>
      </c>
      <c r="B7400" s="14" t="s">
        <v>7512</v>
      </c>
      <c r="C7400" s="14" t="s">
        <v>13030</v>
      </c>
      <c r="D7400" s="15">
        <v>21.47</v>
      </c>
      <c r="E7400" s="16" t="s">
        <v>30</v>
      </c>
    </row>
    <row r="7401" spans="1:5" x14ac:dyDescent="0.25">
      <c r="A7401" s="14">
        <v>984282</v>
      </c>
      <c r="B7401" s="14" t="s">
        <v>7513</v>
      </c>
      <c r="C7401" s="14" t="s">
        <v>13030</v>
      </c>
      <c r="D7401" s="15">
        <v>21.47</v>
      </c>
      <c r="E7401" s="16" t="s">
        <v>30</v>
      </c>
    </row>
    <row r="7402" spans="1:5" x14ac:dyDescent="0.25">
      <c r="A7402" s="14">
        <v>984283</v>
      </c>
      <c r="B7402" s="14" t="s">
        <v>7514</v>
      </c>
      <c r="C7402" s="14" t="s">
        <v>13030</v>
      </c>
      <c r="D7402" s="15">
        <v>21.47</v>
      </c>
      <c r="E7402" s="16" t="s">
        <v>30</v>
      </c>
    </row>
    <row r="7403" spans="1:5" x14ac:dyDescent="0.25">
      <c r="A7403" s="14">
        <v>984311</v>
      </c>
      <c r="B7403" s="14" t="s">
        <v>7515</v>
      </c>
      <c r="C7403" s="14" t="s">
        <v>13031</v>
      </c>
      <c r="D7403" s="15">
        <v>16.95</v>
      </c>
      <c r="E7403" s="16" t="s">
        <v>30</v>
      </c>
    </row>
    <row r="7404" spans="1:5" x14ac:dyDescent="0.25">
      <c r="A7404" s="14">
        <v>984448</v>
      </c>
      <c r="B7404" s="14" t="s">
        <v>7516</v>
      </c>
      <c r="C7404" s="14" t="s">
        <v>13030</v>
      </c>
      <c r="D7404" s="15">
        <v>35.53</v>
      </c>
      <c r="E7404" s="16" t="s">
        <v>30</v>
      </c>
    </row>
    <row r="7405" spans="1:5" x14ac:dyDescent="0.25">
      <c r="A7405" s="14">
        <v>984452</v>
      </c>
      <c r="B7405" s="14" t="s">
        <v>7517</v>
      </c>
      <c r="C7405" s="14" t="s">
        <v>13029</v>
      </c>
      <c r="D7405" s="15">
        <v>2.17</v>
      </c>
      <c r="E7405" s="16" t="s">
        <v>30</v>
      </c>
    </row>
    <row r="7406" spans="1:5" x14ac:dyDescent="0.25">
      <c r="A7406" s="14">
        <v>984453</v>
      </c>
      <c r="B7406" s="14" t="s">
        <v>7518</v>
      </c>
      <c r="C7406" s="14" t="s">
        <v>13029</v>
      </c>
      <c r="D7406" s="15">
        <v>2.17</v>
      </c>
      <c r="E7406" s="16" t="s">
        <v>30</v>
      </c>
    </row>
    <row r="7407" spans="1:5" x14ac:dyDescent="0.25">
      <c r="A7407" s="14">
        <v>984454</v>
      </c>
      <c r="B7407" s="14" t="s">
        <v>7519</v>
      </c>
      <c r="C7407" s="14" t="s">
        <v>13029</v>
      </c>
      <c r="D7407" s="15">
        <v>1.9</v>
      </c>
      <c r="E7407" s="16" t="s">
        <v>30</v>
      </c>
    </row>
    <row r="7408" spans="1:5" x14ac:dyDescent="0.25">
      <c r="A7408" s="14">
        <v>984455</v>
      </c>
      <c r="B7408" s="14" t="s">
        <v>7520</v>
      </c>
      <c r="C7408" s="14" t="s">
        <v>13029</v>
      </c>
      <c r="D7408" s="15">
        <v>3.27</v>
      </c>
      <c r="E7408" s="16" t="s">
        <v>30</v>
      </c>
    </row>
    <row r="7409" spans="1:5" x14ac:dyDescent="0.25">
      <c r="A7409" s="14">
        <v>984490</v>
      </c>
      <c r="B7409" s="14" t="s">
        <v>7521</v>
      </c>
      <c r="C7409" s="14" t="s">
        <v>13031</v>
      </c>
      <c r="D7409" s="15">
        <v>6.08</v>
      </c>
      <c r="E7409" s="16" t="s">
        <v>30</v>
      </c>
    </row>
    <row r="7410" spans="1:5" x14ac:dyDescent="0.25">
      <c r="A7410" s="14">
        <v>984491</v>
      </c>
      <c r="B7410" s="14" t="s">
        <v>7522</v>
      </c>
      <c r="C7410" s="14" t="s">
        <v>13031</v>
      </c>
      <c r="D7410" s="15">
        <v>4.45</v>
      </c>
      <c r="E7410" s="16" t="s">
        <v>30</v>
      </c>
    </row>
    <row r="7411" spans="1:5" x14ac:dyDescent="0.25">
      <c r="A7411" s="14">
        <v>984492</v>
      </c>
      <c r="B7411" s="14" t="s">
        <v>7523</v>
      </c>
      <c r="C7411" s="14" t="s">
        <v>13031</v>
      </c>
      <c r="D7411" s="15">
        <v>4.45</v>
      </c>
      <c r="E7411" s="16" t="s">
        <v>30</v>
      </c>
    </row>
    <row r="7412" spans="1:5" x14ac:dyDescent="0.25">
      <c r="A7412" s="14">
        <v>984571</v>
      </c>
      <c r="B7412" s="14" t="s">
        <v>7524</v>
      </c>
      <c r="C7412" s="14" t="s">
        <v>13030</v>
      </c>
      <c r="D7412" s="15">
        <v>5.04</v>
      </c>
      <c r="E7412" s="16" t="s">
        <v>30</v>
      </c>
    </row>
    <row r="7413" spans="1:5" x14ac:dyDescent="0.25">
      <c r="A7413" s="14">
        <v>984572</v>
      </c>
      <c r="B7413" s="14" t="s">
        <v>7525</v>
      </c>
      <c r="C7413" s="14" t="s">
        <v>13030</v>
      </c>
      <c r="D7413" s="15">
        <v>5.28</v>
      </c>
      <c r="E7413" s="16" t="s">
        <v>30</v>
      </c>
    </row>
    <row r="7414" spans="1:5" x14ac:dyDescent="0.25">
      <c r="A7414" s="14">
        <v>969001</v>
      </c>
      <c r="B7414" s="14" t="s">
        <v>7526</v>
      </c>
      <c r="C7414" s="14" t="s">
        <v>13031</v>
      </c>
      <c r="D7414" s="15">
        <v>10.5</v>
      </c>
      <c r="E7414" s="16" t="s">
        <v>20</v>
      </c>
    </row>
    <row r="7415" spans="1:5" x14ac:dyDescent="0.25">
      <c r="A7415" s="14">
        <v>969002</v>
      </c>
      <c r="B7415" s="14" t="s">
        <v>7527</v>
      </c>
      <c r="C7415" s="14" t="s">
        <v>13031</v>
      </c>
      <c r="D7415" s="15">
        <v>9.81</v>
      </c>
      <c r="E7415" s="16" t="s">
        <v>20</v>
      </c>
    </row>
    <row r="7416" spans="1:5" x14ac:dyDescent="0.25">
      <c r="A7416" s="14">
        <v>984573</v>
      </c>
      <c r="B7416" s="14" t="s">
        <v>7528</v>
      </c>
      <c r="C7416" s="14" t="s">
        <v>13030</v>
      </c>
      <c r="D7416" s="15">
        <v>4.45</v>
      </c>
      <c r="E7416" s="16" t="s">
        <v>30</v>
      </c>
    </row>
    <row r="7417" spans="1:5" x14ac:dyDescent="0.25">
      <c r="A7417" s="14">
        <v>984588</v>
      </c>
      <c r="B7417" s="14" t="s">
        <v>7529</v>
      </c>
      <c r="C7417" s="14" t="s">
        <v>13031</v>
      </c>
      <c r="D7417" s="15">
        <v>6.6</v>
      </c>
      <c r="E7417" s="16" t="s">
        <v>30</v>
      </c>
    </row>
    <row r="7418" spans="1:5" x14ac:dyDescent="0.25">
      <c r="A7418" s="14">
        <v>984593</v>
      </c>
      <c r="B7418" s="14" t="s">
        <v>7530</v>
      </c>
      <c r="C7418" s="14" t="s">
        <v>13029</v>
      </c>
      <c r="D7418" s="15">
        <v>8.6</v>
      </c>
      <c r="E7418" s="14" t="s">
        <v>30</v>
      </c>
    </row>
    <row r="7419" spans="1:5" x14ac:dyDescent="0.25">
      <c r="A7419" s="14">
        <v>984680</v>
      </c>
      <c r="B7419" s="14" t="s">
        <v>7531</v>
      </c>
      <c r="C7419" s="14" t="s">
        <v>13033</v>
      </c>
      <c r="D7419" s="15">
        <v>13.72</v>
      </c>
      <c r="E7419" s="16" t="s">
        <v>30</v>
      </c>
    </row>
    <row r="7420" spans="1:5" x14ac:dyDescent="0.25">
      <c r="A7420" s="14">
        <v>984681</v>
      </c>
      <c r="B7420" s="14" t="s">
        <v>7532</v>
      </c>
      <c r="C7420" s="14" t="s">
        <v>13033</v>
      </c>
      <c r="D7420" s="15">
        <v>13.72</v>
      </c>
      <c r="E7420" s="16" t="s">
        <v>30</v>
      </c>
    </row>
    <row r="7421" spans="1:5" x14ac:dyDescent="0.25">
      <c r="A7421" s="14">
        <v>974004</v>
      </c>
      <c r="B7421" s="14" t="s">
        <v>7533</v>
      </c>
      <c r="C7421" s="14" t="s">
        <v>13030</v>
      </c>
      <c r="D7421" s="15">
        <v>58.35</v>
      </c>
      <c r="E7421" s="16" t="s">
        <v>20</v>
      </c>
    </row>
    <row r="7422" spans="1:5" x14ac:dyDescent="0.25">
      <c r="A7422" s="14">
        <v>984682</v>
      </c>
      <c r="B7422" s="14" t="s">
        <v>7534</v>
      </c>
      <c r="C7422" s="14" t="s">
        <v>13033</v>
      </c>
      <c r="D7422" s="15">
        <v>13.72</v>
      </c>
      <c r="E7422" s="16" t="s">
        <v>30</v>
      </c>
    </row>
    <row r="7423" spans="1:5" x14ac:dyDescent="0.25">
      <c r="A7423" s="14">
        <v>984683</v>
      </c>
      <c r="B7423" s="14" t="s">
        <v>7535</v>
      </c>
      <c r="C7423" s="14" t="s">
        <v>13033</v>
      </c>
      <c r="D7423" s="15">
        <v>13.72</v>
      </c>
      <c r="E7423" s="16" t="s">
        <v>30</v>
      </c>
    </row>
    <row r="7424" spans="1:5" x14ac:dyDescent="0.25">
      <c r="A7424" s="14">
        <v>974360</v>
      </c>
      <c r="B7424" s="14" t="s">
        <v>7536</v>
      </c>
      <c r="C7424" s="14" t="s">
        <v>13030</v>
      </c>
      <c r="D7424" s="15">
        <v>89.16</v>
      </c>
      <c r="E7424" s="16" t="s">
        <v>20</v>
      </c>
    </row>
    <row r="7425" spans="1:5" x14ac:dyDescent="0.25">
      <c r="A7425" s="14">
        <v>984685</v>
      </c>
      <c r="B7425" s="14" t="s">
        <v>7537</v>
      </c>
      <c r="C7425" s="14" t="s">
        <v>13033</v>
      </c>
      <c r="D7425" s="15">
        <v>17.02</v>
      </c>
      <c r="E7425" s="16" t="s">
        <v>30</v>
      </c>
    </row>
    <row r="7426" spans="1:5" x14ac:dyDescent="0.25">
      <c r="A7426" s="14">
        <v>984686</v>
      </c>
      <c r="B7426" s="14" t="s">
        <v>7538</v>
      </c>
      <c r="C7426" s="14" t="s">
        <v>13033</v>
      </c>
      <c r="D7426" s="15">
        <v>17.02</v>
      </c>
      <c r="E7426" s="16" t="s">
        <v>30</v>
      </c>
    </row>
    <row r="7427" spans="1:5" x14ac:dyDescent="0.25">
      <c r="A7427" s="14">
        <v>984687</v>
      </c>
      <c r="B7427" s="14" t="s">
        <v>7539</v>
      </c>
      <c r="C7427" s="14" t="s">
        <v>13033</v>
      </c>
      <c r="D7427" s="15">
        <v>17.02</v>
      </c>
      <c r="E7427" s="16" t="s">
        <v>30</v>
      </c>
    </row>
    <row r="7428" spans="1:5" x14ac:dyDescent="0.25">
      <c r="A7428" s="14">
        <v>984807</v>
      </c>
      <c r="B7428" s="14" t="s">
        <v>7540</v>
      </c>
      <c r="C7428" s="14" t="s">
        <v>13031</v>
      </c>
      <c r="D7428" s="15">
        <v>2.8</v>
      </c>
      <c r="E7428" s="16" t="s">
        <v>30</v>
      </c>
    </row>
    <row r="7429" spans="1:5" x14ac:dyDescent="0.25">
      <c r="A7429" s="14">
        <v>984808</v>
      </c>
      <c r="B7429" s="14" t="s">
        <v>7541</v>
      </c>
      <c r="C7429" s="14" t="s">
        <v>13031</v>
      </c>
      <c r="D7429" s="15">
        <v>2.75</v>
      </c>
      <c r="E7429" s="16" t="s">
        <v>30</v>
      </c>
    </row>
    <row r="7430" spans="1:5" x14ac:dyDescent="0.25">
      <c r="A7430" s="14">
        <v>985068</v>
      </c>
      <c r="B7430" s="14" t="s">
        <v>7542</v>
      </c>
      <c r="C7430" s="14" t="s">
        <v>13031</v>
      </c>
      <c r="D7430" s="15">
        <v>9.7899999999999991</v>
      </c>
      <c r="E7430" s="16" t="s">
        <v>30</v>
      </c>
    </row>
    <row r="7431" spans="1:5" x14ac:dyDescent="0.25">
      <c r="A7431" s="14">
        <v>985069</v>
      </c>
      <c r="B7431" s="14" t="s">
        <v>7543</v>
      </c>
      <c r="C7431" s="14" t="s">
        <v>13031</v>
      </c>
      <c r="D7431" s="15">
        <v>9.7899999999999991</v>
      </c>
      <c r="E7431" s="16" t="s">
        <v>30</v>
      </c>
    </row>
    <row r="7432" spans="1:5" x14ac:dyDescent="0.25">
      <c r="A7432" s="14">
        <v>985070</v>
      </c>
      <c r="B7432" s="14" t="s">
        <v>7544</v>
      </c>
      <c r="C7432" s="14" t="s">
        <v>13031</v>
      </c>
      <c r="D7432" s="15">
        <v>6.31</v>
      </c>
      <c r="E7432" s="16" t="s">
        <v>30</v>
      </c>
    </row>
    <row r="7433" spans="1:5" x14ac:dyDescent="0.25">
      <c r="A7433" s="14">
        <v>985071</v>
      </c>
      <c r="B7433" s="14" t="s">
        <v>7545</v>
      </c>
      <c r="C7433" s="14" t="s">
        <v>13031</v>
      </c>
      <c r="D7433" s="15">
        <v>9.2100000000000009</v>
      </c>
      <c r="E7433" s="16" t="s">
        <v>30</v>
      </c>
    </row>
    <row r="7434" spans="1:5" x14ac:dyDescent="0.25">
      <c r="A7434" s="14">
        <v>985072</v>
      </c>
      <c r="B7434" s="14" t="s">
        <v>7546</v>
      </c>
      <c r="C7434" s="14" t="s">
        <v>13031</v>
      </c>
      <c r="D7434" s="15">
        <v>9.2100000000000009</v>
      </c>
      <c r="E7434" s="16" t="s">
        <v>30</v>
      </c>
    </row>
    <row r="7435" spans="1:5" x14ac:dyDescent="0.25">
      <c r="A7435" s="14">
        <v>985077</v>
      </c>
      <c r="B7435" s="14" t="s">
        <v>7547</v>
      </c>
      <c r="C7435" s="14" t="s">
        <v>13031</v>
      </c>
      <c r="D7435" s="15">
        <v>6.23</v>
      </c>
      <c r="E7435" s="16" t="s">
        <v>30</v>
      </c>
    </row>
    <row r="7436" spans="1:5" x14ac:dyDescent="0.25">
      <c r="A7436" s="14">
        <v>985078</v>
      </c>
      <c r="B7436" s="14" t="s">
        <v>7548</v>
      </c>
      <c r="C7436" s="14" t="s">
        <v>13030</v>
      </c>
      <c r="D7436" s="15">
        <v>13.99</v>
      </c>
      <c r="E7436" s="16" t="s">
        <v>30</v>
      </c>
    </row>
    <row r="7437" spans="1:5" x14ac:dyDescent="0.25">
      <c r="A7437" s="14">
        <v>985079</v>
      </c>
      <c r="B7437" s="14" t="s">
        <v>7549</v>
      </c>
      <c r="C7437" s="14" t="s">
        <v>13030</v>
      </c>
      <c r="D7437" s="15">
        <v>14.16</v>
      </c>
      <c r="E7437" s="16" t="s">
        <v>30</v>
      </c>
    </row>
    <row r="7438" spans="1:5" x14ac:dyDescent="0.25">
      <c r="A7438" s="14">
        <v>985080</v>
      </c>
      <c r="B7438" s="14" t="s">
        <v>7550</v>
      </c>
      <c r="C7438" s="14" t="s">
        <v>13030</v>
      </c>
      <c r="D7438" s="15">
        <v>12.29</v>
      </c>
      <c r="E7438" s="16" t="s">
        <v>30</v>
      </c>
    </row>
    <row r="7439" spans="1:5" x14ac:dyDescent="0.25">
      <c r="A7439" s="14">
        <v>985082</v>
      </c>
      <c r="B7439" s="14" t="s">
        <v>7551</v>
      </c>
      <c r="C7439" s="14" t="s">
        <v>13030</v>
      </c>
      <c r="D7439" s="15">
        <v>17</v>
      </c>
      <c r="E7439" s="16" t="s">
        <v>30</v>
      </c>
    </row>
    <row r="7440" spans="1:5" x14ac:dyDescent="0.25">
      <c r="A7440" s="14">
        <v>985083</v>
      </c>
      <c r="B7440" s="14" t="s">
        <v>7552</v>
      </c>
      <c r="C7440" s="14" t="s">
        <v>13030</v>
      </c>
      <c r="D7440" s="15">
        <v>17</v>
      </c>
      <c r="E7440" s="16" t="s">
        <v>30</v>
      </c>
    </row>
    <row r="7441" spans="1:5" x14ac:dyDescent="0.25">
      <c r="A7441" s="14">
        <v>985084</v>
      </c>
      <c r="B7441" s="14" t="s">
        <v>7553</v>
      </c>
      <c r="C7441" s="14" t="s">
        <v>13030</v>
      </c>
      <c r="D7441" s="15">
        <v>17</v>
      </c>
      <c r="E7441" s="16" t="s">
        <v>30</v>
      </c>
    </row>
    <row r="7442" spans="1:5" x14ac:dyDescent="0.25">
      <c r="A7442" s="14">
        <v>985085</v>
      </c>
      <c r="B7442" s="14" t="s">
        <v>7554</v>
      </c>
      <c r="C7442" s="14" t="s">
        <v>13030</v>
      </c>
      <c r="D7442" s="15">
        <v>94.5</v>
      </c>
      <c r="E7442" s="16" t="s">
        <v>30</v>
      </c>
    </row>
    <row r="7443" spans="1:5" x14ac:dyDescent="0.25">
      <c r="A7443" s="14">
        <v>985391</v>
      </c>
      <c r="B7443" s="14" t="s">
        <v>7555</v>
      </c>
      <c r="C7443" s="14" t="s">
        <v>13030</v>
      </c>
      <c r="D7443" s="15">
        <v>12.99</v>
      </c>
      <c r="E7443" s="16" t="s">
        <v>30</v>
      </c>
    </row>
    <row r="7444" spans="1:5" x14ac:dyDescent="0.25">
      <c r="A7444" s="14">
        <v>985461</v>
      </c>
      <c r="B7444" s="14" t="s">
        <v>7556</v>
      </c>
      <c r="C7444" s="14" t="s">
        <v>13029</v>
      </c>
      <c r="D7444" s="15">
        <v>15.96</v>
      </c>
      <c r="E7444" s="16" t="s">
        <v>30</v>
      </c>
    </row>
    <row r="7445" spans="1:5" x14ac:dyDescent="0.25">
      <c r="A7445" s="14">
        <v>985462</v>
      </c>
      <c r="B7445" s="14" t="s">
        <v>7557</v>
      </c>
      <c r="C7445" s="14" t="s">
        <v>13029</v>
      </c>
      <c r="D7445" s="15">
        <v>15.96</v>
      </c>
      <c r="E7445" s="16" t="s">
        <v>30</v>
      </c>
    </row>
    <row r="7446" spans="1:5" x14ac:dyDescent="0.25">
      <c r="A7446" s="14">
        <v>985498</v>
      </c>
      <c r="B7446" s="14" t="s">
        <v>7558</v>
      </c>
      <c r="C7446" s="14" t="s">
        <v>13029</v>
      </c>
      <c r="D7446" s="15">
        <v>37.31</v>
      </c>
      <c r="E7446" s="14" t="s">
        <v>30</v>
      </c>
    </row>
    <row r="7447" spans="1:5" x14ac:dyDescent="0.25">
      <c r="A7447" s="14">
        <v>985499</v>
      </c>
      <c r="B7447" s="14" t="s">
        <v>7559</v>
      </c>
      <c r="C7447" s="14" t="s">
        <v>13029</v>
      </c>
      <c r="D7447" s="15">
        <v>37.31</v>
      </c>
      <c r="E7447" s="14" t="s">
        <v>30</v>
      </c>
    </row>
    <row r="7448" spans="1:5" x14ac:dyDescent="0.25">
      <c r="A7448" s="14">
        <v>985500</v>
      </c>
      <c r="B7448" s="14" t="s">
        <v>7560</v>
      </c>
      <c r="C7448" s="14" t="s">
        <v>13029</v>
      </c>
      <c r="D7448" s="15">
        <v>37.31</v>
      </c>
      <c r="E7448" s="14" t="s">
        <v>30</v>
      </c>
    </row>
    <row r="7449" spans="1:5" x14ac:dyDescent="0.25">
      <c r="A7449" s="14">
        <v>985502</v>
      </c>
      <c r="B7449" s="14" t="s">
        <v>7561</v>
      </c>
      <c r="C7449" s="14" t="s">
        <v>13029</v>
      </c>
      <c r="D7449" s="15">
        <v>37.31</v>
      </c>
      <c r="E7449" s="14" t="s">
        <v>30</v>
      </c>
    </row>
    <row r="7450" spans="1:5" x14ac:dyDescent="0.25">
      <c r="A7450" s="14">
        <v>985503</v>
      </c>
      <c r="B7450" s="14" t="s">
        <v>7562</v>
      </c>
      <c r="C7450" s="14" t="s">
        <v>13029</v>
      </c>
      <c r="D7450" s="15">
        <v>37.31</v>
      </c>
      <c r="E7450" s="16" t="s">
        <v>30</v>
      </c>
    </row>
    <row r="7451" spans="1:5" x14ac:dyDescent="0.25">
      <c r="A7451" s="14">
        <v>985526</v>
      </c>
      <c r="B7451" s="14" t="s">
        <v>7563</v>
      </c>
      <c r="C7451" s="14" t="s">
        <v>13029</v>
      </c>
      <c r="D7451" s="15">
        <v>5.95</v>
      </c>
      <c r="E7451" s="16" t="s">
        <v>30</v>
      </c>
    </row>
    <row r="7452" spans="1:5" x14ac:dyDescent="0.25">
      <c r="A7452" s="14">
        <v>985795</v>
      </c>
      <c r="B7452" s="14" t="s">
        <v>7564</v>
      </c>
      <c r="C7452" s="14" t="s">
        <v>13030</v>
      </c>
      <c r="D7452" s="15">
        <v>5.76</v>
      </c>
      <c r="E7452" s="16" t="s">
        <v>30</v>
      </c>
    </row>
    <row r="7453" spans="1:5" x14ac:dyDescent="0.25">
      <c r="A7453" s="14">
        <v>985796</v>
      </c>
      <c r="B7453" s="14" t="s">
        <v>7565</v>
      </c>
      <c r="C7453" s="14" t="s">
        <v>13030</v>
      </c>
      <c r="D7453" s="15">
        <v>5.76</v>
      </c>
      <c r="E7453" s="16" t="s">
        <v>30</v>
      </c>
    </row>
    <row r="7454" spans="1:5" x14ac:dyDescent="0.25">
      <c r="A7454" s="14">
        <v>985804</v>
      </c>
      <c r="B7454" s="14" t="s">
        <v>7566</v>
      </c>
      <c r="C7454" s="14" t="s">
        <v>13031</v>
      </c>
      <c r="D7454" s="15">
        <v>2.7</v>
      </c>
      <c r="E7454" s="16" t="s">
        <v>30</v>
      </c>
    </row>
    <row r="7455" spans="1:5" x14ac:dyDescent="0.25">
      <c r="A7455" s="14">
        <v>985805</v>
      </c>
      <c r="B7455" s="14" t="s">
        <v>7567</v>
      </c>
      <c r="C7455" s="14" t="s">
        <v>13031</v>
      </c>
      <c r="D7455" s="15">
        <v>2.15</v>
      </c>
      <c r="E7455" s="16" t="s">
        <v>30</v>
      </c>
    </row>
    <row r="7456" spans="1:5" x14ac:dyDescent="0.25">
      <c r="A7456" s="14">
        <v>985817</v>
      </c>
      <c r="B7456" s="14" t="s">
        <v>7568</v>
      </c>
      <c r="C7456" s="14" t="s">
        <v>13029</v>
      </c>
      <c r="D7456" s="15">
        <v>6.92</v>
      </c>
      <c r="E7456" s="16" t="s">
        <v>30</v>
      </c>
    </row>
    <row r="7457" spans="1:5" x14ac:dyDescent="0.25">
      <c r="A7457" s="14">
        <v>986150</v>
      </c>
      <c r="B7457" s="14" t="s">
        <v>7569</v>
      </c>
      <c r="C7457" s="14" t="s">
        <v>13030</v>
      </c>
      <c r="D7457" s="15">
        <v>113.27</v>
      </c>
      <c r="E7457" s="16" t="s">
        <v>30</v>
      </c>
    </row>
    <row r="7458" spans="1:5" x14ac:dyDescent="0.25">
      <c r="A7458" s="14">
        <v>986151</v>
      </c>
      <c r="B7458" s="14" t="s">
        <v>7570</v>
      </c>
      <c r="C7458" s="14" t="s">
        <v>13030</v>
      </c>
      <c r="D7458" s="15">
        <v>38.270000000000003</v>
      </c>
      <c r="E7458" s="16" t="s">
        <v>30</v>
      </c>
    </row>
    <row r="7459" spans="1:5" x14ac:dyDescent="0.25">
      <c r="A7459" s="14">
        <v>986152</v>
      </c>
      <c r="B7459" s="14" t="s">
        <v>7571</v>
      </c>
      <c r="C7459" s="14" t="s">
        <v>13030</v>
      </c>
      <c r="D7459" s="15">
        <v>35.54</v>
      </c>
      <c r="E7459" s="16" t="s">
        <v>30</v>
      </c>
    </row>
    <row r="7460" spans="1:5" x14ac:dyDescent="0.25">
      <c r="A7460" s="14">
        <v>986205</v>
      </c>
      <c r="B7460" s="14" t="s">
        <v>7572</v>
      </c>
      <c r="C7460" s="14" t="s">
        <v>13033</v>
      </c>
      <c r="D7460" s="15">
        <v>13.72</v>
      </c>
      <c r="E7460" s="16" t="s">
        <v>30</v>
      </c>
    </row>
    <row r="7461" spans="1:5" x14ac:dyDescent="0.25">
      <c r="A7461" s="14">
        <v>986207</v>
      </c>
      <c r="B7461" s="14" t="s">
        <v>7573</v>
      </c>
      <c r="C7461" s="14" t="s">
        <v>13033</v>
      </c>
      <c r="D7461" s="15">
        <v>16.47</v>
      </c>
      <c r="E7461" s="16" t="s">
        <v>30</v>
      </c>
    </row>
    <row r="7462" spans="1:5" x14ac:dyDescent="0.25">
      <c r="A7462" s="14">
        <v>986210</v>
      </c>
      <c r="B7462" s="14" t="s">
        <v>7574</v>
      </c>
      <c r="C7462" s="14" t="s">
        <v>13033</v>
      </c>
      <c r="D7462" s="15">
        <v>13.72</v>
      </c>
      <c r="E7462" s="16" t="s">
        <v>30</v>
      </c>
    </row>
    <row r="7463" spans="1:5" x14ac:dyDescent="0.25">
      <c r="A7463" s="14">
        <v>986211</v>
      </c>
      <c r="B7463" s="14" t="s">
        <v>7575</v>
      </c>
      <c r="C7463" s="14" t="s">
        <v>13033</v>
      </c>
      <c r="D7463" s="15">
        <v>13.72</v>
      </c>
      <c r="E7463" s="16" t="s">
        <v>30</v>
      </c>
    </row>
    <row r="7464" spans="1:5" x14ac:dyDescent="0.25">
      <c r="A7464" s="14">
        <v>986212</v>
      </c>
      <c r="B7464" s="14" t="s">
        <v>7576</v>
      </c>
      <c r="C7464" s="14" t="s">
        <v>13033</v>
      </c>
      <c r="D7464" s="15">
        <v>9.31</v>
      </c>
      <c r="E7464" s="16" t="s">
        <v>30</v>
      </c>
    </row>
    <row r="7465" spans="1:5" x14ac:dyDescent="0.25">
      <c r="A7465" s="14">
        <v>986246</v>
      </c>
      <c r="B7465" s="14" t="s">
        <v>7577</v>
      </c>
      <c r="C7465" s="14" t="s">
        <v>13030</v>
      </c>
      <c r="D7465" s="15">
        <v>27.31</v>
      </c>
      <c r="E7465" s="14" t="s">
        <v>30</v>
      </c>
    </row>
    <row r="7466" spans="1:5" x14ac:dyDescent="0.25">
      <c r="A7466" s="14">
        <v>986247</v>
      </c>
      <c r="B7466" s="14" t="s">
        <v>7578</v>
      </c>
      <c r="C7466" s="14" t="s">
        <v>13030</v>
      </c>
      <c r="D7466" s="15">
        <v>27.31</v>
      </c>
      <c r="E7466" s="14" t="s">
        <v>30</v>
      </c>
    </row>
    <row r="7467" spans="1:5" x14ac:dyDescent="0.25">
      <c r="A7467" s="14">
        <v>986281</v>
      </c>
      <c r="B7467" s="14" t="s">
        <v>7579</v>
      </c>
      <c r="C7467" s="14" t="s">
        <v>13031</v>
      </c>
      <c r="D7467" s="15">
        <v>127.2</v>
      </c>
      <c r="E7467" s="16" t="s">
        <v>30</v>
      </c>
    </row>
    <row r="7468" spans="1:5" x14ac:dyDescent="0.25">
      <c r="A7468" s="14">
        <v>986290</v>
      </c>
      <c r="B7468" s="14" t="s">
        <v>7580</v>
      </c>
      <c r="C7468" s="14" t="s">
        <v>13029</v>
      </c>
      <c r="D7468" s="15">
        <v>52.5</v>
      </c>
      <c r="E7468" s="16" t="s">
        <v>30</v>
      </c>
    </row>
    <row r="7469" spans="1:5" x14ac:dyDescent="0.25">
      <c r="A7469" s="14">
        <v>986291</v>
      </c>
      <c r="B7469" s="14" t="s">
        <v>7581</v>
      </c>
      <c r="C7469" s="14" t="s">
        <v>13029</v>
      </c>
      <c r="D7469" s="15">
        <v>52.5</v>
      </c>
      <c r="E7469" s="16" t="s">
        <v>30</v>
      </c>
    </row>
    <row r="7470" spans="1:5" x14ac:dyDescent="0.25">
      <c r="A7470" s="14">
        <v>986299</v>
      </c>
      <c r="B7470" s="14" t="s">
        <v>7582</v>
      </c>
      <c r="C7470" s="14" t="s">
        <v>13031</v>
      </c>
      <c r="D7470" s="15">
        <v>148.4</v>
      </c>
      <c r="E7470" s="16" t="s">
        <v>30</v>
      </c>
    </row>
    <row r="7471" spans="1:5" x14ac:dyDescent="0.25">
      <c r="A7471" s="14">
        <v>986301</v>
      </c>
      <c r="B7471" s="14" t="s">
        <v>7583</v>
      </c>
      <c r="C7471" s="14" t="s">
        <v>13031</v>
      </c>
      <c r="D7471" s="15">
        <v>10</v>
      </c>
      <c r="E7471" s="16" t="s">
        <v>30</v>
      </c>
    </row>
    <row r="7472" spans="1:5" x14ac:dyDescent="0.25">
      <c r="A7472" s="14">
        <v>986305</v>
      </c>
      <c r="B7472" s="14" t="s">
        <v>7584</v>
      </c>
      <c r="C7472" s="14" t="s">
        <v>13030</v>
      </c>
      <c r="D7472" s="15">
        <v>53.51</v>
      </c>
      <c r="E7472" s="16" t="s">
        <v>30</v>
      </c>
    </row>
    <row r="7473" spans="1:5" x14ac:dyDescent="0.25">
      <c r="A7473" s="14">
        <v>986306</v>
      </c>
      <c r="B7473" s="14" t="s">
        <v>7585</v>
      </c>
      <c r="C7473" s="14" t="s">
        <v>13030</v>
      </c>
      <c r="D7473" s="15">
        <v>57.73</v>
      </c>
      <c r="E7473" s="16" t="s">
        <v>30</v>
      </c>
    </row>
    <row r="7474" spans="1:5" x14ac:dyDescent="0.25">
      <c r="A7474" s="14">
        <v>986307</v>
      </c>
      <c r="B7474" s="14" t="s">
        <v>7586</v>
      </c>
      <c r="C7474" s="14" t="s">
        <v>13030</v>
      </c>
      <c r="D7474" s="15">
        <v>75.56</v>
      </c>
      <c r="E7474" s="16" t="s">
        <v>30</v>
      </c>
    </row>
    <row r="7475" spans="1:5" x14ac:dyDescent="0.25">
      <c r="A7475" s="14">
        <v>986308</v>
      </c>
      <c r="B7475" s="14" t="s">
        <v>7587</v>
      </c>
      <c r="C7475" s="14" t="s">
        <v>13030</v>
      </c>
      <c r="D7475" s="15">
        <v>160.46</v>
      </c>
      <c r="E7475" s="16" t="s">
        <v>30</v>
      </c>
    </row>
    <row r="7476" spans="1:5" x14ac:dyDescent="0.25">
      <c r="A7476" s="14">
        <v>986309</v>
      </c>
      <c r="B7476" s="14" t="s">
        <v>7588</v>
      </c>
      <c r="C7476" s="14" t="s">
        <v>13030</v>
      </c>
      <c r="D7476" s="15">
        <v>26.58</v>
      </c>
      <c r="E7476" s="14" t="s">
        <v>30</v>
      </c>
    </row>
    <row r="7477" spans="1:5" x14ac:dyDescent="0.25">
      <c r="A7477" s="14">
        <v>986311</v>
      </c>
      <c r="B7477" s="14" t="s">
        <v>7589</v>
      </c>
      <c r="C7477" s="14" t="s">
        <v>13030</v>
      </c>
      <c r="D7477" s="15">
        <v>18.66</v>
      </c>
      <c r="E7477" s="16" t="s">
        <v>30</v>
      </c>
    </row>
    <row r="7478" spans="1:5" x14ac:dyDescent="0.25">
      <c r="A7478" s="14">
        <v>986313</v>
      </c>
      <c r="B7478" s="14" t="s">
        <v>7590</v>
      </c>
      <c r="C7478" s="14" t="s">
        <v>13030</v>
      </c>
      <c r="D7478" s="15">
        <v>14.77</v>
      </c>
      <c r="E7478" s="16" t="s">
        <v>30</v>
      </c>
    </row>
    <row r="7479" spans="1:5" x14ac:dyDescent="0.25">
      <c r="A7479" s="14">
        <v>986315</v>
      </c>
      <c r="B7479" s="14" t="s">
        <v>7591</v>
      </c>
      <c r="C7479" s="14" t="s">
        <v>13030</v>
      </c>
      <c r="D7479" s="15">
        <v>16.579999999999998</v>
      </c>
      <c r="E7479" s="16" t="s">
        <v>30</v>
      </c>
    </row>
    <row r="7480" spans="1:5" x14ac:dyDescent="0.25">
      <c r="A7480" s="14">
        <v>986317</v>
      </c>
      <c r="B7480" s="14" t="s">
        <v>7592</v>
      </c>
      <c r="C7480" s="14" t="s">
        <v>13029</v>
      </c>
      <c r="D7480" s="15">
        <v>29.24</v>
      </c>
      <c r="E7480" s="14" t="s">
        <v>30</v>
      </c>
    </row>
    <row r="7481" spans="1:5" x14ac:dyDescent="0.25">
      <c r="A7481" s="14">
        <v>986319</v>
      </c>
      <c r="B7481" s="14" t="s">
        <v>7593</v>
      </c>
      <c r="C7481" s="14" t="s">
        <v>13030</v>
      </c>
      <c r="D7481" s="15">
        <v>30.09</v>
      </c>
      <c r="E7481" s="16" t="s">
        <v>30</v>
      </c>
    </row>
    <row r="7482" spans="1:5" x14ac:dyDescent="0.25">
      <c r="A7482" s="14">
        <v>986320</v>
      </c>
      <c r="B7482" s="14" t="s">
        <v>7594</v>
      </c>
      <c r="C7482" s="14" t="s">
        <v>13031</v>
      </c>
      <c r="D7482" s="15">
        <v>5.64</v>
      </c>
      <c r="E7482" s="16" t="s">
        <v>30</v>
      </c>
    </row>
    <row r="7483" spans="1:5" x14ac:dyDescent="0.25">
      <c r="A7483" s="14">
        <v>986321</v>
      </c>
      <c r="B7483" s="14" t="s">
        <v>7595</v>
      </c>
      <c r="C7483" s="14" t="s">
        <v>13031</v>
      </c>
      <c r="D7483" s="15">
        <v>7.63</v>
      </c>
      <c r="E7483" s="16" t="s">
        <v>30</v>
      </c>
    </row>
    <row r="7484" spans="1:5" x14ac:dyDescent="0.25">
      <c r="A7484" s="14">
        <v>986322</v>
      </c>
      <c r="B7484" s="14" t="s">
        <v>7596</v>
      </c>
      <c r="C7484" s="14" t="s">
        <v>13031</v>
      </c>
      <c r="D7484" s="15">
        <v>3.24</v>
      </c>
      <c r="E7484" s="16" t="s">
        <v>30</v>
      </c>
    </row>
    <row r="7485" spans="1:5" x14ac:dyDescent="0.25">
      <c r="A7485" s="14">
        <v>986323</v>
      </c>
      <c r="B7485" s="14" t="s">
        <v>7597</v>
      </c>
      <c r="C7485" s="14" t="s">
        <v>13031</v>
      </c>
      <c r="D7485" s="15">
        <v>2.35</v>
      </c>
      <c r="E7485" s="16" t="s">
        <v>30</v>
      </c>
    </row>
    <row r="7486" spans="1:5" x14ac:dyDescent="0.25">
      <c r="A7486" s="14">
        <v>986324</v>
      </c>
      <c r="B7486" s="14" t="s">
        <v>7598</v>
      </c>
      <c r="C7486" s="14" t="s">
        <v>13029</v>
      </c>
      <c r="D7486" s="15">
        <v>12.4</v>
      </c>
      <c r="E7486" s="16" t="s">
        <v>30</v>
      </c>
    </row>
    <row r="7487" spans="1:5" x14ac:dyDescent="0.25">
      <c r="A7487" s="14">
        <v>986325</v>
      </c>
      <c r="B7487" s="14" t="s">
        <v>7599</v>
      </c>
      <c r="C7487" s="14" t="s">
        <v>13029</v>
      </c>
      <c r="D7487" s="15">
        <v>15.36</v>
      </c>
      <c r="E7487" s="16" t="s">
        <v>30</v>
      </c>
    </row>
    <row r="7488" spans="1:5" x14ac:dyDescent="0.25">
      <c r="A7488" s="14">
        <v>986326</v>
      </c>
      <c r="B7488" s="14" t="s">
        <v>7600</v>
      </c>
      <c r="C7488" s="14" t="s">
        <v>13029</v>
      </c>
      <c r="D7488" s="15">
        <v>23.67</v>
      </c>
      <c r="E7488" s="16" t="s">
        <v>30</v>
      </c>
    </row>
    <row r="7489" spans="1:5" x14ac:dyDescent="0.25">
      <c r="A7489" s="14">
        <v>974361</v>
      </c>
      <c r="B7489" s="14" t="s">
        <v>7601</v>
      </c>
      <c r="C7489" s="14" t="s">
        <v>13030</v>
      </c>
      <c r="D7489" s="15">
        <v>144.61000000000001</v>
      </c>
      <c r="E7489" s="16" t="s">
        <v>20</v>
      </c>
    </row>
    <row r="7490" spans="1:5" x14ac:dyDescent="0.25">
      <c r="A7490" s="14">
        <v>974362</v>
      </c>
      <c r="B7490" s="14" t="s">
        <v>7602</v>
      </c>
      <c r="C7490" s="14" t="s">
        <v>13030</v>
      </c>
      <c r="D7490" s="15">
        <v>20.28</v>
      </c>
      <c r="E7490" s="16" t="s">
        <v>20</v>
      </c>
    </row>
    <row r="7491" spans="1:5" x14ac:dyDescent="0.25">
      <c r="A7491" s="14">
        <v>974365</v>
      </c>
      <c r="B7491" s="14" t="s">
        <v>7603</v>
      </c>
      <c r="C7491" s="14" t="s">
        <v>13030</v>
      </c>
      <c r="D7491" s="15">
        <v>33.17</v>
      </c>
      <c r="E7491" s="16" t="s">
        <v>20</v>
      </c>
    </row>
    <row r="7492" spans="1:5" x14ac:dyDescent="0.25">
      <c r="A7492" s="14">
        <v>974368</v>
      </c>
      <c r="B7492" s="14" t="s">
        <v>7604</v>
      </c>
      <c r="C7492" s="14" t="s">
        <v>13030</v>
      </c>
      <c r="D7492" s="15">
        <v>40.22</v>
      </c>
      <c r="E7492" s="16" t="s">
        <v>20</v>
      </c>
    </row>
    <row r="7493" spans="1:5" x14ac:dyDescent="0.25">
      <c r="A7493" s="14">
        <v>974370</v>
      </c>
      <c r="B7493" s="14" t="s">
        <v>7605</v>
      </c>
      <c r="C7493" s="14" t="s">
        <v>13030</v>
      </c>
      <c r="D7493" s="15">
        <v>103.51</v>
      </c>
      <c r="E7493" s="16" t="s">
        <v>20</v>
      </c>
    </row>
    <row r="7494" spans="1:5" x14ac:dyDescent="0.25">
      <c r="A7494" s="14">
        <v>975132</v>
      </c>
      <c r="B7494" s="14" t="s">
        <v>7606</v>
      </c>
      <c r="C7494" s="14" t="s">
        <v>13030</v>
      </c>
      <c r="D7494" s="15">
        <v>8.9</v>
      </c>
      <c r="E7494" s="16" t="s">
        <v>20</v>
      </c>
    </row>
    <row r="7495" spans="1:5" x14ac:dyDescent="0.25">
      <c r="A7495" s="14">
        <v>975133</v>
      </c>
      <c r="B7495" s="14" t="s">
        <v>7607</v>
      </c>
      <c r="C7495" s="14" t="s">
        <v>13030</v>
      </c>
      <c r="D7495" s="15">
        <v>8.9</v>
      </c>
      <c r="E7495" s="16" t="s">
        <v>20</v>
      </c>
    </row>
    <row r="7496" spans="1:5" x14ac:dyDescent="0.25">
      <c r="A7496" s="14">
        <v>986327</v>
      </c>
      <c r="B7496" s="14" t="s">
        <v>7608</v>
      </c>
      <c r="C7496" s="14" t="s">
        <v>13029</v>
      </c>
      <c r="D7496" s="15">
        <v>5.87</v>
      </c>
      <c r="E7496" s="16" t="s">
        <v>30</v>
      </c>
    </row>
    <row r="7497" spans="1:5" x14ac:dyDescent="0.25">
      <c r="A7497" s="14">
        <v>986328</v>
      </c>
      <c r="B7497" s="14" t="s">
        <v>7609</v>
      </c>
      <c r="C7497" s="14" t="s">
        <v>13029</v>
      </c>
      <c r="D7497" s="15">
        <v>8.84</v>
      </c>
      <c r="E7497" s="16" t="s">
        <v>30</v>
      </c>
    </row>
    <row r="7498" spans="1:5" x14ac:dyDescent="0.25">
      <c r="A7498" s="14">
        <v>986329</v>
      </c>
      <c r="B7498" s="14" t="s">
        <v>7610</v>
      </c>
      <c r="C7498" s="14" t="s">
        <v>13029</v>
      </c>
      <c r="D7498" s="15">
        <v>8.84</v>
      </c>
      <c r="E7498" s="16" t="s">
        <v>30</v>
      </c>
    </row>
    <row r="7499" spans="1:5" x14ac:dyDescent="0.25">
      <c r="A7499" s="14">
        <v>986330</v>
      </c>
      <c r="B7499" s="14" t="s">
        <v>7611</v>
      </c>
      <c r="C7499" s="14" t="s">
        <v>13029</v>
      </c>
      <c r="D7499" s="15">
        <v>10.62</v>
      </c>
      <c r="E7499" s="16" t="s">
        <v>30</v>
      </c>
    </row>
    <row r="7500" spans="1:5" x14ac:dyDescent="0.25">
      <c r="A7500" s="14">
        <v>975134</v>
      </c>
      <c r="B7500" s="14" t="s">
        <v>7612</v>
      </c>
      <c r="C7500" s="14" t="s">
        <v>13030</v>
      </c>
      <c r="D7500" s="15">
        <v>8.9</v>
      </c>
      <c r="E7500" s="16" t="s">
        <v>20</v>
      </c>
    </row>
    <row r="7501" spans="1:5" x14ac:dyDescent="0.25">
      <c r="A7501" s="14">
        <v>971247</v>
      </c>
      <c r="B7501" s="14" t="s">
        <v>7613</v>
      </c>
      <c r="C7501" s="14" t="s">
        <v>13030</v>
      </c>
      <c r="D7501" s="15">
        <v>22.71</v>
      </c>
      <c r="E7501" s="16" t="s">
        <v>20</v>
      </c>
    </row>
    <row r="7502" spans="1:5" x14ac:dyDescent="0.25">
      <c r="A7502" s="14">
        <v>973054</v>
      </c>
      <c r="B7502" s="14" t="s">
        <v>7614</v>
      </c>
      <c r="C7502" s="14" t="s">
        <v>13031</v>
      </c>
      <c r="D7502" s="15">
        <v>8.8000000000000007</v>
      </c>
      <c r="E7502" s="16" t="s">
        <v>20</v>
      </c>
    </row>
    <row r="7503" spans="1:5" x14ac:dyDescent="0.25">
      <c r="A7503" s="14">
        <v>975710</v>
      </c>
      <c r="B7503" s="14" t="s">
        <v>7615</v>
      </c>
      <c r="C7503" s="14" t="s">
        <v>13030</v>
      </c>
      <c r="D7503" s="15">
        <v>110.15</v>
      </c>
      <c r="E7503" s="16" t="s">
        <v>20</v>
      </c>
    </row>
    <row r="7504" spans="1:5" x14ac:dyDescent="0.25">
      <c r="A7504" s="14">
        <v>986331</v>
      </c>
      <c r="B7504" s="14" t="s">
        <v>7616</v>
      </c>
      <c r="C7504" s="14" t="s">
        <v>13031</v>
      </c>
      <c r="D7504" s="15">
        <v>9</v>
      </c>
      <c r="E7504" s="16" t="s">
        <v>30</v>
      </c>
    </row>
    <row r="7505" spans="1:5" x14ac:dyDescent="0.25">
      <c r="A7505" s="14">
        <v>975712</v>
      </c>
      <c r="B7505" s="14" t="s">
        <v>7617</v>
      </c>
      <c r="C7505" s="14" t="s">
        <v>13030</v>
      </c>
      <c r="D7505" s="15">
        <v>130.5</v>
      </c>
      <c r="E7505" s="16" t="s">
        <v>20</v>
      </c>
    </row>
    <row r="7506" spans="1:5" x14ac:dyDescent="0.25">
      <c r="A7506" s="14">
        <v>986332</v>
      </c>
      <c r="B7506" s="14" t="s">
        <v>7618</v>
      </c>
      <c r="C7506" s="14" t="s">
        <v>13031</v>
      </c>
      <c r="D7506" s="15">
        <v>9</v>
      </c>
      <c r="E7506" s="16" t="s">
        <v>30</v>
      </c>
    </row>
    <row r="7507" spans="1:5" x14ac:dyDescent="0.25">
      <c r="A7507" s="14">
        <v>986333</v>
      </c>
      <c r="B7507" s="14" t="s">
        <v>7619</v>
      </c>
      <c r="C7507" s="14" t="s">
        <v>13031</v>
      </c>
      <c r="D7507" s="15">
        <v>9</v>
      </c>
      <c r="E7507" s="16" t="s">
        <v>30</v>
      </c>
    </row>
    <row r="7508" spans="1:5" x14ac:dyDescent="0.25">
      <c r="A7508" s="14">
        <v>986334</v>
      </c>
      <c r="B7508" s="14" t="s">
        <v>7620</v>
      </c>
      <c r="C7508" s="14" t="s">
        <v>13031</v>
      </c>
      <c r="D7508" s="15">
        <v>8.5</v>
      </c>
      <c r="E7508" s="16" t="s">
        <v>30</v>
      </c>
    </row>
    <row r="7509" spans="1:5" x14ac:dyDescent="0.25">
      <c r="A7509" s="14">
        <v>986335</v>
      </c>
      <c r="B7509" s="14" t="s">
        <v>7621</v>
      </c>
      <c r="C7509" s="14" t="s">
        <v>13031</v>
      </c>
      <c r="D7509" s="15">
        <v>8.5</v>
      </c>
      <c r="E7509" s="16" t="s">
        <v>30</v>
      </c>
    </row>
    <row r="7510" spans="1:5" x14ac:dyDescent="0.25">
      <c r="A7510" s="14">
        <v>986336</v>
      </c>
      <c r="B7510" s="14" t="s">
        <v>7622</v>
      </c>
      <c r="C7510" s="14" t="s">
        <v>13031</v>
      </c>
      <c r="D7510" s="15">
        <v>20.7</v>
      </c>
      <c r="E7510" s="16" t="s">
        <v>30</v>
      </c>
    </row>
    <row r="7511" spans="1:5" x14ac:dyDescent="0.25">
      <c r="A7511" s="14">
        <v>986337</v>
      </c>
      <c r="B7511" s="14" t="s">
        <v>7623</v>
      </c>
      <c r="C7511" s="14" t="s">
        <v>13031</v>
      </c>
      <c r="D7511" s="15">
        <v>11.53</v>
      </c>
      <c r="E7511" s="16" t="s">
        <v>30</v>
      </c>
    </row>
    <row r="7512" spans="1:5" x14ac:dyDescent="0.25">
      <c r="A7512" s="14">
        <v>986338</v>
      </c>
      <c r="B7512" s="14" t="s">
        <v>7624</v>
      </c>
      <c r="C7512" s="14" t="s">
        <v>13031</v>
      </c>
      <c r="D7512" s="15">
        <v>12.12</v>
      </c>
      <c r="E7512" s="16" t="s">
        <v>30</v>
      </c>
    </row>
    <row r="7513" spans="1:5" x14ac:dyDescent="0.25">
      <c r="A7513" s="14">
        <v>986340</v>
      </c>
      <c r="B7513" s="14" t="s">
        <v>7625</v>
      </c>
      <c r="C7513" s="14" t="s">
        <v>13031</v>
      </c>
      <c r="D7513" s="15">
        <v>10.54</v>
      </c>
      <c r="E7513" s="16" t="s">
        <v>30</v>
      </c>
    </row>
    <row r="7514" spans="1:5" x14ac:dyDescent="0.25">
      <c r="A7514" s="14">
        <v>986342</v>
      </c>
      <c r="B7514" s="14" t="s">
        <v>7626</v>
      </c>
      <c r="C7514" s="14" t="s">
        <v>13029</v>
      </c>
      <c r="D7514" s="15">
        <v>21.3</v>
      </c>
      <c r="E7514" s="14" t="s">
        <v>30</v>
      </c>
    </row>
    <row r="7515" spans="1:5" x14ac:dyDescent="0.25">
      <c r="A7515" s="14">
        <v>986382</v>
      </c>
      <c r="B7515" s="14" t="s">
        <v>7627</v>
      </c>
      <c r="C7515" s="14" t="s">
        <v>13029</v>
      </c>
      <c r="D7515" s="15">
        <v>7.65</v>
      </c>
      <c r="E7515" s="16" t="s">
        <v>30</v>
      </c>
    </row>
    <row r="7516" spans="1:5" x14ac:dyDescent="0.25">
      <c r="A7516" s="14">
        <v>986383</v>
      </c>
      <c r="B7516" s="14" t="s">
        <v>7628</v>
      </c>
      <c r="C7516" s="14" t="s">
        <v>13029</v>
      </c>
      <c r="D7516" s="15">
        <v>5.87</v>
      </c>
      <c r="E7516" s="16" t="s">
        <v>30</v>
      </c>
    </row>
    <row r="7517" spans="1:5" x14ac:dyDescent="0.25">
      <c r="A7517" s="14">
        <v>986384</v>
      </c>
      <c r="B7517" s="14" t="s">
        <v>7629</v>
      </c>
      <c r="C7517" s="14" t="s">
        <v>13029</v>
      </c>
      <c r="D7517" s="15">
        <v>29.6</v>
      </c>
      <c r="E7517" s="16" t="s">
        <v>30</v>
      </c>
    </row>
    <row r="7518" spans="1:5" x14ac:dyDescent="0.25">
      <c r="A7518" s="14">
        <v>986385</v>
      </c>
      <c r="B7518" s="14" t="s">
        <v>7630</v>
      </c>
      <c r="C7518" s="14" t="s">
        <v>13029</v>
      </c>
      <c r="D7518" s="15">
        <v>29.6</v>
      </c>
      <c r="E7518" s="16" t="s">
        <v>30</v>
      </c>
    </row>
    <row r="7519" spans="1:5" x14ac:dyDescent="0.25">
      <c r="A7519" s="14">
        <v>986386</v>
      </c>
      <c r="B7519" s="14" t="s">
        <v>7631</v>
      </c>
      <c r="C7519" s="14" t="s">
        <v>13029</v>
      </c>
      <c r="D7519" s="15">
        <v>7.65</v>
      </c>
      <c r="E7519" s="16" t="s">
        <v>30</v>
      </c>
    </row>
    <row r="7520" spans="1:5" x14ac:dyDescent="0.25">
      <c r="A7520" s="14">
        <v>986430</v>
      </c>
      <c r="B7520" s="14" t="s">
        <v>7632</v>
      </c>
      <c r="C7520" s="14" t="s">
        <v>13030</v>
      </c>
      <c r="D7520" s="15">
        <v>12.91</v>
      </c>
      <c r="E7520" s="16" t="s">
        <v>30</v>
      </c>
    </row>
    <row r="7521" spans="1:5" x14ac:dyDescent="0.25">
      <c r="A7521" s="14">
        <v>986436</v>
      </c>
      <c r="B7521" s="14" t="s">
        <v>7633</v>
      </c>
      <c r="C7521" s="14" t="s">
        <v>13030</v>
      </c>
      <c r="D7521" s="15">
        <v>12.99</v>
      </c>
      <c r="E7521" s="16" t="s">
        <v>30</v>
      </c>
    </row>
    <row r="7522" spans="1:5" x14ac:dyDescent="0.25">
      <c r="A7522" s="14">
        <v>986460</v>
      </c>
      <c r="B7522" s="14" t="s">
        <v>7634</v>
      </c>
      <c r="C7522" s="14" t="s">
        <v>13031</v>
      </c>
      <c r="D7522" s="15">
        <v>3.09</v>
      </c>
      <c r="E7522" s="16" t="s">
        <v>30</v>
      </c>
    </row>
    <row r="7523" spans="1:5" x14ac:dyDescent="0.25">
      <c r="A7523" s="14">
        <v>986532</v>
      </c>
      <c r="B7523" s="14" t="s">
        <v>7635</v>
      </c>
      <c r="C7523" s="14" t="s">
        <v>13029</v>
      </c>
      <c r="D7523" s="15">
        <v>14.05</v>
      </c>
      <c r="E7523" s="14" t="s">
        <v>30</v>
      </c>
    </row>
    <row r="7524" spans="1:5" x14ac:dyDescent="0.25">
      <c r="A7524" s="14">
        <v>986533</v>
      </c>
      <c r="B7524" s="14" t="s">
        <v>7636</v>
      </c>
      <c r="C7524" s="14" t="s">
        <v>13029</v>
      </c>
      <c r="D7524" s="15">
        <v>14.05</v>
      </c>
      <c r="E7524" s="14" t="s">
        <v>30</v>
      </c>
    </row>
    <row r="7525" spans="1:5" x14ac:dyDescent="0.25">
      <c r="A7525" s="14">
        <v>986534</v>
      </c>
      <c r="B7525" s="14" t="s">
        <v>7637</v>
      </c>
      <c r="C7525" s="14" t="s">
        <v>13029</v>
      </c>
      <c r="D7525" s="15">
        <v>18.34</v>
      </c>
      <c r="E7525" s="14" t="s">
        <v>30</v>
      </c>
    </row>
    <row r="7526" spans="1:5" x14ac:dyDescent="0.25">
      <c r="A7526" s="14">
        <v>986696</v>
      </c>
      <c r="B7526" s="14" t="s">
        <v>7638</v>
      </c>
      <c r="C7526" s="14" t="s">
        <v>13031</v>
      </c>
      <c r="D7526" s="15">
        <v>5.87</v>
      </c>
      <c r="E7526" s="16" t="s">
        <v>30</v>
      </c>
    </row>
    <row r="7527" spans="1:5" x14ac:dyDescent="0.25">
      <c r="A7527" s="14">
        <v>986697</v>
      </c>
      <c r="B7527" s="14" t="s">
        <v>7639</v>
      </c>
      <c r="C7527" s="14" t="s">
        <v>13031</v>
      </c>
      <c r="D7527" s="15">
        <v>7.06</v>
      </c>
      <c r="E7527" s="16" t="s">
        <v>30</v>
      </c>
    </row>
    <row r="7528" spans="1:5" x14ac:dyDescent="0.25">
      <c r="A7528" s="14">
        <v>975713</v>
      </c>
      <c r="B7528" s="14" t="s">
        <v>7640</v>
      </c>
      <c r="C7528" s="14" t="s">
        <v>13030</v>
      </c>
      <c r="D7528" s="15">
        <v>106.78</v>
      </c>
      <c r="E7528" s="16" t="s">
        <v>20</v>
      </c>
    </row>
    <row r="7529" spans="1:5" x14ac:dyDescent="0.25">
      <c r="A7529" s="14">
        <v>986704</v>
      </c>
      <c r="B7529" s="14" t="s">
        <v>7641</v>
      </c>
      <c r="C7529" s="14" t="s">
        <v>13031</v>
      </c>
      <c r="D7529" s="15">
        <v>14.24</v>
      </c>
      <c r="E7529" s="16" t="s">
        <v>30</v>
      </c>
    </row>
    <row r="7530" spans="1:5" x14ac:dyDescent="0.25">
      <c r="A7530" s="14">
        <v>975714</v>
      </c>
      <c r="B7530" s="14" t="s">
        <v>7642</v>
      </c>
      <c r="C7530" s="14" t="s">
        <v>13030</v>
      </c>
      <c r="D7530" s="15">
        <v>107.58</v>
      </c>
      <c r="E7530" s="16" t="s">
        <v>20</v>
      </c>
    </row>
    <row r="7531" spans="1:5" x14ac:dyDescent="0.25">
      <c r="A7531" s="14">
        <v>986705</v>
      </c>
      <c r="B7531" s="14" t="s">
        <v>7643</v>
      </c>
      <c r="C7531" s="14" t="s">
        <v>13031</v>
      </c>
      <c r="D7531" s="15">
        <v>25</v>
      </c>
      <c r="E7531" s="16" t="s">
        <v>30</v>
      </c>
    </row>
    <row r="7532" spans="1:5" x14ac:dyDescent="0.25">
      <c r="A7532" s="14">
        <v>986706</v>
      </c>
      <c r="B7532" s="14" t="s">
        <v>7644</v>
      </c>
      <c r="C7532" s="14" t="s">
        <v>13031</v>
      </c>
      <c r="D7532" s="15">
        <v>11.75</v>
      </c>
      <c r="E7532" s="16" t="s">
        <v>30</v>
      </c>
    </row>
    <row r="7533" spans="1:5" x14ac:dyDescent="0.25">
      <c r="A7533" s="14">
        <v>986707</v>
      </c>
      <c r="B7533" s="14" t="s">
        <v>7645</v>
      </c>
      <c r="C7533" s="14" t="s">
        <v>13031</v>
      </c>
      <c r="D7533" s="15">
        <v>11.75</v>
      </c>
      <c r="E7533" s="16" t="s">
        <v>30</v>
      </c>
    </row>
    <row r="7534" spans="1:5" x14ac:dyDescent="0.25">
      <c r="A7534" s="14">
        <v>986715</v>
      </c>
      <c r="B7534" s="14" t="s">
        <v>7646</v>
      </c>
      <c r="C7534" s="14" t="s">
        <v>13029</v>
      </c>
      <c r="D7534" s="15">
        <v>10.77</v>
      </c>
      <c r="E7534" s="14" t="s">
        <v>30</v>
      </c>
    </row>
    <row r="7535" spans="1:5" x14ac:dyDescent="0.25">
      <c r="A7535" s="14">
        <v>986716</v>
      </c>
      <c r="B7535" s="14" t="s">
        <v>7647</v>
      </c>
      <c r="C7535" s="14" t="s">
        <v>13029</v>
      </c>
      <c r="D7535" s="15">
        <v>10.77</v>
      </c>
      <c r="E7535" s="14" t="s">
        <v>30</v>
      </c>
    </row>
    <row r="7536" spans="1:5" x14ac:dyDescent="0.25">
      <c r="A7536" s="14">
        <v>986717</v>
      </c>
      <c r="B7536" s="14" t="s">
        <v>7648</v>
      </c>
      <c r="C7536" s="14" t="s">
        <v>13029</v>
      </c>
      <c r="D7536" s="15">
        <v>10.77</v>
      </c>
      <c r="E7536" s="14" t="s">
        <v>30</v>
      </c>
    </row>
    <row r="7537" spans="1:5" x14ac:dyDescent="0.25">
      <c r="A7537" s="14">
        <v>986718</v>
      </c>
      <c r="B7537" s="14" t="s">
        <v>7649</v>
      </c>
      <c r="C7537" s="14" t="s">
        <v>13029</v>
      </c>
      <c r="D7537" s="15">
        <v>10.77</v>
      </c>
      <c r="E7537" s="14" t="s">
        <v>30</v>
      </c>
    </row>
    <row r="7538" spans="1:5" x14ac:dyDescent="0.25">
      <c r="A7538" s="14">
        <v>986722</v>
      </c>
      <c r="B7538" s="14" t="s">
        <v>7650</v>
      </c>
      <c r="C7538" s="14" t="s">
        <v>13031</v>
      </c>
      <c r="D7538" s="15">
        <v>9.7899999999999991</v>
      </c>
      <c r="E7538" s="16" t="s">
        <v>30</v>
      </c>
    </row>
    <row r="7539" spans="1:5" x14ac:dyDescent="0.25">
      <c r="A7539" s="14">
        <v>986766</v>
      </c>
      <c r="B7539" s="14" t="s">
        <v>7651</v>
      </c>
      <c r="C7539" s="14" t="s">
        <v>13030</v>
      </c>
      <c r="D7539" s="15">
        <v>17.96</v>
      </c>
      <c r="E7539" s="16" t="s">
        <v>30</v>
      </c>
    </row>
    <row r="7540" spans="1:5" x14ac:dyDescent="0.25">
      <c r="A7540" s="14">
        <v>986884</v>
      </c>
      <c r="B7540" s="14" t="s">
        <v>7652</v>
      </c>
      <c r="C7540" s="14" t="s">
        <v>13029</v>
      </c>
      <c r="D7540" s="15">
        <v>24.9</v>
      </c>
      <c r="E7540" s="16" t="s">
        <v>30</v>
      </c>
    </row>
    <row r="7541" spans="1:5" x14ac:dyDescent="0.25">
      <c r="A7541" s="14">
        <v>987059</v>
      </c>
      <c r="B7541" s="14" t="s">
        <v>7653</v>
      </c>
      <c r="C7541" s="14" t="s">
        <v>13031</v>
      </c>
      <c r="D7541" s="15">
        <v>13.62</v>
      </c>
      <c r="E7541" s="16" t="s">
        <v>30</v>
      </c>
    </row>
    <row r="7542" spans="1:5" x14ac:dyDescent="0.25">
      <c r="A7542" s="14">
        <v>987060</v>
      </c>
      <c r="B7542" s="14" t="s">
        <v>7654</v>
      </c>
      <c r="C7542" s="14" t="s">
        <v>13031</v>
      </c>
      <c r="D7542" s="15">
        <v>13.62</v>
      </c>
      <c r="E7542" s="16" t="s">
        <v>30</v>
      </c>
    </row>
    <row r="7543" spans="1:5" x14ac:dyDescent="0.25">
      <c r="A7543" s="14">
        <v>987061</v>
      </c>
      <c r="B7543" s="14" t="s">
        <v>7655</v>
      </c>
      <c r="C7543" s="14" t="s">
        <v>13031</v>
      </c>
      <c r="D7543" s="15">
        <v>3.43</v>
      </c>
      <c r="E7543" s="16" t="s">
        <v>30</v>
      </c>
    </row>
    <row r="7544" spans="1:5" x14ac:dyDescent="0.25">
      <c r="A7544" s="14">
        <v>987069</v>
      </c>
      <c r="B7544" s="14" t="s">
        <v>7656</v>
      </c>
      <c r="C7544" s="14" t="s">
        <v>13031</v>
      </c>
      <c r="D7544" s="15">
        <v>21.35</v>
      </c>
      <c r="E7544" s="16" t="s">
        <v>30</v>
      </c>
    </row>
    <row r="7545" spans="1:5" x14ac:dyDescent="0.25">
      <c r="A7545" s="14">
        <v>987078</v>
      </c>
      <c r="B7545" s="14" t="s">
        <v>7657</v>
      </c>
      <c r="C7545" s="14" t="s">
        <v>13029</v>
      </c>
      <c r="D7545" s="15">
        <v>23.89</v>
      </c>
      <c r="E7545" s="14" t="s">
        <v>30</v>
      </c>
    </row>
    <row r="7546" spans="1:5" x14ac:dyDescent="0.25">
      <c r="A7546" s="14">
        <v>987080</v>
      </c>
      <c r="B7546" s="14" t="s">
        <v>7658</v>
      </c>
      <c r="C7546" s="14" t="s">
        <v>13029</v>
      </c>
      <c r="D7546" s="15">
        <v>15.61</v>
      </c>
      <c r="E7546" s="16" t="s">
        <v>30</v>
      </c>
    </row>
    <row r="7547" spans="1:5" x14ac:dyDescent="0.25">
      <c r="A7547" s="14">
        <v>987081</v>
      </c>
      <c r="B7547" s="14" t="s">
        <v>7659</v>
      </c>
      <c r="C7547" s="14" t="s">
        <v>13029</v>
      </c>
      <c r="D7547" s="15">
        <v>23.89</v>
      </c>
      <c r="E7547" s="14" t="s">
        <v>30</v>
      </c>
    </row>
    <row r="7548" spans="1:5" x14ac:dyDescent="0.25">
      <c r="A7548" s="14">
        <v>987082</v>
      </c>
      <c r="B7548" s="14" t="s">
        <v>7660</v>
      </c>
      <c r="C7548" s="14" t="s">
        <v>13030</v>
      </c>
      <c r="D7548" s="15">
        <v>50.04</v>
      </c>
      <c r="E7548" s="16" t="s">
        <v>30</v>
      </c>
    </row>
    <row r="7549" spans="1:5" x14ac:dyDescent="0.25">
      <c r="A7549" s="14">
        <v>987083</v>
      </c>
      <c r="B7549" s="14" t="s">
        <v>7661</v>
      </c>
      <c r="C7549" s="14" t="s">
        <v>13030</v>
      </c>
      <c r="D7549" s="15">
        <v>50.04</v>
      </c>
      <c r="E7549" s="16" t="s">
        <v>30</v>
      </c>
    </row>
    <row r="7550" spans="1:5" x14ac:dyDescent="0.25">
      <c r="A7550" s="14">
        <v>987145</v>
      </c>
      <c r="B7550" s="14" t="s">
        <v>7662</v>
      </c>
      <c r="C7550" s="14" t="s">
        <v>13029</v>
      </c>
      <c r="D7550" s="15">
        <v>29.08</v>
      </c>
      <c r="E7550" s="16" t="s">
        <v>30</v>
      </c>
    </row>
    <row r="7551" spans="1:5" x14ac:dyDescent="0.25">
      <c r="A7551" s="14">
        <v>987312</v>
      </c>
      <c r="B7551" s="14" t="s">
        <v>7663</v>
      </c>
      <c r="C7551" s="14" t="s">
        <v>13031</v>
      </c>
      <c r="D7551" s="15">
        <v>5.3</v>
      </c>
      <c r="E7551" s="16" t="s">
        <v>30</v>
      </c>
    </row>
    <row r="7552" spans="1:5" x14ac:dyDescent="0.25">
      <c r="A7552" s="14">
        <v>987313</v>
      </c>
      <c r="B7552" s="14" t="s">
        <v>7664</v>
      </c>
      <c r="C7552" s="14" t="s">
        <v>13031</v>
      </c>
      <c r="D7552" s="15">
        <v>6.1</v>
      </c>
      <c r="E7552" s="16" t="s">
        <v>30</v>
      </c>
    </row>
    <row r="7553" spans="1:5" x14ac:dyDescent="0.25">
      <c r="A7553" s="14">
        <v>987314</v>
      </c>
      <c r="B7553" s="14" t="s">
        <v>7665</v>
      </c>
      <c r="C7553" s="14" t="s">
        <v>13031</v>
      </c>
      <c r="D7553" s="15">
        <v>3.2</v>
      </c>
      <c r="E7553" s="16" t="s">
        <v>30</v>
      </c>
    </row>
    <row r="7554" spans="1:5" x14ac:dyDescent="0.25">
      <c r="A7554" s="14">
        <v>987315</v>
      </c>
      <c r="B7554" s="14" t="s">
        <v>7666</v>
      </c>
      <c r="C7554" s="14" t="s">
        <v>13031</v>
      </c>
      <c r="D7554" s="15">
        <v>3.2</v>
      </c>
      <c r="E7554" s="16" t="s">
        <v>30</v>
      </c>
    </row>
    <row r="7555" spans="1:5" x14ac:dyDescent="0.25">
      <c r="A7555" s="14">
        <v>987463</v>
      </c>
      <c r="B7555" s="14" t="s">
        <v>7667</v>
      </c>
      <c r="C7555" s="14" t="s">
        <v>13034</v>
      </c>
      <c r="D7555" s="15">
        <v>5.59</v>
      </c>
      <c r="E7555" s="16" t="s">
        <v>30</v>
      </c>
    </row>
    <row r="7556" spans="1:5" x14ac:dyDescent="0.25">
      <c r="A7556" s="14">
        <v>987465</v>
      </c>
      <c r="B7556" s="14" t="s">
        <v>7668</v>
      </c>
      <c r="C7556" s="14" t="s">
        <v>13029</v>
      </c>
      <c r="D7556" s="15">
        <v>38.31</v>
      </c>
      <c r="E7556" s="16" t="s">
        <v>30</v>
      </c>
    </row>
    <row r="7557" spans="1:5" x14ac:dyDescent="0.25">
      <c r="A7557" s="14">
        <v>987494</v>
      </c>
      <c r="B7557" s="14" t="s">
        <v>7669</v>
      </c>
      <c r="C7557" s="14" t="s">
        <v>13031</v>
      </c>
      <c r="D7557" s="15">
        <v>425.76</v>
      </c>
      <c r="E7557" s="16" t="s">
        <v>30</v>
      </c>
    </row>
    <row r="7558" spans="1:5" x14ac:dyDescent="0.25">
      <c r="A7558" s="14">
        <v>987495</v>
      </c>
      <c r="B7558" s="14" t="s">
        <v>7670</v>
      </c>
      <c r="C7558" s="14" t="s">
        <v>13031</v>
      </c>
      <c r="D7558" s="15">
        <v>141.44</v>
      </c>
      <c r="E7558" s="16" t="s">
        <v>30</v>
      </c>
    </row>
    <row r="7559" spans="1:5" x14ac:dyDescent="0.25">
      <c r="A7559" s="14">
        <v>987496</v>
      </c>
      <c r="B7559" s="14" t="s">
        <v>7671</v>
      </c>
      <c r="C7559" s="14" t="s">
        <v>13031</v>
      </c>
      <c r="D7559" s="15">
        <v>39.9</v>
      </c>
      <c r="E7559" s="16" t="s">
        <v>30</v>
      </c>
    </row>
    <row r="7560" spans="1:5" x14ac:dyDescent="0.25">
      <c r="A7560" s="14">
        <v>987546</v>
      </c>
      <c r="B7560" s="14" t="s">
        <v>7672</v>
      </c>
      <c r="C7560" s="14" t="s">
        <v>13029</v>
      </c>
      <c r="D7560" s="15">
        <v>21.25</v>
      </c>
      <c r="E7560" s="16" t="s">
        <v>30</v>
      </c>
    </row>
    <row r="7561" spans="1:5" x14ac:dyDescent="0.25">
      <c r="A7561" s="14">
        <v>987547</v>
      </c>
      <c r="B7561" s="14" t="s">
        <v>7673</v>
      </c>
      <c r="C7561" s="14" t="s">
        <v>13029</v>
      </c>
      <c r="D7561" s="15">
        <v>31.12</v>
      </c>
      <c r="E7561" s="16" t="s">
        <v>30</v>
      </c>
    </row>
    <row r="7562" spans="1:5" x14ac:dyDescent="0.25">
      <c r="A7562" s="14">
        <v>987548</v>
      </c>
      <c r="B7562" s="14" t="s">
        <v>7674</v>
      </c>
      <c r="C7562" s="14" t="s">
        <v>13029</v>
      </c>
      <c r="D7562" s="15">
        <v>24.2</v>
      </c>
      <c r="E7562" s="16" t="s">
        <v>30</v>
      </c>
    </row>
    <row r="7563" spans="1:5" x14ac:dyDescent="0.25">
      <c r="A7563" s="14">
        <v>987549</v>
      </c>
      <c r="B7563" s="14" t="s">
        <v>7675</v>
      </c>
      <c r="C7563" s="14" t="s">
        <v>13029</v>
      </c>
      <c r="D7563" s="15">
        <v>15.58</v>
      </c>
      <c r="E7563" s="16" t="s">
        <v>30</v>
      </c>
    </row>
    <row r="7564" spans="1:5" x14ac:dyDescent="0.25">
      <c r="A7564" s="14">
        <v>987561</v>
      </c>
      <c r="B7564" s="14" t="s">
        <v>7676</v>
      </c>
      <c r="C7564" s="14" t="s">
        <v>13031</v>
      </c>
      <c r="D7564" s="15">
        <v>9.7899999999999991</v>
      </c>
      <c r="E7564" s="16" t="s">
        <v>30</v>
      </c>
    </row>
    <row r="7565" spans="1:5" x14ac:dyDescent="0.25">
      <c r="A7565" s="14">
        <v>987581</v>
      </c>
      <c r="B7565" s="14" t="s">
        <v>7677</v>
      </c>
      <c r="C7565" s="14" t="s">
        <v>13030</v>
      </c>
      <c r="D7565" s="15">
        <v>61.16</v>
      </c>
      <c r="E7565" s="16" t="s">
        <v>30</v>
      </c>
    </row>
    <row r="7566" spans="1:5" x14ac:dyDescent="0.25">
      <c r="A7566" s="14">
        <v>987582</v>
      </c>
      <c r="B7566" s="14" t="s">
        <v>7678</v>
      </c>
      <c r="C7566" s="14" t="s">
        <v>13030</v>
      </c>
      <c r="D7566" s="15">
        <v>82.77</v>
      </c>
      <c r="E7566" s="16" t="s">
        <v>30</v>
      </c>
    </row>
    <row r="7567" spans="1:5" x14ac:dyDescent="0.25">
      <c r="A7567" s="14">
        <v>987585</v>
      </c>
      <c r="B7567" s="14" t="s">
        <v>7679</v>
      </c>
      <c r="C7567" s="14" t="s">
        <v>13031</v>
      </c>
      <c r="D7567" s="15">
        <v>5.5</v>
      </c>
      <c r="E7567" s="16" t="s">
        <v>30</v>
      </c>
    </row>
    <row r="7568" spans="1:5" x14ac:dyDescent="0.25">
      <c r="A7568" s="14">
        <v>987784</v>
      </c>
      <c r="B7568" s="14" t="s">
        <v>7680</v>
      </c>
      <c r="C7568" s="14" t="s">
        <v>13029</v>
      </c>
      <c r="D7568" s="15">
        <v>82.2</v>
      </c>
      <c r="E7568" s="16" t="s">
        <v>30</v>
      </c>
    </row>
    <row r="7569" spans="1:5" x14ac:dyDescent="0.25">
      <c r="A7569" s="14">
        <v>987785</v>
      </c>
      <c r="B7569" s="14" t="s">
        <v>7681</v>
      </c>
      <c r="C7569" s="14" t="s">
        <v>13029</v>
      </c>
      <c r="D7569" s="15">
        <v>18.62</v>
      </c>
      <c r="E7569" s="16" t="s">
        <v>30</v>
      </c>
    </row>
    <row r="7570" spans="1:5" x14ac:dyDescent="0.25">
      <c r="A7570" s="14">
        <v>987786</v>
      </c>
      <c r="B7570" s="14" t="s">
        <v>7682</v>
      </c>
      <c r="C7570" s="14" t="s">
        <v>13029</v>
      </c>
      <c r="D7570" s="15">
        <v>17.149999999999999</v>
      </c>
      <c r="E7570" s="16" t="s">
        <v>30</v>
      </c>
    </row>
    <row r="7571" spans="1:5" x14ac:dyDescent="0.25">
      <c r="A7571" s="14">
        <v>987787</v>
      </c>
      <c r="B7571" s="14" t="s">
        <v>7683</v>
      </c>
      <c r="C7571" s="14" t="s">
        <v>13029</v>
      </c>
      <c r="D7571" s="15">
        <v>17.149999999999999</v>
      </c>
      <c r="E7571" s="16" t="s">
        <v>30</v>
      </c>
    </row>
    <row r="7572" spans="1:5" x14ac:dyDescent="0.25">
      <c r="A7572" s="14">
        <v>987788</v>
      </c>
      <c r="B7572" s="14" t="s">
        <v>7684</v>
      </c>
      <c r="C7572" s="14" t="s">
        <v>13029</v>
      </c>
      <c r="D7572" s="15">
        <v>21.45</v>
      </c>
      <c r="E7572" s="16" t="s">
        <v>30</v>
      </c>
    </row>
    <row r="7573" spans="1:5" x14ac:dyDescent="0.25">
      <c r="A7573" s="14">
        <v>987789</v>
      </c>
      <c r="B7573" s="14" t="s">
        <v>7685</v>
      </c>
      <c r="C7573" s="14" t="s">
        <v>13029</v>
      </c>
      <c r="D7573" s="15">
        <v>47.4</v>
      </c>
      <c r="E7573" s="16" t="s">
        <v>30</v>
      </c>
    </row>
    <row r="7574" spans="1:5" x14ac:dyDescent="0.25">
      <c r="A7574" s="14">
        <v>987790</v>
      </c>
      <c r="B7574" s="14" t="s">
        <v>7686</v>
      </c>
      <c r="C7574" s="14" t="s">
        <v>13029</v>
      </c>
      <c r="D7574" s="15">
        <v>53.33</v>
      </c>
      <c r="E7574" s="16" t="s">
        <v>30</v>
      </c>
    </row>
    <row r="7575" spans="1:5" x14ac:dyDescent="0.25">
      <c r="A7575" s="14">
        <v>987791</v>
      </c>
      <c r="B7575" s="14" t="s">
        <v>7687</v>
      </c>
      <c r="C7575" s="14" t="s">
        <v>13029</v>
      </c>
      <c r="D7575" s="15">
        <v>41.47</v>
      </c>
      <c r="E7575" s="16" t="s">
        <v>30</v>
      </c>
    </row>
    <row r="7576" spans="1:5" x14ac:dyDescent="0.25">
      <c r="A7576" s="14">
        <v>987792</v>
      </c>
      <c r="B7576" s="14" t="s">
        <v>7688</v>
      </c>
      <c r="C7576" s="14" t="s">
        <v>13029</v>
      </c>
      <c r="D7576" s="15">
        <v>41.47</v>
      </c>
      <c r="E7576" s="16" t="s">
        <v>30</v>
      </c>
    </row>
    <row r="7577" spans="1:5" x14ac:dyDescent="0.25">
      <c r="A7577" s="14">
        <v>987793</v>
      </c>
      <c r="B7577" s="14" t="s">
        <v>7689</v>
      </c>
      <c r="C7577" s="14" t="s">
        <v>13029</v>
      </c>
      <c r="D7577" s="15">
        <v>29.6</v>
      </c>
      <c r="E7577" s="14" t="s">
        <v>30</v>
      </c>
    </row>
    <row r="7578" spans="1:5" x14ac:dyDescent="0.25">
      <c r="A7578" s="14">
        <v>987940</v>
      </c>
      <c r="B7578" s="14" t="s">
        <v>7690</v>
      </c>
      <c r="C7578" s="14" t="s">
        <v>13031</v>
      </c>
      <c r="D7578" s="15">
        <v>29.6</v>
      </c>
      <c r="E7578" s="16" t="s">
        <v>30</v>
      </c>
    </row>
    <row r="7579" spans="1:5" x14ac:dyDescent="0.25">
      <c r="A7579" s="14">
        <v>987947</v>
      </c>
      <c r="B7579" s="14" t="s">
        <v>7691</v>
      </c>
      <c r="C7579" s="14" t="s">
        <v>13029</v>
      </c>
      <c r="D7579" s="15">
        <v>0.85</v>
      </c>
      <c r="E7579" s="16" t="s">
        <v>30</v>
      </c>
    </row>
    <row r="7580" spans="1:5" x14ac:dyDescent="0.25">
      <c r="A7580" s="14">
        <v>988300</v>
      </c>
      <c r="B7580" s="14" t="s">
        <v>7692</v>
      </c>
      <c r="C7580" s="14" t="s">
        <v>13030</v>
      </c>
      <c r="D7580" s="15">
        <v>26.65</v>
      </c>
      <c r="E7580" s="16" t="s">
        <v>30</v>
      </c>
    </row>
    <row r="7581" spans="1:5" x14ac:dyDescent="0.25">
      <c r="A7581" s="14">
        <v>988301</v>
      </c>
      <c r="B7581" s="14" t="s">
        <v>7693</v>
      </c>
      <c r="C7581" s="14" t="s">
        <v>13029</v>
      </c>
      <c r="D7581" s="15">
        <v>8.64</v>
      </c>
      <c r="E7581" s="16" t="s">
        <v>30</v>
      </c>
    </row>
    <row r="7582" spans="1:5" x14ac:dyDescent="0.25">
      <c r="A7582" s="14">
        <v>988302</v>
      </c>
      <c r="B7582" s="14" t="s">
        <v>7694</v>
      </c>
      <c r="C7582" s="14" t="s">
        <v>13029</v>
      </c>
      <c r="D7582" s="15">
        <v>8.64</v>
      </c>
      <c r="E7582" s="16" t="s">
        <v>30</v>
      </c>
    </row>
    <row r="7583" spans="1:5" x14ac:dyDescent="0.25">
      <c r="A7583" s="14">
        <v>988303</v>
      </c>
      <c r="B7583" s="14" t="s">
        <v>7695</v>
      </c>
      <c r="C7583" s="14" t="s">
        <v>13029</v>
      </c>
      <c r="D7583" s="15">
        <v>8.64</v>
      </c>
      <c r="E7583" s="16" t="s">
        <v>30</v>
      </c>
    </row>
    <row r="7584" spans="1:5" x14ac:dyDescent="0.25">
      <c r="A7584" s="14">
        <v>988304</v>
      </c>
      <c r="B7584" s="14" t="s">
        <v>7696</v>
      </c>
      <c r="C7584" s="14" t="s">
        <v>13029</v>
      </c>
      <c r="D7584" s="15">
        <v>8.64</v>
      </c>
      <c r="E7584" s="16" t="s">
        <v>30</v>
      </c>
    </row>
    <row r="7585" spans="1:5" x14ac:dyDescent="0.25">
      <c r="A7585" s="14">
        <v>988305</v>
      </c>
      <c r="B7585" s="14" t="s">
        <v>7697</v>
      </c>
      <c r="C7585" s="14" t="s">
        <v>13029</v>
      </c>
      <c r="D7585" s="15">
        <v>8.64</v>
      </c>
      <c r="E7585" s="16" t="s">
        <v>30</v>
      </c>
    </row>
    <row r="7586" spans="1:5" x14ac:dyDescent="0.25">
      <c r="A7586" s="14">
        <v>988306</v>
      </c>
      <c r="B7586" s="14" t="s">
        <v>7698</v>
      </c>
      <c r="C7586" s="14" t="s">
        <v>13029</v>
      </c>
      <c r="D7586" s="15">
        <v>8.64</v>
      </c>
      <c r="E7586" s="16" t="s">
        <v>30</v>
      </c>
    </row>
    <row r="7587" spans="1:5" x14ac:dyDescent="0.25">
      <c r="A7587" s="14">
        <v>988310</v>
      </c>
      <c r="B7587" s="14" t="s">
        <v>7699</v>
      </c>
      <c r="C7587" s="14" t="s">
        <v>13030</v>
      </c>
      <c r="D7587" s="15">
        <v>39.54</v>
      </c>
      <c r="E7587" s="16" t="s">
        <v>30</v>
      </c>
    </row>
    <row r="7588" spans="1:5" x14ac:dyDescent="0.25">
      <c r="A7588" s="14">
        <v>988311</v>
      </c>
      <c r="B7588" s="14" t="s">
        <v>7700</v>
      </c>
      <c r="C7588" s="14" t="s">
        <v>13030</v>
      </c>
      <c r="D7588" s="15">
        <v>4.4000000000000004</v>
      </c>
      <c r="E7588" s="16" t="s">
        <v>30</v>
      </c>
    </row>
    <row r="7589" spans="1:5" x14ac:dyDescent="0.25">
      <c r="A7589" s="14">
        <v>988312</v>
      </c>
      <c r="B7589" s="14" t="s">
        <v>7701</v>
      </c>
      <c r="C7589" s="14" t="s">
        <v>13030</v>
      </c>
      <c r="D7589" s="15">
        <v>4.4000000000000004</v>
      </c>
      <c r="E7589" s="16" t="s">
        <v>30</v>
      </c>
    </row>
    <row r="7590" spans="1:5" x14ac:dyDescent="0.25">
      <c r="A7590" s="14">
        <v>988313</v>
      </c>
      <c r="B7590" s="14" t="s">
        <v>7702</v>
      </c>
      <c r="C7590" s="14" t="s">
        <v>13030</v>
      </c>
      <c r="D7590" s="15">
        <v>93.08</v>
      </c>
      <c r="E7590" s="16" t="s">
        <v>30</v>
      </c>
    </row>
    <row r="7591" spans="1:5" x14ac:dyDescent="0.25">
      <c r="A7591" s="14">
        <v>988314</v>
      </c>
      <c r="B7591" s="14" t="s">
        <v>7703</v>
      </c>
      <c r="C7591" s="14" t="s">
        <v>13029</v>
      </c>
      <c r="D7591" s="15">
        <v>27.62</v>
      </c>
      <c r="E7591" s="16" t="s">
        <v>30</v>
      </c>
    </row>
    <row r="7592" spans="1:5" x14ac:dyDescent="0.25">
      <c r="A7592" s="14">
        <v>988315</v>
      </c>
      <c r="B7592" s="14" t="s">
        <v>7704</v>
      </c>
      <c r="C7592" s="14" t="s">
        <v>13029</v>
      </c>
      <c r="D7592" s="15">
        <v>27.62</v>
      </c>
      <c r="E7592" s="16" t="s">
        <v>30</v>
      </c>
    </row>
    <row r="7593" spans="1:5" x14ac:dyDescent="0.25">
      <c r="A7593" s="14">
        <v>988718</v>
      </c>
      <c r="B7593" s="14" t="s">
        <v>7705</v>
      </c>
      <c r="C7593" s="14" t="s">
        <v>13031</v>
      </c>
      <c r="D7593" s="15">
        <v>17.12</v>
      </c>
      <c r="E7593" s="16" t="s">
        <v>30</v>
      </c>
    </row>
    <row r="7594" spans="1:5" x14ac:dyDescent="0.25">
      <c r="A7594" s="14">
        <v>988719</v>
      </c>
      <c r="B7594" s="14" t="s">
        <v>7706</v>
      </c>
      <c r="C7594" s="14" t="s">
        <v>13031</v>
      </c>
      <c r="D7594" s="15">
        <v>14.49</v>
      </c>
      <c r="E7594" s="16" t="s">
        <v>30</v>
      </c>
    </row>
    <row r="7595" spans="1:5" x14ac:dyDescent="0.25">
      <c r="A7595" s="14">
        <v>988720</v>
      </c>
      <c r="B7595" s="14" t="s">
        <v>7707</v>
      </c>
      <c r="C7595" s="14" t="s">
        <v>13031</v>
      </c>
      <c r="D7595" s="15">
        <v>14.49</v>
      </c>
      <c r="E7595" s="16" t="s">
        <v>30</v>
      </c>
    </row>
    <row r="7596" spans="1:5" x14ac:dyDescent="0.25">
      <c r="A7596" s="14">
        <v>988721</v>
      </c>
      <c r="B7596" s="14" t="s">
        <v>7708</v>
      </c>
      <c r="C7596" s="14" t="s">
        <v>13031</v>
      </c>
      <c r="D7596" s="15">
        <v>16.53</v>
      </c>
      <c r="E7596" s="16" t="s">
        <v>30</v>
      </c>
    </row>
    <row r="7597" spans="1:5" x14ac:dyDescent="0.25">
      <c r="A7597" s="14">
        <v>976153</v>
      </c>
      <c r="B7597" s="14" t="s">
        <v>7709</v>
      </c>
      <c r="C7597" s="14" t="s">
        <v>13030</v>
      </c>
      <c r="D7597" s="15">
        <v>51.59</v>
      </c>
      <c r="E7597" s="16" t="s">
        <v>20</v>
      </c>
    </row>
    <row r="7598" spans="1:5" x14ac:dyDescent="0.25">
      <c r="A7598" s="14">
        <v>976155</v>
      </c>
      <c r="B7598" s="14" t="s">
        <v>7710</v>
      </c>
      <c r="C7598" s="14" t="s">
        <v>13030</v>
      </c>
      <c r="D7598" s="15">
        <v>51.74</v>
      </c>
      <c r="E7598" s="16" t="s">
        <v>20</v>
      </c>
    </row>
    <row r="7599" spans="1:5" x14ac:dyDescent="0.25">
      <c r="A7599" s="14">
        <v>988722</v>
      </c>
      <c r="B7599" s="14" t="s">
        <v>7711</v>
      </c>
      <c r="C7599" s="14" t="s">
        <v>13031</v>
      </c>
      <c r="D7599" s="15">
        <v>16.53</v>
      </c>
      <c r="E7599" s="16" t="s">
        <v>30</v>
      </c>
    </row>
    <row r="7600" spans="1:5" x14ac:dyDescent="0.25">
      <c r="A7600" s="14">
        <v>988723</v>
      </c>
      <c r="B7600" s="14" t="s">
        <v>7712</v>
      </c>
      <c r="C7600" s="14" t="s">
        <v>13031</v>
      </c>
      <c r="D7600" s="15">
        <v>16.53</v>
      </c>
      <c r="E7600" s="16" t="s">
        <v>30</v>
      </c>
    </row>
    <row r="7601" spans="1:5" x14ac:dyDescent="0.25">
      <c r="A7601" s="14">
        <v>988963</v>
      </c>
      <c r="B7601" s="14" t="s">
        <v>7713</v>
      </c>
      <c r="C7601" s="14" t="s">
        <v>13029</v>
      </c>
      <c r="D7601" s="15">
        <v>16.55</v>
      </c>
      <c r="E7601" s="16" t="s">
        <v>30</v>
      </c>
    </row>
    <row r="7602" spans="1:5" x14ac:dyDescent="0.25">
      <c r="A7602" s="14">
        <v>988964</v>
      </c>
      <c r="B7602" s="14" t="s">
        <v>7714</v>
      </c>
      <c r="C7602" s="14" t="s">
        <v>13029</v>
      </c>
      <c r="D7602" s="15">
        <v>16.55</v>
      </c>
      <c r="E7602" s="16" t="s">
        <v>30</v>
      </c>
    </row>
    <row r="7603" spans="1:5" x14ac:dyDescent="0.25">
      <c r="A7603" s="14">
        <v>988969</v>
      </c>
      <c r="B7603" s="14" t="s">
        <v>7715</v>
      </c>
      <c r="C7603" s="14" t="s">
        <v>13029</v>
      </c>
      <c r="D7603" s="15">
        <v>14.11</v>
      </c>
      <c r="E7603" s="16" t="s">
        <v>30</v>
      </c>
    </row>
    <row r="7604" spans="1:5" x14ac:dyDescent="0.25">
      <c r="A7604" s="14">
        <v>988970</v>
      </c>
      <c r="B7604" s="14" t="s">
        <v>7716</v>
      </c>
      <c r="C7604" s="14" t="s">
        <v>13029</v>
      </c>
      <c r="D7604" s="15">
        <v>25.93</v>
      </c>
      <c r="E7604" s="16" t="s">
        <v>30</v>
      </c>
    </row>
    <row r="7605" spans="1:5" x14ac:dyDescent="0.25">
      <c r="A7605" s="14">
        <v>989021</v>
      </c>
      <c r="B7605" s="14" t="s">
        <v>7717</v>
      </c>
      <c r="C7605" s="14" t="s">
        <v>13031</v>
      </c>
      <c r="D7605" s="15">
        <v>23.58</v>
      </c>
      <c r="E7605" s="16" t="s">
        <v>30</v>
      </c>
    </row>
    <row r="7606" spans="1:5" x14ac:dyDescent="0.25">
      <c r="A7606" s="14">
        <v>989022</v>
      </c>
      <c r="B7606" s="14" t="s">
        <v>7718</v>
      </c>
      <c r="C7606" s="14" t="s">
        <v>13031</v>
      </c>
      <c r="D7606" s="15">
        <v>21.43</v>
      </c>
      <c r="E7606" s="16" t="s">
        <v>30</v>
      </c>
    </row>
    <row r="7607" spans="1:5" x14ac:dyDescent="0.25">
      <c r="A7607" s="14">
        <v>989023</v>
      </c>
      <c r="B7607" s="14" t="s">
        <v>7719</v>
      </c>
      <c r="C7607" s="14" t="s">
        <v>13031</v>
      </c>
      <c r="D7607" s="15">
        <v>21.44</v>
      </c>
      <c r="E7607" s="16" t="s">
        <v>30</v>
      </c>
    </row>
    <row r="7608" spans="1:5" x14ac:dyDescent="0.25">
      <c r="A7608" s="14">
        <v>989047</v>
      </c>
      <c r="B7608" s="14" t="s">
        <v>7720</v>
      </c>
      <c r="C7608" s="14" t="s">
        <v>13031</v>
      </c>
      <c r="D7608" s="15">
        <v>8.8000000000000007</v>
      </c>
      <c r="E7608" s="14" t="s">
        <v>30</v>
      </c>
    </row>
    <row r="7609" spans="1:5" x14ac:dyDescent="0.25">
      <c r="A7609" s="14">
        <v>989048</v>
      </c>
      <c r="B7609" s="14" t="s">
        <v>7721</v>
      </c>
      <c r="C7609" s="14" t="s">
        <v>13031</v>
      </c>
      <c r="D7609" s="15">
        <v>8.8000000000000007</v>
      </c>
      <c r="E7609" s="16" t="s">
        <v>30</v>
      </c>
    </row>
    <row r="7610" spans="1:5" x14ac:dyDescent="0.25">
      <c r="A7610" s="14">
        <v>989049</v>
      </c>
      <c r="B7610" s="14" t="s">
        <v>7722</v>
      </c>
      <c r="C7610" s="14" t="s">
        <v>13031</v>
      </c>
      <c r="D7610" s="15">
        <v>8.8000000000000007</v>
      </c>
      <c r="E7610" s="14" t="s">
        <v>30</v>
      </c>
    </row>
    <row r="7611" spans="1:5" x14ac:dyDescent="0.25">
      <c r="A7611" s="14">
        <v>989050</v>
      </c>
      <c r="B7611" s="14" t="s">
        <v>7723</v>
      </c>
      <c r="C7611" s="14" t="s">
        <v>13031</v>
      </c>
      <c r="D7611" s="15">
        <v>11.8</v>
      </c>
      <c r="E7611" s="14" t="s">
        <v>30</v>
      </c>
    </row>
    <row r="7612" spans="1:5" x14ac:dyDescent="0.25">
      <c r="A7612" s="14">
        <v>989051</v>
      </c>
      <c r="B7612" s="14" t="s">
        <v>7724</v>
      </c>
      <c r="C7612" s="14" t="s">
        <v>13031</v>
      </c>
      <c r="D7612" s="15">
        <v>11.8</v>
      </c>
      <c r="E7612" s="16" t="s">
        <v>30</v>
      </c>
    </row>
    <row r="7613" spans="1:5" x14ac:dyDescent="0.25">
      <c r="A7613" s="14">
        <v>973975</v>
      </c>
      <c r="B7613" s="14" t="s">
        <v>7725</v>
      </c>
      <c r="C7613" s="14" t="s">
        <v>13031</v>
      </c>
      <c r="D7613" s="15">
        <v>9.65</v>
      </c>
      <c r="E7613" s="16" t="s">
        <v>20</v>
      </c>
    </row>
    <row r="7614" spans="1:5" x14ac:dyDescent="0.25">
      <c r="A7614" s="14">
        <v>989052</v>
      </c>
      <c r="B7614" s="14" t="s">
        <v>7726</v>
      </c>
      <c r="C7614" s="14" t="s">
        <v>13031</v>
      </c>
      <c r="D7614" s="15">
        <v>11.8</v>
      </c>
      <c r="E7614" s="16" t="s">
        <v>30</v>
      </c>
    </row>
    <row r="7615" spans="1:5" x14ac:dyDescent="0.25">
      <c r="A7615" s="14">
        <v>989053</v>
      </c>
      <c r="B7615" s="14" t="s">
        <v>7727</v>
      </c>
      <c r="C7615" s="14" t="s">
        <v>13031</v>
      </c>
      <c r="D7615" s="15">
        <v>9.4</v>
      </c>
      <c r="E7615" s="16" t="s">
        <v>30</v>
      </c>
    </row>
    <row r="7616" spans="1:5" x14ac:dyDescent="0.25">
      <c r="A7616" s="14">
        <v>989054</v>
      </c>
      <c r="B7616" s="14" t="s">
        <v>7728</v>
      </c>
      <c r="C7616" s="14" t="s">
        <v>13031</v>
      </c>
      <c r="D7616" s="15">
        <v>12.4</v>
      </c>
      <c r="E7616" s="16" t="s">
        <v>30</v>
      </c>
    </row>
    <row r="7617" spans="1:5" x14ac:dyDescent="0.25">
      <c r="A7617" s="14">
        <v>989055</v>
      </c>
      <c r="B7617" s="14" t="s">
        <v>7729</v>
      </c>
      <c r="C7617" s="14" t="s">
        <v>13031</v>
      </c>
      <c r="D7617" s="15">
        <v>8.8800000000000008</v>
      </c>
      <c r="E7617" s="16" t="s">
        <v>30</v>
      </c>
    </row>
    <row r="7618" spans="1:5" x14ac:dyDescent="0.25">
      <c r="A7618" s="14">
        <v>989056</v>
      </c>
      <c r="B7618" s="14" t="s">
        <v>7730</v>
      </c>
      <c r="C7618" s="14" t="s">
        <v>13031</v>
      </c>
      <c r="D7618" s="15">
        <v>13.6</v>
      </c>
      <c r="E7618" s="16" t="s">
        <v>30</v>
      </c>
    </row>
    <row r="7619" spans="1:5" x14ac:dyDescent="0.25">
      <c r="A7619" s="14">
        <v>989057</v>
      </c>
      <c r="B7619" s="14" t="s">
        <v>7731</v>
      </c>
      <c r="C7619" s="14" t="s">
        <v>13031</v>
      </c>
      <c r="D7619" s="15">
        <v>9</v>
      </c>
      <c r="E7619" s="16" t="s">
        <v>30</v>
      </c>
    </row>
    <row r="7620" spans="1:5" x14ac:dyDescent="0.25">
      <c r="A7620" s="14">
        <v>989058</v>
      </c>
      <c r="B7620" s="14" t="s">
        <v>7732</v>
      </c>
      <c r="C7620" s="14" t="s">
        <v>13031</v>
      </c>
      <c r="D7620" s="15">
        <v>7.5</v>
      </c>
      <c r="E7620" s="16" t="s">
        <v>30</v>
      </c>
    </row>
    <row r="7621" spans="1:5" x14ac:dyDescent="0.25">
      <c r="A7621" s="14">
        <v>989059</v>
      </c>
      <c r="B7621" s="14" t="s">
        <v>7733</v>
      </c>
      <c r="C7621" s="14" t="s">
        <v>13031</v>
      </c>
      <c r="D7621" s="15">
        <v>9.4</v>
      </c>
      <c r="E7621" s="16" t="s">
        <v>30</v>
      </c>
    </row>
    <row r="7622" spans="1:5" x14ac:dyDescent="0.25">
      <c r="A7622" s="14">
        <v>989060</v>
      </c>
      <c r="B7622" s="14" t="s">
        <v>7734</v>
      </c>
      <c r="C7622" s="14" t="s">
        <v>13031</v>
      </c>
      <c r="D7622" s="15">
        <v>8.5</v>
      </c>
      <c r="E7622" s="16" t="s">
        <v>30</v>
      </c>
    </row>
    <row r="7623" spans="1:5" x14ac:dyDescent="0.25">
      <c r="A7623" s="14">
        <v>989061</v>
      </c>
      <c r="B7623" s="14" t="s">
        <v>7735</v>
      </c>
      <c r="C7623" s="14" t="s">
        <v>13031</v>
      </c>
      <c r="D7623" s="15">
        <v>8.5</v>
      </c>
      <c r="E7623" s="16" t="s">
        <v>30</v>
      </c>
    </row>
    <row r="7624" spans="1:5" x14ac:dyDescent="0.25">
      <c r="A7624" s="14">
        <v>989065</v>
      </c>
      <c r="B7624" s="14" t="s">
        <v>7736</v>
      </c>
      <c r="C7624" s="14" t="s">
        <v>13030</v>
      </c>
      <c r="D7624" s="15">
        <v>31.7</v>
      </c>
      <c r="E7624" s="16" t="s">
        <v>30</v>
      </c>
    </row>
    <row r="7625" spans="1:5" x14ac:dyDescent="0.25">
      <c r="A7625" s="14">
        <v>989066</v>
      </c>
      <c r="B7625" s="14" t="s">
        <v>7737</v>
      </c>
      <c r="C7625" s="14" t="s">
        <v>13030</v>
      </c>
      <c r="D7625" s="15">
        <v>103.09</v>
      </c>
      <c r="E7625" s="16" t="s">
        <v>30</v>
      </c>
    </row>
    <row r="7626" spans="1:5" x14ac:dyDescent="0.25">
      <c r="A7626" s="14">
        <v>989070</v>
      </c>
      <c r="B7626" s="14" t="s">
        <v>7738</v>
      </c>
      <c r="C7626" s="14" t="s">
        <v>13029</v>
      </c>
      <c r="D7626" s="15">
        <v>32.57</v>
      </c>
      <c r="E7626" s="16" t="s">
        <v>30</v>
      </c>
    </row>
    <row r="7627" spans="1:5" x14ac:dyDescent="0.25">
      <c r="A7627" s="14">
        <v>989071</v>
      </c>
      <c r="B7627" s="14" t="s">
        <v>7739</v>
      </c>
      <c r="C7627" s="14" t="s">
        <v>13029</v>
      </c>
      <c r="D7627" s="15">
        <v>32.57</v>
      </c>
      <c r="E7627" s="16" t="s">
        <v>30</v>
      </c>
    </row>
    <row r="7628" spans="1:5" x14ac:dyDescent="0.25">
      <c r="A7628" s="14">
        <v>989072</v>
      </c>
      <c r="B7628" s="14" t="s">
        <v>7740</v>
      </c>
      <c r="C7628" s="14" t="s">
        <v>13029</v>
      </c>
      <c r="D7628" s="15">
        <v>44.43</v>
      </c>
      <c r="E7628" s="16" t="s">
        <v>30</v>
      </c>
    </row>
    <row r="7629" spans="1:5" x14ac:dyDescent="0.25">
      <c r="A7629" s="14">
        <v>989073</v>
      </c>
      <c r="B7629" s="14" t="s">
        <v>7741</v>
      </c>
      <c r="C7629" s="14" t="s">
        <v>13029</v>
      </c>
      <c r="D7629" s="15">
        <v>53.33</v>
      </c>
      <c r="E7629" s="16" t="s">
        <v>30</v>
      </c>
    </row>
    <row r="7630" spans="1:5" x14ac:dyDescent="0.25">
      <c r="A7630" s="14">
        <v>989074</v>
      </c>
      <c r="B7630" s="14" t="s">
        <v>7742</v>
      </c>
      <c r="C7630" s="14" t="s">
        <v>13029</v>
      </c>
      <c r="D7630" s="15">
        <v>44.43</v>
      </c>
      <c r="E7630" s="16" t="s">
        <v>30</v>
      </c>
    </row>
    <row r="7631" spans="1:5" x14ac:dyDescent="0.25">
      <c r="A7631" s="14">
        <v>989075</v>
      </c>
      <c r="B7631" s="14" t="s">
        <v>7743</v>
      </c>
      <c r="C7631" s="14" t="s">
        <v>13029</v>
      </c>
      <c r="D7631" s="15">
        <v>44.43</v>
      </c>
      <c r="E7631" s="16" t="s">
        <v>30</v>
      </c>
    </row>
    <row r="7632" spans="1:5" x14ac:dyDescent="0.25">
      <c r="A7632" s="14">
        <v>989076</v>
      </c>
      <c r="B7632" s="14" t="s">
        <v>7744</v>
      </c>
      <c r="C7632" s="14" t="s">
        <v>13029</v>
      </c>
      <c r="D7632" s="15">
        <v>44.43</v>
      </c>
      <c r="E7632" s="16" t="s">
        <v>30</v>
      </c>
    </row>
    <row r="7633" spans="1:5" x14ac:dyDescent="0.25">
      <c r="A7633" s="14">
        <v>989077</v>
      </c>
      <c r="B7633" s="14" t="s">
        <v>7745</v>
      </c>
      <c r="C7633" s="14" t="s">
        <v>13029</v>
      </c>
      <c r="D7633" s="15">
        <v>44.43</v>
      </c>
      <c r="E7633" s="16" t="s">
        <v>30</v>
      </c>
    </row>
    <row r="7634" spans="1:5" x14ac:dyDescent="0.25">
      <c r="A7634" s="14">
        <v>989078</v>
      </c>
      <c r="B7634" s="14" t="s">
        <v>7746</v>
      </c>
      <c r="C7634" s="14" t="s">
        <v>13029</v>
      </c>
      <c r="D7634" s="15">
        <v>36.799999999999997</v>
      </c>
      <c r="E7634" s="16" t="s">
        <v>30</v>
      </c>
    </row>
    <row r="7635" spans="1:5" x14ac:dyDescent="0.25">
      <c r="A7635" s="14">
        <v>989079</v>
      </c>
      <c r="B7635" s="14" t="s">
        <v>7747</v>
      </c>
      <c r="C7635" s="14" t="s">
        <v>13029</v>
      </c>
      <c r="D7635" s="15">
        <v>36.799999999999997</v>
      </c>
      <c r="E7635" s="16" t="s">
        <v>30</v>
      </c>
    </row>
    <row r="7636" spans="1:5" x14ac:dyDescent="0.25">
      <c r="A7636" s="14">
        <v>989080</v>
      </c>
      <c r="B7636" s="14" t="s">
        <v>7748</v>
      </c>
      <c r="C7636" s="14" t="s">
        <v>13029</v>
      </c>
      <c r="D7636" s="15">
        <v>37.44</v>
      </c>
      <c r="E7636" s="16" t="s">
        <v>30</v>
      </c>
    </row>
    <row r="7637" spans="1:5" x14ac:dyDescent="0.25">
      <c r="A7637" s="14">
        <v>989081</v>
      </c>
      <c r="B7637" s="14" t="s">
        <v>7749</v>
      </c>
      <c r="C7637" s="14" t="s">
        <v>13029</v>
      </c>
      <c r="D7637" s="15">
        <v>33.619999999999997</v>
      </c>
      <c r="E7637" s="16" t="s">
        <v>30</v>
      </c>
    </row>
    <row r="7638" spans="1:5" x14ac:dyDescent="0.25">
      <c r="A7638" s="14">
        <v>989082</v>
      </c>
      <c r="B7638" s="14" t="s">
        <v>7750</v>
      </c>
      <c r="C7638" s="14" t="s">
        <v>13029</v>
      </c>
      <c r="D7638" s="15">
        <v>38.07</v>
      </c>
      <c r="E7638" s="16" t="s">
        <v>30</v>
      </c>
    </row>
    <row r="7639" spans="1:5" x14ac:dyDescent="0.25">
      <c r="A7639" s="14">
        <v>989083</v>
      </c>
      <c r="B7639" s="14" t="s">
        <v>7751</v>
      </c>
      <c r="C7639" s="14" t="s">
        <v>13029</v>
      </c>
      <c r="D7639" s="15">
        <v>43.66</v>
      </c>
      <c r="E7639" s="16" t="s">
        <v>30</v>
      </c>
    </row>
    <row r="7640" spans="1:5" x14ac:dyDescent="0.25">
      <c r="A7640" s="14">
        <v>989084</v>
      </c>
      <c r="B7640" s="14" t="s">
        <v>7752</v>
      </c>
      <c r="C7640" s="14" t="s">
        <v>13029</v>
      </c>
      <c r="D7640" s="15">
        <v>21.3</v>
      </c>
      <c r="E7640" s="16" t="s">
        <v>30</v>
      </c>
    </row>
    <row r="7641" spans="1:5" x14ac:dyDescent="0.25">
      <c r="A7641" s="14">
        <v>989086</v>
      </c>
      <c r="B7641" s="14" t="s">
        <v>7753</v>
      </c>
      <c r="C7641" s="14" t="s">
        <v>13029</v>
      </c>
      <c r="D7641" s="15">
        <v>4.07</v>
      </c>
      <c r="E7641" s="16" t="s">
        <v>30</v>
      </c>
    </row>
    <row r="7642" spans="1:5" x14ac:dyDescent="0.25">
      <c r="A7642" s="14">
        <v>989118</v>
      </c>
      <c r="B7642" s="14" t="s">
        <v>7754</v>
      </c>
      <c r="C7642" s="14" t="s">
        <v>13029</v>
      </c>
      <c r="D7642" s="15">
        <v>6.62</v>
      </c>
      <c r="E7642" s="16" t="s">
        <v>30</v>
      </c>
    </row>
    <row r="7643" spans="1:5" x14ac:dyDescent="0.25">
      <c r="A7643" s="14">
        <v>989119</v>
      </c>
      <c r="B7643" s="14" t="s">
        <v>7755</v>
      </c>
      <c r="C7643" s="14" t="s">
        <v>13029</v>
      </c>
      <c r="D7643" s="15">
        <v>9.58</v>
      </c>
      <c r="E7643" s="16" t="s">
        <v>30</v>
      </c>
    </row>
    <row r="7644" spans="1:5" x14ac:dyDescent="0.25">
      <c r="A7644" s="14">
        <v>989120</v>
      </c>
      <c r="B7644" s="14" t="s">
        <v>7756</v>
      </c>
      <c r="C7644" s="14" t="s">
        <v>13029</v>
      </c>
      <c r="D7644" s="15">
        <v>12.63</v>
      </c>
      <c r="E7644" s="16" t="s">
        <v>30</v>
      </c>
    </row>
    <row r="7645" spans="1:5" x14ac:dyDescent="0.25">
      <c r="A7645" s="14">
        <v>989121</v>
      </c>
      <c r="B7645" s="14" t="s">
        <v>7757</v>
      </c>
      <c r="C7645" s="14" t="s">
        <v>13029</v>
      </c>
      <c r="D7645" s="15">
        <v>9.2100000000000009</v>
      </c>
      <c r="E7645" s="16" t="s">
        <v>30</v>
      </c>
    </row>
    <row r="7646" spans="1:5" x14ac:dyDescent="0.25">
      <c r="A7646" s="14">
        <v>989122</v>
      </c>
      <c r="B7646" s="14" t="s">
        <v>7758</v>
      </c>
      <c r="C7646" s="14" t="s">
        <v>13029</v>
      </c>
      <c r="D7646" s="15">
        <v>45.25</v>
      </c>
      <c r="E7646" s="16" t="s">
        <v>30</v>
      </c>
    </row>
    <row r="7647" spans="1:5" x14ac:dyDescent="0.25">
      <c r="A7647" s="14">
        <v>989123</v>
      </c>
      <c r="B7647" s="14" t="s">
        <v>7759</v>
      </c>
      <c r="C7647" s="14" t="s">
        <v>13029</v>
      </c>
      <c r="D7647" s="15">
        <v>45.25</v>
      </c>
      <c r="E7647" s="16" t="s">
        <v>30</v>
      </c>
    </row>
    <row r="7648" spans="1:5" x14ac:dyDescent="0.25">
      <c r="A7648" s="14">
        <v>989124</v>
      </c>
      <c r="B7648" s="14" t="s">
        <v>7760</v>
      </c>
      <c r="C7648" s="14" t="s">
        <v>13029</v>
      </c>
      <c r="D7648" s="15">
        <v>36</v>
      </c>
      <c r="E7648" s="16" t="s">
        <v>30</v>
      </c>
    </row>
    <row r="7649" spans="1:5" x14ac:dyDescent="0.25">
      <c r="A7649" s="14">
        <v>989130</v>
      </c>
      <c r="B7649" s="14" t="s">
        <v>7761</v>
      </c>
      <c r="C7649" s="14" t="s">
        <v>13031</v>
      </c>
      <c r="D7649" s="15">
        <v>5.45</v>
      </c>
      <c r="E7649" s="16" t="s">
        <v>30</v>
      </c>
    </row>
    <row r="7650" spans="1:5" x14ac:dyDescent="0.25">
      <c r="A7650" s="14">
        <v>989714</v>
      </c>
      <c r="B7650" s="14" t="s">
        <v>7762</v>
      </c>
      <c r="C7650" s="14" t="s">
        <v>13031</v>
      </c>
      <c r="D7650" s="15">
        <v>18.309999999999999</v>
      </c>
      <c r="E7650" s="16" t="s">
        <v>30</v>
      </c>
    </row>
    <row r="7651" spans="1:5" x14ac:dyDescent="0.25">
      <c r="A7651" s="14">
        <v>989719</v>
      </c>
      <c r="B7651" s="14" t="s">
        <v>7763</v>
      </c>
      <c r="C7651" s="14" t="s">
        <v>13029</v>
      </c>
      <c r="D7651" s="15">
        <v>7.49</v>
      </c>
      <c r="E7651" s="16" t="s">
        <v>30</v>
      </c>
    </row>
    <row r="7652" spans="1:5" x14ac:dyDescent="0.25">
      <c r="A7652" s="14">
        <v>989720</v>
      </c>
      <c r="B7652" s="14" t="s">
        <v>7764</v>
      </c>
      <c r="C7652" s="14" t="s">
        <v>13031</v>
      </c>
      <c r="D7652" s="15">
        <v>164.58</v>
      </c>
      <c r="E7652" s="16" t="s">
        <v>30</v>
      </c>
    </row>
    <row r="7653" spans="1:5" x14ac:dyDescent="0.25">
      <c r="A7653" s="14">
        <v>989721</v>
      </c>
      <c r="B7653" s="14" t="s">
        <v>7765</v>
      </c>
      <c r="C7653" s="14" t="s">
        <v>13030</v>
      </c>
      <c r="D7653" s="15">
        <v>25.15</v>
      </c>
      <c r="E7653" s="14" t="s">
        <v>30</v>
      </c>
    </row>
    <row r="7654" spans="1:5" x14ac:dyDescent="0.25">
      <c r="A7654" s="14">
        <v>989724</v>
      </c>
      <c r="B7654" s="14" t="s">
        <v>7766</v>
      </c>
      <c r="C7654" s="14" t="s">
        <v>13030</v>
      </c>
      <c r="D7654" s="15">
        <v>90.22</v>
      </c>
      <c r="E7654" s="16" t="s">
        <v>30</v>
      </c>
    </row>
    <row r="7655" spans="1:5" x14ac:dyDescent="0.25">
      <c r="A7655" s="14">
        <v>989725</v>
      </c>
      <c r="B7655" s="14" t="s">
        <v>7767</v>
      </c>
      <c r="C7655" s="14" t="s">
        <v>13030</v>
      </c>
      <c r="D7655" s="15">
        <v>64.760000000000005</v>
      </c>
      <c r="E7655" s="16" t="s">
        <v>30</v>
      </c>
    </row>
    <row r="7656" spans="1:5" x14ac:dyDescent="0.25">
      <c r="A7656" s="14">
        <v>989726</v>
      </c>
      <c r="B7656" s="14" t="s">
        <v>7768</v>
      </c>
      <c r="C7656" s="14" t="s">
        <v>13030</v>
      </c>
      <c r="D7656" s="15">
        <v>129.59</v>
      </c>
      <c r="E7656" s="16" t="s">
        <v>30</v>
      </c>
    </row>
    <row r="7657" spans="1:5" x14ac:dyDescent="0.25">
      <c r="A7657" s="14">
        <v>989727</v>
      </c>
      <c r="B7657" s="14" t="s">
        <v>7769</v>
      </c>
      <c r="C7657" s="14" t="s">
        <v>13030</v>
      </c>
      <c r="D7657" s="15">
        <v>26.39</v>
      </c>
      <c r="E7657" s="16" t="s">
        <v>30</v>
      </c>
    </row>
    <row r="7658" spans="1:5" x14ac:dyDescent="0.25">
      <c r="A7658" s="14">
        <v>989728</v>
      </c>
      <c r="B7658" s="14" t="s">
        <v>7770</v>
      </c>
      <c r="C7658" s="14" t="s">
        <v>13030</v>
      </c>
      <c r="D7658" s="15">
        <v>26.39</v>
      </c>
      <c r="E7658" s="16" t="s">
        <v>30</v>
      </c>
    </row>
    <row r="7659" spans="1:5" x14ac:dyDescent="0.25">
      <c r="A7659" s="14">
        <v>989731</v>
      </c>
      <c r="B7659" s="14" t="s">
        <v>7771</v>
      </c>
      <c r="C7659" s="14" t="s">
        <v>13030</v>
      </c>
      <c r="D7659" s="15">
        <v>39.549999999999997</v>
      </c>
      <c r="E7659" s="16" t="s">
        <v>30</v>
      </c>
    </row>
    <row r="7660" spans="1:5" x14ac:dyDescent="0.25">
      <c r="A7660" s="14">
        <v>989732</v>
      </c>
      <c r="B7660" s="14" t="s">
        <v>7772</v>
      </c>
      <c r="C7660" s="14" t="s">
        <v>13030</v>
      </c>
      <c r="D7660" s="15">
        <v>39.549999999999997</v>
      </c>
      <c r="E7660" s="16" t="s">
        <v>30</v>
      </c>
    </row>
    <row r="7661" spans="1:5" x14ac:dyDescent="0.25">
      <c r="A7661" s="14">
        <v>989733</v>
      </c>
      <c r="B7661" s="14" t="s">
        <v>7773</v>
      </c>
      <c r="C7661" s="14" t="s">
        <v>13030</v>
      </c>
      <c r="D7661" s="15">
        <v>39.57</v>
      </c>
      <c r="E7661" s="16" t="s">
        <v>30</v>
      </c>
    </row>
    <row r="7662" spans="1:5" x14ac:dyDescent="0.25">
      <c r="A7662" s="14">
        <v>989734</v>
      </c>
      <c r="B7662" s="14" t="s">
        <v>7774</v>
      </c>
      <c r="C7662" s="14" t="s">
        <v>13030</v>
      </c>
      <c r="D7662" s="15">
        <v>74.28</v>
      </c>
      <c r="E7662" s="16" t="s">
        <v>30</v>
      </c>
    </row>
    <row r="7663" spans="1:5" x14ac:dyDescent="0.25">
      <c r="A7663" s="14">
        <v>989735</v>
      </c>
      <c r="B7663" s="14" t="s">
        <v>7775</v>
      </c>
      <c r="C7663" s="14" t="s">
        <v>13030</v>
      </c>
      <c r="D7663" s="15">
        <v>14.52</v>
      </c>
      <c r="E7663" s="16" t="s">
        <v>30</v>
      </c>
    </row>
    <row r="7664" spans="1:5" x14ac:dyDescent="0.25">
      <c r="A7664" s="14">
        <v>989817</v>
      </c>
      <c r="B7664" s="14" t="s">
        <v>7776</v>
      </c>
      <c r="C7664" s="14" t="s">
        <v>13030</v>
      </c>
      <c r="D7664" s="15">
        <v>31.61</v>
      </c>
      <c r="E7664" s="16" t="s">
        <v>30</v>
      </c>
    </row>
    <row r="7665" spans="1:5" x14ac:dyDescent="0.25">
      <c r="A7665" s="14">
        <v>989818</v>
      </c>
      <c r="B7665" s="14" t="s">
        <v>7777</v>
      </c>
      <c r="C7665" s="14" t="s">
        <v>13030</v>
      </c>
      <c r="D7665" s="15">
        <v>27.34</v>
      </c>
      <c r="E7665" s="16" t="s">
        <v>30</v>
      </c>
    </row>
    <row r="7666" spans="1:5" x14ac:dyDescent="0.25">
      <c r="A7666" s="14">
        <v>989835</v>
      </c>
      <c r="B7666" s="14" t="s">
        <v>7778</v>
      </c>
      <c r="C7666" s="14" t="s">
        <v>13031</v>
      </c>
      <c r="D7666" s="15">
        <v>5</v>
      </c>
      <c r="E7666" s="16" t="s">
        <v>30</v>
      </c>
    </row>
    <row r="7667" spans="1:5" x14ac:dyDescent="0.25">
      <c r="A7667" s="14">
        <v>990003</v>
      </c>
      <c r="B7667" s="14" t="s">
        <v>7779</v>
      </c>
      <c r="C7667" s="14" t="s">
        <v>13031</v>
      </c>
      <c r="D7667" s="15">
        <v>8.5399999999999991</v>
      </c>
      <c r="E7667" s="16" t="s">
        <v>30</v>
      </c>
    </row>
    <row r="7668" spans="1:5" x14ac:dyDescent="0.25">
      <c r="A7668" s="14">
        <v>990004</v>
      </c>
      <c r="B7668" s="14" t="s">
        <v>7780</v>
      </c>
      <c r="C7668" s="14" t="s">
        <v>13031</v>
      </c>
      <c r="D7668" s="15">
        <v>7.75</v>
      </c>
      <c r="E7668" s="16" t="s">
        <v>30</v>
      </c>
    </row>
    <row r="7669" spans="1:5" x14ac:dyDescent="0.25">
      <c r="A7669" s="14">
        <v>990005</v>
      </c>
      <c r="B7669" s="14" t="s">
        <v>7781</v>
      </c>
      <c r="C7669" s="14" t="s">
        <v>13031</v>
      </c>
      <c r="D7669" s="15">
        <v>8.58</v>
      </c>
      <c r="E7669" s="16" t="s">
        <v>30</v>
      </c>
    </row>
    <row r="7670" spans="1:5" x14ac:dyDescent="0.25">
      <c r="A7670" s="14">
        <v>990006</v>
      </c>
      <c r="B7670" s="14" t="s">
        <v>7782</v>
      </c>
      <c r="C7670" s="14" t="s">
        <v>13031</v>
      </c>
      <c r="D7670" s="15">
        <v>4.26</v>
      </c>
      <c r="E7670" s="16" t="s">
        <v>30</v>
      </c>
    </row>
    <row r="7671" spans="1:5" x14ac:dyDescent="0.25">
      <c r="A7671" s="14">
        <v>990014</v>
      </c>
      <c r="B7671" s="14" t="s">
        <v>7783</v>
      </c>
      <c r="C7671" s="14" t="s">
        <v>13031</v>
      </c>
      <c r="D7671" s="15">
        <v>8.6</v>
      </c>
      <c r="E7671" s="16" t="s">
        <v>30</v>
      </c>
    </row>
    <row r="7672" spans="1:5" x14ac:dyDescent="0.25">
      <c r="A7672" s="14">
        <v>990015</v>
      </c>
      <c r="B7672" s="14" t="s">
        <v>7784</v>
      </c>
      <c r="C7672" s="14" t="s">
        <v>13031</v>
      </c>
      <c r="D7672" s="15">
        <v>22.08</v>
      </c>
      <c r="E7672" s="16" t="s">
        <v>30</v>
      </c>
    </row>
    <row r="7673" spans="1:5" x14ac:dyDescent="0.25">
      <c r="A7673" s="14">
        <v>990016</v>
      </c>
      <c r="B7673" s="14" t="s">
        <v>7785</v>
      </c>
      <c r="C7673" s="14" t="s">
        <v>13031</v>
      </c>
      <c r="D7673" s="15">
        <v>12.26</v>
      </c>
      <c r="E7673" s="16" t="s">
        <v>30</v>
      </c>
    </row>
    <row r="7674" spans="1:5" x14ac:dyDescent="0.25">
      <c r="A7674" s="14">
        <v>990017</v>
      </c>
      <c r="B7674" s="14" t="s">
        <v>7786</v>
      </c>
      <c r="C7674" s="14" t="s">
        <v>13031</v>
      </c>
      <c r="D7674" s="15">
        <v>18.3</v>
      </c>
      <c r="E7674" s="16" t="s">
        <v>30</v>
      </c>
    </row>
    <row r="7675" spans="1:5" x14ac:dyDescent="0.25">
      <c r="A7675" s="14">
        <v>990020</v>
      </c>
      <c r="B7675" s="14" t="s">
        <v>7787</v>
      </c>
      <c r="C7675" s="14" t="s">
        <v>13031</v>
      </c>
      <c r="D7675" s="15">
        <v>26.7</v>
      </c>
      <c r="E7675" s="16" t="s">
        <v>30</v>
      </c>
    </row>
    <row r="7676" spans="1:5" x14ac:dyDescent="0.25">
      <c r="A7676" s="14">
        <v>990021</v>
      </c>
      <c r="B7676" s="14" t="s">
        <v>7788</v>
      </c>
      <c r="C7676" s="14" t="s">
        <v>13031</v>
      </c>
      <c r="D7676" s="15">
        <v>5.58</v>
      </c>
      <c r="E7676" s="16" t="s">
        <v>30</v>
      </c>
    </row>
    <row r="7677" spans="1:5" x14ac:dyDescent="0.25">
      <c r="A7677" s="14">
        <v>990022</v>
      </c>
      <c r="B7677" s="14" t="s">
        <v>7789</v>
      </c>
      <c r="C7677" s="14" t="s">
        <v>13031</v>
      </c>
      <c r="D7677" s="15">
        <v>6.82</v>
      </c>
      <c r="E7677" s="16" t="s">
        <v>30</v>
      </c>
    </row>
    <row r="7678" spans="1:5" x14ac:dyDescent="0.25">
      <c r="A7678" s="14">
        <v>990038</v>
      </c>
      <c r="B7678" s="14" t="s">
        <v>7790</v>
      </c>
      <c r="C7678" s="14" t="s">
        <v>13030</v>
      </c>
      <c r="D7678" s="15">
        <v>131.97999999999999</v>
      </c>
      <c r="E7678" s="16" t="s">
        <v>30</v>
      </c>
    </row>
    <row r="7679" spans="1:5" x14ac:dyDescent="0.25">
      <c r="A7679" s="14">
        <v>990113</v>
      </c>
      <c r="B7679" s="14" t="s">
        <v>7791</v>
      </c>
      <c r="C7679" s="14" t="s">
        <v>13029</v>
      </c>
      <c r="D7679" s="15">
        <v>14.15</v>
      </c>
      <c r="E7679" s="16" t="s">
        <v>30</v>
      </c>
    </row>
    <row r="7680" spans="1:5" x14ac:dyDescent="0.25">
      <c r="A7680" s="14">
        <v>990124</v>
      </c>
      <c r="B7680" s="14" t="s">
        <v>7792</v>
      </c>
      <c r="C7680" s="14" t="s">
        <v>13031</v>
      </c>
      <c r="D7680" s="15">
        <v>2.65</v>
      </c>
      <c r="E7680" s="16" t="s">
        <v>30</v>
      </c>
    </row>
    <row r="7681" spans="1:5" x14ac:dyDescent="0.25">
      <c r="A7681" s="14">
        <v>990125</v>
      </c>
      <c r="B7681" s="14" t="s">
        <v>7793</v>
      </c>
      <c r="C7681" s="14" t="s">
        <v>13031</v>
      </c>
      <c r="D7681" s="15">
        <v>2.65</v>
      </c>
      <c r="E7681" s="16" t="s">
        <v>30</v>
      </c>
    </row>
    <row r="7682" spans="1:5" x14ac:dyDescent="0.25">
      <c r="A7682" s="14">
        <v>990126</v>
      </c>
      <c r="B7682" s="14" t="s">
        <v>7794</v>
      </c>
      <c r="C7682" s="14" t="s">
        <v>13031</v>
      </c>
      <c r="D7682" s="15">
        <v>2.65</v>
      </c>
      <c r="E7682" s="16" t="s">
        <v>30</v>
      </c>
    </row>
    <row r="7683" spans="1:5" x14ac:dyDescent="0.25">
      <c r="A7683" s="14">
        <v>990127</v>
      </c>
      <c r="B7683" s="14" t="s">
        <v>7795</v>
      </c>
      <c r="C7683" s="14" t="s">
        <v>13029</v>
      </c>
      <c r="D7683" s="15">
        <v>29.87</v>
      </c>
      <c r="E7683" s="16" t="s">
        <v>30</v>
      </c>
    </row>
    <row r="7684" spans="1:5" x14ac:dyDescent="0.25">
      <c r="A7684" s="14">
        <v>990128</v>
      </c>
      <c r="B7684" s="14" t="s">
        <v>7796</v>
      </c>
      <c r="C7684" s="14" t="s">
        <v>13029</v>
      </c>
      <c r="D7684" s="15">
        <v>62.92</v>
      </c>
      <c r="E7684" s="16" t="s">
        <v>30</v>
      </c>
    </row>
    <row r="7685" spans="1:5" x14ac:dyDescent="0.25">
      <c r="A7685" s="14">
        <v>990147</v>
      </c>
      <c r="B7685" s="14" t="s">
        <v>7797</v>
      </c>
      <c r="C7685" s="14" t="s">
        <v>13029</v>
      </c>
      <c r="D7685" s="15">
        <v>3</v>
      </c>
      <c r="E7685" s="14" t="s">
        <v>30</v>
      </c>
    </row>
    <row r="7686" spans="1:5" x14ac:dyDescent="0.25">
      <c r="A7686" s="14">
        <v>990148</v>
      </c>
      <c r="B7686" s="14" t="s">
        <v>7798</v>
      </c>
      <c r="C7686" s="14" t="s">
        <v>13029</v>
      </c>
      <c r="D7686" s="15">
        <v>3.94</v>
      </c>
      <c r="E7686" s="14" t="s">
        <v>30</v>
      </c>
    </row>
    <row r="7687" spans="1:5" x14ac:dyDescent="0.25">
      <c r="A7687" s="14">
        <v>990482</v>
      </c>
      <c r="B7687" s="14" t="s">
        <v>7799</v>
      </c>
      <c r="C7687" s="14" t="s">
        <v>13029</v>
      </c>
      <c r="D7687" s="15">
        <v>17.8</v>
      </c>
      <c r="E7687" s="16" t="s">
        <v>30</v>
      </c>
    </row>
    <row r="7688" spans="1:5" x14ac:dyDescent="0.25">
      <c r="A7688" s="14">
        <v>990483</v>
      </c>
      <c r="B7688" s="14" t="s">
        <v>7800</v>
      </c>
      <c r="C7688" s="14" t="s">
        <v>13029</v>
      </c>
      <c r="D7688" s="15">
        <v>17.8</v>
      </c>
      <c r="E7688" s="16" t="s">
        <v>30</v>
      </c>
    </row>
    <row r="7689" spans="1:5" x14ac:dyDescent="0.25">
      <c r="A7689" s="14">
        <v>990484</v>
      </c>
      <c r="B7689" s="14" t="s">
        <v>7801</v>
      </c>
      <c r="C7689" s="14" t="s">
        <v>13029</v>
      </c>
      <c r="D7689" s="15">
        <v>17.8</v>
      </c>
      <c r="E7689" s="16" t="s">
        <v>30</v>
      </c>
    </row>
    <row r="7690" spans="1:5" x14ac:dyDescent="0.25">
      <c r="A7690" s="14">
        <v>990485</v>
      </c>
      <c r="B7690" s="14" t="s">
        <v>7802</v>
      </c>
      <c r="C7690" s="14" t="s">
        <v>13029</v>
      </c>
      <c r="D7690" s="15">
        <v>17.8</v>
      </c>
      <c r="E7690" s="16" t="s">
        <v>30</v>
      </c>
    </row>
    <row r="7691" spans="1:5" x14ac:dyDescent="0.25">
      <c r="A7691" s="14">
        <v>990486</v>
      </c>
      <c r="B7691" s="14" t="s">
        <v>7803</v>
      </c>
      <c r="C7691" s="14" t="s">
        <v>13029</v>
      </c>
      <c r="D7691" s="15">
        <v>17.8</v>
      </c>
      <c r="E7691" s="16" t="s">
        <v>30</v>
      </c>
    </row>
    <row r="7692" spans="1:5" x14ac:dyDescent="0.25">
      <c r="A7692" s="14">
        <v>990487</v>
      </c>
      <c r="B7692" s="14" t="s">
        <v>7804</v>
      </c>
      <c r="C7692" s="14" t="s">
        <v>13029</v>
      </c>
      <c r="D7692" s="15">
        <v>17.8</v>
      </c>
      <c r="E7692" s="16" t="s">
        <v>30</v>
      </c>
    </row>
    <row r="7693" spans="1:5" x14ac:dyDescent="0.25">
      <c r="A7693" s="14">
        <v>990488</v>
      </c>
      <c r="B7693" s="14" t="s">
        <v>7805</v>
      </c>
      <c r="C7693" s="14" t="s">
        <v>13029</v>
      </c>
      <c r="D7693" s="15">
        <v>19.829999999999998</v>
      </c>
      <c r="E7693" s="16" t="s">
        <v>30</v>
      </c>
    </row>
    <row r="7694" spans="1:5" x14ac:dyDescent="0.25">
      <c r="A7694" s="14">
        <v>990489</v>
      </c>
      <c r="B7694" s="14" t="s">
        <v>7806</v>
      </c>
      <c r="C7694" s="14" t="s">
        <v>13029</v>
      </c>
      <c r="D7694" s="15">
        <v>19.829999999999998</v>
      </c>
      <c r="E7694" s="16" t="s">
        <v>30</v>
      </c>
    </row>
    <row r="7695" spans="1:5" x14ac:dyDescent="0.25">
      <c r="A7695" s="14">
        <v>986249</v>
      </c>
      <c r="B7695" s="14" t="s">
        <v>7807</v>
      </c>
      <c r="C7695" s="14" t="s">
        <v>13030</v>
      </c>
      <c r="D7695" s="15">
        <v>52.85</v>
      </c>
      <c r="E7695" s="16" t="s">
        <v>20</v>
      </c>
    </row>
    <row r="7696" spans="1:5" x14ac:dyDescent="0.25">
      <c r="A7696" s="14">
        <v>986250</v>
      </c>
      <c r="B7696" s="14" t="s">
        <v>7808</v>
      </c>
      <c r="C7696" s="14" t="s">
        <v>13030</v>
      </c>
      <c r="D7696" s="15">
        <v>72.03</v>
      </c>
      <c r="E7696" s="16" t="s">
        <v>20</v>
      </c>
    </row>
    <row r="7697" spans="1:5" x14ac:dyDescent="0.25">
      <c r="A7697" s="14">
        <v>986302</v>
      </c>
      <c r="B7697" s="14" t="s">
        <v>7809</v>
      </c>
      <c r="C7697" s="14" t="s">
        <v>13030</v>
      </c>
      <c r="D7697" s="15">
        <v>58.45</v>
      </c>
      <c r="E7697" s="16" t="s">
        <v>20</v>
      </c>
    </row>
    <row r="7698" spans="1:5" x14ac:dyDescent="0.25">
      <c r="A7698" s="14">
        <v>974465</v>
      </c>
      <c r="B7698" s="14" t="s">
        <v>7810</v>
      </c>
      <c r="C7698" s="14" t="s">
        <v>13031</v>
      </c>
      <c r="D7698" s="15">
        <v>11</v>
      </c>
      <c r="E7698" s="16" t="s">
        <v>20</v>
      </c>
    </row>
    <row r="7699" spans="1:5" x14ac:dyDescent="0.25">
      <c r="A7699" s="14">
        <v>990490</v>
      </c>
      <c r="B7699" s="14" t="s">
        <v>7811</v>
      </c>
      <c r="C7699" s="14" t="s">
        <v>13029</v>
      </c>
      <c r="D7699" s="15">
        <v>19.829999999999998</v>
      </c>
      <c r="E7699" s="16" t="s">
        <v>30</v>
      </c>
    </row>
    <row r="7700" spans="1:5" x14ac:dyDescent="0.25">
      <c r="A7700" s="14">
        <v>990527</v>
      </c>
      <c r="B7700" s="14" t="s">
        <v>7812</v>
      </c>
      <c r="C7700" s="14" t="s">
        <v>13029</v>
      </c>
      <c r="D7700" s="15">
        <v>19.87</v>
      </c>
      <c r="E7700" s="16" t="s">
        <v>30</v>
      </c>
    </row>
    <row r="7701" spans="1:5" x14ac:dyDescent="0.25">
      <c r="A7701" s="14">
        <v>990528</v>
      </c>
      <c r="B7701" s="14" t="s">
        <v>7813</v>
      </c>
      <c r="C7701" s="14" t="s">
        <v>13029</v>
      </c>
      <c r="D7701" s="15">
        <v>11.3</v>
      </c>
      <c r="E7701" s="16" t="s">
        <v>30</v>
      </c>
    </row>
    <row r="7702" spans="1:5" x14ac:dyDescent="0.25">
      <c r="A7702" s="14">
        <v>990565</v>
      </c>
      <c r="B7702" s="14" t="s">
        <v>7814</v>
      </c>
      <c r="C7702" s="14" t="s">
        <v>13030</v>
      </c>
      <c r="D7702" s="15">
        <v>79.239999999999995</v>
      </c>
      <c r="E7702" s="16" t="s">
        <v>30</v>
      </c>
    </row>
    <row r="7703" spans="1:5" x14ac:dyDescent="0.25">
      <c r="A7703" s="14">
        <v>990566</v>
      </c>
      <c r="B7703" s="14" t="s">
        <v>7815</v>
      </c>
      <c r="C7703" s="14" t="s">
        <v>13030</v>
      </c>
      <c r="D7703" s="15">
        <v>1423.72</v>
      </c>
      <c r="E7703" s="16" t="s">
        <v>30</v>
      </c>
    </row>
    <row r="7704" spans="1:5" x14ac:dyDescent="0.25">
      <c r="A7704" s="14">
        <v>990567</v>
      </c>
      <c r="B7704" s="14" t="s">
        <v>7816</v>
      </c>
      <c r="C7704" s="14" t="s">
        <v>13030</v>
      </c>
      <c r="D7704" s="15">
        <v>100.69</v>
      </c>
      <c r="E7704" s="16" t="s">
        <v>30</v>
      </c>
    </row>
    <row r="7705" spans="1:5" x14ac:dyDescent="0.25">
      <c r="A7705" s="14">
        <v>990576</v>
      </c>
      <c r="B7705" s="14" t="s">
        <v>7817</v>
      </c>
      <c r="C7705" s="14" t="s">
        <v>13031</v>
      </c>
      <c r="D7705" s="15">
        <v>3.5</v>
      </c>
      <c r="E7705" s="16" t="s">
        <v>30</v>
      </c>
    </row>
    <row r="7706" spans="1:5" x14ac:dyDescent="0.25">
      <c r="A7706" s="14">
        <v>990588</v>
      </c>
      <c r="B7706" s="14" t="s">
        <v>7818</v>
      </c>
      <c r="C7706" s="14" t="s">
        <v>13029</v>
      </c>
      <c r="D7706" s="15">
        <v>35.53</v>
      </c>
      <c r="E7706" s="16" t="s">
        <v>30</v>
      </c>
    </row>
    <row r="7707" spans="1:5" x14ac:dyDescent="0.25">
      <c r="A7707" s="14">
        <v>990589</v>
      </c>
      <c r="B7707" s="14" t="s">
        <v>7819</v>
      </c>
      <c r="C7707" s="14" t="s">
        <v>13029</v>
      </c>
      <c r="D7707" s="15">
        <v>35.53</v>
      </c>
      <c r="E7707" s="16" t="s">
        <v>30</v>
      </c>
    </row>
    <row r="7708" spans="1:5" x14ac:dyDescent="0.25">
      <c r="A7708" s="14">
        <v>990590</v>
      </c>
      <c r="B7708" s="14" t="s">
        <v>7820</v>
      </c>
      <c r="C7708" s="14" t="s">
        <v>13029</v>
      </c>
      <c r="D7708" s="15">
        <v>30</v>
      </c>
      <c r="E7708" s="16" t="s">
        <v>30</v>
      </c>
    </row>
    <row r="7709" spans="1:5" x14ac:dyDescent="0.25">
      <c r="A7709" s="14">
        <v>990591</v>
      </c>
      <c r="B7709" s="14" t="s">
        <v>7821</v>
      </c>
      <c r="C7709" s="14" t="s">
        <v>13033</v>
      </c>
      <c r="D7709" s="15">
        <v>8.2100000000000009</v>
      </c>
      <c r="E7709" s="16" t="s">
        <v>30</v>
      </c>
    </row>
    <row r="7710" spans="1:5" x14ac:dyDescent="0.25">
      <c r="A7710" s="14">
        <v>990594</v>
      </c>
      <c r="B7710" s="14" t="s">
        <v>7822</v>
      </c>
      <c r="C7710" s="14" t="s">
        <v>13033</v>
      </c>
      <c r="D7710" s="15">
        <v>19.22</v>
      </c>
      <c r="E7710" s="16" t="s">
        <v>30</v>
      </c>
    </row>
    <row r="7711" spans="1:5" x14ac:dyDescent="0.25">
      <c r="A7711" s="14">
        <v>990598</v>
      </c>
      <c r="B7711" s="14" t="s">
        <v>7823</v>
      </c>
      <c r="C7711" s="14" t="s">
        <v>13033</v>
      </c>
      <c r="D7711" s="15">
        <v>10.96</v>
      </c>
      <c r="E7711" s="16" t="s">
        <v>30</v>
      </c>
    </row>
    <row r="7712" spans="1:5" x14ac:dyDescent="0.25">
      <c r="A7712" s="14">
        <v>990599</v>
      </c>
      <c r="B7712" s="14" t="s">
        <v>7824</v>
      </c>
      <c r="C7712" s="14" t="s">
        <v>13033</v>
      </c>
      <c r="D7712" s="15">
        <v>10.96</v>
      </c>
      <c r="E7712" s="16" t="s">
        <v>30</v>
      </c>
    </row>
    <row r="7713" spans="1:5" x14ac:dyDescent="0.25">
      <c r="A7713" s="14">
        <v>990603</v>
      </c>
      <c r="B7713" s="14" t="s">
        <v>7825</v>
      </c>
      <c r="C7713" s="14" t="s">
        <v>13033</v>
      </c>
      <c r="D7713" s="15">
        <v>13.17</v>
      </c>
      <c r="E7713" s="16" t="s">
        <v>30</v>
      </c>
    </row>
    <row r="7714" spans="1:5" x14ac:dyDescent="0.25">
      <c r="A7714" s="14">
        <v>990605</v>
      </c>
      <c r="B7714" s="14" t="s">
        <v>7826</v>
      </c>
      <c r="C7714" s="14" t="s">
        <v>13033</v>
      </c>
      <c r="D7714" s="15">
        <v>9.31</v>
      </c>
      <c r="E7714" s="16" t="s">
        <v>30</v>
      </c>
    </row>
    <row r="7715" spans="1:5" x14ac:dyDescent="0.25">
      <c r="A7715" s="14">
        <v>990606</v>
      </c>
      <c r="B7715" s="14" t="s">
        <v>7827</v>
      </c>
      <c r="C7715" s="14" t="s">
        <v>13033</v>
      </c>
      <c r="D7715" s="15">
        <v>9.31</v>
      </c>
      <c r="E7715" s="16" t="s">
        <v>30</v>
      </c>
    </row>
    <row r="7716" spans="1:5" x14ac:dyDescent="0.25">
      <c r="A7716" s="14">
        <v>990607</v>
      </c>
      <c r="B7716" s="14" t="s">
        <v>7828</v>
      </c>
      <c r="C7716" s="14" t="s">
        <v>13033</v>
      </c>
      <c r="D7716" s="15">
        <v>9.31</v>
      </c>
      <c r="E7716" s="16" t="s">
        <v>30</v>
      </c>
    </row>
    <row r="7717" spans="1:5" x14ac:dyDescent="0.25">
      <c r="A7717" s="14">
        <v>990609</v>
      </c>
      <c r="B7717" s="14" t="s">
        <v>7829</v>
      </c>
      <c r="C7717" s="14" t="s">
        <v>13033</v>
      </c>
      <c r="D7717" s="15">
        <v>16.47</v>
      </c>
      <c r="E7717" s="16" t="s">
        <v>30</v>
      </c>
    </row>
    <row r="7718" spans="1:5" x14ac:dyDescent="0.25">
      <c r="A7718" s="14">
        <v>987084</v>
      </c>
      <c r="B7718" s="14" t="s">
        <v>7830</v>
      </c>
      <c r="C7718" s="14" t="s">
        <v>13030</v>
      </c>
      <c r="D7718" s="15">
        <v>118.64</v>
      </c>
      <c r="E7718" s="16" t="s">
        <v>20</v>
      </c>
    </row>
    <row r="7719" spans="1:5" x14ac:dyDescent="0.25">
      <c r="A7719" s="14">
        <v>987085</v>
      </c>
      <c r="B7719" s="14" t="s">
        <v>7831</v>
      </c>
      <c r="C7719" s="14" t="s">
        <v>13030</v>
      </c>
      <c r="D7719" s="15">
        <v>72.88</v>
      </c>
      <c r="E7719" s="16" t="s">
        <v>20</v>
      </c>
    </row>
    <row r="7720" spans="1:5" x14ac:dyDescent="0.25">
      <c r="A7720" s="14">
        <v>990610</v>
      </c>
      <c r="B7720" s="14" t="s">
        <v>7832</v>
      </c>
      <c r="C7720" s="14" t="s">
        <v>13033</v>
      </c>
      <c r="D7720" s="15">
        <v>49.52</v>
      </c>
      <c r="E7720" s="16" t="s">
        <v>30</v>
      </c>
    </row>
    <row r="7721" spans="1:5" x14ac:dyDescent="0.25">
      <c r="A7721" s="14">
        <v>990611</v>
      </c>
      <c r="B7721" s="14" t="s">
        <v>7833</v>
      </c>
      <c r="C7721" s="14" t="s">
        <v>13029</v>
      </c>
      <c r="D7721" s="15">
        <v>20.2</v>
      </c>
      <c r="E7721" s="16" t="s">
        <v>30</v>
      </c>
    </row>
    <row r="7722" spans="1:5" x14ac:dyDescent="0.25">
      <c r="A7722" s="14">
        <v>990612</v>
      </c>
      <c r="B7722" s="14" t="s">
        <v>7834</v>
      </c>
      <c r="C7722" s="14" t="s">
        <v>13029</v>
      </c>
      <c r="D7722" s="15">
        <v>12.12</v>
      </c>
      <c r="E7722" s="16" t="s">
        <v>30</v>
      </c>
    </row>
    <row r="7723" spans="1:5" x14ac:dyDescent="0.25">
      <c r="A7723" s="14">
        <v>990613</v>
      </c>
      <c r="B7723" s="14" t="s">
        <v>7835</v>
      </c>
      <c r="C7723" s="14" t="s">
        <v>13029</v>
      </c>
      <c r="D7723" s="15">
        <v>6.63</v>
      </c>
      <c r="E7723" s="16" t="s">
        <v>30</v>
      </c>
    </row>
    <row r="7724" spans="1:5" x14ac:dyDescent="0.25">
      <c r="A7724" s="14">
        <v>990687</v>
      </c>
      <c r="B7724" s="14" t="s">
        <v>7836</v>
      </c>
      <c r="C7724" s="14" t="s">
        <v>13029</v>
      </c>
      <c r="D7724" s="15">
        <v>21.75</v>
      </c>
      <c r="E7724" s="16" t="s">
        <v>30</v>
      </c>
    </row>
    <row r="7725" spans="1:5" x14ac:dyDescent="0.25">
      <c r="A7725" s="14">
        <v>990782</v>
      </c>
      <c r="B7725" s="14" t="s">
        <v>7837</v>
      </c>
      <c r="C7725" s="14" t="s">
        <v>13033</v>
      </c>
      <c r="D7725" s="15">
        <v>11.51</v>
      </c>
      <c r="E7725" s="16" t="s">
        <v>30</v>
      </c>
    </row>
    <row r="7726" spans="1:5" x14ac:dyDescent="0.25">
      <c r="A7726" s="14">
        <v>990799</v>
      </c>
      <c r="B7726" s="14" t="s">
        <v>7838</v>
      </c>
      <c r="C7726" s="14" t="s">
        <v>13029</v>
      </c>
      <c r="D7726" s="15">
        <v>19.52</v>
      </c>
      <c r="E7726" s="16" t="s">
        <v>30</v>
      </c>
    </row>
    <row r="7727" spans="1:5" x14ac:dyDescent="0.25">
      <c r="A7727" s="14">
        <v>990836</v>
      </c>
      <c r="B7727" s="14" t="s">
        <v>7839</v>
      </c>
      <c r="C7727" s="14" t="s">
        <v>13029</v>
      </c>
      <c r="D7727" s="15">
        <v>19.52</v>
      </c>
      <c r="E7727" s="16" t="s">
        <v>30</v>
      </c>
    </row>
    <row r="7728" spans="1:5" x14ac:dyDescent="0.25">
      <c r="A7728" s="14">
        <v>990837</v>
      </c>
      <c r="B7728" s="14" t="s">
        <v>7840</v>
      </c>
      <c r="C7728" s="14" t="s">
        <v>13029</v>
      </c>
      <c r="D7728" s="15">
        <v>19.52</v>
      </c>
      <c r="E7728" s="16" t="s">
        <v>30</v>
      </c>
    </row>
    <row r="7729" spans="1:5" x14ac:dyDescent="0.25">
      <c r="A7729" s="14">
        <v>990871</v>
      </c>
      <c r="B7729" s="14" t="s">
        <v>7841</v>
      </c>
      <c r="C7729" s="14" t="s">
        <v>13031</v>
      </c>
      <c r="D7729" s="15">
        <v>13</v>
      </c>
      <c r="E7729" s="16" t="s">
        <v>30</v>
      </c>
    </row>
    <row r="7730" spans="1:5" x14ac:dyDescent="0.25">
      <c r="A7730" s="14">
        <v>990872</v>
      </c>
      <c r="B7730" s="14" t="s">
        <v>7842</v>
      </c>
      <c r="C7730" s="14" t="s">
        <v>13031</v>
      </c>
      <c r="D7730" s="15">
        <v>10.29</v>
      </c>
      <c r="E7730" s="16" t="s">
        <v>30</v>
      </c>
    </row>
    <row r="7731" spans="1:5" x14ac:dyDescent="0.25">
      <c r="A7731" s="14">
        <v>990873</v>
      </c>
      <c r="B7731" s="14" t="s">
        <v>7843</v>
      </c>
      <c r="C7731" s="14" t="s">
        <v>13031</v>
      </c>
      <c r="D7731" s="15">
        <v>12.54</v>
      </c>
      <c r="E7731" s="16" t="s">
        <v>30</v>
      </c>
    </row>
    <row r="7732" spans="1:5" x14ac:dyDescent="0.25">
      <c r="A7732" s="14">
        <v>990874</v>
      </c>
      <c r="B7732" s="14" t="s">
        <v>7844</v>
      </c>
      <c r="C7732" s="14" t="s">
        <v>13031</v>
      </c>
      <c r="D7732" s="15">
        <v>11.96</v>
      </c>
      <c r="E7732" s="16" t="s">
        <v>30</v>
      </c>
    </row>
    <row r="7733" spans="1:5" x14ac:dyDescent="0.25">
      <c r="A7733" s="14">
        <v>990894</v>
      </c>
      <c r="B7733" s="14" t="s">
        <v>7845</v>
      </c>
      <c r="C7733" s="14" t="s">
        <v>13029</v>
      </c>
      <c r="D7733" s="15">
        <v>3.8</v>
      </c>
      <c r="E7733" s="16" t="s">
        <v>30</v>
      </c>
    </row>
    <row r="7734" spans="1:5" x14ac:dyDescent="0.25">
      <c r="A7734" s="14">
        <v>990895</v>
      </c>
      <c r="B7734" s="14" t="s">
        <v>7846</v>
      </c>
      <c r="C7734" s="14" t="s">
        <v>13029</v>
      </c>
      <c r="D7734" s="15">
        <v>1.6</v>
      </c>
      <c r="E7734" s="16" t="s">
        <v>30</v>
      </c>
    </row>
    <row r="7735" spans="1:5" x14ac:dyDescent="0.25">
      <c r="A7735" s="14">
        <v>990896</v>
      </c>
      <c r="B7735" s="14" t="s">
        <v>7847</v>
      </c>
      <c r="C7735" s="14" t="s">
        <v>13029</v>
      </c>
      <c r="D7735" s="15">
        <v>4.9000000000000004</v>
      </c>
      <c r="E7735" s="16" t="s">
        <v>30</v>
      </c>
    </row>
    <row r="7736" spans="1:5" x14ac:dyDescent="0.25">
      <c r="A7736" s="14">
        <v>990897</v>
      </c>
      <c r="B7736" s="14" t="s">
        <v>7848</v>
      </c>
      <c r="C7736" s="14" t="s">
        <v>13029</v>
      </c>
      <c r="D7736" s="15">
        <v>10.5</v>
      </c>
      <c r="E7736" s="16" t="s">
        <v>30</v>
      </c>
    </row>
    <row r="7737" spans="1:5" x14ac:dyDescent="0.25">
      <c r="A7737" s="14">
        <v>990898</v>
      </c>
      <c r="B7737" s="14" t="s">
        <v>7849</v>
      </c>
      <c r="C7737" s="14" t="s">
        <v>13029</v>
      </c>
      <c r="D7737" s="15">
        <v>4.9000000000000004</v>
      </c>
      <c r="E7737" s="16" t="s">
        <v>30</v>
      </c>
    </row>
    <row r="7738" spans="1:5" x14ac:dyDescent="0.25">
      <c r="A7738" s="14">
        <v>990912</v>
      </c>
      <c r="B7738" s="14" t="s">
        <v>7850</v>
      </c>
      <c r="C7738" s="14" t="s">
        <v>13030</v>
      </c>
      <c r="D7738" s="15">
        <v>34.68</v>
      </c>
      <c r="E7738" s="16" t="s">
        <v>30</v>
      </c>
    </row>
    <row r="7739" spans="1:5" x14ac:dyDescent="0.25">
      <c r="A7739" s="14">
        <v>990913</v>
      </c>
      <c r="B7739" s="14" t="s">
        <v>7851</v>
      </c>
      <c r="C7739" s="14" t="s">
        <v>13030</v>
      </c>
      <c r="D7739" s="15">
        <v>43.71</v>
      </c>
      <c r="E7739" s="16" t="s">
        <v>30</v>
      </c>
    </row>
    <row r="7740" spans="1:5" x14ac:dyDescent="0.25">
      <c r="A7740" s="14">
        <v>990914</v>
      </c>
      <c r="B7740" s="14" t="s">
        <v>7852</v>
      </c>
      <c r="C7740" s="14" t="s">
        <v>13030</v>
      </c>
      <c r="D7740" s="15">
        <v>65.95</v>
      </c>
      <c r="E7740" s="16" t="s">
        <v>30</v>
      </c>
    </row>
    <row r="7741" spans="1:5" x14ac:dyDescent="0.25">
      <c r="A7741" s="14">
        <v>990915</v>
      </c>
      <c r="B7741" s="14" t="s">
        <v>7853</v>
      </c>
      <c r="C7741" s="14" t="s">
        <v>13030</v>
      </c>
      <c r="D7741" s="15">
        <v>118.06</v>
      </c>
      <c r="E7741" s="16" t="s">
        <v>30</v>
      </c>
    </row>
    <row r="7742" spans="1:5" x14ac:dyDescent="0.25">
      <c r="A7742" s="14">
        <v>990920</v>
      </c>
      <c r="B7742" s="14" t="s">
        <v>7854</v>
      </c>
      <c r="C7742" s="14" t="s">
        <v>13030</v>
      </c>
      <c r="D7742" s="15">
        <v>35.29</v>
      </c>
      <c r="E7742" s="16" t="s">
        <v>30</v>
      </c>
    </row>
    <row r="7743" spans="1:5" x14ac:dyDescent="0.25">
      <c r="A7743" s="14">
        <v>990937</v>
      </c>
      <c r="B7743" s="14" t="s">
        <v>7855</v>
      </c>
      <c r="C7743" s="14" t="s">
        <v>13029</v>
      </c>
      <c r="D7743" s="15">
        <v>12.85</v>
      </c>
      <c r="E7743" s="16" t="s">
        <v>30</v>
      </c>
    </row>
    <row r="7744" spans="1:5" x14ac:dyDescent="0.25">
      <c r="A7744" s="14">
        <v>990939</v>
      </c>
      <c r="B7744" s="14" t="s">
        <v>7856</v>
      </c>
      <c r="C7744" s="14" t="s">
        <v>13029</v>
      </c>
      <c r="D7744" s="15">
        <v>7.69</v>
      </c>
      <c r="E7744" s="16" t="s">
        <v>30</v>
      </c>
    </row>
    <row r="7745" spans="1:5" x14ac:dyDescent="0.25">
      <c r="A7745" s="14">
        <v>990940</v>
      </c>
      <c r="B7745" s="14" t="s">
        <v>7857</v>
      </c>
      <c r="C7745" s="14" t="s">
        <v>13029</v>
      </c>
      <c r="D7745" s="15">
        <v>7.69</v>
      </c>
      <c r="E7745" s="16" t="s">
        <v>30</v>
      </c>
    </row>
    <row r="7746" spans="1:5" x14ac:dyDescent="0.25">
      <c r="A7746" s="14">
        <v>990998</v>
      </c>
      <c r="B7746" s="14" t="s">
        <v>7858</v>
      </c>
      <c r="C7746" s="14" t="s">
        <v>13037</v>
      </c>
      <c r="D7746" s="15">
        <v>0.03</v>
      </c>
      <c r="E7746" s="16" t="s">
        <v>30</v>
      </c>
    </row>
    <row r="7747" spans="1:5" x14ac:dyDescent="0.25">
      <c r="A7747" s="14">
        <v>991132</v>
      </c>
      <c r="B7747" s="14" t="s">
        <v>7859</v>
      </c>
      <c r="C7747" s="14" t="s">
        <v>13029</v>
      </c>
      <c r="D7747" s="15">
        <v>23.4</v>
      </c>
      <c r="E7747" s="16" t="s">
        <v>30</v>
      </c>
    </row>
    <row r="7748" spans="1:5" x14ac:dyDescent="0.25">
      <c r="A7748" s="14">
        <v>991133</v>
      </c>
      <c r="B7748" s="14" t="s">
        <v>7860</v>
      </c>
      <c r="C7748" s="14" t="s">
        <v>13029</v>
      </c>
      <c r="D7748" s="15">
        <v>14.22</v>
      </c>
      <c r="E7748" s="16" t="s">
        <v>30</v>
      </c>
    </row>
    <row r="7749" spans="1:5" x14ac:dyDescent="0.25">
      <c r="A7749" s="14">
        <v>991134</v>
      </c>
      <c r="B7749" s="14" t="s">
        <v>7861</v>
      </c>
      <c r="C7749" s="14" t="s">
        <v>13029</v>
      </c>
      <c r="D7749" s="15">
        <v>38.07</v>
      </c>
      <c r="E7749" s="16" t="s">
        <v>30</v>
      </c>
    </row>
    <row r="7750" spans="1:5" x14ac:dyDescent="0.25">
      <c r="A7750" s="14">
        <v>991135</v>
      </c>
      <c r="B7750" s="14" t="s">
        <v>7862</v>
      </c>
      <c r="C7750" s="14" t="s">
        <v>13030</v>
      </c>
      <c r="D7750" s="15">
        <v>100.69</v>
      </c>
      <c r="E7750" s="16" t="s">
        <v>30</v>
      </c>
    </row>
    <row r="7751" spans="1:5" x14ac:dyDescent="0.25">
      <c r="A7751" s="14">
        <v>991136</v>
      </c>
      <c r="B7751" s="14" t="s">
        <v>7863</v>
      </c>
      <c r="C7751" s="14" t="s">
        <v>13030</v>
      </c>
      <c r="D7751" s="15">
        <v>19</v>
      </c>
      <c r="E7751" s="16" t="s">
        <v>30</v>
      </c>
    </row>
    <row r="7752" spans="1:5" x14ac:dyDescent="0.25">
      <c r="A7752" s="14">
        <v>991137</v>
      </c>
      <c r="B7752" s="14" t="s">
        <v>7864</v>
      </c>
      <c r="C7752" s="14" t="s">
        <v>13030</v>
      </c>
      <c r="D7752" s="15">
        <v>95.3</v>
      </c>
      <c r="E7752" s="16" t="s">
        <v>30</v>
      </c>
    </row>
    <row r="7753" spans="1:5" x14ac:dyDescent="0.25">
      <c r="A7753" s="14">
        <v>991138</v>
      </c>
      <c r="B7753" s="14" t="s">
        <v>7865</v>
      </c>
      <c r="C7753" s="14" t="s">
        <v>13030</v>
      </c>
      <c r="D7753" s="15">
        <v>12.12</v>
      </c>
      <c r="E7753" s="16" t="s">
        <v>30</v>
      </c>
    </row>
    <row r="7754" spans="1:5" x14ac:dyDescent="0.25">
      <c r="A7754" s="14">
        <v>991139</v>
      </c>
      <c r="B7754" s="14" t="s">
        <v>7866</v>
      </c>
      <c r="C7754" s="14" t="s">
        <v>13030</v>
      </c>
      <c r="D7754" s="15">
        <v>12.12</v>
      </c>
      <c r="E7754" s="16" t="s">
        <v>30</v>
      </c>
    </row>
    <row r="7755" spans="1:5" x14ac:dyDescent="0.25">
      <c r="A7755" s="14">
        <v>991140</v>
      </c>
      <c r="B7755" s="14" t="s">
        <v>7867</v>
      </c>
      <c r="C7755" s="14" t="s">
        <v>13030</v>
      </c>
      <c r="D7755" s="15">
        <v>12.12</v>
      </c>
      <c r="E7755" s="16" t="s">
        <v>30</v>
      </c>
    </row>
    <row r="7756" spans="1:5" x14ac:dyDescent="0.25">
      <c r="A7756" s="14">
        <v>991141</v>
      </c>
      <c r="B7756" s="14" t="s">
        <v>7868</v>
      </c>
      <c r="C7756" s="14" t="s">
        <v>13030</v>
      </c>
      <c r="D7756" s="15">
        <v>3.98</v>
      </c>
      <c r="E7756" s="16" t="s">
        <v>30</v>
      </c>
    </row>
    <row r="7757" spans="1:5" x14ac:dyDescent="0.25">
      <c r="A7757" s="14">
        <v>991146</v>
      </c>
      <c r="B7757" s="14" t="s">
        <v>7869</v>
      </c>
      <c r="C7757" s="14" t="s">
        <v>13030</v>
      </c>
      <c r="D7757" s="15">
        <v>21.33</v>
      </c>
      <c r="E7757" s="16" t="s">
        <v>30</v>
      </c>
    </row>
    <row r="7758" spans="1:5" x14ac:dyDescent="0.25">
      <c r="A7758" s="14">
        <v>991147</v>
      </c>
      <c r="B7758" s="14" t="s">
        <v>7870</v>
      </c>
      <c r="C7758" s="14" t="s">
        <v>13030</v>
      </c>
      <c r="D7758" s="15">
        <v>49.58</v>
      </c>
      <c r="E7758" s="16" t="s">
        <v>30</v>
      </c>
    </row>
    <row r="7759" spans="1:5" x14ac:dyDescent="0.25">
      <c r="A7759" s="14">
        <v>991148</v>
      </c>
      <c r="B7759" s="14" t="s">
        <v>7871</v>
      </c>
      <c r="C7759" s="14" t="s">
        <v>13030</v>
      </c>
      <c r="D7759" s="15">
        <v>27.74</v>
      </c>
      <c r="E7759" s="16" t="s">
        <v>30</v>
      </c>
    </row>
    <row r="7760" spans="1:5" x14ac:dyDescent="0.25">
      <c r="A7760" s="14">
        <v>987088</v>
      </c>
      <c r="B7760" s="14" t="s">
        <v>7872</v>
      </c>
      <c r="C7760" s="14" t="s">
        <v>13030</v>
      </c>
      <c r="D7760" s="15">
        <v>47.46</v>
      </c>
      <c r="E7760" s="16" t="s">
        <v>20</v>
      </c>
    </row>
    <row r="7761" spans="1:5" x14ac:dyDescent="0.25">
      <c r="A7761" s="14">
        <v>991149</v>
      </c>
      <c r="B7761" s="14" t="s">
        <v>7873</v>
      </c>
      <c r="C7761" s="14" t="s">
        <v>13030</v>
      </c>
      <c r="D7761" s="15">
        <v>27.74</v>
      </c>
      <c r="E7761" s="16" t="s">
        <v>30</v>
      </c>
    </row>
    <row r="7762" spans="1:5" x14ac:dyDescent="0.25">
      <c r="A7762" s="14">
        <v>991150</v>
      </c>
      <c r="B7762" s="14" t="s">
        <v>7874</v>
      </c>
      <c r="C7762" s="14" t="s">
        <v>13030</v>
      </c>
      <c r="D7762" s="15">
        <v>27.74</v>
      </c>
      <c r="E7762" s="16" t="s">
        <v>30</v>
      </c>
    </row>
    <row r="7763" spans="1:5" x14ac:dyDescent="0.25">
      <c r="A7763" s="14">
        <v>991163</v>
      </c>
      <c r="B7763" s="14" t="s">
        <v>7875</v>
      </c>
      <c r="C7763" s="14" t="s">
        <v>13031</v>
      </c>
      <c r="D7763" s="15">
        <v>15.39</v>
      </c>
      <c r="E7763" s="16" t="s">
        <v>30</v>
      </c>
    </row>
    <row r="7764" spans="1:5" x14ac:dyDescent="0.25">
      <c r="A7764" s="14">
        <v>991171</v>
      </c>
      <c r="B7764" s="14" t="s">
        <v>7876</v>
      </c>
      <c r="C7764" s="14" t="s">
        <v>13029</v>
      </c>
      <c r="D7764" s="15">
        <v>25.35</v>
      </c>
      <c r="E7764" s="16" t="s">
        <v>30</v>
      </c>
    </row>
    <row r="7765" spans="1:5" x14ac:dyDescent="0.25">
      <c r="A7765" s="14">
        <v>991173</v>
      </c>
      <c r="B7765" s="14" t="s">
        <v>7877</v>
      </c>
      <c r="C7765" s="14" t="s">
        <v>13029</v>
      </c>
      <c r="D7765" s="15">
        <v>39.65</v>
      </c>
      <c r="E7765" s="16" t="s">
        <v>30</v>
      </c>
    </row>
    <row r="7766" spans="1:5" x14ac:dyDescent="0.25">
      <c r="A7766" s="14">
        <v>991174</v>
      </c>
      <c r="B7766" s="14" t="s">
        <v>7878</v>
      </c>
      <c r="C7766" s="14" t="s">
        <v>13029</v>
      </c>
      <c r="D7766" s="15">
        <v>31.2</v>
      </c>
      <c r="E7766" s="16" t="s">
        <v>30</v>
      </c>
    </row>
    <row r="7767" spans="1:5" x14ac:dyDescent="0.25">
      <c r="A7767" s="14">
        <v>991230</v>
      </c>
      <c r="B7767" s="14" t="s">
        <v>7879</v>
      </c>
      <c r="C7767" s="14" t="s">
        <v>13031</v>
      </c>
      <c r="D7767" s="15">
        <v>178.8</v>
      </c>
      <c r="E7767" s="16" t="s">
        <v>30</v>
      </c>
    </row>
    <row r="7768" spans="1:5" x14ac:dyDescent="0.25">
      <c r="A7768" s="14">
        <v>991231</v>
      </c>
      <c r="B7768" s="14" t="s">
        <v>7880</v>
      </c>
      <c r="C7768" s="14" t="s">
        <v>13031</v>
      </c>
      <c r="D7768" s="15">
        <v>87.6</v>
      </c>
      <c r="E7768" s="16" t="s">
        <v>30</v>
      </c>
    </row>
    <row r="7769" spans="1:5" x14ac:dyDescent="0.25">
      <c r="A7769" s="14">
        <v>991232</v>
      </c>
      <c r="B7769" s="14" t="s">
        <v>7881</v>
      </c>
      <c r="C7769" s="14" t="s">
        <v>13030</v>
      </c>
      <c r="D7769" s="15">
        <v>45.4</v>
      </c>
      <c r="E7769" s="16" t="s">
        <v>30</v>
      </c>
    </row>
    <row r="7770" spans="1:5" x14ac:dyDescent="0.25">
      <c r="A7770" s="14">
        <v>991233</v>
      </c>
      <c r="B7770" s="14" t="s">
        <v>7882</v>
      </c>
      <c r="C7770" s="14" t="s">
        <v>13030</v>
      </c>
      <c r="D7770" s="15">
        <v>32.35</v>
      </c>
      <c r="E7770" s="16" t="s">
        <v>30</v>
      </c>
    </row>
    <row r="7771" spans="1:5" x14ac:dyDescent="0.25">
      <c r="A7771" s="14">
        <v>991234</v>
      </c>
      <c r="B7771" s="14" t="s">
        <v>7883</v>
      </c>
      <c r="C7771" s="14" t="s">
        <v>13030</v>
      </c>
      <c r="D7771" s="15">
        <v>32.340000000000003</v>
      </c>
      <c r="E7771" s="16" t="s">
        <v>30</v>
      </c>
    </row>
    <row r="7772" spans="1:5" x14ac:dyDescent="0.25">
      <c r="A7772" s="14">
        <v>991235</v>
      </c>
      <c r="B7772" s="14" t="s">
        <v>7884</v>
      </c>
      <c r="C7772" s="14" t="s">
        <v>13030</v>
      </c>
      <c r="D7772" s="15">
        <v>45.78</v>
      </c>
      <c r="E7772" s="16" t="s">
        <v>30</v>
      </c>
    </row>
    <row r="7773" spans="1:5" x14ac:dyDescent="0.25">
      <c r="A7773" s="14">
        <v>987089</v>
      </c>
      <c r="B7773" s="14" t="s">
        <v>7885</v>
      </c>
      <c r="C7773" s="14" t="s">
        <v>13030</v>
      </c>
      <c r="D7773" s="15">
        <v>39.380000000000003</v>
      </c>
      <c r="E7773" s="16" t="s">
        <v>20</v>
      </c>
    </row>
    <row r="7774" spans="1:5" x14ac:dyDescent="0.25">
      <c r="A7774" s="14">
        <v>991236</v>
      </c>
      <c r="B7774" s="14" t="s">
        <v>7886</v>
      </c>
      <c r="C7774" s="14" t="s">
        <v>13030</v>
      </c>
      <c r="D7774" s="15">
        <v>16.5</v>
      </c>
      <c r="E7774" s="16" t="s">
        <v>30</v>
      </c>
    </row>
    <row r="7775" spans="1:5" x14ac:dyDescent="0.25">
      <c r="A7775" s="14">
        <v>991237</v>
      </c>
      <c r="B7775" s="14" t="s">
        <v>7887</v>
      </c>
      <c r="C7775" s="14" t="s">
        <v>13030</v>
      </c>
      <c r="D7775" s="15">
        <v>38.1</v>
      </c>
      <c r="E7775" s="16" t="s">
        <v>30</v>
      </c>
    </row>
    <row r="7776" spans="1:5" x14ac:dyDescent="0.25">
      <c r="A7776" s="14">
        <v>991238</v>
      </c>
      <c r="B7776" s="14" t="s">
        <v>7888</v>
      </c>
      <c r="C7776" s="14" t="s">
        <v>13030</v>
      </c>
      <c r="D7776" s="15">
        <v>35.950000000000003</v>
      </c>
      <c r="E7776" s="16" t="s">
        <v>30</v>
      </c>
    </row>
    <row r="7777" spans="1:5" x14ac:dyDescent="0.25">
      <c r="A7777" s="14">
        <v>991240</v>
      </c>
      <c r="B7777" s="14" t="s">
        <v>7889</v>
      </c>
      <c r="C7777" s="14" t="s">
        <v>13029</v>
      </c>
      <c r="D7777" s="15">
        <v>8.64</v>
      </c>
      <c r="E7777" s="16" t="s">
        <v>30</v>
      </c>
    </row>
    <row r="7778" spans="1:5" x14ac:dyDescent="0.25">
      <c r="A7778" s="14">
        <v>991241</v>
      </c>
      <c r="B7778" s="14" t="s">
        <v>7890</v>
      </c>
      <c r="C7778" s="14" t="s">
        <v>13029</v>
      </c>
      <c r="D7778" s="15">
        <v>14.31</v>
      </c>
      <c r="E7778" s="16" t="s">
        <v>30</v>
      </c>
    </row>
    <row r="7779" spans="1:5" x14ac:dyDescent="0.25">
      <c r="A7779" s="14">
        <v>991426</v>
      </c>
      <c r="B7779" s="14" t="s">
        <v>7891</v>
      </c>
      <c r="C7779" s="14" t="s">
        <v>13029</v>
      </c>
      <c r="D7779" s="15">
        <v>21.75</v>
      </c>
      <c r="E7779" s="16" t="s">
        <v>30</v>
      </c>
    </row>
    <row r="7780" spans="1:5" x14ac:dyDescent="0.25">
      <c r="A7780" s="14">
        <v>991435</v>
      </c>
      <c r="B7780" s="14" t="s">
        <v>7892</v>
      </c>
      <c r="C7780" s="14" t="s">
        <v>13031</v>
      </c>
      <c r="D7780" s="15">
        <v>14.07</v>
      </c>
      <c r="E7780" s="16" t="s">
        <v>30</v>
      </c>
    </row>
    <row r="7781" spans="1:5" x14ac:dyDescent="0.25">
      <c r="A7781" s="14">
        <v>991438</v>
      </c>
      <c r="B7781" s="14" t="s">
        <v>7893</v>
      </c>
      <c r="C7781" s="14" t="s">
        <v>13031</v>
      </c>
      <c r="D7781" s="15">
        <v>25.38</v>
      </c>
      <c r="E7781" s="16" t="s">
        <v>30</v>
      </c>
    </row>
    <row r="7782" spans="1:5" x14ac:dyDescent="0.25">
      <c r="A7782" s="14">
        <v>991439</v>
      </c>
      <c r="B7782" s="14" t="s">
        <v>7894</v>
      </c>
      <c r="C7782" s="14" t="s">
        <v>13031</v>
      </c>
      <c r="D7782" s="15">
        <v>25.38</v>
      </c>
      <c r="E7782" s="16" t="s">
        <v>30</v>
      </c>
    </row>
    <row r="7783" spans="1:5" x14ac:dyDescent="0.25">
      <c r="A7783" s="14">
        <v>991440</v>
      </c>
      <c r="B7783" s="14" t="s">
        <v>7895</v>
      </c>
      <c r="C7783" s="14" t="s">
        <v>13031</v>
      </c>
      <c r="D7783" s="15">
        <v>25.38</v>
      </c>
      <c r="E7783" s="16" t="s">
        <v>30</v>
      </c>
    </row>
    <row r="7784" spans="1:5" x14ac:dyDescent="0.25">
      <c r="A7784" s="14">
        <v>991441</v>
      </c>
      <c r="B7784" s="14" t="s">
        <v>7896</v>
      </c>
      <c r="C7784" s="14" t="s">
        <v>13031</v>
      </c>
      <c r="D7784" s="15">
        <v>25.38</v>
      </c>
      <c r="E7784" s="16" t="s">
        <v>30</v>
      </c>
    </row>
    <row r="7785" spans="1:5" x14ac:dyDescent="0.25">
      <c r="A7785" s="14">
        <v>991442</v>
      </c>
      <c r="B7785" s="14" t="s">
        <v>7897</v>
      </c>
      <c r="C7785" s="14" t="s">
        <v>13031</v>
      </c>
      <c r="D7785" s="15">
        <v>7.65</v>
      </c>
      <c r="E7785" s="16" t="s">
        <v>30</v>
      </c>
    </row>
    <row r="7786" spans="1:5" x14ac:dyDescent="0.25">
      <c r="A7786" s="14">
        <v>991443</v>
      </c>
      <c r="B7786" s="14" t="s">
        <v>7898</v>
      </c>
      <c r="C7786" s="14" t="s">
        <v>13031</v>
      </c>
      <c r="D7786" s="15">
        <v>7.65</v>
      </c>
      <c r="E7786" s="16" t="s">
        <v>30</v>
      </c>
    </row>
    <row r="7787" spans="1:5" x14ac:dyDescent="0.25">
      <c r="A7787" s="14">
        <v>991444</v>
      </c>
      <c r="B7787" s="14" t="s">
        <v>7899</v>
      </c>
      <c r="C7787" s="14" t="s">
        <v>13031</v>
      </c>
      <c r="D7787" s="15">
        <v>21.9</v>
      </c>
      <c r="E7787" s="16" t="s">
        <v>30</v>
      </c>
    </row>
    <row r="7788" spans="1:5" x14ac:dyDescent="0.25">
      <c r="A7788" s="14">
        <v>991456</v>
      </c>
      <c r="B7788" s="14" t="s">
        <v>7900</v>
      </c>
      <c r="C7788" s="14" t="s">
        <v>13031</v>
      </c>
      <c r="D7788" s="15">
        <v>21.97</v>
      </c>
      <c r="E7788" s="16" t="s">
        <v>30</v>
      </c>
    </row>
    <row r="7789" spans="1:5" x14ac:dyDescent="0.25">
      <c r="A7789" s="14">
        <v>991459</v>
      </c>
      <c r="B7789" s="14" t="s">
        <v>7901</v>
      </c>
      <c r="C7789" s="14" t="s">
        <v>13029</v>
      </c>
      <c r="D7789" s="15">
        <v>4.09</v>
      </c>
      <c r="E7789" s="16" t="s">
        <v>30</v>
      </c>
    </row>
    <row r="7790" spans="1:5" x14ac:dyDescent="0.25">
      <c r="A7790" s="14">
        <v>991460</v>
      </c>
      <c r="B7790" s="14" t="s">
        <v>7902</v>
      </c>
      <c r="C7790" s="14" t="s">
        <v>13029</v>
      </c>
      <c r="D7790" s="15">
        <v>4.09</v>
      </c>
      <c r="E7790" s="16" t="s">
        <v>30</v>
      </c>
    </row>
    <row r="7791" spans="1:5" x14ac:dyDescent="0.25">
      <c r="A7791" s="14">
        <v>991461</v>
      </c>
      <c r="B7791" s="14" t="s">
        <v>7903</v>
      </c>
      <c r="C7791" s="14" t="s">
        <v>13029</v>
      </c>
      <c r="D7791" s="15">
        <v>4.09</v>
      </c>
      <c r="E7791" s="16" t="s">
        <v>30</v>
      </c>
    </row>
    <row r="7792" spans="1:5" x14ac:dyDescent="0.25">
      <c r="A7792" s="14">
        <v>991462</v>
      </c>
      <c r="B7792" s="14" t="s">
        <v>7904</v>
      </c>
      <c r="C7792" s="14" t="s">
        <v>13029</v>
      </c>
      <c r="D7792" s="15">
        <v>4.09</v>
      </c>
      <c r="E7792" s="16" t="s">
        <v>30</v>
      </c>
    </row>
    <row r="7793" spans="1:5" x14ac:dyDescent="0.25">
      <c r="A7793" s="14">
        <v>991463</v>
      </c>
      <c r="B7793" s="14" t="s">
        <v>7905</v>
      </c>
      <c r="C7793" s="14" t="s">
        <v>13029</v>
      </c>
      <c r="D7793" s="15">
        <v>17.809999999999999</v>
      </c>
      <c r="E7793" s="16" t="s">
        <v>30</v>
      </c>
    </row>
    <row r="7794" spans="1:5" x14ac:dyDescent="0.25">
      <c r="A7794" s="14">
        <v>991464</v>
      </c>
      <c r="B7794" s="14" t="s">
        <v>7906</v>
      </c>
      <c r="C7794" s="14" t="s">
        <v>13029</v>
      </c>
      <c r="D7794" s="15">
        <v>17.809999999999999</v>
      </c>
      <c r="E7794" s="16" t="s">
        <v>30</v>
      </c>
    </row>
    <row r="7795" spans="1:5" x14ac:dyDescent="0.25">
      <c r="A7795" s="14">
        <v>991466</v>
      </c>
      <c r="B7795" s="14" t="s">
        <v>7907</v>
      </c>
      <c r="C7795" s="14" t="s">
        <v>13031</v>
      </c>
      <c r="D7795" s="15">
        <v>5.3</v>
      </c>
      <c r="E7795" s="16" t="s">
        <v>30</v>
      </c>
    </row>
    <row r="7796" spans="1:5" x14ac:dyDescent="0.25">
      <c r="A7796" s="14">
        <v>991467</v>
      </c>
      <c r="B7796" s="14" t="s">
        <v>7908</v>
      </c>
      <c r="C7796" s="14" t="s">
        <v>13031</v>
      </c>
      <c r="D7796" s="15">
        <v>15</v>
      </c>
      <c r="E7796" s="16" t="s">
        <v>30</v>
      </c>
    </row>
    <row r="7797" spans="1:5" x14ac:dyDescent="0.25">
      <c r="A7797" s="14">
        <v>991468</v>
      </c>
      <c r="B7797" s="14" t="s">
        <v>7909</v>
      </c>
      <c r="C7797" s="14" t="s">
        <v>13031</v>
      </c>
      <c r="D7797" s="15">
        <v>8.84</v>
      </c>
      <c r="E7797" s="16" t="s">
        <v>30</v>
      </c>
    </row>
    <row r="7798" spans="1:5" x14ac:dyDescent="0.25">
      <c r="A7798" s="14">
        <v>991469</v>
      </c>
      <c r="B7798" s="14" t="s">
        <v>7910</v>
      </c>
      <c r="C7798" s="14" t="s">
        <v>13031</v>
      </c>
      <c r="D7798" s="15">
        <v>7.65</v>
      </c>
      <c r="E7798" s="16" t="s">
        <v>30</v>
      </c>
    </row>
    <row r="7799" spans="1:5" x14ac:dyDescent="0.25">
      <c r="A7799" s="14">
        <v>991488</v>
      </c>
      <c r="B7799" s="14" t="s">
        <v>7911</v>
      </c>
      <c r="C7799" s="14" t="s">
        <v>13030</v>
      </c>
      <c r="D7799" s="15">
        <v>2.83</v>
      </c>
      <c r="E7799" s="16" t="s">
        <v>30</v>
      </c>
    </row>
    <row r="7800" spans="1:5" x14ac:dyDescent="0.25">
      <c r="A7800" s="14">
        <v>991489</v>
      </c>
      <c r="B7800" s="14" t="s">
        <v>7912</v>
      </c>
      <c r="C7800" s="14" t="s">
        <v>13030</v>
      </c>
      <c r="D7800" s="15">
        <v>5.01</v>
      </c>
      <c r="E7800" s="16" t="s">
        <v>30</v>
      </c>
    </row>
    <row r="7801" spans="1:5" x14ac:dyDescent="0.25">
      <c r="A7801" s="14">
        <v>991490</v>
      </c>
      <c r="B7801" s="14" t="s">
        <v>7913</v>
      </c>
      <c r="C7801" s="14" t="s">
        <v>13030</v>
      </c>
      <c r="D7801" s="15">
        <v>4.09</v>
      </c>
      <c r="E7801" s="16" t="s">
        <v>30</v>
      </c>
    </row>
    <row r="7802" spans="1:5" x14ac:dyDescent="0.25">
      <c r="A7802" s="14">
        <v>991491</v>
      </c>
      <c r="B7802" s="14" t="s">
        <v>7914</v>
      </c>
      <c r="C7802" s="14" t="s">
        <v>13030</v>
      </c>
      <c r="D7802" s="15">
        <v>4.09</v>
      </c>
      <c r="E7802" s="16" t="s">
        <v>30</v>
      </c>
    </row>
    <row r="7803" spans="1:5" x14ac:dyDescent="0.25">
      <c r="A7803" s="14">
        <v>991577</v>
      </c>
      <c r="B7803" s="14" t="s">
        <v>7915</v>
      </c>
      <c r="C7803" s="14" t="s">
        <v>13029</v>
      </c>
      <c r="D7803" s="15">
        <v>13.02</v>
      </c>
      <c r="E7803" s="16" t="s">
        <v>30</v>
      </c>
    </row>
    <row r="7804" spans="1:5" x14ac:dyDescent="0.25">
      <c r="A7804" s="14">
        <v>991591</v>
      </c>
      <c r="B7804" s="14" t="s">
        <v>7916</v>
      </c>
      <c r="C7804" s="14" t="s">
        <v>13034</v>
      </c>
      <c r="D7804" s="15">
        <v>6</v>
      </c>
      <c r="E7804" s="16" t="s">
        <v>30</v>
      </c>
    </row>
    <row r="7805" spans="1:5" x14ac:dyDescent="0.25">
      <c r="A7805" s="14">
        <v>991640</v>
      </c>
      <c r="B7805" s="14" t="s">
        <v>7917</v>
      </c>
      <c r="C7805" s="14" t="s">
        <v>13031</v>
      </c>
      <c r="D7805" s="15">
        <v>5</v>
      </c>
      <c r="E7805" s="16" t="s">
        <v>30</v>
      </c>
    </row>
    <row r="7806" spans="1:5" x14ac:dyDescent="0.25">
      <c r="A7806" s="14">
        <v>991755</v>
      </c>
      <c r="B7806" s="14" t="s">
        <v>7918</v>
      </c>
      <c r="C7806" s="14" t="s">
        <v>13031</v>
      </c>
      <c r="D7806" s="15">
        <v>21.15</v>
      </c>
      <c r="E7806" s="14" t="s">
        <v>30</v>
      </c>
    </row>
    <row r="7807" spans="1:5" x14ac:dyDescent="0.25">
      <c r="A7807" s="14">
        <v>991773</v>
      </c>
      <c r="B7807" s="14" t="s">
        <v>7919</v>
      </c>
      <c r="C7807" s="14" t="s">
        <v>13030</v>
      </c>
      <c r="D7807" s="15">
        <v>54.44</v>
      </c>
      <c r="E7807" s="16" t="s">
        <v>30</v>
      </c>
    </row>
    <row r="7808" spans="1:5" x14ac:dyDescent="0.25">
      <c r="A7808" s="14">
        <v>991774</v>
      </c>
      <c r="B7808" s="14" t="s">
        <v>7920</v>
      </c>
      <c r="C7808" s="14" t="s">
        <v>13030</v>
      </c>
      <c r="D7808" s="15">
        <v>54.44</v>
      </c>
      <c r="E7808" s="16" t="s">
        <v>30</v>
      </c>
    </row>
    <row r="7809" spans="1:5" x14ac:dyDescent="0.25">
      <c r="A7809" s="14">
        <v>991775</v>
      </c>
      <c r="B7809" s="14" t="s">
        <v>7921</v>
      </c>
      <c r="C7809" s="14" t="s">
        <v>13030</v>
      </c>
      <c r="D7809" s="15">
        <v>28.5</v>
      </c>
      <c r="E7809" s="16" t="s">
        <v>30</v>
      </c>
    </row>
    <row r="7810" spans="1:5" x14ac:dyDescent="0.25">
      <c r="A7810" s="14">
        <v>991776</v>
      </c>
      <c r="B7810" s="14" t="s">
        <v>7922</v>
      </c>
      <c r="C7810" s="14" t="s">
        <v>13030</v>
      </c>
      <c r="D7810" s="15">
        <v>54.24</v>
      </c>
      <c r="E7810" s="16" t="s">
        <v>30</v>
      </c>
    </row>
    <row r="7811" spans="1:5" x14ac:dyDescent="0.25">
      <c r="A7811" s="14">
        <v>991777</v>
      </c>
      <c r="B7811" s="14" t="s">
        <v>7923</v>
      </c>
      <c r="C7811" s="14" t="s">
        <v>13030</v>
      </c>
      <c r="D7811" s="15">
        <v>28.5</v>
      </c>
      <c r="E7811" s="16" t="s">
        <v>30</v>
      </c>
    </row>
    <row r="7812" spans="1:5" x14ac:dyDescent="0.25">
      <c r="A7812" s="14">
        <v>991778</v>
      </c>
      <c r="B7812" s="14" t="s">
        <v>7924</v>
      </c>
      <c r="C7812" s="14" t="s">
        <v>13030</v>
      </c>
      <c r="D7812" s="15">
        <v>54.24</v>
      </c>
      <c r="E7812" s="16" t="s">
        <v>30</v>
      </c>
    </row>
    <row r="7813" spans="1:5" x14ac:dyDescent="0.25">
      <c r="A7813" s="14">
        <v>991779</v>
      </c>
      <c r="B7813" s="14" t="s">
        <v>7925</v>
      </c>
      <c r="C7813" s="14" t="s">
        <v>13030</v>
      </c>
      <c r="D7813" s="15">
        <v>28.5</v>
      </c>
      <c r="E7813" s="16" t="s">
        <v>30</v>
      </c>
    </row>
    <row r="7814" spans="1:5" x14ac:dyDescent="0.25">
      <c r="A7814" s="14">
        <v>991780</v>
      </c>
      <c r="B7814" s="14" t="s">
        <v>7926</v>
      </c>
      <c r="C7814" s="14" t="s">
        <v>13030</v>
      </c>
      <c r="D7814" s="15">
        <v>54.24</v>
      </c>
      <c r="E7814" s="16" t="s">
        <v>30</v>
      </c>
    </row>
    <row r="7815" spans="1:5" x14ac:dyDescent="0.25">
      <c r="A7815" s="14">
        <v>991781</v>
      </c>
      <c r="B7815" s="14" t="s">
        <v>7927</v>
      </c>
      <c r="C7815" s="14" t="s">
        <v>13029</v>
      </c>
      <c r="D7815" s="15">
        <v>6.4</v>
      </c>
      <c r="E7815" s="16" t="s">
        <v>30</v>
      </c>
    </row>
    <row r="7816" spans="1:5" x14ac:dyDescent="0.25">
      <c r="A7816" s="14">
        <v>991782</v>
      </c>
      <c r="B7816" s="14" t="s">
        <v>7928</v>
      </c>
      <c r="C7816" s="14" t="s">
        <v>13029</v>
      </c>
      <c r="D7816" s="15">
        <v>6.4</v>
      </c>
      <c r="E7816" s="16" t="s">
        <v>30</v>
      </c>
    </row>
    <row r="7817" spans="1:5" x14ac:dyDescent="0.25">
      <c r="A7817" s="14">
        <v>991783</v>
      </c>
      <c r="B7817" s="14" t="s">
        <v>7929</v>
      </c>
      <c r="C7817" s="14" t="s">
        <v>13029</v>
      </c>
      <c r="D7817" s="15">
        <v>11.81</v>
      </c>
      <c r="E7817" s="16" t="s">
        <v>30</v>
      </c>
    </row>
    <row r="7818" spans="1:5" x14ac:dyDescent="0.25">
      <c r="A7818" s="14">
        <v>991784</v>
      </c>
      <c r="B7818" s="14" t="s">
        <v>7930</v>
      </c>
      <c r="C7818" s="14" t="s">
        <v>13029</v>
      </c>
      <c r="D7818" s="15">
        <v>14.77</v>
      </c>
      <c r="E7818" s="16" t="s">
        <v>30</v>
      </c>
    </row>
    <row r="7819" spans="1:5" x14ac:dyDescent="0.25">
      <c r="A7819" s="14">
        <v>991785</v>
      </c>
      <c r="B7819" s="14" t="s">
        <v>7931</v>
      </c>
      <c r="C7819" s="14" t="s">
        <v>13029</v>
      </c>
      <c r="D7819" s="15">
        <v>26.8</v>
      </c>
      <c r="E7819" s="16" t="s">
        <v>30</v>
      </c>
    </row>
    <row r="7820" spans="1:5" x14ac:dyDescent="0.25">
      <c r="A7820" s="14">
        <v>987090</v>
      </c>
      <c r="B7820" s="14" t="s">
        <v>7932</v>
      </c>
      <c r="C7820" s="14" t="s">
        <v>13030</v>
      </c>
      <c r="D7820" s="15">
        <v>41.22</v>
      </c>
      <c r="E7820" s="16" t="s">
        <v>20</v>
      </c>
    </row>
    <row r="7821" spans="1:5" x14ac:dyDescent="0.25">
      <c r="A7821" s="14">
        <v>991786</v>
      </c>
      <c r="B7821" s="14" t="s">
        <v>7933</v>
      </c>
      <c r="C7821" s="14" t="s">
        <v>13029</v>
      </c>
      <c r="D7821" s="15">
        <v>26.8</v>
      </c>
      <c r="E7821" s="16" t="s">
        <v>30</v>
      </c>
    </row>
    <row r="7822" spans="1:5" x14ac:dyDescent="0.25">
      <c r="A7822" s="14">
        <v>991787</v>
      </c>
      <c r="B7822" s="14" t="s">
        <v>7934</v>
      </c>
      <c r="C7822" s="14" t="s">
        <v>13029</v>
      </c>
      <c r="D7822" s="15">
        <v>38.159999999999997</v>
      </c>
      <c r="E7822" s="16" t="s">
        <v>30</v>
      </c>
    </row>
    <row r="7823" spans="1:5" x14ac:dyDescent="0.25">
      <c r="A7823" s="14">
        <v>991791</v>
      </c>
      <c r="B7823" s="14" t="s">
        <v>7935</v>
      </c>
      <c r="C7823" s="14" t="s">
        <v>13030</v>
      </c>
      <c r="D7823" s="15">
        <v>60.01</v>
      </c>
      <c r="E7823" s="16" t="s">
        <v>30</v>
      </c>
    </row>
    <row r="7824" spans="1:5" x14ac:dyDescent="0.25">
      <c r="A7824" s="14">
        <v>991792</v>
      </c>
      <c r="B7824" s="14" t="s">
        <v>7936</v>
      </c>
      <c r="C7824" s="14" t="s">
        <v>13030</v>
      </c>
      <c r="D7824" s="15">
        <v>60.01</v>
      </c>
      <c r="E7824" s="16" t="s">
        <v>30</v>
      </c>
    </row>
    <row r="7825" spans="1:5" x14ac:dyDescent="0.25">
      <c r="A7825" s="14">
        <v>991793</v>
      </c>
      <c r="B7825" s="14" t="s">
        <v>7937</v>
      </c>
      <c r="C7825" s="14" t="s">
        <v>13029</v>
      </c>
      <c r="D7825" s="15">
        <v>12.99</v>
      </c>
      <c r="E7825" s="16" t="s">
        <v>30</v>
      </c>
    </row>
    <row r="7826" spans="1:5" x14ac:dyDescent="0.25">
      <c r="A7826" s="14">
        <v>991824</v>
      </c>
      <c r="B7826" s="14" t="s">
        <v>7938</v>
      </c>
      <c r="C7826" s="14" t="s">
        <v>13029</v>
      </c>
      <c r="D7826" s="15">
        <v>13.61</v>
      </c>
      <c r="E7826" s="16" t="s">
        <v>30</v>
      </c>
    </row>
    <row r="7827" spans="1:5" x14ac:dyDescent="0.25">
      <c r="A7827" s="14">
        <v>991825</v>
      </c>
      <c r="B7827" s="14" t="s">
        <v>7939</v>
      </c>
      <c r="C7827" s="14" t="s">
        <v>13029</v>
      </c>
      <c r="D7827" s="15">
        <v>13.61</v>
      </c>
      <c r="E7827" s="16" t="s">
        <v>30</v>
      </c>
    </row>
    <row r="7828" spans="1:5" x14ac:dyDescent="0.25">
      <c r="A7828" s="14">
        <v>991828</v>
      </c>
      <c r="B7828" s="14" t="s">
        <v>7940</v>
      </c>
      <c r="C7828" s="14" t="s">
        <v>13030</v>
      </c>
      <c r="D7828" s="15">
        <v>324.08</v>
      </c>
      <c r="E7828" s="16" t="s">
        <v>30</v>
      </c>
    </row>
    <row r="7829" spans="1:5" x14ac:dyDescent="0.25">
      <c r="A7829" s="14">
        <v>991829</v>
      </c>
      <c r="B7829" s="14" t="s">
        <v>7941</v>
      </c>
      <c r="C7829" s="14" t="s">
        <v>13030</v>
      </c>
      <c r="D7829" s="15">
        <v>144</v>
      </c>
      <c r="E7829" s="16" t="s">
        <v>30</v>
      </c>
    </row>
    <row r="7830" spans="1:5" x14ac:dyDescent="0.25">
      <c r="A7830" s="14">
        <v>991830</v>
      </c>
      <c r="B7830" s="14" t="s">
        <v>7942</v>
      </c>
      <c r="C7830" s="14" t="s">
        <v>13030</v>
      </c>
      <c r="D7830" s="15">
        <v>143.09</v>
      </c>
      <c r="E7830" s="16" t="s">
        <v>30</v>
      </c>
    </row>
    <row r="7831" spans="1:5" x14ac:dyDescent="0.25">
      <c r="A7831" s="14">
        <v>991831</v>
      </c>
      <c r="B7831" s="14" t="s">
        <v>7943</v>
      </c>
      <c r="C7831" s="14" t="s">
        <v>13030</v>
      </c>
      <c r="D7831" s="15">
        <v>28.74</v>
      </c>
      <c r="E7831" s="16" t="s">
        <v>30</v>
      </c>
    </row>
    <row r="7832" spans="1:5" x14ac:dyDescent="0.25">
      <c r="A7832" s="14">
        <v>991832</v>
      </c>
      <c r="B7832" s="14" t="s">
        <v>7944</v>
      </c>
      <c r="C7832" s="14" t="s">
        <v>13030</v>
      </c>
      <c r="D7832" s="15">
        <v>28.74</v>
      </c>
      <c r="E7832" s="16" t="s">
        <v>30</v>
      </c>
    </row>
    <row r="7833" spans="1:5" x14ac:dyDescent="0.25">
      <c r="A7833" s="14">
        <v>991833</v>
      </c>
      <c r="B7833" s="14" t="s">
        <v>7945</v>
      </c>
      <c r="C7833" s="14" t="s">
        <v>13030</v>
      </c>
      <c r="D7833" s="15">
        <v>46.75</v>
      </c>
      <c r="E7833" s="16" t="s">
        <v>30</v>
      </c>
    </row>
    <row r="7834" spans="1:5" x14ac:dyDescent="0.25">
      <c r="A7834" s="14">
        <v>991937</v>
      </c>
      <c r="B7834" s="14" t="s">
        <v>7946</v>
      </c>
      <c r="C7834" s="14" t="s">
        <v>13029</v>
      </c>
      <c r="D7834" s="15">
        <v>12.4</v>
      </c>
      <c r="E7834" s="14" t="s">
        <v>30</v>
      </c>
    </row>
    <row r="7835" spans="1:5" x14ac:dyDescent="0.25">
      <c r="A7835" s="14">
        <v>991938</v>
      </c>
      <c r="B7835" s="14" t="s">
        <v>7947</v>
      </c>
      <c r="C7835" s="14" t="s">
        <v>13029</v>
      </c>
      <c r="D7835" s="15">
        <v>12.4</v>
      </c>
      <c r="E7835" s="14" t="s">
        <v>30</v>
      </c>
    </row>
    <row r="7836" spans="1:5" x14ac:dyDescent="0.25">
      <c r="A7836" s="14">
        <v>991943</v>
      </c>
      <c r="B7836" s="14" t="s">
        <v>7948</v>
      </c>
      <c r="C7836" s="14" t="s">
        <v>13031</v>
      </c>
      <c r="D7836" s="15">
        <v>7.46</v>
      </c>
      <c r="E7836" s="16" t="s">
        <v>30</v>
      </c>
    </row>
    <row r="7837" spans="1:5" x14ac:dyDescent="0.25">
      <c r="A7837" s="14">
        <v>991944</v>
      </c>
      <c r="B7837" s="14" t="s">
        <v>7949</v>
      </c>
      <c r="C7837" s="14" t="s">
        <v>13029</v>
      </c>
      <c r="D7837" s="15">
        <v>21.79</v>
      </c>
      <c r="E7837" s="16" t="s">
        <v>30</v>
      </c>
    </row>
    <row r="7838" spans="1:5" x14ac:dyDescent="0.25">
      <c r="A7838" s="14">
        <v>991945</v>
      </c>
      <c r="B7838" s="14" t="s">
        <v>7950</v>
      </c>
      <c r="C7838" s="14" t="s">
        <v>13029</v>
      </c>
      <c r="D7838" s="15">
        <v>21.79</v>
      </c>
      <c r="E7838" s="16" t="s">
        <v>30</v>
      </c>
    </row>
    <row r="7839" spans="1:5" x14ac:dyDescent="0.25">
      <c r="A7839" s="14">
        <v>991965</v>
      </c>
      <c r="B7839" s="14" t="s">
        <v>7951</v>
      </c>
      <c r="C7839" s="14" t="s">
        <v>13031</v>
      </c>
      <c r="D7839" s="15">
        <v>5.8</v>
      </c>
      <c r="E7839" s="16" t="s">
        <v>30</v>
      </c>
    </row>
    <row r="7840" spans="1:5" x14ac:dyDescent="0.25">
      <c r="A7840" s="14">
        <v>991971</v>
      </c>
      <c r="B7840" s="14" t="s">
        <v>7952</v>
      </c>
      <c r="C7840" s="14" t="s">
        <v>13029</v>
      </c>
      <c r="D7840" s="15">
        <v>10.5</v>
      </c>
      <c r="E7840" s="16" t="s">
        <v>30</v>
      </c>
    </row>
    <row r="7841" spans="1:5" x14ac:dyDescent="0.25">
      <c r="A7841" s="14">
        <v>991972</v>
      </c>
      <c r="B7841" s="14" t="s">
        <v>7953</v>
      </c>
      <c r="C7841" s="14" t="s">
        <v>13036</v>
      </c>
      <c r="D7841" s="15">
        <v>0.38</v>
      </c>
      <c r="E7841" s="16" t="s">
        <v>30</v>
      </c>
    </row>
    <row r="7842" spans="1:5" x14ac:dyDescent="0.25">
      <c r="A7842" s="14">
        <v>991973</v>
      </c>
      <c r="B7842" s="14" t="s">
        <v>7954</v>
      </c>
      <c r="C7842" s="14" t="s">
        <v>13036</v>
      </c>
      <c r="D7842" s="15">
        <v>0.11</v>
      </c>
      <c r="E7842" s="16" t="s">
        <v>30</v>
      </c>
    </row>
    <row r="7843" spans="1:5" x14ac:dyDescent="0.25">
      <c r="A7843" s="14">
        <v>991998</v>
      </c>
      <c r="B7843" s="14" t="s">
        <v>7955</v>
      </c>
      <c r="C7843" s="14" t="s">
        <v>13030</v>
      </c>
      <c r="D7843" s="15">
        <v>7.47</v>
      </c>
      <c r="E7843" s="16" t="s">
        <v>30</v>
      </c>
    </row>
    <row r="7844" spans="1:5" x14ac:dyDescent="0.25">
      <c r="A7844" s="14">
        <v>991999</v>
      </c>
      <c r="B7844" s="14" t="s">
        <v>7956</v>
      </c>
      <c r="C7844" s="14" t="s">
        <v>13030</v>
      </c>
      <c r="D7844" s="15">
        <v>7.47</v>
      </c>
      <c r="E7844" s="16" t="s">
        <v>30</v>
      </c>
    </row>
    <row r="7845" spans="1:5" x14ac:dyDescent="0.25">
      <c r="A7845" s="14">
        <v>992000</v>
      </c>
      <c r="B7845" s="14" t="s">
        <v>7957</v>
      </c>
      <c r="C7845" s="14" t="s">
        <v>13030</v>
      </c>
      <c r="D7845" s="15">
        <v>8.23</v>
      </c>
      <c r="E7845" s="16" t="s">
        <v>30</v>
      </c>
    </row>
    <row r="7846" spans="1:5" x14ac:dyDescent="0.25">
      <c r="A7846" s="14">
        <v>992001</v>
      </c>
      <c r="B7846" s="14" t="s">
        <v>7958</v>
      </c>
      <c r="C7846" s="14" t="s">
        <v>13030</v>
      </c>
      <c r="D7846" s="15">
        <v>21.78</v>
      </c>
      <c r="E7846" s="16" t="s">
        <v>30</v>
      </c>
    </row>
    <row r="7847" spans="1:5" x14ac:dyDescent="0.25">
      <c r="A7847" s="14">
        <v>992014</v>
      </c>
      <c r="B7847" s="14" t="s">
        <v>7959</v>
      </c>
      <c r="C7847" s="14" t="s">
        <v>13031</v>
      </c>
      <c r="D7847" s="15">
        <v>5.8</v>
      </c>
      <c r="E7847" s="16" t="s">
        <v>30</v>
      </c>
    </row>
    <row r="7848" spans="1:5" x14ac:dyDescent="0.25">
      <c r="A7848" s="14">
        <v>992016</v>
      </c>
      <c r="B7848" s="14" t="s">
        <v>7960</v>
      </c>
      <c r="C7848" s="14" t="s">
        <v>13031</v>
      </c>
      <c r="D7848" s="15">
        <v>1.8</v>
      </c>
      <c r="E7848" s="16" t="s">
        <v>30</v>
      </c>
    </row>
    <row r="7849" spans="1:5" x14ac:dyDescent="0.25">
      <c r="A7849" s="14">
        <v>992017</v>
      </c>
      <c r="B7849" s="14" t="s">
        <v>7961</v>
      </c>
      <c r="C7849" s="14" t="s">
        <v>13031</v>
      </c>
      <c r="D7849" s="15">
        <v>1.8</v>
      </c>
      <c r="E7849" s="16" t="s">
        <v>30</v>
      </c>
    </row>
    <row r="7850" spans="1:5" x14ac:dyDescent="0.25">
      <c r="A7850" s="14">
        <v>992018</v>
      </c>
      <c r="B7850" s="14" t="s">
        <v>7962</v>
      </c>
      <c r="C7850" s="14" t="s">
        <v>13031</v>
      </c>
      <c r="D7850" s="15">
        <v>9.61</v>
      </c>
      <c r="E7850" s="16" t="s">
        <v>30</v>
      </c>
    </row>
    <row r="7851" spans="1:5" x14ac:dyDescent="0.25">
      <c r="A7851" s="14">
        <v>992019</v>
      </c>
      <c r="B7851" s="14" t="s">
        <v>7963</v>
      </c>
      <c r="C7851" s="14" t="s">
        <v>13031</v>
      </c>
      <c r="D7851" s="15">
        <v>8.9</v>
      </c>
      <c r="E7851" s="16" t="s">
        <v>30</v>
      </c>
    </row>
    <row r="7852" spans="1:5" x14ac:dyDescent="0.25">
      <c r="A7852" s="14">
        <v>992022</v>
      </c>
      <c r="B7852" s="14" t="s">
        <v>7964</v>
      </c>
      <c r="C7852" s="14" t="s">
        <v>13029</v>
      </c>
      <c r="D7852" s="15">
        <v>6.56</v>
      </c>
      <c r="E7852" s="16" t="s">
        <v>30</v>
      </c>
    </row>
    <row r="7853" spans="1:5" x14ac:dyDescent="0.25">
      <c r="A7853" s="14">
        <v>992023</v>
      </c>
      <c r="B7853" s="14" t="s">
        <v>7965</v>
      </c>
      <c r="C7853" s="14" t="s">
        <v>13029</v>
      </c>
      <c r="D7853" s="15">
        <v>6.56</v>
      </c>
      <c r="E7853" s="16" t="s">
        <v>30</v>
      </c>
    </row>
    <row r="7854" spans="1:5" x14ac:dyDescent="0.25">
      <c r="A7854" s="14">
        <v>992024</v>
      </c>
      <c r="B7854" s="14" t="s">
        <v>7966</v>
      </c>
      <c r="C7854" s="14" t="s">
        <v>13029</v>
      </c>
      <c r="D7854" s="15">
        <v>6.56</v>
      </c>
      <c r="E7854" s="16" t="s">
        <v>30</v>
      </c>
    </row>
    <row r="7855" spans="1:5" x14ac:dyDescent="0.25">
      <c r="A7855" s="14">
        <v>992035</v>
      </c>
      <c r="B7855" s="14" t="s">
        <v>7967</v>
      </c>
      <c r="C7855" s="14" t="s">
        <v>13029</v>
      </c>
      <c r="D7855" s="15">
        <v>66.38</v>
      </c>
      <c r="E7855" s="14" t="s">
        <v>30</v>
      </c>
    </row>
    <row r="7856" spans="1:5" x14ac:dyDescent="0.25">
      <c r="A7856" s="14">
        <v>992043</v>
      </c>
      <c r="B7856" s="14" t="s">
        <v>7968</v>
      </c>
      <c r="C7856" s="14" t="s">
        <v>13029</v>
      </c>
      <c r="D7856" s="15">
        <v>42.9</v>
      </c>
      <c r="E7856" s="16" t="s">
        <v>30</v>
      </c>
    </row>
    <row r="7857" spans="1:5" x14ac:dyDescent="0.25">
      <c r="A7857" s="14">
        <v>992044</v>
      </c>
      <c r="B7857" s="14" t="s">
        <v>7969</v>
      </c>
      <c r="C7857" s="14" t="s">
        <v>13029</v>
      </c>
      <c r="D7857" s="15">
        <v>33.799999999999997</v>
      </c>
      <c r="E7857" s="16" t="s">
        <v>30</v>
      </c>
    </row>
    <row r="7858" spans="1:5" x14ac:dyDescent="0.25">
      <c r="A7858" s="14">
        <v>992045</v>
      </c>
      <c r="B7858" s="14" t="s">
        <v>7970</v>
      </c>
      <c r="C7858" s="14" t="s">
        <v>13029</v>
      </c>
      <c r="D7858" s="15">
        <v>33.799999999999997</v>
      </c>
      <c r="E7858" s="16" t="s">
        <v>30</v>
      </c>
    </row>
    <row r="7859" spans="1:5" x14ac:dyDescent="0.25">
      <c r="A7859" s="14">
        <v>992046</v>
      </c>
      <c r="B7859" s="14" t="s">
        <v>7971</v>
      </c>
      <c r="C7859" s="14" t="s">
        <v>13029</v>
      </c>
      <c r="D7859" s="15">
        <v>31.2</v>
      </c>
      <c r="E7859" s="16" t="s">
        <v>30</v>
      </c>
    </row>
    <row r="7860" spans="1:5" x14ac:dyDescent="0.25">
      <c r="A7860" s="14">
        <v>992421</v>
      </c>
      <c r="B7860" s="14" t="s">
        <v>7972</v>
      </c>
      <c r="C7860" s="14" t="s">
        <v>13031</v>
      </c>
      <c r="D7860" s="15">
        <v>41.47</v>
      </c>
      <c r="E7860" s="16" t="s">
        <v>30</v>
      </c>
    </row>
    <row r="7861" spans="1:5" x14ac:dyDescent="0.25">
      <c r="A7861" s="14">
        <v>992422</v>
      </c>
      <c r="B7861" s="14" t="s">
        <v>7973</v>
      </c>
      <c r="C7861" s="14" t="s">
        <v>13031</v>
      </c>
      <c r="D7861" s="15">
        <v>7.5</v>
      </c>
      <c r="E7861" s="16" t="s">
        <v>30</v>
      </c>
    </row>
    <row r="7862" spans="1:5" x14ac:dyDescent="0.25">
      <c r="A7862" s="14">
        <v>992424</v>
      </c>
      <c r="B7862" s="14" t="s">
        <v>7974</v>
      </c>
      <c r="C7862" s="14" t="s">
        <v>13031</v>
      </c>
      <c r="D7862" s="15">
        <v>11.95</v>
      </c>
      <c r="E7862" s="16" t="s">
        <v>30</v>
      </c>
    </row>
    <row r="7863" spans="1:5" x14ac:dyDescent="0.25">
      <c r="A7863" s="14">
        <v>992431</v>
      </c>
      <c r="B7863" s="14" t="s">
        <v>7975</v>
      </c>
      <c r="C7863" s="14" t="s">
        <v>13031</v>
      </c>
      <c r="D7863" s="15">
        <v>6.47</v>
      </c>
      <c r="E7863" s="16" t="s">
        <v>30</v>
      </c>
    </row>
    <row r="7864" spans="1:5" x14ac:dyDescent="0.25">
      <c r="A7864" s="14">
        <v>992432</v>
      </c>
      <c r="B7864" s="14" t="s">
        <v>7976</v>
      </c>
      <c r="C7864" s="14" t="s">
        <v>13031</v>
      </c>
      <c r="D7864" s="15">
        <v>5.93</v>
      </c>
      <c r="E7864" s="16" t="s">
        <v>30</v>
      </c>
    </row>
    <row r="7865" spans="1:5" x14ac:dyDescent="0.25">
      <c r="A7865" s="14">
        <v>992433</v>
      </c>
      <c r="B7865" s="14" t="s">
        <v>7977</v>
      </c>
      <c r="C7865" s="14" t="s">
        <v>13031</v>
      </c>
      <c r="D7865" s="15">
        <v>10.68</v>
      </c>
      <c r="E7865" s="16" t="s">
        <v>30</v>
      </c>
    </row>
    <row r="7866" spans="1:5" x14ac:dyDescent="0.25">
      <c r="A7866" s="14">
        <v>992434</v>
      </c>
      <c r="B7866" s="14" t="s">
        <v>7978</v>
      </c>
      <c r="C7866" s="14" t="s">
        <v>13031</v>
      </c>
      <c r="D7866" s="15">
        <v>14.77</v>
      </c>
      <c r="E7866" s="16" t="s">
        <v>30</v>
      </c>
    </row>
    <row r="7867" spans="1:5" x14ac:dyDescent="0.25">
      <c r="A7867" s="14">
        <v>992435</v>
      </c>
      <c r="B7867" s="14" t="s">
        <v>7979</v>
      </c>
      <c r="C7867" s="14" t="s">
        <v>13031</v>
      </c>
      <c r="D7867" s="15">
        <v>11.3</v>
      </c>
      <c r="E7867" s="16" t="s">
        <v>30</v>
      </c>
    </row>
    <row r="7868" spans="1:5" x14ac:dyDescent="0.25">
      <c r="A7868" s="14">
        <v>992436</v>
      </c>
      <c r="B7868" s="14" t="s">
        <v>7980</v>
      </c>
      <c r="C7868" s="14" t="s">
        <v>13031</v>
      </c>
      <c r="D7868" s="15">
        <v>4.75</v>
      </c>
      <c r="E7868" s="16" t="s">
        <v>30</v>
      </c>
    </row>
    <row r="7869" spans="1:5" x14ac:dyDescent="0.25">
      <c r="A7869" s="14">
        <v>992437</v>
      </c>
      <c r="B7869" s="14" t="s">
        <v>7981</v>
      </c>
      <c r="C7869" s="14" t="s">
        <v>13031</v>
      </c>
      <c r="D7869" s="15">
        <v>7.2</v>
      </c>
      <c r="E7869" s="16" t="s">
        <v>30</v>
      </c>
    </row>
    <row r="7870" spans="1:5" x14ac:dyDescent="0.25">
      <c r="A7870" s="14">
        <v>992440</v>
      </c>
      <c r="B7870" s="14" t="s">
        <v>7982</v>
      </c>
      <c r="C7870" s="14" t="s">
        <v>13031</v>
      </c>
      <c r="D7870" s="15">
        <v>11.8</v>
      </c>
      <c r="E7870" s="16" t="s">
        <v>30</v>
      </c>
    </row>
    <row r="7871" spans="1:5" x14ac:dyDescent="0.25">
      <c r="A7871" s="14">
        <v>992441</v>
      </c>
      <c r="B7871" s="14" t="s">
        <v>7983</v>
      </c>
      <c r="C7871" s="14" t="s">
        <v>13031</v>
      </c>
      <c r="D7871" s="15">
        <v>10.95</v>
      </c>
      <c r="E7871" s="16" t="s">
        <v>30</v>
      </c>
    </row>
    <row r="7872" spans="1:5" x14ac:dyDescent="0.25">
      <c r="A7872" s="14">
        <v>992442</v>
      </c>
      <c r="B7872" s="14" t="s">
        <v>7984</v>
      </c>
      <c r="C7872" s="14" t="s">
        <v>13031</v>
      </c>
      <c r="D7872" s="15">
        <v>7.65</v>
      </c>
      <c r="E7872" s="16" t="s">
        <v>30</v>
      </c>
    </row>
    <row r="7873" spans="1:5" x14ac:dyDescent="0.25">
      <c r="A7873" s="14">
        <v>992443</v>
      </c>
      <c r="B7873" s="14" t="s">
        <v>7985</v>
      </c>
      <c r="C7873" s="14" t="s">
        <v>13031</v>
      </c>
      <c r="D7873" s="15">
        <v>6.8</v>
      </c>
      <c r="E7873" s="16" t="s">
        <v>30</v>
      </c>
    </row>
    <row r="7874" spans="1:5" x14ac:dyDescent="0.25">
      <c r="A7874" s="14">
        <v>992450</v>
      </c>
      <c r="B7874" s="14" t="s">
        <v>7986</v>
      </c>
      <c r="C7874" s="14" t="s">
        <v>13029</v>
      </c>
      <c r="D7874" s="15">
        <v>55.93</v>
      </c>
      <c r="E7874" s="16" t="s">
        <v>30</v>
      </c>
    </row>
    <row r="7875" spans="1:5" x14ac:dyDescent="0.25">
      <c r="A7875" s="14">
        <v>992451</v>
      </c>
      <c r="B7875" s="14" t="s">
        <v>7987</v>
      </c>
      <c r="C7875" s="14" t="s">
        <v>13029</v>
      </c>
      <c r="D7875" s="15">
        <v>55.93</v>
      </c>
      <c r="E7875" s="16" t="s">
        <v>30</v>
      </c>
    </row>
    <row r="7876" spans="1:5" x14ac:dyDescent="0.25">
      <c r="A7876" s="14">
        <v>992452</v>
      </c>
      <c r="B7876" s="14" t="s">
        <v>7988</v>
      </c>
      <c r="C7876" s="14" t="s">
        <v>13029</v>
      </c>
      <c r="D7876" s="15">
        <v>55.93</v>
      </c>
      <c r="E7876" s="16" t="s">
        <v>30</v>
      </c>
    </row>
    <row r="7877" spans="1:5" x14ac:dyDescent="0.25">
      <c r="A7877" s="14">
        <v>992453</v>
      </c>
      <c r="B7877" s="14" t="s">
        <v>7989</v>
      </c>
      <c r="C7877" s="14" t="s">
        <v>13029</v>
      </c>
      <c r="D7877" s="15">
        <v>55.93</v>
      </c>
      <c r="E7877" s="16" t="s">
        <v>30</v>
      </c>
    </row>
    <row r="7878" spans="1:5" x14ac:dyDescent="0.25">
      <c r="A7878" s="14">
        <v>992454</v>
      </c>
      <c r="B7878" s="14" t="s">
        <v>7990</v>
      </c>
      <c r="C7878" s="14" t="s">
        <v>13029</v>
      </c>
      <c r="D7878" s="15">
        <v>50.4</v>
      </c>
      <c r="E7878" s="16" t="s">
        <v>30</v>
      </c>
    </row>
    <row r="7879" spans="1:5" x14ac:dyDescent="0.25">
      <c r="A7879" s="14">
        <v>992520</v>
      </c>
      <c r="B7879" s="14" t="s">
        <v>7991</v>
      </c>
      <c r="C7879" s="14" t="s">
        <v>13031</v>
      </c>
      <c r="D7879" s="15">
        <v>4.63</v>
      </c>
      <c r="E7879" s="14" t="s">
        <v>30</v>
      </c>
    </row>
    <row r="7880" spans="1:5" x14ac:dyDescent="0.25">
      <c r="A7880" s="14">
        <v>992521</v>
      </c>
      <c r="B7880" s="14" t="s">
        <v>7992</v>
      </c>
      <c r="C7880" s="14" t="s">
        <v>13031</v>
      </c>
      <c r="D7880" s="15">
        <v>24.79</v>
      </c>
      <c r="E7880" s="14" t="s">
        <v>30</v>
      </c>
    </row>
    <row r="7881" spans="1:5" x14ac:dyDescent="0.25">
      <c r="A7881" s="14">
        <v>992537</v>
      </c>
      <c r="B7881" s="14" t="s">
        <v>7993</v>
      </c>
      <c r="C7881" s="14" t="s">
        <v>13029</v>
      </c>
      <c r="D7881" s="15">
        <v>1.47</v>
      </c>
      <c r="E7881" s="16" t="s">
        <v>30</v>
      </c>
    </row>
    <row r="7882" spans="1:5" x14ac:dyDescent="0.25">
      <c r="A7882" s="14">
        <v>992538</v>
      </c>
      <c r="B7882" s="14" t="s">
        <v>7994</v>
      </c>
      <c r="C7882" s="14" t="s">
        <v>13029</v>
      </c>
      <c r="D7882" s="15">
        <v>1.47</v>
      </c>
      <c r="E7882" s="16" t="s">
        <v>30</v>
      </c>
    </row>
    <row r="7883" spans="1:5" x14ac:dyDescent="0.25">
      <c r="A7883" s="14">
        <v>992539</v>
      </c>
      <c r="B7883" s="14" t="s">
        <v>7995</v>
      </c>
      <c r="C7883" s="14" t="s">
        <v>13029</v>
      </c>
      <c r="D7883" s="15">
        <v>1.47</v>
      </c>
      <c r="E7883" s="16" t="s">
        <v>30</v>
      </c>
    </row>
    <row r="7884" spans="1:5" x14ac:dyDescent="0.25">
      <c r="A7884" s="14">
        <v>992540</v>
      </c>
      <c r="B7884" s="14" t="s">
        <v>7996</v>
      </c>
      <c r="C7884" s="14" t="s">
        <v>13029</v>
      </c>
      <c r="D7884" s="15">
        <v>2.56</v>
      </c>
      <c r="E7884" s="14" t="s">
        <v>30</v>
      </c>
    </row>
    <row r="7885" spans="1:5" x14ac:dyDescent="0.25">
      <c r="A7885" s="14">
        <v>992541</v>
      </c>
      <c r="B7885" s="14" t="s">
        <v>7997</v>
      </c>
      <c r="C7885" s="14" t="s">
        <v>13029</v>
      </c>
      <c r="D7885" s="15">
        <v>2.56</v>
      </c>
      <c r="E7885" s="16" t="s">
        <v>30</v>
      </c>
    </row>
    <row r="7886" spans="1:5" x14ac:dyDescent="0.25">
      <c r="A7886" s="14">
        <v>992544</v>
      </c>
      <c r="B7886" s="14" t="s">
        <v>7998</v>
      </c>
      <c r="C7886" s="14" t="s">
        <v>13029</v>
      </c>
      <c r="D7886" s="15">
        <v>15.9</v>
      </c>
      <c r="E7886" s="16" t="s">
        <v>30</v>
      </c>
    </row>
    <row r="7887" spans="1:5" x14ac:dyDescent="0.25">
      <c r="A7887" s="14">
        <v>992545</v>
      </c>
      <c r="B7887" s="14" t="s">
        <v>7999</v>
      </c>
      <c r="C7887" s="14" t="s">
        <v>13029</v>
      </c>
      <c r="D7887" s="15">
        <v>29.94</v>
      </c>
      <c r="E7887" s="16" t="s">
        <v>30</v>
      </c>
    </row>
    <row r="7888" spans="1:5" x14ac:dyDescent="0.25">
      <c r="A7888" s="14">
        <v>992547</v>
      </c>
      <c r="B7888" s="14" t="s">
        <v>8000</v>
      </c>
      <c r="C7888" s="14" t="s">
        <v>13029</v>
      </c>
      <c r="D7888" s="15">
        <v>10.14</v>
      </c>
      <c r="E7888" s="16" t="s">
        <v>30</v>
      </c>
    </row>
    <row r="7889" spans="1:5" x14ac:dyDescent="0.25">
      <c r="A7889" s="14">
        <v>992548</v>
      </c>
      <c r="B7889" s="14" t="s">
        <v>8001</v>
      </c>
      <c r="C7889" s="14" t="s">
        <v>13029</v>
      </c>
      <c r="D7889" s="15">
        <v>10.14</v>
      </c>
      <c r="E7889" s="16" t="s">
        <v>30</v>
      </c>
    </row>
    <row r="7890" spans="1:5" x14ac:dyDescent="0.25">
      <c r="A7890" s="14">
        <v>992549</v>
      </c>
      <c r="B7890" s="14" t="s">
        <v>8002</v>
      </c>
      <c r="C7890" s="14" t="s">
        <v>13029</v>
      </c>
      <c r="D7890" s="15">
        <v>10.56</v>
      </c>
      <c r="E7890" s="16" t="s">
        <v>30</v>
      </c>
    </row>
    <row r="7891" spans="1:5" x14ac:dyDescent="0.25">
      <c r="A7891" s="14">
        <v>992550</v>
      </c>
      <c r="B7891" s="14" t="s">
        <v>8003</v>
      </c>
      <c r="C7891" s="14" t="s">
        <v>13029</v>
      </c>
      <c r="D7891" s="15">
        <v>6.19</v>
      </c>
      <c r="E7891" s="16" t="s">
        <v>30</v>
      </c>
    </row>
    <row r="7892" spans="1:5" x14ac:dyDescent="0.25">
      <c r="A7892" s="14">
        <v>992551</v>
      </c>
      <c r="B7892" s="14" t="s">
        <v>8004</v>
      </c>
      <c r="C7892" s="14" t="s">
        <v>13029</v>
      </c>
      <c r="D7892" s="15">
        <v>9.8800000000000008</v>
      </c>
      <c r="E7892" s="16" t="s">
        <v>30</v>
      </c>
    </row>
    <row r="7893" spans="1:5" x14ac:dyDescent="0.25">
      <c r="A7893" s="14">
        <v>992553</v>
      </c>
      <c r="B7893" s="14" t="s">
        <v>8005</v>
      </c>
      <c r="C7893" s="14" t="s">
        <v>13029</v>
      </c>
      <c r="D7893" s="15">
        <v>21</v>
      </c>
      <c r="E7893" s="16" t="s">
        <v>30</v>
      </c>
    </row>
    <row r="7894" spans="1:5" x14ac:dyDescent="0.25">
      <c r="A7894" s="14">
        <v>992554</v>
      </c>
      <c r="B7894" s="14" t="s">
        <v>8006</v>
      </c>
      <c r="C7894" s="14" t="s">
        <v>13029</v>
      </c>
      <c r="D7894" s="15">
        <v>21</v>
      </c>
      <c r="E7894" s="16" t="s">
        <v>30</v>
      </c>
    </row>
    <row r="7895" spans="1:5" x14ac:dyDescent="0.25">
      <c r="A7895" s="14">
        <v>992555</v>
      </c>
      <c r="B7895" s="14" t="s">
        <v>8007</v>
      </c>
      <c r="C7895" s="14" t="s">
        <v>13029</v>
      </c>
      <c r="D7895" s="15">
        <v>21</v>
      </c>
      <c r="E7895" s="16" t="s">
        <v>30</v>
      </c>
    </row>
    <row r="7896" spans="1:5" x14ac:dyDescent="0.25">
      <c r="A7896" s="14">
        <v>992556</v>
      </c>
      <c r="B7896" s="14" t="s">
        <v>8008</v>
      </c>
      <c r="C7896" s="14" t="s">
        <v>13029</v>
      </c>
      <c r="D7896" s="15">
        <v>21</v>
      </c>
      <c r="E7896" s="16" t="s">
        <v>30</v>
      </c>
    </row>
    <row r="7897" spans="1:5" x14ac:dyDescent="0.25">
      <c r="A7897" s="14">
        <v>992557</v>
      </c>
      <c r="B7897" s="14" t="s">
        <v>8009</v>
      </c>
      <c r="C7897" s="14" t="s">
        <v>13029</v>
      </c>
      <c r="D7897" s="15">
        <v>32.97</v>
      </c>
      <c r="E7897" s="16" t="s">
        <v>30</v>
      </c>
    </row>
    <row r="7898" spans="1:5" x14ac:dyDescent="0.25">
      <c r="A7898" s="14">
        <v>992561</v>
      </c>
      <c r="B7898" s="14" t="s">
        <v>8010</v>
      </c>
      <c r="C7898" s="14" t="s">
        <v>13029</v>
      </c>
      <c r="D7898" s="15">
        <v>11.33</v>
      </c>
      <c r="E7898" s="16" t="s">
        <v>30</v>
      </c>
    </row>
    <row r="7899" spans="1:5" x14ac:dyDescent="0.25">
      <c r="A7899" s="14">
        <v>992577</v>
      </c>
      <c r="B7899" s="14" t="s">
        <v>8011</v>
      </c>
      <c r="C7899" s="14" t="s">
        <v>13031</v>
      </c>
      <c r="D7899" s="15">
        <v>12</v>
      </c>
      <c r="E7899" s="14" t="s">
        <v>30</v>
      </c>
    </row>
    <row r="7900" spans="1:5" x14ac:dyDescent="0.25">
      <c r="A7900" s="14">
        <v>992578</v>
      </c>
      <c r="B7900" s="14" t="s">
        <v>8012</v>
      </c>
      <c r="C7900" s="14" t="s">
        <v>13031</v>
      </c>
      <c r="D7900" s="15">
        <v>8</v>
      </c>
      <c r="E7900" s="14" t="s">
        <v>30</v>
      </c>
    </row>
    <row r="7901" spans="1:5" x14ac:dyDescent="0.25">
      <c r="A7901" s="14">
        <v>992579</v>
      </c>
      <c r="B7901" s="14" t="s">
        <v>8013</v>
      </c>
      <c r="C7901" s="14" t="s">
        <v>13031</v>
      </c>
      <c r="D7901" s="15">
        <v>14</v>
      </c>
      <c r="E7901" s="14" t="s">
        <v>30</v>
      </c>
    </row>
    <row r="7902" spans="1:5" x14ac:dyDescent="0.25">
      <c r="A7902" s="14">
        <v>992580</v>
      </c>
      <c r="B7902" s="14" t="s">
        <v>8014</v>
      </c>
      <c r="C7902" s="14" t="s">
        <v>13031</v>
      </c>
      <c r="D7902" s="15">
        <v>5</v>
      </c>
      <c r="E7902" s="14" t="s">
        <v>30</v>
      </c>
    </row>
    <row r="7903" spans="1:5" x14ac:dyDescent="0.25">
      <c r="A7903" s="14">
        <v>992581</v>
      </c>
      <c r="B7903" s="14" t="s">
        <v>8015</v>
      </c>
      <c r="C7903" s="14" t="s">
        <v>13031</v>
      </c>
      <c r="D7903" s="15">
        <v>6</v>
      </c>
      <c r="E7903" s="14" t="s">
        <v>30</v>
      </c>
    </row>
    <row r="7904" spans="1:5" x14ac:dyDescent="0.25">
      <c r="A7904" s="14">
        <v>992582</v>
      </c>
      <c r="B7904" s="14" t="s">
        <v>8016</v>
      </c>
      <c r="C7904" s="14" t="s">
        <v>13031</v>
      </c>
      <c r="D7904" s="15">
        <v>7</v>
      </c>
      <c r="E7904" s="14" t="s">
        <v>30</v>
      </c>
    </row>
    <row r="7905" spans="1:5" x14ac:dyDescent="0.25">
      <c r="A7905" s="14">
        <v>992583</v>
      </c>
      <c r="B7905" s="14" t="s">
        <v>8017</v>
      </c>
      <c r="C7905" s="14" t="s">
        <v>13031</v>
      </c>
      <c r="D7905" s="15">
        <v>7</v>
      </c>
      <c r="E7905" s="14" t="s">
        <v>30</v>
      </c>
    </row>
    <row r="7906" spans="1:5" x14ac:dyDescent="0.25">
      <c r="A7906" s="14">
        <v>992599</v>
      </c>
      <c r="B7906" s="14" t="s">
        <v>8018</v>
      </c>
      <c r="C7906" s="14" t="s">
        <v>13029</v>
      </c>
      <c r="D7906" s="15">
        <v>13</v>
      </c>
      <c r="E7906" s="16" t="s">
        <v>30</v>
      </c>
    </row>
    <row r="7907" spans="1:5" x14ac:dyDescent="0.25">
      <c r="A7907" s="14">
        <v>992629</v>
      </c>
      <c r="B7907" s="14" t="s">
        <v>8019</v>
      </c>
      <c r="C7907" s="14" t="s">
        <v>13029</v>
      </c>
      <c r="D7907" s="15">
        <v>5.3</v>
      </c>
      <c r="E7907" s="16" t="s">
        <v>30</v>
      </c>
    </row>
    <row r="7908" spans="1:5" x14ac:dyDescent="0.25">
      <c r="A7908" s="14">
        <v>992630</v>
      </c>
      <c r="B7908" s="14" t="s">
        <v>8020</v>
      </c>
      <c r="C7908" s="14" t="s">
        <v>13029</v>
      </c>
      <c r="D7908" s="15">
        <v>5.3</v>
      </c>
      <c r="E7908" s="16" t="s">
        <v>30</v>
      </c>
    </row>
    <row r="7909" spans="1:5" x14ac:dyDescent="0.25">
      <c r="A7909" s="14">
        <v>992631</v>
      </c>
      <c r="B7909" s="14" t="s">
        <v>8021</v>
      </c>
      <c r="C7909" s="14" t="s">
        <v>13029</v>
      </c>
      <c r="D7909" s="15">
        <v>5.3</v>
      </c>
      <c r="E7909" s="16" t="s">
        <v>30</v>
      </c>
    </row>
    <row r="7910" spans="1:5" x14ac:dyDescent="0.25">
      <c r="A7910" s="14">
        <v>992632</v>
      </c>
      <c r="B7910" s="14" t="s">
        <v>8022</v>
      </c>
      <c r="C7910" s="14" t="s">
        <v>13029</v>
      </c>
      <c r="D7910" s="15">
        <v>5.3</v>
      </c>
      <c r="E7910" s="16" t="s">
        <v>30</v>
      </c>
    </row>
    <row r="7911" spans="1:5" x14ac:dyDescent="0.25">
      <c r="A7911" s="14">
        <v>992633</v>
      </c>
      <c r="B7911" s="14" t="s">
        <v>8023</v>
      </c>
      <c r="C7911" s="14" t="s">
        <v>13029</v>
      </c>
      <c r="D7911" s="15">
        <v>5.3</v>
      </c>
      <c r="E7911" s="16" t="s">
        <v>30</v>
      </c>
    </row>
    <row r="7912" spans="1:5" x14ac:dyDescent="0.25">
      <c r="A7912" s="14">
        <v>992634</v>
      </c>
      <c r="B7912" s="14" t="s">
        <v>8024</v>
      </c>
      <c r="C7912" s="14" t="s">
        <v>13029</v>
      </c>
      <c r="D7912" s="15">
        <v>5.3</v>
      </c>
      <c r="E7912" s="16" t="s">
        <v>30</v>
      </c>
    </row>
    <row r="7913" spans="1:5" x14ac:dyDescent="0.25">
      <c r="A7913" s="14">
        <v>992635</v>
      </c>
      <c r="B7913" s="14" t="s">
        <v>8025</v>
      </c>
      <c r="C7913" s="14" t="s">
        <v>13029</v>
      </c>
      <c r="D7913" s="15">
        <v>5.3</v>
      </c>
      <c r="E7913" s="16" t="s">
        <v>30</v>
      </c>
    </row>
    <row r="7914" spans="1:5" x14ac:dyDescent="0.25">
      <c r="A7914" s="14">
        <v>992636</v>
      </c>
      <c r="B7914" s="14" t="s">
        <v>8026</v>
      </c>
      <c r="C7914" s="14" t="s">
        <v>13029</v>
      </c>
      <c r="D7914" s="15">
        <v>5.3</v>
      </c>
      <c r="E7914" s="16" t="s">
        <v>30</v>
      </c>
    </row>
    <row r="7915" spans="1:5" x14ac:dyDescent="0.25">
      <c r="A7915" s="14">
        <v>992637</v>
      </c>
      <c r="B7915" s="14" t="s">
        <v>8027</v>
      </c>
      <c r="C7915" s="14" t="s">
        <v>13029</v>
      </c>
      <c r="D7915" s="15">
        <v>5.3</v>
      </c>
      <c r="E7915" s="16" t="s">
        <v>30</v>
      </c>
    </row>
    <row r="7916" spans="1:5" x14ac:dyDescent="0.25">
      <c r="A7916" s="14">
        <v>992638</v>
      </c>
      <c r="B7916" s="14" t="s">
        <v>8028</v>
      </c>
      <c r="C7916" s="14" t="s">
        <v>13029</v>
      </c>
      <c r="D7916" s="15">
        <v>5.3</v>
      </c>
      <c r="E7916" s="16" t="s">
        <v>30</v>
      </c>
    </row>
    <row r="7917" spans="1:5" x14ac:dyDescent="0.25">
      <c r="A7917" s="14">
        <v>992639</v>
      </c>
      <c r="B7917" s="14" t="s">
        <v>8029</v>
      </c>
      <c r="C7917" s="14" t="s">
        <v>13029</v>
      </c>
      <c r="D7917" s="15">
        <v>11.64</v>
      </c>
      <c r="E7917" s="16" t="s">
        <v>30</v>
      </c>
    </row>
    <row r="7918" spans="1:5" x14ac:dyDescent="0.25">
      <c r="A7918" s="14">
        <v>992640</v>
      </c>
      <c r="B7918" s="14" t="s">
        <v>8030</v>
      </c>
      <c r="C7918" s="14" t="s">
        <v>13029</v>
      </c>
      <c r="D7918" s="15">
        <v>12.66</v>
      </c>
      <c r="E7918" s="16" t="s">
        <v>30</v>
      </c>
    </row>
    <row r="7919" spans="1:5" x14ac:dyDescent="0.25">
      <c r="A7919" s="14">
        <v>992641</v>
      </c>
      <c r="B7919" s="14" t="s">
        <v>8031</v>
      </c>
      <c r="C7919" s="14" t="s">
        <v>13029</v>
      </c>
      <c r="D7919" s="15">
        <v>13.68</v>
      </c>
      <c r="E7919" s="16" t="s">
        <v>30</v>
      </c>
    </row>
    <row r="7920" spans="1:5" x14ac:dyDescent="0.25">
      <c r="A7920" s="14">
        <v>992675</v>
      </c>
      <c r="B7920" s="14" t="s">
        <v>8032</v>
      </c>
      <c r="C7920" s="14" t="s">
        <v>13029</v>
      </c>
      <c r="D7920" s="15">
        <v>13.58</v>
      </c>
      <c r="E7920" s="16" t="s">
        <v>30</v>
      </c>
    </row>
    <row r="7921" spans="1:5" x14ac:dyDescent="0.25">
      <c r="A7921" s="14">
        <v>992676</v>
      </c>
      <c r="B7921" s="14" t="s">
        <v>8033</v>
      </c>
      <c r="C7921" s="14" t="s">
        <v>13029</v>
      </c>
      <c r="D7921" s="15">
        <v>15.96</v>
      </c>
      <c r="E7921" s="16" t="s">
        <v>30</v>
      </c>
    </row>
    <row r="7922" spans="1:5" x14ac:dyDescent="0.25">
      <c r="A7922" s="14">
        <v>992677</v>
      </c>
      <c r="B7922" s="14" t="s">
        <v>8034</v>
      </c>
      <c r="C7922" s="14" t="s">
        <v>13029</v>
      </c>
      <c r="D7922" s="15">
        <v>20.7</v>
      </c>
      <c r="E7922" s="16" t="s">
        <v>30</v>
      </c>
    </row>
    <row r="7923" spans="1:5" x14ac:dyDescent="0.25">
      <c r="A7923" s="14">
        <v>992678</v>
      </c>
      <c r="B7923" s="14" t="s">
        <v>8035</v>
      </c>
      <c r="C7923" s="14" t="s">
        <v>13029</v>
      </c>
      <c r="D7923" s="15">
        <v>15.96</v>
      </c>
      <c r="E7923" s="16" t="s">
        <v>30</v>
      </c>
    </row>
    <row r="7924" spans="1:5" x14ac:dyDescent="0.25">
      <c r="A7924" s="14">
        <v>992679</v>
      </c>
      <c r="B7924" s="14" t="s">
        <v>8036</v>
      </c>
      <c r="C7924" s="14" t="s">
        <v>13029</v>
      </c>
      <c r="D7924" s="15">
        <v>15.96</v>
      </c>
      <c r="E7924" s="16" t="s">
        <v>30</v>
      </c>
    </row>
    <row r="7925" spans="1:5" x14ac:dyDescent="0.25">
      <c r="A7925" s="14">
        <v>992680</v>
      </c>
      <c r="B7925" s="14" t="s">
        <v>8037</v>
      </c>
      <c r="C7925" s="14" t="s">
        <v>13029</v>
      </c>
      <c r="D7925" s="15">
        <v>15.96</v>
      </c>
      <c r="E7925" s="16" t="s">
        <v>30</v>
      </c>
    </row>
    <row r="7926" spans="1:5" x14ac:dyDescent="0.25">
      <c r="A7926" s="14">
        <v>992681</v>
      </c>
      <c r="B7926" s="14" t="s">
        <v>8038</v>
      </c>
      <c r="C7926" s="14" t="s">
        <v>13029</v>
      </c>
      <c r="D7926" s="15">
        <v>38.47</v>
      </c>
      <c r="E7926" s="16" t="s">
        <v>30</v>
      </c>
    </row>
    <row r="7927" spans="1:5" x14ac:dyDescent="0.25">
      <c r="A7927" s="14">
        <v>992682</v>
      </c>
      <c r="B7927" s="14" t="s">
        <v>8039</v>
      </c>
      <c r="C7927" s="14" t="s">
        <v>13029</v>
      </c>
      <c r="D7927" s="15">
        <v>12.31</v>
      </c>
      <c r="E7927" s="16" t="s">
        <v>30</v>
      </c>
    </row>
    <row r="7928" spans="1:5" x14ac:dyDescent="0.25">
      <c r="A7928" s="14">
        <v>992687</v>
      </c>
      <c r="B7928" s="14" t="s">
        <v>8040</v>
      </c>
      <c r="C7928" s="14" t="s">
        <v>13031</v>
      </c>
      <c r="D7928" s="15">
        <v>2.91</v>
      </c>
      <c r="E7928" s="16" t="s">
        <v>30</v>
      </c>
    </row>
    <row r="7929" spans="1:5" x14ac:dyDescent="0.25">
      <c r="A7929" s="14">
        <v>992693</v>
      </c>
      <c r="B7929" s="14" t="s">
        <v>8041</v>
      </c>
      <c r="C7929" s="14" t="s">
        <v>13031</v>
      </c>
      <c r="D7929" s="15">
        <v>5.33</v>
      </c>
      <c r="E7929" s="16" t="s">
        <v>30</v>
      </c>
    </row>
    <row r="7930" spans="1:5" x14ac:dyDescent="0.25">
      <c r="A7930" s="14">
        <v>992694</v>
      </c>
      <c r="B7930" s="14" t="s">
        <v>8042</v>
      </c>
      <c r="C7930" s="14" t="s">
        <v>13031</v>
      </c>
      <c r="D7930" s="15">
        <v>7.65</v>
      </c>
      <c r="E7930" s="16" t="s">
        <v>30</v>
      </c>
    </row>
    <row r="7931" spans="1:5" x14ac:dyDescent="0.25">
      <c r="A7931" s="14">
        <v>993021</v>
      </c>
      <c r="B7931" s="14" t="s">
        <v>8043</v>
      </c>
      <c r="C7931" s="14" t="s">
        <v>13029</v>
      </c>
      <c r="D7931" s="15">
        <v>11.12</v>
      </c>
      <c r="E7931" s="16" t="s">
        <v>30</v>
      </c>
    </row>
    <row r="7932" spans="1:5" x14ac:dyDescent="0.25">
      <c r="A7932" s="14">
        <v>993022</v>
      </c>
      <c r="B7932" s="14" t="s">
        <v>8044</v>
      </c>
      <c r="C7932" s="14" t="s">
        <v>13029</v>
      </c>
      <c r="D7932" s="15">
        <v>11.12</v>
      </c>
      <c r="E7932" s="16" t="s">
        <v>30</v>
      </c>
    </row>
    <row r="7933" spans="1:5" x14ac:dyDescent="0.25">
      <c r="A7933" s="14">
        <v>993059</v>
      </c>
      <c r="B7933" s="14" t="s">
        <v>8045</v>
      </c>
      <c r="C7933" s="14" t="s">
        <v>13029</v>
      </c>
      <c r="D7933" s="15">
        <v>2.25</v>
      </c>
      <c r="E7933" s="16" t="s">
        <v>30</v>
      </c>
    </row>
    <row r="7934" spans="1:5" x14ac:dyDescent="0.25">
      <c r="A7934" s="14">
        <v>993060</v>
      </c>
      <c r="B7934" s="14" t="s">
        <v>8046</v>
      </c>
      <c r="C7934" s="14" t="s">
        <v>13029</v>
      </c>
      <c r="D7934" s="15">
        <v>4.1399999999999997</v>
      </c>
      <c r="E7934" s="16" t="s">
        <v>30</v>
      </c>
    </row>
    <row r="7935" spans="1:5" x14ac:dyDescent="0.25">
      <c r="A7935" s="14">
        <v>993131</v>
      </c>
      <c r="B7935" s="14" t="s">
        <v>8047</v>
      </c>
      <c r="C7935" s="14" t="s">
        <v>13031</v>
      </c>
      <c r="D7935" s="15">
        <v>2.5299999999999998</v>
      </c>
      <c r="E7935" s="14" t="s">
        <v>30</v>
      </c>
    </row>
    <row r="7936" spans="1:5" x14ac:dyDescent="0.25">
      <c r="A7936" s="14">
        <v>993132</v>
      </c>
      <c r="B7936" s="14" t="s">
        <v>8048</v>
      </c>
      <c r="C7936" s="14" t="s">
        <v>13031</v>
      </c>
      <c r="D7936" s="15">
        <v>4.74</v>
      </c>
      <c r="E7936" s="16" t="s">
        <v>30</v>
      </c>
    </row>
    <row r="7937" spans="1:5" x14ac:dyDescent="0.25">
      <c r="A7937" s="14">
        <v>993133</v>
      </c>
      <c r="B7937" s="14" t="s">
        <v>8049</v>
      </c>
      <c r="C7937" s="14" t="s">
        <v>13031</v>
      </c>
      <c r="D7937" s="15">
        <v>15.26</v>
      </c>
      <c r="E7937" s="16" t="s">
        <v>30</v>
      </c>
    </row>
    <row r="7938" spans="1:5" x14ac:dyDescent="0.25">
      <c r="A7938" s="14">
        <v>993134</v>
      </c>
      <c r="B7938" s="14" t="s">
        <v>8050</v>
      </c>
      <c r="C7938" s="14" t="s">
        <v>13031</v>
      </c>
      <c r="D7938" s="15">
        <v>23.04</v>
      </c>
      <c r="E7938" s="16" t="s">
        <v>30</v>
      </c>
    </row>
    <row r="7939" spans="1:5" x14ac:dyDescent="0.25">
      <c r="A7939" s="14">
        <v>993135</v>
      </c>
      <c r="B7939" s="14" t="s">
        <v>8051</v>
      </c>
      <c r="C7939" s="14" t="s">
        <v>13029</v>
      </c>
      <c r="D7939" s="15">
        <v>26.01</v>
      </c>
      <c r="E7939" s="16" t="s">
        <v>30</v>
      </c>
    </row>
    <row r="7940" spans="1:5" x14ac:dyDescent="0.25">
      <c r="A7940" s="14">
        <v>993137</v>
      </c>
      <c r="B7940" s="14" t="s">
        <v>8052</v>
      </c>
      <c r="C7940" s="14" t="s">
        <v>13029</v>
      </c>
      <c r="D7940" s="15">
        <v>22.32</v>
      </c>
      <c r="E7940" s="16" t="s">
        <v>30</v>
      </c>
    </row>
    <row r="7941" spans="1:5" x14ac:dyDescent="0.25">
      <c r="A7941" s="14">
        <v>993138</v>
      </c>
      <c r="B7941" s="14" t="s">
        <v>8053</v>
      </c>
      <c r="C7941" s="14" t="s">
        <v>13029</v>
      </c>
      <c r="D7941" s="15">
        <v>22.32</v>
      </c>
      <c r="E7941" s="16" t="s">
        <v>30</v>
      </c>
    </row>
    <row r="7942" spans="1:5" x14ac:dyDescent="0.25">
      <c r="A7942" s="14">
        <v>993144</v>
      </c>
      <c r="B7942" s="14" t="s">
        <v>8054</v>
      </c>
      <c r="C7942" s="14" t="s">
        <v>13031</v>
      </c>
      <c r="D7942" s="15">
        <v>13.8</v>
      </c>
      <c r="E7942" s="16" t="s">
        <v>30</v>
      </c>
    </row>
    <row r="7943" spans="1:5" x14ac:dyDescent="0.25">
      <c r="A7943" s="14">
        <v>993163</v>
      </c>
      <c r="B7943" s="14" t="s">
        <v>8055</v>
      </c>
      <c r="C7943" s="14" t="s">
        <v>13030</v>
      </c>
      <c r="D7943" s="15">
        <v>79.849999999999994</v>
      </c>
      <c r="E7943" s="16" t="s">
        <v>30</v>
      </c>
    </row>
    <row r="7944" spans="1:5" x14ac:dyDescent="0.25">
      <c r="A7944" s="14">
        <v>993164</v>
      </c>
      <c r="B7944" s="14" t="s">
        <v>8056</v>
      </c>
      <c r="C7944" s="14" t="s">
        <v>13030</v>
      </c>
      <c r="D7944" s="15">
        <v>50.32</v>
      </c>
      <c r="E7944" s="16" t="s">
        <v>30</v>
      </c>
    </row>
    <row r="7945" spans="1:5" x14ac:dyDescent="0.25">
      <c r="A7945" s="14">
        <v>993191</v>
      </c>
      <c r="B7945" s="14" t="s">
        <v>8057</v>
      </c>
      <c r="C7945" s="14" t="s">
        <v>13031</v>
      </c>
      <c r="D7945" s="15">
        <v>5.6</v>
      </c>
      <c r="E7945" s="16" t="s">
        <v>30</v>
      </c>
    </row>
    <row r="7946" spans="1:5" x14ac:dyDescent="0.25">
      <c r="A7946" s="14">
        <v>993192</v>
      </c>
      <c r="B7946" s="14" t="s">
        <v>8058</v>
      </c>
      <c r="C7946" s="14" t="s">
        <v>13031</v>
      </c>
      <c r="D7946" s="15">
        <v>5.6</v>
      </c>
      <c r="E7946" s="16" t="s">
        <v>30</v>
      </c>
    </row>
    <row r="7947" spans="1:5" x14ac:dyDescent="0.25">
      <c r="A7947" s="14">
        <v>993200</v>
      </c>
      <c r="B7947" s="14" t="s">
        <v>8059</v>
      </c>
      <c r="C7947" s="14" t="s">
        <v>13031</v>
      </c>
      <c r="D7947" s="15">
        <v>7.11</v>
      </c>
      <c r="E7947" s="16" t="s">
        <v>30</v>
      </c>
    </row>
    <row r="7948" spans="1:5" x14ac:dyDescent="0.25">
      <c r="A7948" s="14">
        <v>993201</v>
      </c>
      <c r="B7948" s="14" t="s">
        <v>8060</v>
      </c>
      <c r="C7948" s="14" t="s">
        <v>13031</v>
      </c>
      <c r="D7948" s="15">
        <v>2.91</v>
      </c>
      <c r="E7948" s="16" t="s">
        <v>30</v>
      </c>
    </row>
    <row r="7949" spans="1:5" x14ac:dyDescent="0.25">
      <c r="A7949" s="14">
        <v>993202</v>
      </c>
      <c r="B7949" s="14" t="s">
        <v>8061</v>
      </c>
      <c r="C7949" s="14" t="s">
        <v>13031</v>
      </c>
      <c r="D7949" s="15">
        <v>2.91</v>
      </c>
      <c r="E7949" s="16" t="s">
        <v>30</v>
      </c>
    </row>
    <row r="7950" spans="1:5" x14ac:dyDescent="0.25">
      <c r="A7950" s="14">
        <v>993335</v>
      </c>
      <c r="B7950" s="14" t="s">
        <v>8062</v>
      </c>
      <c r="C7950" s="14" t="s">
        <v>13033</v>
      </c>
      <c r="D7950" s="15">
        <v>16.47</v>
      </c>
      <c r="E7950" s="14" t="s">
        <v>30</v>
      </c>
    </row>
    <row r="7951" spans="1:5" x14ac:dyDescent="0.25">
      <c r="A7951" s="14">
        <v>993336</v>
      </c>
      <c r="B7951" s="14" t="s">
        <v>8063</v>
      </c>
      <c r="C7951" s="14" t="s">
        <v>13033</v>
      </c>
      <c r="D7951" s="15">
        <v>8.76</v>
      </c>
      <c r="E7951" s="14" t="s">
        <v>30</v>
      </c>
    </row>
    <row r="7952" spans="1:5" x14ac:dyDescent="0.25">
      <c r="A7952" s="14">
        <v>993337</v>
      </c>
      <c r="B7952" s="14" t="s">
        <v>8064</v>
      </c>
      <c r="C7952" s="14" t="s">
        <v>13033</v>
      </c>
      <c r="D7952" s="15">
        <v>10.95</v>
      </c>
      <c r="E7952" s="14" t="s">
        <v>30</v>
      </c>
    </row>
    <row r="7953" spans="1:5" x14ac:dyDescent="0.25">
      <c r="A7953" s="14">
        <v>993338</v>
      </c>
      <c r="B7953" s="14" t="s">
        <v>8065</v>
      </c>
      <c r="C7953" s="14" t="s">
        <v>13033</v>
      </c>
      <c r="D7953" s="15">
        <v>14.6</v>
      </c>
      <c r="E7953" s="14" t="s">
        <v>30</v>
      </c>
    </row>
    <row r="7954" spans="1:5" x14ac:dyDescent="0.25">
      <c r="A7954" s="14">
        <v>993339</v>
      </c>
      <c r="B7954" s="14" t="s">
        <v>8066</v>
      </c>
      <c r="C7954" s="14" t="s">
        <v>13033</v>
      </c>
      <c r="D7954" s="15">
        <v>4.0199999999999996</v>
      </c>
      <c r="E7954" s="16" t="s">
        <v>30</v>
      </c>
    </row>
    <row r="7955" spans="1:5" x14ac:dyDescent="0.25">
      <c r="A7955" s="14">
        <v>993350</v>
      </c>
      <c r="B7955" s="14" t="s">
        <v>8067</v>
      </c>
      <c r="C7955" s="14" t="s">
        <v>13030</v>
      </c>
      <c r="D7955" s="15">
        <v>131.35</v>
      </c>
      <c r="E7955" s="16" t="s">
        <v>30</v>
      </c>
    </row>
    <row r="7956" spans="1:5" x14ac:dyDescent="0.25">
      <c r="A7956" s="14">
        <v>993354</v>
      </c>
      <c r="B7956" s="14" t="s">
        <v>8068</v>
      </c>
      <c r="C7956" s="14" t="s">
        <v>13031</v>
      </c>
      <c r="D7956" s="15">
        <v>1.1000000000000001</v>
      </c>
      <c r="E7956" s="16" t="s">
        <v>30</v>
      </c>
    </row>
    <row r="7957" spans="1:5" x14ac:dyDescent="0.25">
      <c r="A7957" s="14">
        <v>993355</v>
      </c>
      <c r="B7957" s="14" t="s">
        <v>8069</v>
      </c>
      <c r="C7957" s="14" t="s">
        <v>13031</v>
      </c>
      <c r="D7957" s="15">
        <v>1.1000000000000001</v>
      </c>
      <c r="E7957" s="16" t="s">
        <v>30</v>
      </c>
    </row>
    <row r="7958" spans="1:5" x14ac:dyDescent="0.25">
      <c r="A7958" s="14">
        <v>993413</v>
      </c>
      <c r="B7958" s="14" t="s">
        <v>8070</v>
      </c>
      <c r="C7958" s="14" t="s">
        <v>13029</v>
      </c>
      <c r="D7958" s="15">
        <v>38.26</v>
      </c>
      <c r="E7958" s="14" t="s">
        <v>30</v>
      </c>
    </row>
    <row r="7959" spans="1:5" x14ac:dyDescent="0.25">
      <c r="A7959" s="14">
        <v>993415</v>
      </c>
      <c r="B7959" s="14" t="s">
        <v>8071</v>
      </c>
      <c r="C7959" s="14" t="s">
        <v>13029</v>
      </c>
      <c r="D7959" s="15">
        <v>14.79</v>
      </c>
      <c r="E7959" s="16" t="s">
        <v>30</v>
      </c>
    </row>
    <row r="7960" spans="1:5" x14ac:dyDescent="0.25">
      <c r="A7960" s="14">
        <v>993416</v>
      </c>
      <c r="B7960" s="14" t="s">
        <v>8072</v>
      </c>
      <c r="C7960" s="14" t="s">
        <v>13029</v>
      </c>
      <c r="D7960" s="15">
        <v>14.79</v>
      </c>
      <c r="E7960" s="16" t="s">
        <v>30</v>
      </c>
    </row>
    <row r="7961" spans="1:5" x14ac:dyDescent="0.25">
      <c r="A7961" s="14">
        <v>993417</v>
      </c>
      <c r="B7961" s="14" t="s">
        <v>8073</v>
      </c>
      <c r="C7961" s="14" t="s">
        <v>13029</v>
      </c>
      <c r="D7961" s="15">
        <v>14.79</v>
      </c>
      <c r="E7961" s="16" t="s">
        <v>30</v>
      </c>
    </row>
    <row r="7962" spans="1:5" x14ac:dyDescent="0.25">
      <c r="A7962" s="14">
        <v>993610</v>
      </c>
      <c r="B7962" s="14" t="s">
        <v>8074</v>
      </c>
      <c r="C7962" s="14" t="s">
        <v>13029</v>
      </c>
      <c r="D7962" s="15">
        <v>7.77</v>
      </c>
      <c r="E7962" s="16" t="s">
        <v>30</v>
      </c>
    </row>
    <row r="7963" spans="1:5" x14ac:dyDescent="0.25">
      <c r="A7963" s="14">
        <v>993611</v>
      </c>
      <c r="B7963" s="14" t="s">
        <v>8075</v>
      </c>
      <c r="C7963" s="14" t="s">
        <v>13029</v>
      </c>
      <c r="D7963" s="15">
        <v>6.82</v>
      </c>
      <c r="E7963" s="16" t="s">
        <v>30</v>
      </c>
    </row>
    <row r="7964" spans="1:5" x14ac:dyDescent="0.25">
      <c r="A7964" s="14">
        <v>993612</v>
      </c>
      <c r="B7964" s="14" t="s">
        <v>8076</v>
      </c>
      <c r="C7964" s="14" t="s">
        <v>13029</v>
      </c>
      <c r="D7964" s="15">
        <v>13.99</v>
      </c>
      <c r="E7964" s="16" t="s">
        <v>30</v>
      </c>
    </row>
    <row r="7965" spans="1:5" x14ac:dyDescent="0.25">
      <c r="A7965" s="14">
        <v>993613</v>
      </c>
      <c r="B7965" s="14" t="s">
        <v>8077</v>
      </c>
      <c r="C7965" s="14" t="s">
        <v>13029</v>
      </c>
      <c r="D7965" s="15">
        <v>13.54</v>
      </c>
      <c r="E7965" s="16" t="s">
        <v>30</v>
      </c>
    </row>
    <row r="7966" spans="1:5" x14ac:dyDescent="0.25">
      <c r="A7966" s="14">
        <v>993714</v>
      </c>
      <c r="B7966" s="14" t="s">
        <v>8078</v>
      </c>
      <c r="C7966" s="14" t="s">
        <v>13030</v>
      </c>
      <c r="D7966" s="15">
        <v>72.14</v>
      </c>
      <c r="E7966" s="16" t="s">
        <v>30</v>
      </c>
    </row>
    <row r="7967" spans="1:5" x14ac:dyDescent="0.25">
      <c r="A7967" s="14">
        <v>993715</v>
      </c>
      <c r="B7967" s="14" t="s">
        <v>8079</v>
      </c>
      <c r="C7967" s="14" t="s">
        <v>13030</v>
      </c>
      <c r="D7967" s="15">
        <v>72.14</v>
      </c>
      <c r="E7967" s="16" t="s">
        <v>30</v>
      </c>
    </row>
    <row r="7968" spans="1:5" x14ac:dyDescent="0.25">
      <c r="A7968" s="14">
        <v>993716</v>
      </c>
      <c r="B7968" s="14" t="s">
        <v>8080</v>
      </c>
      <c r="C7968" s="14" t="s">
        <v>13030</v>
      </c>
      <c r="D7968" s="15">
        <v>72.14</v>
      </c>
      <c r="E7968" s="16" t="s">
        <v>30</v>
      </c>
    </row>
    <row r="7969" spans="1:5" x14ac:dyDescent="0.25">
      <c r="A7969" s="14">
        <v>993717</v>
      </c>
      <c r="B7969" s="14" t="s">
        <v>8081</v>
      </c>
      <c r="C7969" s="14" t="s">
        <v>13030</v>
      </c>
      <c r="D7969" s="15">
        <v>76.64</v>
      </c>
      <c r="E7969" s="16" t="s">
        <v>30</v>
      </c>
    </row>
    <row r="7970" spans="1:5" x14ac:dyDescent="0.25">
      <c r="A7970" s="14">
        <v>993718</v>
      </c>
      <c r="B7970" s="14" t="s">
        <v>8082</v>
      </c>
      <c r="C7970" s="14" t="s">
        <v>13030</v>
      </c>
      <c r="D7970" s="15">
        <v>34.79</v>
      </c>
      <c r="E7970" s="16" t="s">
        <v>30</v>
      </c>
    </row>
    <row r="7971" spans="1:5" x14ac:dyDescent="0.25">
      <c r="A7971" s="14">
        <v>993719</v>
      </c>
      <c r="B7971" s="14" t="s">
        <v>8083</v>
      </c>
      <c r="C7971" s="14" t="s">
        <v>13030</v>
      </c>
      <c r="D7971" s="15">
        <v>32.75</v>
      </c>
      <c r="E7971" s="16" t="s">
        <v>30</v>
      </c>
    </row>
    <row r="7972" spans="1:5" x14ac:dyDescent="0.25">
      <c r="A7972" s="14">
        <v>993720</v>
      </c>
      <c r="B7972" s="14" t="s">
        <v>8084</v>
      </c>
      <c r="C7972" s="14" t="s">
        <v>13030</v>
      </c>
      <c r="D7972" s="15">
        <v>63.07</v>
      </c>
      <c r="E7972" s="16" t="s">
        <v>30</v>
      </c>
    </row>
    <row r="7973" spans="1:5" x14ac:dyDescent="0.25">
      <c r="A7973" s="14">
        <v>993721</v>
      </c>
      <c r="B7973" s="14" t="s">
        <v>8085</v>
      </c>
      <c r="C7973" s="14" t="s">
        <v>13030</v>
      </c>
      <c r="D7973" s="15">
        <v>27.3</v>
      </c>
      <c r="E7973" s="16" t="s">
        <v>30</v>
      </c>
    </row>
    <row r="7974" spans="1:5" x14ac:dyDescent="0.25">
      <c r="A7974" s="14">
        <v>993722</v>
      </c>
      <c r="B7974" s="14" t="s">
        <v>8086</v>
      </c>
      <c r="C7974" s="14" t="s">
        <v>13030</v>
      </c>
      <c r="D7974" s="15">
        <v>35.950000000000003</v>
      </c>
      <c r="E7974" s="16" t="s">
        <v>30</v>
      </c>
    </row>
    <row r="7975" spans="1:5" x14ac:dyDescent="0.25">
      <c r="A7975" s="14">
        <v>993723</v>
      </c>
      <c r="B7975" s="14" t="s">
        <v>8087</v>
      </c>
      <c r="C7975" s="14" t="s">
        <v>13030</v>
      </c>
      <c r="D7975" s="15">
        <v>35.950000000000003</v>
      </c>
      <c r="E7975" s="16" t="s">
        <v>30</v>
      </c>
    </row>
    <row r="7976" spans="1:5" x14ac:dyDescent="0.25">
      <c r="A7976" s="14">
        <v>993724</v>
      </c>
      <c r="B7976" s="14" t="s">
        <v>8088</v>
      </c>
      <c r="C7976" s="14" t="s">
        <v>13030</v>
      </c>
      <c r="D7976" s="15">
        <v>52.05</v>
      </c>
      <c r="E7976" s="16" t="s">
        <v>30</v>
      </c>
    </row>
    <row r="7977" spans="1:5" x14ac:dyDescent="0.25">
      <c r="A7977" s="14">
        <v>993869</v>
      </c>
      <c r="B7977" s="14" t="s">
        <v>8089</v>
      </c>
      <c r="C7977" s="14" t="s">
        <v>13029</v>
      </c>
      <c r="D7977" s="15">
        <v>26.04</v>
      </c>
      <c r="E7977" s="14" t="s">
        <v>30</v>
      </c>
    </row>
    <row r="7978" spans="1:5" x14ac:dyDescent="0.25">
      <c r="A7978" s="14">
        <v>995088</v>
      </c>
      <c r="B7978" s="14" t="s">
        <v>8090</v>
      </c>
      <c r="C7978" s="14" t="s">
        <v>13029</v>
      </c>
      <c r="D7978" s="15">
        <v>9.51</v>
      </c>
      <c r="E7978" s="16" t="s">
        <v>30</v>
      </c>
    </row>
    <row r="7979" spans="1:5" x14ac:dyDescent="0.25">
      <c r="A7979" s="14">
        <v>995089</v>
      </c>
      <c r="B7979" s="14" t="s">
        <v>8091</v>
      </c>
      <c r="C7979" s="14" t="s">
        <v>13029</v>
      </c>
      <c r="D7979" s="15">
        <v>9.51</v>
      </c>
      <c r="E7979" s="16" t="s">
        <v>30</v>
      </c>
    </row>
    <row r="7980" spans="1:5" x14ac:dyDescent="0.25">
      <c r="A7980" s="14">
        <v>995274</v>
      </c>
      <c r="B7980" s="14" t="s">
        <v>8092</v>
      </c>
      <c r="C7980" s="14" t="s">
        <v>13031</v>
      </c>
      <c r="D7980" s="15">
        <v>2.73</v>
      </c>
      <c r="E7980" s="16" t="s">
        <v>30</v>
      </c>
    </row>
    <row r="7981" spans="1:5" x14ac:dyDescent="0.25">
      <c r="A7981" s="14">
        <v>995275</v>
      </c>
      <c r="B7981" s="14" t="s">
        <v>8093</v>
      </c>
      <c r="C7981" s="14" t="s">
        <v>13031</v>
      </c>
      <c r="D7981" s="15">
        <v>2.73</v>
      </c>
      <c r="E7981" s="16" t="s">
        <v>30</v>
      </c>
    </row>
    <row r="7982" spans="1:5" x14ac:dyDescent="0.25">
      <c r="A7982" s="14">
        <v>995276</v>
      </c>
      <c r="B7982" s="14" t="s">
        <v>8094</v>
      </c>
      <c r="C7982" s="14" t="s">
        <v>13031</v>
      </c>
      <c r="D7982" s="15">
        <v>2.73</v>
      </c>
      <c r="E7982" s="16" t="s">
        <v>30</v>
      </c>
    </row>
    <row r="7983" spans="1:5" x14ac:dyDescent="0.25">
      <c r="A7983" s="14">
        <v>995277</v>
      </c>
      <c r="B7983" s="14" t="s">
        <v>8095</v>
      </c>
      <c r="C7983" s="14" t="s">
        <v>13031</v>
      </c>
      <c r="D7983" s="15">
        <v>5.64</v>
      </c>
      <c r="E7983" s="16" t="s">
        <v>30</v>
      </c>
    </row>
    <row r="7984" spans="1:5" x14ac:dyDescent="0.25">
      <c r="A7984" s="14">
        <v>995278</v>
      </c>
      <c r="B7984" s="14" t="s">
        <v>8096</v>
      </c>
      <c r="C7984" s="14" t="s">
        <v>13031</v>
      </c>
      <c r="D7984" s="15">
        <v>3.68</v>
      </c>
      <c r="E7984" s="16" t="s">
        <v>30</v>
      </c>
    </row>
    <row r="7985" spans="1:5" x14ac:dyDescent="0.25">
      <c r="A7985" s="14">
        <v>995279</v>
      </c>
      <c r="B7985" s="14" t="s">
        <v>8097</v>
      </c>
      <c r="C7985" s="14" t="s">
        <v>13031</v>
      </c>
      <c r="D7985" s="15">
        <v>3.68</v>
      </c>
      <c r="E7985" s="16" t="s">
        <v>30</v>
      </c>
    </row>
    <row r="7986" spans="1:5" x14ac:dyDescent="0.25">
      <c r="A7986" s="14">
        <v>995280</v>
      </c>
      <c r="B7986" s="14" t="s">
        <v>8098</v>
      </c>
      <c r="C7986" s="14" t="s">
        <v>13031</v>
      </c>
      <c r="D7986" s="15">
        <v>1.78</v>
      </c>
      <c r="E7986" s="16" t="s">
        <v>30</v>
      </c>
    </row>
    <row r="7987" spans="1:5" x14ac:dyDescent="0.25">
      <c r="A7987" s="14">
        <v>995284</v>
      </c>
      <c r="B7987" s="14" t="s">
        <v>8099</v>
      </c>
      <c r="C7987" s="14" t="s">
        <v>13030</v>
      </c>
      <c r="D7987" s="15">
        <v>8.67</v>
      </c>
      <c r="E7987" s="14" t="s">
        <v>30</v>
      </c>
    </row>
    <row r="7988" spans="1:5" x14ac:dyDescent="0.25">
      <c r="A7988" s="14">
        <v>995285</v>
      </c>
      <c r="B7988" s="14" t="s">
        <v>8100</v>
      </c>
      <c r="C7988" s="14" t="s">
        <v>13030</v>
      </c>
      <c r="D7988" s="15">
        <v>9.73</v>
      </c>
      <c r="E7988" s="16" t="s">
        <v>30</v>
      </c>
    </row>
    <row r="7989" spans="1:5" x14ac:dyDescent="0.25">
      <c r="A7989" s="14">
        <v>995286</v>
      </c>
      <c r="B7989" s="14" t="s">
        <v>8101</v>
      </c>
      <c r="C7989" s="14" t="s">
        <v>13030</v>
      </c>
      <c r="D7989" s="15">
        <v>9.73</v>
      </c>
      <c r="E7989" s="14" t="s">
        <v>30</v>
      </c>
    </row>
    <row r="7990" spans="1:5" x14ac:dyDescent="0.25">
      <c r="A7990" s="14">
        <v>995287</v>
      </c>
      <c r="B7990" s="14" t="s">
        <v>8102</v>
      </c>
      <c r="C7990" s="14" t="s">
        <v>13031</v>
      </c>
      <c r="D7990" s="15">
        <v>25.3</v>
      </c>
      <c r="E7990" s="16" t="s">
        <v>30</v>
      </c>
    </row>
    <row r="7991" spans="1:5" x14ac:dyDescent="0.25">
      <c r="A7991" s="14">
        <v>995288</v>
      </c>
      <c r="B7991" s="14" t="s">
        <v>8103</v>
      </c>
      <c r="C7991" s="14" t="s">
        <v>13031</v>
      </c>
      <c r="D7991" s="15">
        <v>29.8</v>
      </c>
      <c r="E7991" s="14" t="s">
        <v>30</v>
      </c>
    </row>
    <row r="7992" spans="1:5" x14ac:dyDescent="0.25">
      <c r="A7992" s="14">
        <v>995289</v>
      </c>
      <c r="B7992" s="14" t="s">
        <v>8104</v>
      </c>
      <c r="C7992" s="14" t="s">
        <v>13031</v>
      </c>
      <c r="D7992" s="15">
        <v>29.8</v>
      </c>
      <c r="E7992" s="14" t="s">
        <v>30</v>
      </c>
    </row>
    <row r="7993" spans="1:5" x14ac:dyDescent="0.25">
      <c r="A7993" s="14">
        <v>995300</v>
      </c>
      <c r="B7993" s="14" t="s">
        <v>8105</v>
      </c>
      <c r="C7993" s="14" t="s">
        <v>13030</v>
      </c>
      <c r="D7993" s="15">
        <v>34.67</v>
      </c>
      <c r="E7993" s="16" t="s">
        <v>30</v>
      </c>
    </row>
    <row r="7994" spans="1:5" x14ac:dyDescent="0.25">
      <c r="A7994" s="14">
        <v>995301</v>
      </c>
      <c r="B7994" s="14" t="s">
        <v>8106</v>
      </c>
      <c r="C7994" s="14" t="s">
        <v>13030</v>
      </c>
      <c r="D7994" s="15">
        <v>34.67</v>
      </c>
      <c r="E7994" s="16" t="s">
        <v>30</v>
      </c>
    </row>
    <row r="7995" spans="1:5" x14ac:dyDescent="0.25">
      <c r="A7995" s="14">
        <v>995302</v>
      </c>
      <c r="B7995" s="14" t="s">
        <v>8107</v>
      </c>
      <c r="C7995" s="14" t="s">
        <v>13030</v>
      </c>
      <c r="D7995" s="15">
        <v>34.67</v>
      </c>
      <c r="E7995" s="16" t="s">
        <v>30</v>
      </c>
    </row>
    <row r="7996" spans="1:5" x14ac:dyDescent="0.25">
      <c r="A7996" s="14">
        <v>995312</v>
      </c>
      <c r="B7996" s="14" t="s">
        <v>8108</v>
      </c>
      <c r="C7996" s="14" t="s">
        <v>13029</v>
      </c>
      <c r="D7996" s="15">
        <v>46.25</v>
      </c>
      <c r="E7996" s="16" t="s">
        <v>30</v>
      </c>
    </row>
    <row r="7997" spans="1:5" x14ac:dyDescent="0.25">
      <c r="A7997" s="14">
        <v>995401</v>
      </c>
      <c r="B7997" s="14" t="s">
        <v>8109</v>
      </c>
      <c r="C7997" s="14" t="s">
        <v>13031</v>
      </c>
      <c r="D7997" s="15">
        <v>16.53</v>
      </c>
      <c r="E7997" s="16" t="s">
        <v>30</v>
      </c>
    </row>
    <row r="7998" spans="1:5" x14ac:dyDescent="0.25">
      <c r="A7998" s="14">
        <v>995402</v>
      </c>
      <c r="B7998" s="14" t="s">
        <v>8110</v>
      </c>
      <c r="C7998" s="14" t="s">
        <v>13031</v>
      </c>
      <c r="D7998" s="15">
        <v>9.75</v>
      </c>
      <c r="E7998" s="16" t="s">
        <v>30</v>
      </c>
    </row>
    <row r="7999" spans="1:5" x14ac:dyDescent="0.25">
      <c r="A7999" s="14">
        <v>996072</v>
      </c>
      <c r="B7999" s="14" t="s">
        <v>8111</v>
      </c>
      <c r="C7999" s="14" t="s">
        <v>13031</v>
      </c>
      <c r="D7999" s="15">
        <v>27</v>
      </c>
      <c r="E7999" s="16" t="s">
        <v>30</v>
      </c>
    </row>
    <row r="8000" spans="1:5" x14ac:dyDescent="0.25">
      <c r="A8000" s="14">
        <v>996073</v>
      </c>
      <c r="B8000" s="14" t="s">
        <v>8112</v>
      </c>
      <c r="C8000" s="14" t="s">
        <v>13031</v>
      </c>
      <c r="D8000" s="15">
        <v>38.22</v>
      </c>
      <c r="E8000" s="16" t="s">
        <v>30</v>
      </c>
    </row>
    <row r="8001" spans="1:5" x14ac:dyDescent="0.25">
      <c r="A8001" s="14">
        <v>987091</v>
      </c>
      <c r="B8001" s="14" t="s">
        <v>8113</v>
      </c>
      <c r="C8001" s="14" t="s">
        <v>13030</v>
      </c>
      <c r="D8001" s="15">
        <v>44.49</v>
      </c>
      <c r="E8001" s="16" t="s">
        <v>20</v>
      </c>
    </row>
    <row r="8002" spans="1:5" x14ac:dyDescent="0.25">
      <c r="A8002" s="14">
        <v>987092</v>
      </c>
      <c r="B8002" s="14" t="s">
        <v>8114</v>
      </c>
      <c r="C8002" s="14" t="s">
        <v>13030</v>
      </c>
      <c r="D8002" s="15">
        <v>55.65</v>
      </c>
      <c r="E8002" s="16" t="s">
        <v>20</v>
      </c>
    </row>
    <row r="8003" spans="1:5" x14ac:dyDescent="0.25">
      <c r="A8003" s="14">
        <v>976035</v>
      </c>
      <c r="B8003" s="14" t="s">
        <v>8115</v>
      </c>
      <c r="C8003" s="14" t="s">
        <v>13031</v>
      </c>
      <c r="D8003" s="15">
        <v>49.96</v>
      </c>
      <c r="E8003" s="16" t="s">
        <v>20</v>
      </c>
    </row>
    <row r="8004" spans="1:5" x14ac:dyDescent="0.25">
      <c r="A8004" s="14">
        <v>996074</v>
      </c>
      <c r="B8004" s="14" t="s">
        <v>8116</v>
      </c>
      <c r="C8004" s="14" t="s">
        <v>13031</v>
      </c>
      <c r="D8004" s="15">
        <v>13.83</v>
      </c>
      <c r="E8004" s="16" t="s">
        <v>30</v>
      </c>
    </row>
    <row r="8005" spans="1:5" x14ac:dyDescent="0.25">
      <c r="A8005" s="14">
        <v>996075</v>
      </c>
      <c r="B8005" s="14" t="s">
        <v>8117</v>
      </c>
      <c r="C8005" s="14" t="s">
        <v>13031</v>
      </c>
      <c r="D8005" s="15">
        <v>13.83</v>
      </c>
      <c r="E8005" s="16" t="s">
        <v>30</v>
      </c>
    </row>
    <row r="8006" spans="1:5" x14ac:dyDescent="0.25">
      <c r="A8006" s="14">
        <v>996076</v>
      </c>
      <c r="B8006" s="14" t="s">
        <v>8118</v>
      </c>
      <c r="C8006" s="14" t="s">
        <v>13031</v>
      </c>
      <c r="D8006" s="15">
        <v>21.44</v>
      </c>
      <c r="E8006" s="16" t="s">
        <v>30</v>
      </c>
    </row>
    <row r="8007" spans="1:5" x14ac:dyDescent="0.25">
      <c r="A8007" s="14">
        <v>996078</v>
      </c>
      <c r="B8007" s="14" t="s">
        <v>8119</v>
      </c>
      <c r="C8007" s="14" t="s">
        <v>13031</v>
      </c>
      <c r="D8007" s="15">
        <v>62.54</v>
      </c>
      <c r="E8007" s="16" t="s">
        <v>30</v>
      </c>
    </row>
    <row r="8008" spans="1:5" x14ac:dyDescent="0.25">
      <c r="A8008" s="14">
        <v>996084</v>
      </c>
      <c r="B8008" s="14" t="s">
        <v>8120</v>
      </c>
      <c r="C8008" s="14" t="s">
        <v>13031</v>
      </c>
      <c r="D8008" s="15">
        <v>16.2</v>
      </c>
      <c r="E8008" s="16" t="s">
        <v>30</v>
      </c>
    </row>
    <row r="8009" spans="1:5" x14ac:dyDescent="0.25">
      <c r="A8009" s="14">
        <v>996085</v>
      </c>
      <c r="B8009" s="14" t="s">
        <v>8121</v>
      </c>
      <c r="C8009" s="14" t="s">
        <v>13031</v>
      </c>
      <c r="D8009" s="15">
        <v>15.45</v>
      </c>
      <c r="E8009" s="16" t="s">
        <v>30</v>
      </c>
    </row>
    <row r="8010" spans="1:5" x14ac:dyDescent="0.25">
      <c r="A8010" s="14">
        <v>996086</v>
      </c>
      <c r="B8010" s="14" t="s">
        <v>8122</v>
      </c>
      <c r="C8010" s="14" t="s">
        <v>13031</v>
      </c>
      <c r="D8010" s="15">
        <v>18</v>
      </c>
      <c r="E8010" s="16" t="s">
        <v>30</v>
      </c>
    </row>
    <row r="8011" spans="1:5" x14ac:dyDescent="0.25">
      <c r="A8011" s="14">
        <v>996087</v>
      </c>
      <c r="B8011" s="14" t="s">
        <v>8123</v>
      </c>
      <c r="C8011" s="14" t="s">
        <v>13031</v>
      </c>
      <c r="D8011" s="15">
        <v>6.68</v>
      </c>
      <c r="E8011" s="16" t="s">
        <v>30</v>
      </c>
    </row>
    <row r="8012" spans="1:5" x14ac:dyDescent="0.25">
      <c r="A8012" s="14">
        <v>996093</v>
      </c>
      <c r="B8012" s="14" t="s">
        <v>8124</v>
      </c>
      <c r="C8012" s="14" t="s">
        <v>13029</v>
      </c>
      <c r="D8012" s="15">
        <v>46.86</v>
      </c>
      <c r="E8012" s="16" t="s">
        <v>30</v>
      </c>
    </row>
    <row r="8013" spans="1:5" x14ac:dyDescent="0.25">
      <c r="A8013" s="14">
        <v>996094</v>
      </c>
      <c r="B8013" s="14" t="s">
        <v>8125</v>
      </c>
      <c r="C8013" s="14" t="s">
        <v>13029</v>
      </c>
      <c r="D8013" s="15">
        <v>46.86</v>
      </c>
      <c r="E8013" s="16" t="s">
        <v>30</v>
      </c>
    </row>
    <row r="8014" spans="1:5" x14ac:dyDescent="0.25">
      <c r="A8014" s="14">
        <v>996095</v>
      </c>
      <c r="B8014" s="14" t="s">
        <v>8126</v>
      </c>
      <c r="C8014" s="14" t="s">
        <v>13029</v>
      </c>
      <c r="D8014" s="15">
        <v>46.86</v>
      </c>
      <c r="E8014" s="16" t="s">
        <v>30</v>
      </c>
    </row>
    <row r="8015" spans="1:5" x14ac:dyDescent="0.25">
      <c r="A8015" s="14">
        <v>996233</v>
      </c>
      <c r="B8015" s="14" t="s">
        <v>8127</v>
      </c>
      <c r="C8015" s="14" t="s">
        <v>13031</v>
      </c>
      <c r="D8015" s="15">
        <v>6.1</v>
      </c>
      <c r="E8015" s="16" t="s">
        <v>30</v>
      </c>
    </row>
    <row r="8016" spans="1:5" x14ac:dyDescent="0.25">
      <c r="A8016" s="14">
        <v>996234</v>
      </c>
      <c r="B8016" s="14" t="s">
        <v>8128</v>
      </c>
      <c r="C8016" s="14" t="s">
        <v>13031</v>
      </c>
      <c r="D8016" s="15">
        <v>6.1</v>
      </c>
      <c r="E8016" s="16" t="s">
        <v>30</v>
      </c>
    </row>
    <row r="8017" spans="1:5" x14ac:dyDescent="0.25">
      <c r="A8017" s="14">
        <v>996235</v>
      </c>
      <c r="B8017" s="14" t="s">
        <v>8129</v>
      </c>
      <c r="C8017" s="14" t="s">
        <v>13031</v>
      </c>
      <c r="D8017" s="15">
        <v>6</v>
      </c>
      <c r="E8017" s="16" t="s">
        <v>30</v>
      </c>
    </row>
    <row r="8018" spans="1:5" x14ac:dyDescent="0.25">
      <c r="A8018" s="14">
        <v>996236</v>
      </c>
      <c r="B8018" s="14" t="s">
        <v>8130</v>
      </c>
      <c r="C8018" s="14" t="s">
        <v>13031</v>
      </c>
      <c r="D8018" s="15">
        <v>6.1</v>
      </c>
      <c r="E8018" s="16" t="s">
        <v>30</v>
      </c>
    </row>
    <row r="8019" spans="1:5" x14ac:dyDescent="0.25">
      <c r="A8019" s="14">
        <v>996237</v>
      </c>
      <c r="B8019" s="14" t="s">
        <v>8131</v>
      </c>
      <c r="C8019" s="14" t="s">
        <v>13031</v>
      </c>
      <c r="D8019" s="15">
        <v>11</v>
      </c>
      <c r="E8019" s="16" t="s">
        <v>30</v>
      </c>
    </row>
    <row r="8020" spans="1:5" x14ac:dyDescent="0.25">
      <c r="A8020" s="14">
        <v>996282</v>
      </c>
      <c r="B8020" s="14" t="s">
        <v>8132</v>
      </c>
      <c r="C8020" s="14" t="s">
        <v>13031</v>
      </c>
      <c r="D8020" s="15">
        <v>5.47</v>
      </c>
      <c r="E8020" s="16" t="s">
        <v>30</v>
      </c>
    </row>
    <row r="8021" spans="1:5" x14ac:dyDescent="0.25">
      <c r="A8021" s="14">
        <v>996283</v>
      </c>
      <c r="B8021" s="14" t="s">
        <v>8133</v>
      </c>
      <c r="C8021" s="14" t="s">
        <v>13031</v>
      </c>
      <c r="D8021" s="15">
        <v>7.11</v>
      </c>
      <c r="E8021" s="16" t="s">
        <v>30</v>
      </c>
    </row>
    <row r="8022" spans="1:5" x14ac:dyDescent="0.25">
      <c r="A8022" s="14">
        <v>996284</v>
      </c>
      <c r="B8022" s="14" t="s">
        <v>8134</v>
      </c>
      <c r="C8022" s="14" t="s">
        <v>13031</v>
      </c>
      <c r="D8022" s="15">
        <v>5.48</v>
      </c>
      <c r="E8022" s="16" t="s">
        <v>30</v>
      </c>
    </row>
    <row r="8023" spans="1:5" x14ac:dyDescent="0.25">
      <c r="A8023" s="14">
        <v>996298</v>
      </c>
      <c r="B8023" s="14" t="s">
        <v>8135</v>
      </c>
      <c r="C8023" s="14" t="s">
        <v>13030</v>
      </c>
      <c r="D8023" s="15">
        <v>3.86</v>
      </c>
      <c r="E8023" s="16" t="s">
        <v>30</v>
      </c>
    </row>
    <row r="8024" spans="1:5" x14ac:dyDescent="0.25">
      <c r="A8024" s="14">
        <v>996299</v>
      </c>
      <c r="B8024" s="14" t="s">
        <v>8136</v>
      </c>
      <c r="C8024" s="14" t="s">
        <v>13030</v>
      </c>
      <c r="D8024" s="15">
        <v>5</v>
      </c>
      <c r="E8024" s="16" t="s">
        <v>30</v>
      </c>
    </row>
    <row r="8025" spans="1:5" x14ac:dyDescent="0.25">
      <c r="A8025" s="14">
        <v>996350</v>
      </c>
      <c r="B8025" s="14" t="s">
        <v>8137</v>
      </c>
      <c r="C8025" s="14" t="s">
        <v>13030</v>
      </c>
      <c r="D8025" s="15">
        <v>18.170000000000002</v>
      </c>
      <c r="E8025" s="16" t="s">
        <v>30</v>
      </c>
    </row>
    <row r="8026" spans="1:5" x14ac:dyDescent="0.25">
      <c r="A8026" s="14">
        <v>996412</v>
      </c>
      <c r="B8026" s="14" t="s">
        <v>8138</v>
      </c>
      <c r="C8026" s="14" t="s">
        <v>13031</v>
      </c>
      <c r="D8026" s="15">
        <v>8.58</v>
      </c>
      <c r="E8026" s="16" t="s">
        <v>30</v>
      </c>
    </row>
    <row r="8027" spans="1:5" x14ac:dyDescent="0.25">
      <c r="A8027" s="14">
        <v>976039</v>
      </c>
      <c r="B8027" s="14" t="s">
        <v>8139</v>
      </c>
      <c r="C8027" s="14" t="s">
        <v>13031</v>
      </c>
      <c r="D8027" s="15">
        <v>19.8</v>
      </c>
      <c r="E8027" s="16" t="s">
        <v>20</v>
      </c>
    </row>
    <row r="8028" spans="1:5" x14ac:dyDescent="0.25">
      <c r="A8028" s="14">
        <v>976040</v>
      </c>
      <c r="B8028" s="14" t="s">
        <v>8140</v>
      </c>
      <c r="C8028" s="14" t="s">
        <v>13031</v>
      </c>
      <c r="D8028" s="15">
        <v>19.8</v>
      </c>
      <c r="E8028" s="16" t="s">
        <v>20</v>
      </c>
    </row>
    <row r="8029" spans="1:5" x14ac:dyDescent="0.25">
      <c r="A8029" s="14">
        <v>996606</v>
      </c>
      <c r="B8029" s="14" t="s">
        <v>8141</v>
      </c>
      <c r="C8029" s="14" t="s">
        <v>13029</v>
      </c>
      <c r="D8029" s="15">
        <v>23.67</v>
      </c>
      <c r="E8029" s="16" t="s">
        <v>30</v>
      </c>
    </row>
    <row r="8030" spans="1:5" x14ac:dyDescent="0.25">
      <c r="A8030" s="14">
        <v>996614</v>
      </c>
      <c r="B8030" s="14" t="s">
        <v>8142</v>
      </c>
      <c r="C8030" s="14" t="s">
        <v>13030</v>
      </c>
      <c r="D8030" s="15">
        <v>50.14</v>
      </c>
      <c r="E8030" s="16" t="s">
        <v>30</v>
      </c>
    </row>
    <row r="8031" spans="1:5" x14ac:dyDescent="0.25">
      <c r="A8031" s="14">
        <v>996615</v>
      </c>
      <c r="B8031" s="14" t="s">
        <v>8143</v>
      </c>
      <c r="C8031" s="14" t="s">
        <v>13030</v>
      </c>
      <c r="D8031" s="15">
        <v>44.27</v>
      </c>
      <c r="E8031" s="16" t="s">
        <v>30</v>
      </c>
    </row>
    <row r="8032" spans="1:5" x14ac:dyDescent="0.25">
      <c r="A8032" s="14">
        <v>976041</v>
      </c>
      <c r="B8032" s="14" t="s">
        <v>8144</v>
      </c>
      <c r="C8032" s="14" t="s">
        <v>13031</v>
      </c>
      <c r="D8032" s="15">
        <v>19.8</v>
      </c>
      <c r="E8032" s="16" t="s">
        <v>20</v>
      </c>
    </row>
    <row r="8033" spans="1:5" x14ac:dyDescent="0.25">
      <c r="A8033" s="14">
        <v>984584</v>
      </c>
      <c r="B8033" s="14" t="s">
        <v>8145</v>
      </c>
      <c r="C8033" s="14" t="s">
        <v>13031</v>
      </c>
      <c r="D8033" s="15">
        <v>6.61</v>
      </c>
      <c r="E8033" s="16" t="s">
        <v>20</v>
      </c>
    </row>
    <row r="8034" spans="1:5" x14ac:dyDescent="0.25">
      <c r="A8034" s="14">
        <v>986300</v>
      </c>
      <c r="B8034" s="14" t="s">
        <v>8146</v>
      </c>
      <c r="C8034" s="14" t="s">
        <v>13031</v>
      </c>
      <c r="D8034" s="15">
        <v>8.85</v>
      </c>
      <c r="E8034" s="16" t="s">
        <v>20</v>
      </c>
    </row>
    <row r="8035" spans="1:5" x14ac:dyDescent="0.25">
      <c r="A8035" s="14">
        <v>996616</v>
      </c>
      <c r="B8035" s="14" t="s">
        <v>8147</v>
      </c>
      <c r="C8035" s="14" t="s">
        <v>13030</v>
      </c>
      <c r="D8035" s="15">
        <v>55.71</v>
      </c>
      <c r="E8035" s="16" t="s">
        <v>30</v>
      </c>
    </row>
    <row r="8036" spans="1:5" x14ac:dyDescent="0.25">
      <c r="A8036" s="14">
        <v>996617</v>
      </c>
      <c r="B8036" s="14" t="s">
        <v>8148</v>
      </c>
      <c r="C8036" s="14" t="s">
        <v>13030</v>
      </c>
      <c r="D8036" s="15">
        <v>44.27</v>
      </c>
      <c r="E8036" s="16" t="s">
        <v>30</v>
      </c>
    </row>
    <row r="8037" spans="1:5" x14ac:dyDescent="0.25">
      <c r="A8037" s="14">
        <v>996618</v>
      </c>
      <c r="B8037" s="14" t="s">
        <v>8149</v>
      </c>
      <c r="C8037" s="14" t="s">
        <v>13030</v>
      </c>
      <c r="D8037" s="15">
        <v>44.27</v>
      </c>
      <c r="E8037" s="16" t="s">
        <v>30</v>
      </c>
    </row>
    <row r="8038" spans="1:5" x14ac:dyDescent="0.25">
      <c r="A8038" s="14">
        <v>996621</v>
      </c>
      <c r="B8038" s="14" t="s">
        <v>8150</v>
      </c>
      <c r="C8038" s="14" t="s">
        <v>13031</v>
      </c>
      <c r="D8038" s="15">
        <v>4.6900000000000004</v>
      </c>
      <c r="E8038" s="16" t="s">
        <v>30</v>
      </c>
    </row>
    <row r="8039" spans="1:5" x14ac:dyDescent="0.25">
      <c r="A8039" s="14">
        <v>996716</v>
      </c>
      <c r="B8039" s="14" t="s">
        <v>8151</v>
      </c>
      <c r="C8039" s="14" t="s">
        <v>13031</v>
      </c>
      <c r="D8039" s="15">
        <v>9.43</v>
      </c>
      <c r="E8039" s="16" t="s">
        <v>30</v>
      </c>
    </row>
    <row r="8040" spans="1:5" x14ac:dyDescent="0.25">
      <c r="A8040" s="14">
        <v>996717</v>
      </c>
      <c r="B8040" s="14" t="s">
        <v>8152</v>
      </c>
      <c r="C8040" s="14" t="s">
        <v>13030</v>
      </c>
      <c r="D8040" s="15">
        <v>52.83</v>
      </c>
      <c r="E8040" s="16" t="s">
        <v>30</v>
      </c>
    </row>
    <row r="8041" spans="1:5" x14ac:dyDescent="0.25">
      <c r="A8041" s="14">
        <v>996718</v>
      </c>
      <c r="B8041" s="14" t="s">
        <v>8153</v>
      </c>
      <c r="C8041" s="14" t="s">
        <v>13030</v>
      </c>
      <c r="D8041" s="15">
        <v>52.83</v>
      </c>
      <c r="E8041" s="16" t="s">
        <v>30</v>
      </c>
    </row>
    <row r="8042" spans="1:5" x14ac:dyDescent="0.25">
      <c r="A8042" s="14">
        <v>997332</v>
      </c>
      <c r="B8042" s="14" t="s">
        <v>8154</v>
      </c>
      <c r="C8042" s="14" t="s">
        <v>13031</v>
      </c>
      <c r="D8042" s="15">
        <v>17.5</v>
      </c>
      <c r="E8042" s="16" t="s">
        <v>30</v>
      </c>
    </row>
    <row r="8043" spans="1:5" x14ac:dyDescent="0.25">
      <c r="A8043" s="14">
        <v>997333</v>
      </c>
      <c r="B8043" s="14" t="s">
        <v>8155</v>
      </c>
      <c r="C8043" s="14" t="s">
        <v>13031</v>
      </c>
      <c r="D8043" s="15">
        <v>17.5</v>
      </c>
      <c r="E8043" s="16" t="s">
        <v>30</v>
      </c>
    </row>
    <row r="8044" spans="1:5" x14ac:dyDescent="0.25">
      <c r="A8044" s="14">
        <v>997334</v>
      </c>
      <c r="B8044" s="14" t="s">
        <v>8156</v>
      </c>
      <c r="C8044" s="14" t="s">
        <v>13031</v>
      </c>
      <c r="D8044" s="15">
        <v>19.899999999999999</v>
      </c>
      <c r="E8044" s="16" t="s">
        <v>30</v>
      </c>
    </row>
    <row r="8045" spans="1:5" x14ac:dyDescent="0.25">
      <c r="A8045" s="14">
        <v>997335</v>
      </c>
      <c r="B8045" s="14" t="s">
        <v>8157</v>
      </c>
      <c r="C8045" s="14" t="s">
        <v>13031</v>
      </c>
      <c r="D8045" s="15">
        <v>19.899999999999999</v>
      </c>
      <c r="E8045" s="16" t="s">
        <v>30</v>
      </c>
    </row>
    <row r="8046" spans="1:5" x14ac:dyDescent="0.25">
      <c r="A8046" s="14">
        <v>997581</v>
      </c>
      <c r="B8046" s="14" t="s">
        <v>8158</v>
      </c>
      <c r="C8046" s="14" t="s">
        <v>13031</v>
      </c>
      <c r="D8046" s="15">
        <v>2.38</v>
      </c>
      <c r="E8046" s="16" t="s">
        <v>30</v>
      </c>
    </row>
    <row r="8047" spans="1:5" x14ac:dyDescent="0.25">
      <c r="A8047" s="14">
        <v>997582</v>
      </c>
      <c r="B8047" s="14" t="s">
        <v>8159</v>
      </c>
      <c r="C8047" s="14" t="s">
        <v>13031</v>
      </c>
      <c r="D8047" s="15">
        <v>3.38</v>
      </c>
      <c r="E8047" s="16" t="s">
        <v>30</v>
      </c>
    </row>
    <row r="8048" spans="1:5" x14ac:dyDescent="0.25">
      <c r="A8048" s="14">
        <v>997969</v>
      </c>
      <c r="B8048" s="14" t="s">
        <v>8160</v>
      </c>
      <c r="C8048" s="14" t="s">
        <v>13031</v>
      </c>
      <c r="D8048" s="15">
        <v>5.4</v>
      </c>
      <c r="E8048" s="16" t="s">
        <v>30</v>
      </c>
    </row>
    <row r="8049" spans="1:5" x14ac:dyDescent="0.25">
      <c r="A8049" s="14">
        <v>997970</v>
      </c>
      <c r="B8049" s="14" t="s">
        <v>8161</v>
      </c>
      <c r="C8049" s="14" t="s">
        <v>13031</v>
      </c>
      <c r="D8049" s="15">
        <v>16.61</v>
      </c>
      <c r="E8049" s="14" t="s">
        <v>30</v>
      </c>
    </row>
    <row r="8050" spans="1:5" x14ac:dyDescent="0.25">
      <c r="A8050" s="14">
        <v>997971</v>
      </c>
      <c r="B8050" s="14" t="s">
        <v>8162</v>
      </c>
      <c r="C8050" s="14" t="s">
        <v>13031</v>
      </c>
      <c r="D8050" s="15">
        <v>20</v>
      </c>
      <c r="E8050" s="14" t="s">
        <v>30</v>
      </c>
    </row>
    <row r="8051" spans="1:5" x14ac:dyDescent="0.25">
      <c r="A8051" s="14">
        <v>997972</v>
      </c>
      <c r="B8051" s="14" t="s">
        <v>8163</v>
      </c>
      <c r="C8051" s="14" t="s">
        <v>13031</v>
      </c>
      <c r="D8051" s="15">
        <v>16.61</v>
      </c>
      <c r="E8051" s="14" t="s">
        <v>30</v>
      </c>
    </row>
    <row r="8052" spans="1:5" x14ac:dyDescent="0.25">
      <c r="A8052" s="14">
        <v>997973</v>
      </c>
      <c r="B8052" s="14" t="s">
        <v>8164</v>
      </c>
      <c r="C8052" s="14" t="s">
        <v>13031</v>
      </c>
      <c r="D8052" s="15">
        <v>24.68</v>
      </c>
      <c r="E8052" s="14" t="s">
        <v>30</v>
      </c>
    </row>
    <row r="8053" spans="1:5" x14ac:dyDescent="0.25">
      <c r="A8053" s="14">
        <v>997974</v>
      </c>
      <c r="B8053" s="14" t="s">
        <v>8165</v>
      </c>
      <c r="C8053" s="14" t="s">
        <v>13031</v>
      </c>
      <c r="D8053" s="15">
        <v>12.5</v>
      </c>
      <c r="E8053" s="16" t="s">
        <v>30</v>
      </c>
    </row>
    <row r="8054" spans="1:5" x14ac:dyDescent="0.25">
      <c r="A8054" s="14">
        <v>997978</v>
      </c>
      <c r="B8054" s="14" t="s">
        <v>8166</v>
      </c>
      <c r="C8054" s="14" t="s">
        <v>13030</v>
      </c>
      <c r="D8054" s="15">
        <v>95.01</v>
      </c>
      <c r="E8054" s="16" t="s">
        <v>30</v>
      </c>
    </row>
    <row r="8055" spans="1:5" x14ac:dyDescent="0.25">
      <c r="A8055" s="14">
        <v>997985</v>
      </c>
      <c r="B8055" s="14" t="s">
        <v>8167</v>
      </c>
      <c r="C8055" s="14" t="s">
        <v>13030</v>
      </c>
      <c r="D8055" s="15">
        <v>38.83</v>
      </c>
      <c r="E8055" s="16" t="s">
        <v>30</v>
      </c>
    </row>
    <row r="8056" spans="1:5" x14ac:dyDescent="0.25">
      <c r="A8056" s="14">
        <v>997986</v>
      </c>
      <c r="B8056" s="14" t="s">
        <v>8168</v>
      </c>
      <c r="C8056" s="14" t="s">
        <v>13030</v>
      </c>
      <c r="D8056" s="15">
        <v>38.83</v>
      </c>
      <c r="E8056" s="16" t="s">
        <v>30</v>
      </c>
    </row>
    <row r="8057" spans="1:5" x14ac:dyDescent="0.25">
      <c r="A8057" s="14">
        <v>997987</v>
      </c>
      <c r="B8057" s="14" t="s">
        <v>8169</v>
      </c>
      <c r="C8057" s="14" t="s">
        <v>13030</v>
      </c>
      <c r="D8057" s="15">
        <v>49.42</v>
      </c>
      <c r="E8057" s="16" t="s">
        <v>30</v>
      </c>
    </row>
    <row r="8058" spans="1:5" x14ac:dyDescent="0.25">
      <c r="A8058" s="14">
        <v>997988</v>
      </c>
      <c r="B8058" s="14" t="s">
        <v>8170</v>
      </c>
      <c r="C8058" s="14" t="s">
        <v>13030</v>
      </c>
      <c r="D8058" s="15">
        <v>49.42</v>
      </c>
      <c r="E8058" s="16" t="s">
        <v>30</v>
      </c>
    </row>
    <row r="8059" spans="1:5" x14ac:dyDescent="0.25">
      <c r="A8059" s="14">
        <v>997989</v>
      </c>
      <c r="B8059" s="14" t="s">
        <v>8171</v>
      </c>
      <c r="C8059" s="14" t="s">
        <v>13030</v>
      </c>
      <c r="D8059" s="15">
        <v>49.42</v>
      </c>
      <c r="E8059" s="16" t="s">
        <v>30</v>
      </c>
    </row>
    <row r="8060" spans="1:5" x14ac:dyDescent="0.25">
      <c r="A8060" s="14">
        <v>997990</v>
      </c>
      <c r="B8060" s="14" t="s">
        <v>8172</v>
      </c>
      <c r="C8060" s="14" t="s">
        <v>13030</v>
      </c>
      <c r="D8060" s="15">
        <v>79.73</v>
      </c>
      <c r="E8060" s="16" t="s">
        <v>30</v>
      </c>
    </row>
    <row r="8061" spans="1:5" x14ac:dyDescent="0.25">
      <c r="A8061" s="14">
        <v>997991</v>
      </c>
      <c r="B8061" s="14" t="s">
        <v>8173</v>
      </c>
      <c r="C8061" s="14" t="s">
        <v>13030</v>
      </c>
      <c r="D8061" s="15">
        <v>115.19</v>
      </c>
      <c r="E8061" s="14" t="s">
        <v>30</v>
      </c>
    </row>
    <row r="8062" spans="1:5" x14ac:dyDescent="0.25">
      <c r="A8062" s="14">
        <v>997992</v>
      </c>
      <c r="B8062" s="14" t="s">
        <v>8174</v>
      </c>
      <c r="C8062" s="14" t="s">
        <v>13030</v>
      </c>
      <c r="D8062" s="15">
        <v>71.959999999999994</v>
      </c>
      <c r="E8062" s="16" t="s">
        <v>30</v>
      </c>
    </row>
    <row r="8063" spans="1:5" x14ac:dyDescent="0.25">
      <c r="A8063" s="14">
        <v>997993</v>
      </c>
      <c r="B8063" s="14" t="s">
        <v>8175</v>
      </c>
      <c r="C8063" s="14" t="s">
        <v>13030</v>
      </c>
      <c r="D8063" s="15">
        <v>57.56</v>
      </c>
      <c r="E8063" s="16" t="s">
        <v>30</v>
      </c>
    </row>
    <row r="8064" spans="1:5" x14ac:dyDescent="0.25">
      <c r="A8064" s="14">
        <v>997994</v>
      </c>
      <c r="B8064" s="14" t="s">
        <v>8176</v>
      </c>
      <c r="C8064" s="14" t="s">
        <v>13030</v>
      </c>
      <c r="D8064" s="15">
        <v>55.52</v>
      </c>
      <c r="E8064" s="16" t="s">
        <v>30</v>
      </c>
    </row>
    <row r="8065" spans="1:5" x14ac:dyDescent="0.25">
      <c r="A8065" s="14">
        <v>997995</v>
      </c>
      <c r="B8065" s="14" t="s">
        <v>8177</v>
      </c>
      <c r="C8065" s="14" t="s">
        <v>13030</v>
      </c>
      <c r="D8065" s="15">
        <v>41.63</v>
      </c>
      <c r="E8065" s="16" t="s">
        <v>30</v>
      </c>
    </row>
    <row r="8066" spans="1:5" x14ac:dyDescent="0.25">
      <c r="A8066" s="14">
        <v>997996</v>
      </c>
      <c r="B8066" s="14" t="s">
        <v>8178</v>
      </c>
      <c r="C8066" s="14" t="s">
        <v>13030</v>
      </c>
      <c r="D8066" s="15">
        <v>83.32</v>
      </c>
      <c r="E8066" s="16" t="s">
        <v>30</v>
      </c>
    </row>
    <row r="8067" spans="1:5" x14ac:dyDescent="0.25">
      <c r="A8067" s="14">
        <v>997997</v>
      </c>
      <c r="B8067" s="14" t="s">
        <v>8179</v>
      </c>
      <c r="C8067" s="14" t="s">
        <v>13030</v>
      </c>
      <c r="D8067" s="15">
        <v>55.52</v>
      </c>
      <c r="E8067" s="16" t="s">
        <v>30</v>
      </c>
    </row>
    <row r="8068" spans="1:5" x14ac:dyDescent="0.25">
      <c r="A8068" s="14">
        <v>997998</v>
      </c>
      <c r="B8068" s="14" t="s">
        <v>8180</v>
      </c>
      <c r="C8068" s="14" t="s">
        <v>13030</v>
      </c>
      <c r="D8068" s="15">
        <v>53.96</v>
      </c>
      <c r="E8068" s="16" t="s">
        <v>30</v>
      </c>
    </row>
    <row r="8069" spans="1:5" x14ac:dyDescent="0.25">
      <c r="A8069" s="14">
        <v>997999</v>
      </c>
      <c r="B8069" s="14" t="s">
        <v>8181</v>
      </c>
      <c r="C8069" s="14" t="s">
        <v>13030</v>
      </c>
      <c r="D8069" s="15">
        <v>53.96</v>
      </c>
      <c r="E8069" s="16" t="s">
        <v>30</v>
      </c>
    </row>
    <row r="8070" spans="1:5" x14ac:dyDescent="0.25">
      <c r="A8070" s="14">
        <v>998000</v>
      </c>
      <c r="B8070" s="14" t="s">
        <v>8182</v>
      </c>
      <c r="C8070" s="14" t="s">
        <v>13030</v>
      </c>
      <c r="D8070" s="15">
        <v>90.26</v>
      </c>
      <c r="E8070" s="16" t="s">
        <v>30</v>
      </c>
    </row>
    <row r="8071" spans="1:5" x14ac:dyDescent="0.25">
      <c r="A8071" s="14">
        <v>998001</v>
      </c>
      <c r="B8071" s="14" t="s">
        <v>8183</v>
      </c>
      <c r="C8071" s="14" t="s">
        <v>13030</v>
      </c>
      <c r="D8071" s="15">
        <v>74.5</v>
      </c>
      <c r="E8071" s="16" t="s">
        <v>30</v>
      </c>
    </row>
    <row r="8072" spans="1:5" x14ac:dyDescent="0.25">
      <c r="A8072" s="14">
        <v>998002</v>
      </c>
      <c r="B8072" s="14" t="s">
        <v>8184</v>
      </c>
      <c r="C8072" s="14" t="s">
        <v>13030</v>
      </c>
      <c r="D8072" s="15">
        <v>68.72</v>
      </c>
      <c r="E8072" s="16" t="s">
        <v>30</v>
      </c>
    </row>
    <row r="8073" spans="1:5" x14ac:dyDescent="0.25">
      <c r="A8073" s="14">
        <v>998003</v>
      </c>
      <c r="B8073" s="14" t="s">
        <v>8185</v>
      </c>
      <c r="C8073" s="14" t="s">
        <v>13030</v>
      </c>
      <c r="D8073" s="15">
        <v>68.72</v>
      </c>
      <c r="E8073" s="16" t="s">
        <v>30</v>
      </c>
    </row>
    <row r="8074" spans="1:5" x14ac:dyDescent="0.25">
      <c r="A8074" s="14">
        <v>998004</v>
      </c>
      <c r="B8074" s="14" t="s">
        <v>8186</v>
      </c>
      <c r="C8074" s="14" t="s">
        <v>13030</v>
      </c>
      <c r="D8074" s="15">
        <v>79.849999999999994</v>
      </c>
      <c r="E8074" s="16" t="s">
        <v>30</v>
      </c>
    </row>
    <row r="8075" spans="1:5" x14ac:dyDescent="0.25">
      <c r="A8075" s="14">
        <v>998005</v>
      </c>
      <c r="B8075" s="14" t="s">
        <v>8187</v>
      </c>
      <c r="C8075" s="14" t="s">
        <v>13030</v>
      </c>
      <c r="D8075" s="15">
        <v>79.849999999999994</v>
      </c>
      <c r="E8075" s="16" t="s">
        <v>30</v>
      </c>
    </row>
    <row r="8076" spans="1:5" x14ac:dyDescent="0.25">
      <c r="A8076" s="14">
        <v>998006</v>
      </c>
      <c r="B8076" s="14" t="s">
        <v>8188</v>
      </c>
      <c r="C8076" s="14" t="s">
        <v>13030</v>
      </c>
      <c r="D8076" s="15">
        <v>61.09</v>
      </c>
      <c r="E8076" s="16" t="s">
        <v>30</v>
      </c>
    </row>
    <row r="8077" spans="1:5" x14ac:dyDescent="0.25">
      <c r="A8077" s="14">
        <v>998007</v>
      </c>
      <c r="B8077" s="14" t="s">
        <v>8189</v>
      </c>
      <c r="C8077" s="14" t="s">
        <v>13030</v>
      </c>
      <c r="D8077" s="15">
        <v>4.29</v>
      </c>
      <c r="E8077" s="16" t="s">
        <v>30</v>
      </c>
    </row>
    <row r="8078" spans="1:5" x14ac:dyDescent="0.25">
      <c r="A8078" s="14">
        <v>998008</v>
      </c>
      <c r="B8078" s="14" t="s">
        <v>8190</v>
      </c>
      <c r="C8078" s="14" t="s">
        <v>13030</v>
      </c>
      <c r="D8078" s="15">
        <v>4.29</v>
      </c>
      <c r="E8078" s="16" t="s">
        <v>30</v>
      </c>
    </row>
    <row r="8079" spans="1:5" x14ac:dyDescent="0.25">
      <c r="A8079" s="14">
        <v>998009</v>
      </c>
      <c r="B8079" s="14" t="s">
        <v>8191</v>
      </c>
      <c r="C8079" s="14" t="s">
        <v>13030</v>
      </c>
      <c r="D8079" s="15">
        <v>4.29</v>
      </c>
      <c r="E8079" s="16" t="s">
        <v>30</v>
      </c>
    </row>
    <row r="8080" spans="1:5" x14ac:dyDescent="0.25">
      <c r="A8080" s="14">
        <v>998010</v>
      </c>
      <c r="B8080" s="14" t="s">
        <v>8192</v>
      </c>
      <c r="C8080" s="14" t="s">
        <v>13030</v>
      </c>
      <c r="D8080" s="15">
        <v>4.29</v>
      </c>
      <c r="E8080" s="16" t="s">
        <v>30</v>
      </c>
    </row>
    <row r="8081" spans="1:5" x14ac:dyDescent="0.25">
      <c r="A8081" s="14">
        <v>998014</v>
      </c>
      <c r="B8081" s="14" t="s">
        <v>8193</v>
      </c>
      <c r="C8081" s="14" t="s">
        <v>13029</v>
      </c>
      <c r="D8081" s="15">
        <v>26.95</v>
      </c>
      <c r="E8081" s="16" t="s">
        <v>30</v>
      </c>
    </row>
    <row r="8082" spans="1:5" x14ac:dyDescent="0.25">
      <c r="A8082" s="14">
        <v>998015</v>
      </c>
      <c r="B8082" s="14" t="s">
        <v>8194</v>
      </c>
      <c r="C8082" s="14" t="s">
        <v>13029</v>
      </c>
      <c r="D8082" s="15">
        <v>45.4</v>
      </c>
      <c r="E8082" s="16" t="s">
        <v>30</v>
      </c>
    </row>
    <row r="8083" spans="1:5" x14ac:dyDescent="0.25">
      <c r="A8083" s="14">
        <v>998041</v>
      </c>
      <c r="B8083" s="14" t="s">
        <v>8195</v>
      </c>
      <c r="C8083" s="14" t="s">
        <v>13030</v>
      </c>
      <c r="D8083" s="15">
        <v>47.88</v>
      </c>
      <c r="E8083" s="16" t="s">
        <v>30</v>
      </c>
    </row>
    <row r="8084" spans="1:5" x14ac:dyDescent="0.25">
      <c r="A8084" s="14">
        <v>998042</v>
      </c>
      <c r="B8084" s="14" t="s">
        <v>8196</v>
      </c>
      <c r="C8084" s="14" t="s">
        <v>13030</v>
      </c>
      <c r="D8084" s="15">
        <v>45.1</v>
      </c>
      <c r="E8084" s="16" t="s">
        <v>30</v>
      </c>
    </row>
    <row r="8085" spans="1:5" x14ac:dyDescent="0.25">
      <c r="A8085" s="14">
        <v>998043</v>
      </c>
      <c r="B8085" s="14" t="s">
        <v>8197</v>
      </c>
      <c r="C8085" s="14" t="s">
        <v>13030</v>
      </c>
      <c r="D8085" s="15">
        <v>45.1</v>
      </c>
      <c r="E8085" s="16" t="s">
        <v>30</v>
      </c>
    </row>
    <row r="8086" spans="1:5" x14ac:dyDescent="0.25">
      <c r="A8086" s="14">
        <v>998044</v>
      </c>
      <c r="B8086" s="14" t="s">
        <v>8198</v>
      </c>
      <c r="C8086" s="14" t="s">
        <v>13030</v>
      </c>
      <c r="D8086" s="15">
        <v>62.48</v>
      </c>
      <c r="E8086" s="16" t="s">
        <v>30</v>
      </c>
    </row>
    <row r="8087" spans="1:5" x14ac:dyDescent="0.25">
      <c r="A8087" s="14">
        <v>998045</v>
      </c>
      <c r="B8087" s="14" t="s">
        <v>8199</v>
      </c>
      <c r="C8087" s="14" t="s">
        <v>13030</v>
      </c>
      <c r="D8087" s="15">
        <v>62.48</v>
      </c>
      <c r="E8087" s="16" t="s">
        <v>30</v>
      </c>
    </row>
    <row r="8088" spans="1:5" x14ac:dyDescent="0.25">
      <c r="A8088" s="14">
        <v>998046</v>
      </c>
      <c r="B8088" s="14" t="s">
        <v>8200</v>
      </c>
      <c r="C8088" s="14" t="s">
        <v>13030</v>
      </c>
      <c r="D8088" s="15">
        <v>79.84</v>
      </c>
      <c r="E8088" s="16" t="s">
        <v>30</v>
      </c>
    </row>
    <row r="8089" spans="1:5" x14ac:dyDescent="0.25">
      <c r="A8089" s="14">
        <v>998047</v>
      </c>
      <c r="B8089" s="14" t="s">
        <v>8201</v>
      </c>
      <c r="C8089" s="14" t="s">
        <v>13030</v>
      </c>
      <c r="D8089" s="15">
        <v>62.47</v>
      </c>
      <c r="E8089" s="16" t="s">
        <v>30</v>
      </c>
    </row>
    <row r="8090" spans="1:5" x14ac:dyDescent="0.25">
      <c r="A8090" s="14">
        <v>998048</v>
      </c>
      <c r="B8090" s="14" t="s">
        <v>8202</v>
      </c>
      <c r="C8090" s="14" t="s">
        <v>13030</v>
      </c>
      <c r="D8090" s="15">
        <v>86.79</v>
      </c>
      <c r="E8090" s="16" t="s">
        <v>30</v>
      </c>
    </row>
    <row r="8091" spans="1:5" x14ac:dyDescent="0.25">
      <c r="A8091" s="14">
        <v>998049</v>
      </c>
      <c r="B8091" s="14" t="s">
        <v>8203</v>
      </c>
      <c r="C8091" s="14" t="s">
        <v>13030</v>
      </c>
      <c r="D8091" s="15">
        <v>131.97</v>
      </c>
      <c r="E8091" s="16" t="s">
        <v>30</v>
      </c>
    </row>
    <row r="8092" spans="1:5" x14ac:dyDescent="0.25">
      <c r="A8092" s="14">
        <v>998050</v>
      </c>
      <c r="B8092" s="14" t="s">
        <v>8204</v>
      </c>
      <c r="C8092" s="14" t="s">
        <v>13030</v>
      </c>
      <c r="D8092" s="15">
        <v>173.66</v>
      </c>
      <c r="E8092" s="16" t="s">
        <v>30</v>
      </c>
    </row>
    <row r="8093" spans="1:5" x14ac:dyDescent="0.25">
      <c r="A8093" s="14">
        <v>998051</v>
      </c>
      <c r="B8093" s="14" t="s">
        <v>8205</v>
      </c>
      <c r="C8093" s="14" t="s">
        <v>13030</v>
      </c>
      <c r="D8093" s="15">
        <v>31.2</v>
      </c>
      <c r="E8093" s="16" t="s">
        <v>30</v>
      </c>
    </row>
    <row r="8094" spans="1:5" x14ac:dyDescent="0.25">
      <c r="A8094" s="14">
        <v>998052</v>
      </c>
      <c r="B8094" s="14" t="s">
        <v>8206</v>
      </c>
      <c r="C8094" s="14" t="s">
        <v>13030</v>
      </c>
      <c r="D8094" s="15">
        <v>46.49</v>
      </c>
      <c r="E8094" s="16" t="s">
        <v>30</v>
      </c>
    </row>
    <row r="8095" spans="1:5" x14ac:dyDescent="0.25">
      <c r="A8095" s="14">
        <v>998053</v>
      </c>
      <c r="B8095" s="14" t="s">
        <v>8207</v>
      </c>
      <c r="C8095" s="14" t="s">
        <v>13030</v>
      </c>
      <c r="D8095" s="15">
        <v>55.53</v>
      </c>
      <c r="E8095" s="16" t="s">
        <v>30</v>
      </c>
    </row>
    <row r="8096" spans="1:5" x14ac:dyDescent="0.25">
      <c r="A8096" s="14">
        <v>998054</v>
      </c>
      <c r="B8096" s="14" t="s">
        <v>8208</v>
      </c>
      <c r="C8096" s="14" t="s">
        <v>13030</v>
      </c>
      <c r="D8096" s="15">
        <v>34.68</v>
      </c>
      <c r="E8096" s="16" t="s">
        <v>30</v>
      </c>
    </row>
    <row r="8097" spans="1:5" x14ac:dyDescent="0.25">
      <c r="A8097" s="14">
        <v>998055</v>
      </c>
      <c r="B8097" s="14" t="s">
        <v>8209</v>
      </c>
      <c r="C8097" s="14" t="s">
        <v>13030</v>
      </c>
      <c r="D8097" s="15">
        <v>65.95</v>
      </c>
      <c r="E8097" s="16" t="s">
        <v>30</v>
      </c>
    </row>
    <row r="8098" spans="1:5" x14ac:dyDescent="0.25">
      <c r="A8098" s="14">
        <v>998056</v>
      </c>
      <c r="B8098" s="14" t="s">
        <v>8210</v>
      </c>
      <c r="C8098" s="14" t="s">
        <v>13030</v>
      </c>
      <c r="D8098" s="15">
        <v>65.95</v>
      </c>
      <c r="E8098" s="16" t="s">
        <v>30</v>
      </c>
    </row>
    <row r="8099" spans="1:5" x14ac:dyDescent="0.25">
      <c r="A8099" s="14">
        <v>998057</v>
      </c>
      <c r="B8099" s="14" t="s">
        <v>8211</v>
      </c>
      <c r="C8099" s="14" t="s">
        <v>13030</v>
      </c>
      <c r="D8099" s="15">
        <v>194.87</v>
      </c>
      <c r="E8099" s="16" t="s">
        <v>30</v>
      </c>
    </row>
    <row r="8100" spans="1:5" x14ac:dyDescent="0.25">
      <c r="A8100" s="14">
        <v>998058</v>
      </c>
      <c r="B8100" s="14" t="s">
        <v>8212</v>
      </c>
      <c r="C8100" s="14" t="s">
        <v>13030</v>
      </c>
      <c r="D8100" s="15">
        <v>20.78</v>
      </c>
      <c r="E8100" s="16" t="s">
        <v>30</v>
      </c>
    </row>
    <row r="8101" spans="1:5" x14ac:dyDescent="0.25">
      <c r="A8101" s="14">
        <v>998059</v>
      </c>
      <c r="B8101" s="14" t="s">
        <v>8213</v>
      </c>
      <c r="C8101" s="14" t="s">
        <v>13030</v>
      </c>
      <c r="D8101" s="15">
        <v>20.78</v>
      </c>
      <c r="E8101" s="16" t="s">
        <v>30</v>
      </c>
    </row>
    <row r="8102" spans="1:5" x14ac:dyDescent="0.25">
      <c r="A8102" s="14">
        <v>998060</v>
      </c>
      <c r="B8102" s="14" t="s">
        <v>8214</v>
      </c>
      <c r="C8102" s="14" t="s">
        <v>13030</v>
      </c>
      <c r="D8102" s="15">
        <v>20.78</v>
      </c>
      <c r="E8102" s="16" t="s">
        <v>30</v>
      </c>
    </row>
    <row r="8103" spans="1:5" x14ac:dyDescent="0.25">
      <c r="A8103" s="14">
        <v>998061</v>
      </c>
      <c r="B8103" s="14" t="s">
        <v>8215</v>
      </c>
      <c r="C8103" s="14" t="s">
        <v>13030</v>
      </c>
      <c r="D8103" s="15">
        <v>20.78</v>
      </c>
      <c r="E8103" s="16" t="s">
        <v>30</v>
      </c>
    </row>
    <row r="8104" spans="1:5" x14ac:dyDescent="0.25">
      <c r="A8104" s="14">
        <v>998062</v>
      </c>
      <c r="B8104" s="14" t="s">
        <v>8216</v>
      </c>
      <c r="C8104" s="14" t="s">
        <v>13030</v>
      </c>
      <c r="D8104" s="15">
        <v>20.78</v>
      </c>
      <c r="E8104" s="16" t="s">
        <v>30</v>
      </c>
    </row>
    <row r="8105" spans="1:5" x14ac:dyDescent="0.25">
      <c r="A8105" s="14">
        <v>998081</v>
      </c>
      <c r="B8105" s="14" t="s">
        <v>8217</v>
      </c>
      <c r="C8105" s="14" t="s">
        <v>13029</v>
      </c>
      <c r="D8105" s="15">
        <v>31.96</v>
      </c>
      <c r="E8105" s="16" t="s">
        <v>30</v>
      </c>
    </row>
    <row r="8106" spans="1:5" x14ac:dyDescent="0.25">
      <c r="A8106" s="14">
        <v>998082</v>
      </c>
      <c r="B8106" s="14" t="s">
        <v>8218</v>
      </c>
      <c r="C8106" s="14" t="s">
        <v>13029</v>
      </c>
      <c r="D8106" s="15">
        <v>31.37</v>
      </c>
      <c r="E8106" s="16" t="s">
        <v>30</v>
      </c>
    </row>
    <row r="8107" spans="1:5" x14ac:dyDescent="0.25">
      <c r="A8107" s="14">
        <v>998094</v>
      </c>
      <c r="B8107" s="14" t="s">
        <v>8219</v>
      </c>
      <c r="C8107" s="14" t="s">
        <v>13029</v>
      </c>
      <c r="D8107" s="15">
        <v>21.26</v>
      </c>
      <c r="E8107" s="16" t="s">
        <v>30</v>
      </c>
    </row>
    <row r="8108" spans="1:5" x14ac:dyDescent="0.25">
      <c r="A8108" s="14">
        <v>998459</v>
      </c>
      <c r="B8108" s="14" t="s">
        <v>8220</v>
      </c>
      <c r="C8108" s="14" t="s">
        <v>13030</v>
      </c>
      <c r="D8108" s="15">
        <v>55.52</v>
      </c>
      <c r="E8108" s="16" t="s">
        <v>30</v>
      </c>
    </row>
    <row r="8109" spans="1:5" x14ac:dyDescent="0.25">
      <c r="A8109" s="14">
        <v>998460</v>
      </c>
      <c r="B8109" s="14" t="s">
        <v>8221</v>
      </c>
      <c r="C8109" s="14" t="s">
        <v>13030</v>
      </c>
      <c r="D8109" s="15">
        <v>31.11</v>
      </c>
      <c r="E8109" s="16" t="s">
        <v>30</v>
      </c>
    </row>
    <row r="8110" spans="1:5" x14ac:dyDescent="0.25">
      <c r="A8110" s="14">
        <v>998461</v>
      </c>
      <c r="B8110" s="14" t="s">
        <v>8222</v>
      </c>
      <c r="C8110" s="14" t="s">
        <v>13030</v>
      </c>
      <c r="D8110" s="15">
        <v>32.590000000000003</v>
      </c>
      <c r="E8110" s="14" t="s">
        <v>30</v>
      </c>
    </row>
    <row r="8111" spans="1:5" x14ac:dyDescent="0.25">
      <c r="A8111" s="14">
        <v>998462</v>
      </c>
      <c r="B8111" s="14" t="s">
        <v>8223</v>
      </c>
      <c r="C8111" s="14" t="s">
        <v>13030</v>
      </c>
      <c r="D8111" s="15">
        <v>45.07</v>
      </c>
      <c r="E8111" s="16" t="s">
        <v>30</v>
      </c>
    </row>
    <row r="8112" spans="1:5" x14ac:dyDescent="0.25">
      <c r="A8112" s="14">
        <v>998463</v>
      </c>
      <c r="B8112" s="14" t="s">
        <v>8224</v>
      </c>
      <c r="C8112" s="14" t="s">
        <v>13030</v>
      </c>
      <c r="D8112" s="15">
        <v>45.07</v>
      </c>
      <c r="E8112" s="16" t="s">
        <v>30</v>
      </c>
    </row>
    <row r="8113" spans="1:5" x14ac:dyDescent="0.25">
      <c r="A8113" s="14">
        <v>998464</v>
      </c>
      <c r="B8113" s="14" t="s">
        <v>8225</v>
      </c>
      <c r="C8113" s="14" t="s">
        <v>13030</v>
      </c>
      <c r="D8113" s="15">
        <v>45.07</v>
      </c>
      <c r="E8113" s="16" t="s">
        <v>30</v>
      </c>
    </row>
    <row r="8114" spans="1:5" x14ac:dyDescent="0.25">
      <c r="A8114" s="14">
        <v>998465</v>
      </c>
      <c r="B8114" s="14" t="s">
        <v>8226</v>
      </c>
      <c r="C8114" s="14" t="s">
        <v>13030</v>
      </c>
      <c r="D8114" s="15">
        <v>92.57</v>
      </c>
      <c r="E8114" s="16" t="s">
        <v>30</v>
      </c>
    </row>
    <row r="8115" spans="1:5" x14ac:dyDescent="0.25">
      <c r="A8115" s="14">
        <v>998466</v>
      </c>
      <c r="B8115" s="14" t="s">
        <v>8227</v>
      </c>
      <c r="C8115" s="14" t="s">
        <v>13030</v>
      </c>
      <c r="D8115" s="15">
        <v>64.760000000000005</v>
      </c>
      <c r="E8115" s="16" t="s">
        <v>30</v>
      </c>
    </row>
    <row r="8116" spans="1:5" x14ac:dyDescent="0.25">
      <c r="A8116" s="14">
        <v>998475</v>
      </c>
      <c r="B8116" s="14" t="s">
        <v>8228</v>
      </c>
      <c r="C8116" s="14" t="s">
        <v>13030</v>
      </c>
      <c r="D8116" s="15">
        <v>228.56</v>
      </c>
      <c r="E8116" s="16" t="s">
        <v>30</v>
      </c>
    </row>
    <row r="8117" spans="1:5" x14ac:dyDescent="0.25">
      <c r="A8117" s="14">
        <v>998476</v>
      </c>
      <c r="B8117" s="14" t="s">
        <v>8229</v>
      </c>
      <c r="C8117" s="14" t="s">
        <v>13030</v>
      </c>
      <c r="D8117" s="15">
        <v>228.56</v>
      </c>
      <c r="E8117" s="16" t="s">
        <v>30</v>
      </c>
    </row>
    <row r="8118" spans="1:5" x14ac:dyDescent="0.25">
      <c r="A8118" s="14">
        <v>998477</v>
      </c>
      <c r="B8118" s="14" t="s">
        <v>8230</v>
      </c>
      <c r="C8118" s="14" t="s">
        <v>13030</v>
      </c>
      <c r="D8118" s="15">
        <v>326.52999999999997</v>
      </c>
      <c r="E8118" s="16" t="s">
        <v>30</v>
      </c>
    </row>
    <row r="8119" spans="1:5" x14ac:dyDescent="0.25">
      <c r="A8119" s="14">
        <v>998482</v>
      </c>
      <c r="B8119" s="14" t="s">
        <v>8231</v>
      </c>
      <c r="C8119" s="14" t="s">
        <v>13030</v>
      </c>
      <c r="D8119" s="15">
        <v>71.97</v>
      </c>
      <c r="E8119" s="14" t="s">
        <v>30</v>
      </c>
    </row>
    <row r="8120" spans="1:5" x14ac:dyDescent="0.25">
      <c r="A8120" s="14">
        <v>998484</v>
      </c>
      <c r="B8120" s="14" t="s">
        <v>8232</v>
      </c>
      <c r="C8120" s="14" t="s">
        <v>13030</v>
      </c>
      <c r="D8120" s="15">
        <v>79.180000000000007</v>
      </c>
      <c r="E8120" s="16" t="s">
        <v>30</v>
      </c>
    </row>
    <row r="8121" spans="1:5" x14ac:dyDescent="0.25">
      <c r="A8121" s="14">
        <v>998485</v>
      </c>
      <c r="B8121" s="14" t="s">
        <v>8233</v>
      </c>
      <c r="C8121" s="14" t="s">
        <v>13030</v>
      </c>
      <c r="D8121" s="15">
        <v>46.76</v>
      </c>
      <c r="E8121" s="14" t="s">
        <v>30</v>
      </c>
    </row>
    <row r="8122" spans="1:5" x14ac:dyDescent="0.25">
      <c r="A8122" s="14">
        <v>998486</v>
      </c>
      <c r="B8122" s="14" t="s">
        <v>8234</v>
      </c>
      <c r="C8122" s="14" t="s">
        <v>13030</v>
      </c>
      <c r="D8122" s="15">
        <v>47.47</v>
      </c>
      <c r="E8122" s="14" t="s">
        <v>30</v>
      </c>
    </row>
    <row r="8123" spans="1:5" x14ac:dyDescent="0.25">
      <c r="A8123" s="14">
        <v>998499</v>
      </c>
      <c r="B8123" s="14" t="s">
        <v>8235</v>
      </c>
      <c r="C8123" s="14" t="s">
        <v>13030</v>
      </c>
      <c r="D8123" s="15">
        <v>49.52</v>
      </c>
      <c r="E8123" s="14" t="s">
        <v>30</v>
      </c>
    </row>
    <row r="8124" spans="1:5" x14ac:dyDescent="0.25">
      <c r="A8124" s="14">
        <v>998500</v>
      </c>
      <c r="B8124" s="14" t="s">
        <v>8236</v>
      </c>
      <c r="C8124" s="14" t="s">
        <v>13030</v>
      </c>
      <c r="D8124" s="15">
        <v>49.52</v>
      </c>
      <c r="E8124" s="14" t="s">
        <v>30</v>
      </c>
    </row>
    <row r="8125" spans="1:5" x14ac:dyDescent="0.25">
      <c r="A8125" s="14">
        <v>998501</v>
      </c>
      <c r="B8125" s="14" t="s">
        <v>8237</v>
      </c>
      <c r="C8125" s="14" t="s">
        <v>13030</v>
      </c>
      <c r="D8125" s="15">
        <v>49.52</v>
      </c>
      <c r="E8125" s="14" t="s">
        <v>30</v>
      </c>
    </row>
    <row r="8126" spans="1:5" x14ac:dyDescent="0.25">
      <c r="A8126" s="14">
        <v>998502</v>
      </c>
      <c r="B8126" s="14" t="s">
        <v>8238</v>
      </c>
      <c r="C8126" s="14" t="s">
        <v>13030</v>
      </c>
      <c r="D8126" s="15">
        <v>49.52</v>
      </c>
      <c r="E8126" s="14" t="s">
        <v>30</v>
      </c>
    </row>
    <row r="8127" spans="1:5" x14ac:dyDescent="0.25">
      <c r="A8127" s="14">
        <v>998503</v>
      </c>
      <c r="B8127" s="14" t="s">
        <v>8239</v>
      </c>
      <c r="C8127" s="14" t="s">
        <v>13030</v>
      </c>
      <c r="D8127" s="15">
        <v>49.52</v>
      </c>
      <c r="E8127" s="14" t="s">
        <v>30</v>
      </c>
    </row>
    <row r="8128" spans="1:5" x14ac:dyDescent="0.25">
      <c r="A8128" s="14">
        <v>998504</v>
      </c>
      <c r="B8128" s="14" t="s">
        <v>8240</v>
      </c>
      <c r="C8128" s="14" t="s">
        <v>13030</v>
      </c>
      <c r="D8128" s="15">
        <v>60.54</v>
      </c>
      <c r="E8128" s="14" t="s">
        <v>30</v>
      </c>
    </row>
    <row r="8129" spans="1:5" x14ac:dyDescent="0.25">
      <c r="A8129" s="14">
        <v>998505</v>
      </c>
      <c r="B8129" s="14" t="s">
        <v>8241</v>
      </c>
      <c r="C8129" s="14" t="s">
        <v>13030</v>
      </c>
      <c r="D8129" s="15">
        <v>71.56</v>
      </c>
      <c r="E8129" s="16" t="s">
        <v>30</v>
      </c>
    </row>
    <row r="8130" spans="1:5" x14ac:dyDescent="0.25">
      <c r="A8130" s="14">
        <v>998506</v>
      </c>
      <c r="B8130" s="14" t="s">
        <v>8242</v>
      </c>
      <c r="C8130" s="14" t="s">
        <v>13030</v>
      </c>
      <c r="D8130" s="15">
        <v>26.98</v>
      </c>
      <c r="E8130" s="16" t="s">
        <v>30</v>
      </c>
    </row>
    <row r="8131" spans="1:5" x14ac:dyDescent="0.25">
      <c r="A8131" s="14">
        <v>998507</v>
      </c>
      <c r="B8131" s="14" t="s">
        <v>8243</v>
      </c>
      <c r="C8131" s="14" t="s">
        <v>13030</v>
      </c>
      <c r="D8131" s="15">
        <v>27.48</v>
      </c>
      <c r="E8131" s="16" t="s">
        <v>30</v>
      </c>
    </row>
    <row r="8132" spans="1:5" x14ac:dyDescent="0.25">
      <c r="A8132" s="14">
        <v>998590</v>
      </c>
      <c r="B8132" s="14" t="s">
        <v>8244</v>
      </c>
      <c r="C8132" s="14" t="s">
        <v>13029</v>
      </c>
      <c r="D8132" s="15">
        <v>52.87</v>
      </c>
      <c r="E8132" s="16" t="s">
        <v>30</v>
      </c>
    </row>
    <row r="8133" spans="1:5" x14ac:dyDescent="0.25">
      <c r="A8133" s="14">
        <v>998591</v>
      </c>
      <c r="B8133" s="14" t="s">
        <v>8245</v>
      </c>
      <c r="C8133" s="14" t="s">
        <v>13029</v>
      </c>
      <c r="D8133" s="15">
        <v>73.5</v>
      </c>
      <c r="E8133" s="16" t="s">
        <v>30</v>
      </c>
    </row>
    <row r="8134" spans="1:5" x14ac:dyDescent="0.25">
      <c r="A8134" s="14">
        <v>998592</v>
      </c>
      <c r="B8134" s="14" t="s">
        <v>8246</v>
      </c>
      <c r="C8134" s="14" t="s">
        <v>13029</v>
      </c>
      <c r="D8134" s="15">
        <v>23.59</v>
      </c>
      <c r="E8134" s="16" t="s">
        <v>30</v>
      </c>
    </row>
    <row r="8135" spans="1:5" x14ac:dyDescent="0.25">
      <c r="A8135" s="14">
        <v>998593</v>
      </c>
      <c r="B8135" s="14" t="s">
        <v>8247</v>
      </c>
      <c r="C8135" s="14" t="s">
        <v>13029</v>
      </c>
      <c r="D8135" s="15">
        <v>23.59</v>
      </c>
      <c r="E8135" s="16" t="s">
        <v>30</v>
      </c>
    </row>
    <row r="8136" spans="1:5" x14ac:dyDescent="0.25">
      <c r="A8136" s="14">
        <v>998594</v>
      </c>
      <c r="B8136" s="14" t="s">
        <v>8248</v>
      </c>
      <c r="C8136" s="14" t="s">
        <v>13029</v>
      </c>
      <c r="D8136" s="15">
        <v>27.62</v>
      </c>
      <c r="E8136" s="16" t="s">
        <v>30</v>
      </c>
    </row>
    <row r="8137" spans="1:5" x14ac:dyDescent="0.25">
      <c r="A8137" s="14">
        <v>998606</v>
      </c>
      <c r="B8137" s="14" t="s">
        <v>8249</v>
      </c>
      <c r="C8137" s="14" t="s">
        <v>13029</v>
      </c>
      <c r="D8137" s="15">
        <v>19.920000000000002</v>
      </c>
      <c r="E8137" s="16" t="s">
        <v>30</v>
      </c>
    </row>
    <row r="8138" spans="1:5" x14ac:dyDescent="0.25">
      <c r="A8138" s="14">
        <v>998607</v>
      </c>
      <c r="B8138" s="14" t="s">
        <v>8250</v>
      </c>
      <c r="C8138" s="14" t="s">
        <v>13029</v>
      </c>
      <c r="D8138" s="15">
        <v>19.920000000000002</v>
      </c>
      <c r="E8138" s="16" t="s">
        <v>30</v>
      </c>
    </row>
    <row r="8139" spans="1:5" x14ac:dyDescent="0.25">
      <c r="A8139" s="14">
        <v>998608</v>
      </c>
      <c r="B8139" s="14" t="s">
        <v>8251</v>
      </c>
      <c r="C8139" s="14" t="s">
        <v>13029</v>
      </c>
      <c r="D8139" s="15">
        <v>35.53</v>
      </c>
      <c r="E8139" s="16" t="s">
        <v>30</v>
      </c>
    </row>
    <row r="8140" spans="1:5" x14ac:dyDescent="0.25">
      <c r="A8140" s="14">
        <v>998609</v>
      </c>
      <c r="B8140" s="14" t="s">
        <v>8252</v>
      </c>
      <c r="C8140" s="14" t="s">
        <v>13029</v>
      </c>
      <c r="D8140" s="15">
        <v>35.53</v>
      </c>
      <c r="E8140" s="16" t="s">
        <v>30</v>
      </c>
    </row>
    <row r="8141" spans="1:5" x14ac:dyDescent="0.25">
      <c r="A8141" s="14">
        <v>998610</v>
      </c>
      <c r="B8141" s="14" t="s">
        <v>8253</v>
      </c>
      <c r="C8141" s="14" t="s">
        <v>13029</v>
      </c>
      <c r="D8141" s="15">
        <v>35.53</v>
      </c>
      <c r="E8141" s="16" t="s">
        <v>30</v>
      </c>
    </row>
    <row r="8142" spans="1:5" x14ac:dyDescent="0.25">
      <c r="A8142" s="14">
        <v>998611</v>
      </c>
      <c r="B8142" s="14" t="s">
        <v>8254</v>
      </c>
      <c r="C8142" s="14" t="s">
        <v>13029</v>
      </c>
      <c r="D8142" s="15">
        <v>27.4</v>
      </c>
      <c r="E8142" s="16" t="s">
        <v>30</v>
      </c>
    </row>
    <row r="8143" spans="1:5" x14ac:dyDescent="0.25">
      <c r="A8143" s="14">
        <v>998612</v>
      </c>
      <c r="B8143" s="14" t="s">
        <v>8255</v>
      </c>
      <c r="C8143" s="14" t="s">
        <v>13029</v>
      </c>
      <c r="D8143" s="15">
        <v>27.4</v>
      </c>
      <c r="E8143" s="16" t="s">
        <v>30</v>
      </c>
    </row>
    <row r="8144" spans="1:5" x14ac:dyDescent="0.25">
      <c r="A8144" s="14">
        <v>998613</v>
      </c>
      <c r="B8144" s="14" t="s">
        <v>8256</v>
      </c>
      <c r="C8144" s="14" t="s">
        <v>13029</v>
      </c>
      <c r="D8144" s="15">
        <v>27.4</v>
      </c>
      <c r="E8144" s="16" t="s">
        <v>30</v>
      </c>
    </row>
    <row r="8145" spans="1:5" x14ac:dyDescent="0.25">
      <c r="A8145" s="14">
        <v>998838</v>
      </c>
      <c r="B8145" s="14" t="s">
        <v>8257</v>
      </c>
      <c r="C8145" s="14" t="s">
        <v>13031</v>
      </c>
      <c r="D8145" s="15">
        <v>7.64</v>
      </c>
      <c r="E8145" s="16" t="s">
        <v>30</v>
      </c>
    </row>
    <row r="8146" spans="1:5" x14ac:dyDescent="0.25">
      <c r="A8146" s="14">
        <v>998839</v>
      </c>
      <c r="B8146" s="14" t="s">
        <v>8258</v>
      </c>
      <c r="C8146" s="14" t="s">
        <v>13031</v>
      </c>
      <c r="D8146" s="15">
        <v>6.6</v>
      </c>
      <c r="E8146" s="16" t="s">
        <v>30</v>
      </c>
    </row>
    <row r="8147" spans="1:5" x14ac:dyDescent="0.25">
      <c r="A8147" s="14">
        <v>998919</v>
      </c>
      <c r="B8147" s="14" t="s">
        <v>8259</v>
      </c>
      <c r="C8147" s="14" t="s">
        <v>13030</v>
      </c>
      <c r="D8147" s="15">
        <v>152.81</v>
      </c>
      <c r="E8147" s="16" t="s">
        <v>30</v>
      </c>
    </row>
    <row r="8148" spans="1:5" x14ac:dyDescent="0.25">
      <c r="A8148" s="14">
        <v>998924</v>
      </c>
      <c r="B8148" s="14" t="s">
        <v>8260</v>
      </c>
      <c r="C8148" s="14" t="s">
        <v>13030</v>
      </c>
      <c r="D8148" s="15">
        <v>41.95</v>
      </c>
      <c r="E8148" s="16" t="s">
        <v>30</v>
      </c>
    </row>
    <row r="8149" spans="1:5" x14ac:dyDescent="0.25">
      <c r="A8149" s="14">
        <v>998925</v>
      </c>
      <c r="B8149" s="14" t="s">
        <v>8261</v>
      </c>
      <c r="C8149" s="14" t="s">
        <v>13030</v>
      </c>
      <c r="D8149" s="15">
        <v>37.380000000000003</v>
      </c>
      <c r="E8149" s="16" t="s">
        <v>30</v>
      </c>
    </row>
    <row r="8150" spans="1:5" x14ac:dyDescent="0.25">
      <c r="A8150" s="14">
        <v>998926</v>
      </c>
      <c r="B8150" s="14" t="s">
        <v>8262</v>
      </c>
      <c r="C8150" s="14" t="s">
        <v>13030</v>
      </c>
      <c r="D8150" s="15">
        <v>57.2</v>
      </c>
      <c r="E8150" s="16" t="s">
        <v>30</v>
      </c>
    </row>
    <row r="8151" spans="1:5" x14ac:dyDescent="0.25">
      <c r="A8151" s="14">
        <v>998927</v>
      </c>
      <c r="B8151" s="14" t="s">
        <v>8263</v>
      </c>
      <c r="C8151" s="14" t="s">
        <v>13030</v>
      </c>
      <c r="D8151" s="15">
        <v>57.2</v>
      </c>
      <c r="E8151" s="16" t="s">
        <v>30</v>
      </c>
    </row>
    <row r="8152" spans="1:5" x14ac:dyDescent="0.25">
      <c r="A8152" s="14">
        <v>998928</v>
      </c>
      <c r="B8152" s="14" t="s">
        <v>8264</v>
      </c>
      <c r="C8152" s="14" t="s">
        <v>13030</v>
      </c>
      <c r="D8152" s="15">
        <v>57.97</v>
      </c>
      <c r="E8152" s="16" t="s">
        <v>30</v>
      </c>
    </row>
    <row r="8153" spans="1:5" x14ac:dyDescent="0.25">
      <c r="A8153" s="14">
        <v>998929</v>
      </c>
      <c r="B8153" s="14" t="s">
        <v>8265</v>
      </c>
      <c r="C8153" s="14" t="s">
        <v>13030</v>
      </c>
      <c r="D8153" s="15">
        <v>109.32</v>
      </c>
      <c r="E8153" s="16" t="s">
        <v>30</v>
      </c>
    </row>
    <row r="8154" spans="1:5" x14ac:dyDescent="0.25">
      <c r="A8154" s="14">
        <v>998930</v>
      </c>
      <c r="B8154" s="14" t="s">
        <v>8266</v>
      </c>
      <c r="C8154" s="14" t="s">
        <v>13030</v>
      </c>
      <c r="D8154" s="15">
        <v>8.73</v>
      </c>
      <c r="E8154" s="16" t="s">
        <v>30</v>
      </c>
    </row>
    <row r="8155" spans="1:5" x14ac:dyDescent="0.25">
      <c r="A8155" s="14">
        <v>998935</v>
      </c>
      <c r="B8155" s="14" t="s">
        <v>8267</v>
      </c>
      <c r="C8155" s="14" t="s">
        <v>13029</v>
      </c>
      <c r="D8155" s="15">
        <v>2.8</v>
      </c>
      <c r="E8155" s="16" t="s">
        <v>30</v>
      </c>
    </row>
    <row r="8156" spans="1:5" x14ac:dyDescent="0.25">
      <c r="A8156" s="14">
        <v>998936</v>
      </c>
      <c r="B8156" s="14" t="s">
        <v>8268</v>
      </c>
      <c r="C8156" s="14" t="s">
        <v>13029</v>
      </c>
      <c r="D8156" s="15">
        <v>2.8</v>
      </c>
      <c r="E8156" s="16" t="s">
        <v>30</v>
      </c>
    </row>
    <row r="8157" spans="1:5" x14ac:dyDescent="0.25">
      <c r="A8157" s="14">
        <v>998937</v>
      </c>
      <c r="B8157" s="14" t="s">
        <v>8269</v>
      </c>
      <c r="C8157" s="14" t="s">
        <v>13029</v>
      </c>
      <c r="D8157" s="15">
        <v>2.8</v>
      </c>
      <c r="E8157" s="16" t="s">
        <v>30</v>
      </c>
    </row>
    <row r="8158" spans="1:5" x14ac:dyDescent="0.25">
      <c r="A8158" s="14">
        <v>998938</v>
      </c>
      <c r="B8158" s="14" t="s">
        <v>8270</v>
      </c>
      <c r="C8158" s="14" t="s">
        <v>13029</v>
      </c>
      <c r="D8158" s="15">
        <v>5.03</v>
      </c>
      <c r="E8158" s="14" t="s">
        <v>30</v>
      </c>
    </row>
    <row r="8159" spans="1:5" x14ac:dyDescent="0.25">
      <c r="A8159" s="14">
        <v>998939</v>
      </c>
      <c r="B8159" s="14" t="s">
        <v>8271</v>
      </c>
      <c r="C8159" s="14" t="s">
        <v>13029</v>
      </c>
      <c r="D8159" s="15">
        <v>5.03</v>
      </c>
      <c r="E8159" s="16" t="s">
        <v>30</v>
      </c>
    </row>
    <row r="8160" spans="1:5" x14ac:dyDescent="0.25">
      <c r="A8160" s="14">
        <v>998940</v>
      </c>
      <c r="B8160" s="14" t="s">
        <v>8272</v>
      </c>
      <c r="C8160" s="14" t="s">
        <v>13029</v>
      </c>
      <c r="D8160" s="15">
        <v>5.24</v>
      </c>
      <c r="E8160" s="16" t="s">
        <v>30</v>
      </c>
    </row>
    <row r="8161" spans="1:5" x14ac:dyDescent="0.25">
      <c r="A8161" s="14">
        <v>998941</v>
      </c>
      <c r="B8161" s="14" t="s">
        <v>8273</v>
      </c>
      <c r="C8161" s="14" t="s">
        <v>13029</v>
      </c>
      <c r="D8161" s="15">
        <v>5.24</v>
      </c>
      <c r="E8161" s="16" t="s">
        <v>30</v>
      </c>
    </row>
    <row r="8162" spans="1:5" x14ac:dyDescent="0.25">
      <c r="A8162" s="14">
        <v>998942</v>
      </c>
      <c r="B8162" s="14" t="s">
        <v>8274</v>
      </c>
      <c r="C8162" s="14" t="s">
        <v>13029</v>
      </c>
      <c r="D8162" s="15">
        <v>5.24</v>
      </c>
      <c r="E8162" s="16" t="s">
        <v>30</v>
      </c>
    </row>
    <row r="8163" spans="1:5" x14ac:dyDescent="0.25">
      <c r="A8163" s="14">
        <v>998975</v>
      </c>
      <c r="B8163" s="14" t="s">
        <v>8275</v>
      </c>
      <c r="C8163" s="14" t="s">
        <v>13031</v>
      </c>
      <c r="D8163" s="15">
        <v>11.24</v>
      </c>
      <c r="E8163" s="14" t="s">
        <v>30</v>
      </c>
    </row>
    <row r="8164" spans="1:5" x14ac:dyDescent="0.25">
      <c r="A8164" s="14">
        <v>998976</v>
      </c>
      <c r="B8164" s="14" t="s">
        <v>8276</v>
      </c>
      <c r="C8164" s="14" t="s">
        <v>13031</v>
      </c>
      <c r="D8164" s="15">
        <v>14.54</v>
      </c>
      <c r="E8164" s="14" t="s">
        <v>30</v>
      </c>
    </row>
    <row r="8165" spans="1:5" x14ac:dyDescent="0.25">
      <c r="A8165" s="14">
        <v>998977</v>
      </c>
      <c r="B8165" s="14" t="s">
        <v>8277</v>
      </c>
      <c r="C8165" s="14" t="s">
        <v>13031</v>
      </c>
      <c r="D8165" s="15">
        <v>25.12</v>
      </c>
      <c r="E8165" s="14" t="s">
        <v>30</v>
      </c>
    </row>
    <row r="8166" spans="1:5" x14ac:dyDescent="0.25">
      <c r="A8166" s="14">
        <v>999066</v>
      </c>
      <c r="B8166" s="14" t="s">
        <v>8278</v>
      </c>
      <c r="C8166" s="14" t="s">
        <v>13030</v>
      </c>
      <c r="D8166" s="15">
        <v>84.4</v>
      </c>
      <c r="E8166" s="16" t="s">
        <v>30</v>
      </c>
    </row>
    <row r="8167" spans="1:5" x14ac:dyDescent="0.25">
      <c r="A8167" s="14">
        <v>999067</v>
      </c>
      <c r="B8167" s="14" t="s">
        <v>8279</v>
      </c>
      <c r="C8167" s="14" t="s">
        <v>13030</v>
      </c>
      <c r="D8167" s="15">
        <v>260.95999999999998</v>
      </c>
      <c r="E8167" s="16" t="s">
        <v>30</v>
      </c>
    </row>
    <row r="8168" spans="1:5" x14ac:dyDescent="0.25">
      <c r="A8168" s="14">
        <v>999071</v>
      </c>
      <c r="B8168" s="14" t="s">
        <v>8280</v>
      </c>
      <c r="C8168" s="14" t="s">
        <v>13030</v>
      </c>
      <c r="D8168" s="15">
        <v>39.86</v>
      </c>
      <c r="E8168" s="16" t="s">
        <v>30</v>
      </c>
    </row>
    <row r="8169" spans="1:5" x14ac:dyDescent="0.25">
      <c r="A8169" s="14">
        <v>999072</v>
      </c>
      <c r="B8169" s="14" t="s">
        <v>8281</v>
      </c>
      <c r="C8169" s="14" t="s">
        <v>13030</v>
      </c>
      <c r="D8169" s="15">
        <v>56.31</v>
      </c>
      <c r="E8169" s="16" t="s">
        <v>30</v>
      </c>
    </row>
    <row r="8170" spans="1:5" x14ac:dyDescent="0.25">
      <c r="A8170" s="14">
        <v>999073</v>
      </c>
      <c r="B8170" s="14" t="s">
        <v>8282</v>
      </c>
      <c r="C8170" s="14" t="s">
        <v>13030</v>
      </c>
      <c r="D8170" s="15">
        <v>56.31</v>
      </c>
      <c r="E8170" s="16" t="s">
        <v>30</v>
      </c>
    </row>
    <row r="8171" spans="1:5" x14ac:dyDescent="0.25">
      <c r="A8171" s="14">
        <v>999074</v>
      </c>
      <c r="B8171" s="14" t="s">
        <v>8283</v>
      </c>
      <c r="C8171" s="14" t="s">
        <v>13030</v>
      </c>
      <c r="D8171" s="15">
        <v>43.39</v>
      </c>
      <c r="E8171" s="16" t="s">
        <v>30</v>
      </c>
    </row>
    <row r="8172" spans="1:5" x14ac:dyDescent="0.25">
      <c r="A8172" s="14">
        <v>999075</v>
      </c>
      <c r="B8172" s="14" t="s">
        <v>8284</v>
      </c>
      <c r="C8172" s="14" t="s">
        <v>13030</v>
      </c>
      <c r="D8172" s="15">
        <v>56.31</v>
      </c>
      <c r="E8172" s="16" t="s">
        <v>30</v>
      </c>
    </row>
    <row r="8173" spans="1:5" x14ac:dyDescent="0.25">
      <c r="A8173" s="14">
        <v>999076</v>
      </c>
      <c r="B8173" s="14" t="s">
        <v>8285</v>
      </c>
      <c r="C8173" s="14" t="s">
        <v>13030</v>
      </c>
      <c r="D8173" s="15">
        <v>50.62</v>
      </c>
      <c r="E8173" s="16" t="s">
        <v>30</v>
      </c>
    </row>
    <row r="8174" spans="1:5" x14ac:dyDescent="0.25">
      <c r="A8174" s="14">
        <v>999077</v>
      </c>
      <c r="B8174" s="14" t="s">
        <v>8286</v>
      </c>
      <c r="C8174" s="14" t="s">
        <v>13030</v>
      </c>
      <c r="D8174" s="15">
        <v>71.59</v>
      </c>
      <c r="E8174" s="16" t="s">
        <v>30</v>
      </c>
    </row>
    <row r="8175" spans="1:5" x14ac:dyDescent="0.25">
      <c r="A8175" s="14">
        <v>999078</v>
      </c>
      <c r="B8175" s="14" t="s">
        <v>8287</v>
      </c>
      <c r="C8175" s="14" t="s">
        <v>13030</v>
      </c>
      <c r="D8175" s="15">
        <v>55.71</v>
      </c>
      <c r="E8175" s="16" t="s">
        <v>30</v>
      </c>
    </row>
    <row r="8176" spans="1:5" x14ac:dyDescent="0.25">
      <c r="A8176" s="14">
        <v>999079</v>
      </c>
      <c r="B8176" s="14" t="s">
        <v>8288</v>
      </c>
      <c r="C8176" s="14" t="s">
        <v>13030</v>
      </c>
      <c r="D8176" s="15">
        <v>39.75</v>
      </c>
      <c r="E8176" s="16" t="s">
        <v>30</v>
      </c>
    </row>
    <row r="8177" spans="1:5" x14ac:dyDescent="0.25">
      <c r="A8177" s="14">
        <v>999093</v>
      </c>
      <c r="B8177" s="14" t="s">
        <v>8289</v>
      </c>
      <c r="C8177" s="14" t="s">
        <v>13029</v>
      </c>
      <c r="D8177" s="15">
        <v>7.11</v>
      </c>
      <c r="E8177" s="14" t="s">
        <v>30</v>
      </c>
    </row>
    <row r="8178" spans="1:5" x14ac:dyDescent="0.25">
      <c r="A8178" s="14">
        <v>999094</v>
      </c>
      <c r="B8178" s="14" t="s">
        <v>8290</v>
      </c>
      <c r="C8178" s="14" t="s">
        <v>13030</v>
      </c>
      <c r="D8178" s="15">
        <v>87.49</v>
      </c>
      <c r="E8178" s="16" t="s">
        <v>30</v>
      </c>
    </row>
    <row r="8179" spans="1:5" x14ac:dyDescent="0.25">
      <c r="A8179" s="14">
        <v>999095</v>
      </c>
      <c r="B8179" s="14" t="s">
        <v>8291</v>
      </c>
      <c r="C8179" s="14" t="s">
        <v>13030</v>
      </c>
      <c r="D8179" s="15">
        <v>15.05</v>
      </c>
      <c r="E8179" s="16" t="s">
        <v>30</v>
      </c>
    </row>
    <row r="8180" spans="1:5" x14ac:dyDescent="0.25">
      <c r="A8180" s="14">
        <v>999220</v>
      </c>
      <c r="B8180" s="14" t="s">
        <v>8292</v>
      </c>
      <c r="C8180" s="14" t="s">
        <v>13030</v>
      </c>
      <c r="D8180" s="15">
        <v>48.22</v>
      </c>
      <c r="E8180" s="16" t="s">
        <v>30</v>
      </c>
    </row>
    <row r="8181" spans="1:5" x14ac:dyDescent="0.25">
      <c r="A8181" s="14">
        <v>999664</v>
      </c>
      <c r="B8181" s="14" t="s">
        <v>8293</v>
      </c>
      <c r="C8181" s="14" t="s">
        <v>13029</v>
      </c>
      <c r="D8181" s="15">
        <v>29.6</v>
      </c>
      <c r="E8181" s="16" t="s">
        <v>30</v>
      </c>
    </row>
    <row r="8182" spans="1:5" x14ac:dyDescent="0.25">
      <c r="A8182" s="14">
        <v>999665</v>
      </c>
      <c r="B8182" s="14" t="s">
        <v>8294</v>
      </c>
      <c r="C8182" s="14" t="s">
        <v>13029</v>
      </c>
      <c r="D8182" s="15">
        <v>31.97</v>
      </c>
      <c r="E8182" s="16" t="s">
        <v>30</v>
      </c>
    </row>
    <row r="8183" spans="1:5" x14ac:dyDescent="0.25">
      <c r="A8183" s="14">
        <v>999666</v>
      </c>
      <c r="B8183" s="14" t="s">
        <v>8295</v>
      </c>
      <c r="C8183" s="14" t="s">
        <v>13029</v>
      </c>
      <c r="D8183" s="15">
        <v>25.45</v>
      </c>
      <c r="E8183" s="16" t="s">
        <v>30</v>
      </c>
    </row>
    <row r="8184" spans="1:5" x14ac:dyDescent="0.25">
      <c r="A8184" s="14">
        <v>999667</v>
      </c>
      <c r="B8184" s="14" t="s">
        <v>8296</v>
      </c>
      <c r="C8184" s="14" t="s">
        <v>13029</v>
      </c>
      <c r="D8184" s="15">
        <v>30.19</v>
      </c>
      <c r="E8184" s="16" t="s">
        <v>30</v>
      </c>
    </row>
    <row r="8185" spans="1:5" x14ac:dyDescent="0.25">
      <c r="A8185" s="14">
        <v>999668</v>
      </c>
      <c r="B8185" s="14" t="s">
        <v>8297</v>
      </c>
      <c r="C8185" s="14" t="s">
        <v>13029</v>
      </c>
      <c r="D8185" s="15">
        <v>36.72</v>
      </c>
      <c r="E8185" s="16" t="s">
        <v>30</v>
      </c>
    </row>
    <row r="8186" spans="1:5" x14ac:dyDescent="0.25">
      <c r="A8186" s="14">
        <v>999669</v>
      </c>
      <c r="B8186" s="14" t="s">
        <v>8298</v>
      </c>
      <c r="C8186" s="14" t="s">
        <v>13029</v>
      </c>
      <c r="D8186" s="15">
        <v>27.82</v>
      </c>
      <c r="E8186" s="16" t="s">
        <v>30</v>
      </c>
    </row>
    <row r="8187" spans="1:5" x14ac:dyDescent="0.25">
      <c r="A8187" s="14">
        <v>999670</v>
      </c>
      <c r="B8187" s="14" t="s">
        <v>8299</v>
      </c>
      <c r="C8187" s="14" t="s">
        <v>13029</v>
      </c>
      <c r="D8187" s="15">
        <v>22.48</v>
      </c>
      <c r="E8187" s="16" t="s">
        <v>30</v>
      </c>
    </row>
    <row r="8188" spans="1:5" x14ac:dyDescent="0.25">
      <c r="A8188" s="14">
        <v>999674</v>
      </c>
      <c r="B8188" s="14" t="s">
        <v>8300</v>
      </c>
      <c r="C8188" s="14" t="s">
        <v>13029</v>
      </c>
      <c r="D8188" s="15">
        <v>38.07</v>
      </c>
      <c r="E8188" s="16" t="s">
        <v>30</v>
      </c>
    </row>
    <row r="8189" spans="1:5" x14ac:dyDescent="0.25">
      <c r="A8189" s="14">
        <v>999675</v>
      </c>
      <c r="B8189" s="14" t="s">
        <v>8301</v>
      </c>
      <c r="C8189" s="14" t="s">
        <v>13029</v>
      </c>
      <c r="D8189" s="15">
        <v>44.43</v>
      </c>
      <c r="E8189" s="16" t="s">
        <v>30</v>
      </c>
    </row>
    <row r="8190" spans="1:5" x14ac:dyDescent="0.25">
      <c r="A8190" s="14">
        <v>999676</v>
      </c>
      <c r="B8190" s="14" t="s">
        <v>8302</v>
      </c>
      <c r="C8190" s="14" t="s">
        <v>13029</v>
      </c>
      <c r="D8190" s="15">
        <v>5.78</v>
      </c>
      <c r="E8190" s="16" t="s">
        <v>30</v>
      </c>
    </row>
    <row r="8191" spans="1:5" x14ac:dyDescent="0.25">
      <c r="A8191" s="14">
        <v>1000099</v>
      </c>
      <c r="B8191" s="14" t="s">
        <v>8303</v>
      </c>
      <c r="C8191" s="14" t="s">
        <v>13031</v>
      </c>
      <c r="D8191" s="15">
        <v>8.84</v>
      </c>
      <c r="E8191" s="16" t="s">
        <v>30</v>
      </c>
    </row>
    <row r="8192" spans="1:5" x14ac:dyDescent="0.25">
      <c r="A8192" s="14">
        <v>1000100</v>
      </c>
      <c r="B8192" s="14" t="s">
        <v>8304</v>
      </c>
      <c r="C8192" s="14" t="s">
        <v>13031</v>
      </c>
      <c r="D8192" s="15">
        <v>8.84</v>
      </c>
      <c r="E8192" s="16" t="s">
        <v>30</v>
      </c>
    </row>
    <row r="8193" spans="1:5" x14ac:dyDescent="0.25">
      <c r="A8193" s="14">
        <v>1000181</v>
      </c>
      <c r="B8193" s="14" t="s">
        <v>8305</v>
      </c>
      <c r="C8193" s="14" t="s">
        <v>13031</v>
      </c>
      <c r="D8193" s="15">
        <v>12.75</v>
      </c>
      <c r="E8193" s="16" t="s">
        <v>30</v>
      </c>
    </row>
    <row r="8194" spans="1:5" x14ac:dyDescent="0.25">
      <c r="A8194" s="14">
        <v>1000182</v>
      </c>
      <c r="B8194" s="14" t="s">
        <v>8306</v>
      </c>
      <c r="C8194" s="14" t="s">
        <v>13031</v>
      </c>
      <c r="D8194" s="15">
        <v>8.6</v>
      </c>
      <c r="E8194" s="16" t="s">
        <v>30</v>
      </c>
    </row>
    <row r="8195" spans="1:5" x14ac:dyDescent="0.25">
      <c r="A8195" s="14">
        <v>1000185</v>
      </c>
      <c r="B8195" s="14" t="s">
        <v>8307</v>
      </c>
      <c r="C8195" s="14" t="s">
        <v>13031</v>
      </c>
      <c r="D8195" s="15">
        <v>26.6</v>
      </c>
      <c r="E8195" s="14" t="s">
        <v>30</v>
      </c>
    </row>
    <row r="8196" spans="1:5" x14ac:dyDescent="0.25">
      <c r="A8196" s="14">
        <v>1000217</v>
      </c>
      <c r="B8196" s="14" t="s">
        <v>8308</v>
      </c>
      <c r="C8196" s="14" t="s">
        <v>13029</v>
      </c>
      <c r="D8196" s="15">
        <v>30.55</v>
      </c>
      <c r="E8196" s="16" t="s">
        <v>30</v>
      </c>
    </row>
    <row r="8197" spans="1:5" x14ac:dyDescent="0.25">
      <c r="A8197" s="14">
        <v>1000220</v>
      </c>
      <c r="B8197" s="14" t="s">
        <v>8309</v>
      </c>
      <c r="C8197" s="14" t="s">
        <v>13030</v>
      </c>
      <c r="D8197" s="15">
        <v>22.72</v>
      </c>
      <c r="E8197" s="16" t="s">
        <v>30</v>
      </c>
    </row>
    <row r="8198" spans="1:5" x14ac:dyDescent="0.25">
      <c r="A8198" s="14">
        <v>1000619</v>
      </c>
      <c r="B8198" s="14" t="s">
        <v>8310</v>
      </c>
      <c r="C8198" s="14" t="s">
        <v>13031</v>
      </c>
      <c r="D8198" s="15">
        <v>13.42</v>
      </c>
      <c r="E8198" s="16" t="s">
        <v>30</v>
      </c>
    </row>
    <row r="8199" spans="1:5" x14ac:dyDescent="0.25">
      <c r="A8199" s="14">
        <v>1000620</v>
      </c>
      <c r="B8199" s="14" t="s">
        <v>8311</v>
      </c>
      <c r="C8199" s="14" t="s">
        <v>13031</v>
      </c>
      <c r="D8199" s="15">
        <v>9.32</v>
      </c>
      <c r="E8199" s="16" t="s">
        <v>30</v>
      </c>
    </row>
    <row r="8200" spans="1:5" x14ac:dyDescent="0.25">
      <c r="A8200" s="14">
        <v>1000621</v>
      </c>
      <c r="B8200" s="14" t="s">
        <v>8312</v>
      </c>
      <c r="C8200" s="14" t="s">
        <v>13031</v>
      </c>
      <c r="D8200" s="15">
        <v>7</v>
      </c>
      <c r="E8200" s="16" t="s">
        <v>30</v>
      </c>
    </row>
    <row r="8201" spans="1:5" x14ac:dyDescent="0.25">
      <c r="A8201" s="14">
        <v>1000622</v>
      </c>
      <c r="B8201" s="14" t="s">
        <v>8313</v>
      </c>
      <c r="C8201" s="14" t="s">
        <v>13031</v>
      </c>
      <c r="D8201" s="15">
        <v>5.0599999999999996</v>
      </c>
      <c r="E8201" s="16" t="s">
        <v>30</v>
      </c>
    </row>
    <row r="8202" spans="1:5" x14ac:dyDescent="0.25">
      <c r="A8202" s="14">
        <v>1000623</v>
      </c>
      <c r="B8202" s="14" t="s">
        <v>8314</v>
      </c>
      <c r="C8202" s="14" t="s">
        <v>13031</v>
      </c>
      <c r="D8202" s="15">
        <v>9.33</v>
      </c>
      <c r="E8202" s="16" t="s">
        <v>30</v>
      </c>
    </row>
    <row r="8203" spans="1:5" x14ac:dyDescent="0.25">
      <c r="A8203" s="14">
        <v>1000624</v>
      </c>
      <c r="B8203" s="14" t="s">
        <v>8315</v>
      </c>
      <c r="C8203" s="14" t="s">
        <v>13031</v>
      </c>
      <c r="D8203" s="15">
        <v>4.01</v>
      </c>
      <c r="E8203" s="16" t="s">
        <v>30</v>
      </c>
    </row>
    <row r="8204" spans="1:5" x14ac:dyDescent="0.25">
      <c r="A8204" s="14">
        <v>1000625</v>
      </c>
      <c r="B8204" s="14" t="s">
        <v>8316</v>
      </c>
      <c r="C8204" s="14" t="s">
        <v>13031</v>
      </c>
      <c r="D8204" s="15">
        <v>5.87</v>
      </c>
      <c r="E8204" s="16" t="s">
        <v>30</v>
      </c>
    </row>
    <row r="8205" spans="1:5" x14ac:dyDescent="0.25">
      <c r="A8205" s="14">
        <v>1000626</v>
      </c>
      <c r="B8205" s="14" t="s">
        <v>8317</v>
      </c>
      <c r="C8205" s="14" t="s">
        <v>13031</v>
      </c>
      <c r="D8205" s="15">
        <v>20.09</v>
      </c>
      <c r="E8205" s="16" t="s">
        <v>30</v>
      </c>
    </row>
    <row r="8206" spans="1:5" x14ac:dyDescent="0.25">
      <c r="A8206" s="14">
        <v>1000709</v>
      </c>
      <c r="B8206" s="14" t="s">
        <v>8318</v>
      </c>
      <c r="C8206" s="14" t="s">
        <v>13030</v>
      </c>
      <c r="D8206" s="15">
        <v>54.64</v>
      </c>
      <c r="E8206" s="16" t="s">
        <v>30</v>
      </c>
    </row>
    <row r="8207" spans="1:5" x14ac:dyDescent="0.25">
      <c r="A8207" s="14">
        <v>986671</v>
      </c>
      <c r="B8207" s="14" t="s">
        <v>8319</v>
      </c>
      <c r="C8207" s="14" t="s">
        <v>13031</v>
      </c>
      <c r="D8207" s="15">
        <v>12.5</v>
      </c>
      <c r="E8207" s="16" t="s">
        <v>20</v>
      </c>
    </row>
    <row r="8208" spans="1:5" x14ac:dyDescent="0.25">
      <c r="A8208" s="14">
        <v>1000710</v>
      </c>
      <c r="B8208" s="14" t="s">
        <v>8320</v>
      </c>
      <c r="C8208" s="14" t="s">
        <v>13030</v>
      </c>
      <c r="D8208" s="15">
        <v>125.31</v>
      </c>
      <c r="E8208" s="16" t="s">
        <v>30</v>
      </c>
    </row>
    <row r="8209" spans="1:5" x14ac:dyDescent="0.25">
      <c r="A8209" s="14">
        <v>1000711</v>
      </c>
      <c r="B8209" s="14" t="s">
        <v>8321</v>
      </c>
      <c r="C8209" s="14" t="s">
        <v>13030</v>
      </c>
      <c r="D8209" s="15">
        <v>70.209999999999994</v>
      </c>
      <c r="E8209" s="16" t="s">
        <v>30</v>
      </c>
    </row>
    <row r="8210" spans="1:5" x14ac:dyDescent="0.25">
      <c r="A8210" s="14">
        <v>1000809</v>
      </c>
      <c r="B8210" s="14" t="s">
        <v>8322</v>
      </c>
      <c r="C8210" s="14" t="s">
        <v>13031</v>
      </c>
      <c r="D8210" s="15">
        <v>2.73</v>
      </c>
      <c r="E8210" s="16" t="s">
        <v>30</v>
      </c>
    </row>
    <row r="8211" spans="1:5" x14ac:dyDescent="0.25">
      <c r="A8211" s="14">
        <v>1000810</v>
      </c>
      <c r="B8211" s="14" t="s">
        <v>8323</v>
      </c>
      <c r="C8211" s="14" t="s">
        <v>13031</v>
      </c>
      <c r="D8211" s="15">
        <v>2.73</v>
      </c>
      <c r="E8211" s="16" t="s">
        <v>30</v>
      </c>
    </row>
    <row r="8212" spans="1:5" x14ac:dyDescent="0.25">
      <c r="A8212" s="14">
        <v>986672</v>
      </c>
      <c r="B8212" s="14" t="s">
        <v>8324</v>
      </c>
      <c r="C8212" s="14" t="s">
        <v>13031</v>
      </c>
      <c r="D8212" s="15">
        <v>7.6</v>
      </c>
      <c r="E8212" s="16" t="s">
        <v>20</v>
      </c>
    </row>
    <row r="8213" spans="1:5" x14ac:dyDescent="0.25">
      <c r="A8213" s="14">
        <v>1000811</v>
      </c>
      <c r="B8213" s="14" t="s">
        <v>8325</v>
      </c>
      <c r="C8213" s="14" t="s">
        <v>13031</v>
      </c>
      <c r="D8213" s="15">
        <v>2.73</v>
      </c>
      <c r="E8213" s="16" t="s">
        <v>30</v>
      </c>
    </row>
    <row r="8214" spans="1:5" x14ac:dyDescent="0.25">
      <c r="A8214" s="14">
        <v>990906</v>
      </c>
      <c r="B8214" s="14" t="s">
        <v>8326</v>
      </c>
      <c r="C8214" s="14" t="s">
        <v>13030</v>
      </c>
      <c r="D8214" s="15">
        <v>77.06</v>
      </c>
      <c r="E8214" s="16" t="s">
        <v>20</v>
      </c>
    </row>
    <row r="8215" spans="1:5" x14ac:dyDescent="0.25">
      <c r="A8215" s="14">
        <v>990907</v>
      </c>
      <c r="B8215" s="14" t="s">
        <v>8327</v>
      </c>
      <c r="C8215" s="14" t="s">
        <v>13030</v>
      </c>
      <c r="D8215" s="15">
        <v>63.2</v>
      </c>
      <c r="E8215" s="16" t="s">
        <v>20</v>
      </c>
    </row>
    <row r="8216" spans="1:5" x14ac:dyDescent="0.25">
      <c r="A8216" s="14">
        <v>1000812</v>
      </c>
      <c r="B8216" s="14" t="s">
        <v>8328</v>
      </c>
      <c r="C8216" s="14" t="s">
        <v>13031</v>
      </c>
      <c r="D8216" s="15">
        <v>2.73</v>
      </c>
      <c r="E8216" s="16" t="s">
        <v>30</v>
      </c>
    </row>
    <row r="8217" spans="1:5" x14ac:dyDescent="0.25">
      <c r="A8217" s="14">
        <v>1000813</v>
      </c>
      <c r="B8217" s="14" t="s">
        <v>8329</v>
      </c>
      <c r="C8217" s="14" t="s">
        <v>13031</v>
      </c>
      <c r="D8217" s="15">
        <v>12.3</v>
      </c>
      <c r="E8217" s="16" t="s">
        <v>30</v>
      </c>
    </row>
    <row r="8218" spans="1:5" x14ac:dyDescent="0.25">
      <c r="A8218" s="14">
        <v>1000814</v>
      </c>
      <c r="B8218" s="14" t="s">
        <v>8330</v>
      </c>
      <c r="C8218" s="14" t="s">
        <v>13031</v>
      </c>
      <c r="D8218" s="15">
        <v>25.2</v>
      </c>
      <c r="E8218" s="16" t="s">
        <v>30</v>
      </c>
    </row>
    <row r="8219" spans="1:5" x14ac:dyDescent="0.25">
      <c r="A8219" s="14">
        <v>1000815</v>
      </c>
      <c r="B8219" s="14" t="s">
        <v>8331</v>
      </c>
      <c r="C8219" s="14" t="s">
        <v>13031</v>
      </c>
      <c r="D8219" s="15">
        <v>12.3</v>
      </c>
      <c r="E8219" s="16" t="s">
        <v>30</v>
      </c>
    </row>
    <row r="8220" spans="1:5" x14ac:dyDescent="0.25">
      <c r="A8220" s="14">
        <v>1000936</v>
      </c>
      <c r="B8220" s="14" t="s">
        <v>8332</v>
      </c>
      <c r="C8220" s="14" t="s">
        <v>13029</v>
      </c>
      <c r="D8220" s="15">
        <v>6.73</v>
      </c>
      <c r="E8220" s="16" t="s">
        <v>30</v>
      </c>
    </row>
    <row r="8221" spans="1:5" x14ac:dyDescent="0.25">
      <c r="A8221" s="14">
        <v>1000937</v>
      </c>
      <c r="B8221" s="14" t="s">
        <v>8333</v>
      </c>
      <c r="C8221" s="14" t="s">
        <v>13029</v>
      </c>
      <c r="D8221" s="15">
        <v>11.55</v>
      </c>
      <c r="E8221" s="16" t="s">
        <v>30</v>
      </c>
    </row>
    <row r="8222" spans="1:5" x14ac:dyDescent="0.25">
      <c r="A8222" s="14">
        <v>1001124</v>
      </c>
      <c r="B8222" s="14" t="s">
        <v>8334</v>
      </c>
      <c r="C8222" s="14" t="s">
        <v>13029</v>
      </c>
      <c r="D8222" s="15">
        <v>7.48</v>
      </c>
      <c r="E8222" s="14" t="s">
        <v>30</v>
      </c>
    </row>
    <row r="8223" spans="1:5" x14ac:dyDescent="0.25">
      <c r="A8223" s="14">
        <v>986673</v>
      </c>
      <c r="B8223" s="14" t="s">
        <v>8335</v>
      </c>
      <c r="C8223" s="14" t="s">
        <v>13031</v>
      </c>
      <c r="D8223" s="15">
        <v>11.5</v>
      </c>
      <c r="E8223" s="16" t="s">
        <v>20</v>
      </c>
    </row>
    <row r="8224" spans="1:5" x14ac:dyDescent="0.25">
      <c r="A8224" s="14">
        <v>1001127</v>
      </c>
      <c r="B8224" s="14" t="s">
        <v>8336</v>
      </c>
      <c r="C8224" s="14" t="s">
        <v>13029</v>
      </c>
      <c r="D8224" s="15">
        <v>65.2</v>
      </c>
      <c r="E8224" s="14" t="s">
        <v>30</v>
      </c>
    </row>
    <row r="8225" spans="1:5" x14ac:dyDescent="0.25">
      <c r="A8225" s="14">
        <v>1001128</v>
      </c>
      <c r="B8225" s="14" t="s">
        <v>8337</v>
      </c>
      <c r="C8225" s="14" t="s">
        <v>13029</v>
      </c>
      <c r="D8225" s="15">
        <v>65.2</v>
      </c>
      <c r="E8225" s="14" t="s">
        <v>30</v>
      </c>
    </row>
    <row r="8226" spans="1:5" x14ac:dyDescent="0.25">
      <c r="A8226" s="14">
        <v>1001138</v>
      </c>
      <c r="B8226" s="14" t="s">
        <v>8338</v>
      </c>
      <c r="C8226" s="14" t="s">
        <v>13031</v>
      </c>
      <c r="D8226" s="15">
        <v>20.16</v>
      </c>
      <c r="E8226" s="16" t="s">
        <v>30</v>
      </c>
    </row>
    <row r="8227" spans="1:5" x14ac:dyDescent="0.25">
      <c r="A8227" s="14">
        <v>1001139</v>
      </c>
      <c r="B8227" s="14" t="s">
        <v>8339</v>
      </c>
      <c r="C8227" s="14" t="s">
        <v>13031</v>
      </c>
      <c r="D8227" s="15">
        <v>27.01</v>
      </c>
      <c r="E8227" s="16" t="s">
        <v>30</v>
      </c>
    </row>
    <row r="8228" spans="1:5" x14ac:dyDescent="0.25">
      <c r="A8228" s="14">
        <v>1001140</v>
      </c>
      <c r="B8228" s="14" t="s">
        <v>8340</v>
      </c>
      <c r="C8228" s="14" t="s">
        <v>13031</v>
      </c>
      <c r="D8228" s="15">
        <v>26.48</v>
      </c>
      <c r="E8228" s="16" t="s">
        <v>30</v>
      </c>
    </row>
    <row r="8229" spans="1:5" x14ac:dyDescent="0.25">
      <c r="A8229" s="14">
        <v>1001141</v>
      </c>
      <c r="B8229" s="14" t="s">
        <v>8341</v>
      </c>
      <c r="C8229" s="14" t="s">
        <v>13031</v>
      </c>
      <c r="D8229" s="15">
        <v>19.66</v>
      </c>
      <c r="E8229" s="16" t="s">
        <v>30</v>
      </c>
    </row>
    <row r="8230" spans="1:5" x14ac:dyDescent="0.25">
      <c r="A8230" s="14">
        <v>1001142</v>
      </c>
      <c r="B8230" s="14" t="s">
        <v>8342</v>
      </c>
      <c r="C8230" s="14" t="s">
        <v>13031</v>
      </c>
      <c r="D8230" s="15">
        <v>23.2</v>
      </c>
      <c r="E8230" s="16" t="s">
        <v>30</v>
      </c>
    </row>
    <row r="8231" spans="1:5" x14ac:dyDescent="0.25">
      <c r="A8231" s="14">
        <v>1001387</v>
      </c>
      <c r="B8231" s="14" t="s">
        <v>8343</v>
      </c>
      <c r="C8231" s="14" t="s">
        <v>13030</v>
      </c>
      <c r="D8231" s="15">
        <v>28.75</v>
      </c>
      <c r="E8231" s="16" t="s">
        <v>30</v>
      </c>
    </row>
    <row r="8232" spans="1:5" x14ac:dyDescent="0.25">
      <c r="A8232" s="14">
        <v>1001388</v>
      </c>
      <c r="B8232" s="14" t="s">
        <v>8344</v>
      </c>
      <c r="C8232" s="14" t="s">
        <v>13030</v>
      </c>
      <c r="D8232" s="15">
        <v>28.75</v>
      </c>
      <c r="E8232" s="16" t="s">
        <v>30</v>
      </c>
    </row>
    <row r="8233" spans="1:5" x14ac:dyDescent="0.25">
      <c r="A8233" s="14">
        <v>1001389</v>
      </c>
      <c r="B8233" s="14" t="s">
        <v>8345</v>
      </c>
      <c r="C8233" s="14" t="s">
        <v>13030</v>
      </c>
      <c r="D8233" s="15">
        <v>28.75</v>
      </c>
      <c r="E8233" s="16" t="s">
        <v>30</v>
      </c>
    </row>
    <row r="8234" spans="1:5" x14ac:dyDescent="0.25">
      <c r="A8234" s="14">
        <v>1001390</v>
      </c>
      <c r="B8234" s="14" t="s">
        <v>8346</v>
      </c>
      <c r="C8234" s="14" t="s">
        <v>13030</v>
      </c>
      <c r="D8234" s="15">
        <v>28.75</v>
      </c>
      <c r="E8234" s="14" t="s">
        <v>30</v>
      </c>
    </row>
    <row r="8235" spans="1:5" x14ac:dyDescent="0.25">
      <c r="A8235" s="14">
        <v>1001397</v>
      </c>
      <c r="B8235" s="14" t="s">
        <v>8347</v>
      </c>
      <c r="C8235" s="14" t="s">
        <v>13030</v>
      </c>
      <c r="D8235" s="15">
        <v>24.58</v>
      </c>
      <c r="E8235" s="16" t="s">
        <v>30</v>
      </c>
    </row>
    <row r="8236" spans="1:5" x14ac:dyDescent="0.25">
      <c r="A8236" s="14">
        <v>1001398</v>
      </c>
      <c r="B8236" s="14" t="s">
        <v>45</v>
      </c>
      <c r="C8236" s="14" t="s">
        <v>13030</v>
      </c>
      <c r="D8236" s="15">
        <v>24.58</v>
      </c>
      <c r="E8236" s="16" t="s">
        <v>30</v>
      </c>
    </row>
    <row r="8237" spans="1:5" x14ac:dyDescent="0.25">
      <c r="A8237" s="14">
        <v>1001400</v>
      </c>
      <c r="B8237" s="14" t="s">
        <v>8348</v>
      </c>
      <c r="C8237" s="14" t="s">
        <v>13030</v>
      </c>
      <c r="D8237" s="15">
        <v>6.29</v>
      </c>
      <c r="E8237" s="16" t="s">
        <v>30</v>
      </c>
    </row>
    <row r="8238" spans="1:5" x14ac:dyDescent="0.25">
      <c r="A8238" s="14">
        <v>1001401</v>
      </c>
      <c r="B8238" s="14" t="s">
        <v>8349</v>
      </c>
      <c r="C8238" s="14" t="s">
        <v>13030</v>
      </c>
      <c r="D8238" s="15">
        <v>6.29</v>
      </c>
      <c r="E8238" s="14" t="s">
        <v>30</v>
      </c>
    </row>
    <row r="8239" spans="1:5" x14ac:dyDescent="0.25">
      <c r="A8239" s="14">
        <v>1001402</v>
      </c>
      <c r="B8239" s="14" t="s">
        <v>8350</v>
      </c>
      <c r="C8239" s="14" t="s">
        <v>13030</v>
      </c>
      <c r="D8239" s="15">
        <v>6.29</v>
      </c>
      <c r="E8239" s="14" t="s">
        <v>30</v>
      </c>
    </row>
    <row r="8240" spans="1:5" x14ac:dyDescent="0.25">
      <c r="A8240" s="14">
        <v>1001403</v>
      </c>
      <c r="B8240" s="14" t="s">
        <v>8351</v>
      </c>
      <c r="C8240" s="14" t="s">
        <v>13030</v>
      </c>
      <c r="D8240" s="15">
        <v>31.2</v>
      </c>
      <c r="E8240" s="14" t="s">
        <v>30</v>
      </c>
    </row>
    <row r="8241" spans="1:5" x14ac:dyDescent="0.25">
      <c r="A8241" s="14">
        <v>1001408</v>
      </c>
      <c r="B8241" s="14" t="s">
        <v>8352</v>
      </c>
      <c r="C8241" s="14" t="s">
        <v>13029</v>
      </c>
      <c r="D8241" s="15">
        <v>29.6</v>
      </c>
      <c r="E8241" s="16" t="s">
        <v>30</v>
      </c>
    </row>
    <row r="8242" spans="1:5" x14ac:dyDescent="0.25">
      <c r="A8242" s="14">
        <v>1001409</v>
      </c>
      <c r="B8242" s="14" t="s">
        <v>8353</v>
      </c>
      <c r="C8242" s="14" t="s">
        <v>13029</v>
      </c>
      <c r="D8242" s="15">
        <v>29.6</v>
      </c>
      <c r="E8242" s="16" t="s">
        <v>30</v>
      </c>
    </row>
    <row r="8243" spans="1:5" x14ac:dyDescent="0.25">
      <c r="A8243" s="14">
        <v>1001410</v>
      </c>
      <c r="B8243" s="14" t="s">
        <v>8354</v>
      </c>
      <c r="C8243" s="14" t="s">
        <v>13029</v>
      </c>
      <c r="D8243" s="15">
        <v>24.85</v>
      </c>
      <c r="E8243" s="16" t="s">
        <v>30</v>
      </c>
    </row>
    <row r="8244" spans="1:5" x14ac:dyDescent="0.25">
      <c r="A8244" s="14">
        <v>1001413</v>
      </c>
      <c r="B8244" s="14" t="s">
        <v>8355</v>
      </c>
      <c r="C8244" s="14" t="s">
        <v>13031</v>
      </c>
      <c r="D8244" s="15">
        <v>19.399999999999999</v>
      </c>
      <c r="E8244" s="14" t="s">
        <v>30</v>
      </c>
    </row>
    <row r="8245" spans="1:5" x14ac:dyDescent="0.25">
      <c r="A8245" s="14">
        <v>1001414</v>
      </c>
      <c r="B8245" s="14" t="s">
        <v>8356</v>
      </c>
      <c r="C8245" s="14" t="s">
        <v>13031</v>
      </c>
      <c r="D8245" s="15">
        <v>8.4600000000000009</v>
      </c>
      <c r="E8245" s="16" t="s">
        <v>30</v>
      </c>
    </row>
    <row r="8246" spans="1:5" x14ac:dyDescent="0.25">
      <c r="A8246" s="14">
        <v>1001415</v>
      </c>
      <c r="B8246" s="14" t="s">
        <v>8357</v>
      </c>
      <c r="C8246" s="14" t="s">
        <v>13031</v>
      </c>
      <c r="D8246" s="15">
        <v>8.89</v>
      </c>
      <c r="E8246" s="16" t="s">
        <v>30</v>
      </c>
    </row>
    <row r="8247" spans="1:5" x14ac:dyDescent="0.25">
      <c r="A8247" s="14">
        <v>1001416</v>
      </c>
      <c r="B8247" s="14" t="s">
        <v>8358</v>
      </c>
      <c r="C8247" s="14" t="s">
        <v>13031</v>
      </c>
      <c r="D8247" s="15">
        <v>8.4600000000000009</v>
      </c>
      <c r="E8247" s="16" t="s">
        <v>30</v>
      </c>
    </row>
    <row r="8248" spans="1:5" x14ac:dyDescent="0.25">
      <c r="A8248" s="14">
        <v>1001417</v>
      </c>
      <c r="B8248" s="14" t="s">
        <v>8359</v>
      </c>
      <c r="C8248" s="14" t="s">
        <v>13031</v>
      </c>
      <c r="D8248" s="15">
        <v>8.4600000000000009</v>
      </c>
      <c r="E8248" s="16" t="s">
        <v>30</v>
      </c>
    </row>
    <row r="8249" spans="1:5" x14ac:dyDescent="0.25">
      <c r="A8249" s="14">
        <v>988712</v>
      </c>
      <c r="B8249" s="14" t="s">
        <v>8360</v>
      </c>
      <c r="C8249" s="14" t="s">
        <v>13031</v>
      </c>
      <c r="D8249" s="15">
        <v>10.97</v>
      </c>
      <c r="E8249" s="16" t="s">
        <v>20</v>
      </c>
    </row>
    <row r="8250" spans="1:5" x14ac:dyDescent="0.25">
      <c r="A8250" s="14">
        <v>988713</v>
      </c>
      <c r="B8250" s="14" t="s">
        <v>8361</v>
      </c>
      <c r="C8250" s="14" t="s">
        <v>13031</v>
      </c>
      <c r="D8250" s="15">
        <v>10.97</v>
      </c>
      <c r="E8250" s="16" t="s">
        <v>20</v>
      </c>
    </row>
    <row r="8251" spans="1:5" x14ac:dyDescent="0.25">
      <c r="A8251" s="14">
        <v>988716</v>
      </c>
      <c r="B8251" s="14" t="s">
        <v>8362</v>
      </c>
      <c r="C8251" s="14" t="s">
        <v>13031</v>
      </c>
      <c r="D8251" s="15">
        <v>14.77</v>
      </c>
      <c r="E8251" s="16" t="s">
        <v>20</v>
      </c>
    </row>
    <row r="8252" spans="1:5" x14ac:dyDescent="0.25">
      <c r="A8252" s="14">
        <v>1001418</v>
      </c>
      <c r="B8252" s="14" t="s">
        <v>8363</v>
      </c>
      <c r="C8252" s="14" t="s">
        <v>13031</v>
      </c>
      <c r="D8252" s="15">
        <v>18.829999999999998</v>
      </c>
      <c r="E8252" s="16" t="s">
        <v>30</v>
      </c>
    </row>
    <row r="8253" spans="1:5" x14ac:dyDescent="0.25">
      <c r="A8253" s="14">
        <v>988717</v>
      </c>
      <c r="B8253" s="14" t="s">
        <v>8364</v>
      </c>
      <c r="C8253" s="14" t="s">
        <v>13031</v>
      </c>
      <c r="D8253" s="15">
        <v>14.77</v>
      </c>
      <c r="E8253" s="16" t="s">
        <v>20</v>
      </c>
    </row>
    <row r="8254" spans="1:5" x14ac:dyDescent="0.25">
      <c r="A8254" s="14">
        <v>990257</v>
      </c>
      <c r="B8254" s="14" t="s">
        <v>8365</v>
      </c>
      <c r="C8254" s="14" t="s">
        <v>13031</v>
      </c>
      <c r="D8254" s="15">
        <v>9.9</v>
      </c>
      <c r="E8254" s="16" t="s">
        <v>20</v>
      </c>
    </row>
    <row r="8255" spans="1:5" x14ac:dyDescent="0.25">
      <c r="A8255" s="14">
        <v>990259</v>
      </c>
      <c r="B8255" s="14" t="s">
        <v>8366</v>
      </c>
      <c r="C8255" s="14" t="s">
        <v>13031</v>
      </c>
      <c r="D8255" s="15">
        <v>10.67</v>
      </c>
      <c r="E8255" s="16" t="s">
        <v>20</v>
      </c>
    </row>
    <row r="8256" spans="1:5" x14ac:dyDescent="0.25">
      <c r="A8256" s="14">
        <v>990575</v>
      </c>
      <c r="B8256" s="14" t="s">
        <v>8367</v>
      </c>
      <c r="C8256" s="14" t="s">
        <v>13031</v>
      </c>
      <c r="D8256" s="15">
        <v>1.56</v>
      </c>
      <c r="E8256" s="16" t="s">
        <v>20</v>
      </c>
    </row>
    <row r="8257" spans="1:5" x14ac:dyDescent="0.25">
      <c r="A8257" s="14">
        <v>1001419</v>
      </c>
      <c r="B8257" s="14" t="s">
        <v>8368</v>
      </c>
      <c r="C8257" s="14" t="s">
        <v>13031</v>
      </c>
      <c r="D8257" s="15">
        <v>14.87</v>
      </c>
      <c r="E8257" s="14" t="s">
        <v>30</v>
      </c>
    </row>
    <row r="8258" spans="1:5" x14ac:dyDescent="0.25">
      <c r="A8258" s="14">
        <v>1001420</v>
      </c>
      <c r="B8258" s="14" t="s">
        <v>8369</v>
      </c>
      <c r="C8258" s="14" t="s">
        <v>13031</v>
      </c>
      <c r="D8258" s="15">
        <v>13</v>
      </c>
      <c r="E8258" s="16" t="s">
        <v>30</v>
      </c>
    </row>
    <row r="8259" spans="1:5" x14ac:dyDescent="0.25">
      <c r="A8259" s="14">
        <v>1001498</v>
      </c>
      <c r="B8259" s="14" t="s">
        <v>8370</v>
      </c>
      <c r="C8259" s="14" t="s">
        <v>13031</v>
      </c>
      <c r="D8259" s="15">
        <v>2141.88</v>
      </c>
      <c r="E8259" s="16" t="s">
        <v>30</v>
      </c>
    </row>
    <row r="8260" spans="1:5" x14ac:dyDescent="0.25">
      <c r="A8260" s="14">
        <v>1001564</v>
      </c>
      <c r="B8260" s="14" t="s">
        <v>8371</v>
      </c>
      <c r="C8260" s="14" t="s">
        <v>13029</v>
      </c>
      <c r="D8260" s="15">
        <v>11.81</v>
      </c>
      <c r="E8260" s="16" t="s">
        <v>30</v>
      </c>
    </row>
    <row r="8261" spans="1:5" x14ac:dyDescent="0.25">
      <c r="A8261" s="14">
        <v>1001565</v>
      </c>
      <c r="B8261" s="14" t="s">
        <v>8372</v>
      </c>
      <c r="C8261" s="14" t="s">
        <v>13029</v>
      </c>
      <c r="D8261" s="15">
        <v>11.81</v>
      </c>
      <c r="E8261" s="16" t="s">
        <v>30</v>
      </c>
    </row>
    <row r="8262" spans="1:5" x14ac:dyDescent="0.25">
      <c r="A8262" s="14">
        <v>1001566</v>
      </c>
      <c r="B8262" s="14" t="s">
        <v>8373</v>
      </c>
      <c r="C8262" s="14" t="s">
        <v>13029</v>
      </c>
      <c r="D8262" s="15">
        <v>11.81</v>
      </c>
      <c r="E8262" s="16" t="s">
        <v>30</v>
      </c>
    </row>
    <row r="8263" spans="1:5" x14ac:dyDescent="0.25">
      <c r="A8263" s="14">
        <v>1001569</v>
      </c>
      <c r="B8263" s="14" t="s">
        <v>8374</v>
      </c>
      <c r="C8263" s="14" t="s">
        <v>13029</v>
      </c>
      <c r="D8263" s="15">
        <v>12.76</v>
      </c>
      <c r="E8263" s="14" t="s">
        <v>30</v>
      </c>
    </row>
    <row r="8264" spans="1:5" x14ac:dyDescent="0.25">
      <c r="A8264" s="14">
        <v>1001570</v>
      </c>
      <c r="B8264" s="14" t="s">
        <v>8375</v>
      </c>
      <c r="C8264" s="14" t="s">
        <v>13029</v>
      </c>
      <c r="D8264" s="15">
        <v>12.76</v>
      </c>
      <c r="E8264" s="14" t="s">
        <v>30</v>
      </c>
    </row>
    <row r="8265" spans="1:5" x14ac:dyDescent="0.25">
      <c r="A8265" s="14">
        <v>1001571</v>
      </c>
      <c r="B8265" s="14" t="s">
        <v>8376</v>
      </c>
      <c r="C8265" s="14" t="s">
        <v>13029</v>
      </c>
      <c r="D8265" s="15">
        <v>26.64</v>
      </c>
      <c r="E8265" s="14" t="s">
        <v>30</v>
      </c>
    </row>
    <row r="8266" spans="1:5" x14ac:dyDescent="0.25">
      <c r="A8266" s="14">
        <v>1001572</v>
      </c>
      <c r="B8266" s="14" t="s">
        <v>8377</v>
      </c>
      <c r="C8266" s="14" t="s">
        <v>13029</v>
      </c>
      <c r="D8266" s="15">
        <v>21.3</v>
      </c>
      <c r="E8266" s="14" t="s">
        <v>30</v>
      </c>
    </row>
    <row r="8267" spans="1:5" x14ac:dyDescent="0.25">
      <c r="A8267" s="14">
        <v>1001573</v>
      </c>
      <c r="B8267" s="14" t="s">
        <v>8378</v>
      </c>
      <c r="C8267" s="14" t="s">
        <v>13029</v>
      </c>
      <c r="D8267" s="15">
        <v>15.96</v>
      </c>
      <c r="E8267" s="14" t="s">
        <v>30</v>
      </c>
    </row>
    <row r="8268" spans="1:5" x14ac:dyDescent="0.25">
      <c r="A8268" s="14">
        <v>1001575</v>
      </c>
      <c r="B8268" s="14" t="s">
        <v>8379</v>
      </c>
      <c r="C8268" s="14" t="s">
        <v>13029</v>
      </c>
      <c r="D8268" s="15">
        <v>8.35</v>
      </c>
      <c r="E8268" s="16" t="s">
        <v>30</v>
      </c>
    </row>
    <row r="8269" spans="1:5" x14ac:dyDescent="0.25">
      <c r="A8269" s="14">
        <v>1002189</v>
      </c>
      <c r="B8269" s="14" t="s">
        <v>8380</v>
      </c>
      <c r="C8269" s="14" t="s">
        <v>13030</v>
      </c>
      <c r="D8269" s="15">
        <v>107.97</v>
      </c>
      <c r="E8269" s="16" t="s">
        <v>30</v>
      </c>
    </row>
    <row r="8270" spans="1:5" x14ac:dyDescent="0.25">
      <c r="A8270" s="14">
        <v>1001576</v>
      </c>
      <c r="B8270" s="14" t="s">
        <v>8381</v>
      </c>
      <c r="C8270" s="14" t="s">
        <v>13029</v>
      </c>
      <c r="D8270" s="15">
        <v>14.35</v>
      </c>
      <c r="E8270" s="16" t="s">
        <v>30</v>
      </c>
    </row>
    <row r="8271" spans="1:5" x14ac:dyDescent="0.25">
      <c r="A8271" s="14">
        <v>1001577</v>
      </c>
      <c r="B8271" s="14" t="s">
        <v>8382</v>
      </c>
      <c r="C8271" s="14" t="s">
        <v>13029</v>
      </c>
      <c r="D8271" s="15">
        <v>20.12</v>
      </c>
      <c r="E8271" s="16" t="s">
        <v>30</v>
      </c>
    </row>
    <row r="8272" spans="1:5" x14ac:dyDescent="0.25">
      <c r="A8272" s="14">
        <v>996620</v>
      </c>
      <c r="B8272" s="14" t="s">
        <v>8383</v>
      </c>
      <c r="C8272" s="14" t="s">
        <v>13030</v>
      </c>
      <c r="D8272" s="15">
        <v>53.33</v>
      </c>
      <c r="E8272" s="16" t="s">
        <v>30</v>
      </c>
    </row>
    <row r="8273" spans="1:5" x14ac:dyDescent="0.25">
      <c r="A8273" s="14">
        <v>1001578</v>
      </c>
      <c r="B8273" s="14" t="s">
        <v>8384</v>
      </c>
      <c r="C8273" s="14" t="s">
        <v>13029</v>
      </c>
      <c r="D8273" s="15">
        <v>14.62</v>
      </c>
      <c r="E8273" s="14" t="s">
        <v>30</v>
      </c>
    </row>
    <row r="8274" spans="1:5" x14ac:dyDescent="0.25">
      <c r="A8274" s="14">
        <v>1001579</v>
      </c>
      <c r="B8274" s="14" t="s">
        <v>8385</v>
      </c>
      <c r="C8274" s="14" t="s">
        <v>13029</v>
      </c>
      <c r="D8274" s="15">
        <v>20.02</v>
      </c>
      <c r="E8274" s="14" t="s">
        <v>30</v>
      </c>
    </row>
    <row r="8275" spans="1:5" x14ac:dyDescent="0.25">
      <c r="A8275" s="14">
        <v>1002191</v>
      </c>
      <c r="B8275" s="14" t="s">
        <v>8386</v>
      </c>
      <c r="C8275" s="14" t="s">
        <v>13030</v>
      </c>
      <c r="D8275" s="15">
        <v>68.36</v>
      </c>
      <c r="E8275" s="16" t="s">
        <v>30</v>
      </c>
    </row>
    <row r="8276" spans="1:5" x14ac:dyDescent="0.25">
      <c r="A8276" s="14">
        <v>1002199</v>
      </c>
      <c r="B8276" s="14" t="s">
        <v>8387</v>
      </c>
      <c r="C8276" s="14" t="s">
        <v>13030</v>
      </c>
      <c r="D8276" s="15">
        <v>133.19</v>
      </c>
      <c r="E8276" s="16" t="s">
        <v>30</v>
      </c>
    </row>
    <row r="8277" spans="1:5" x14ac:dyDescent="0.25">
      <c r="A8277" s="14">
        <v>1001718</v>
      </c>
      <c r="B8277" s="14" t="s">
        <v>8388</v>
      </c>
      <c r="C8277" s="14" t="s">
        <v>13029</v>
      </c>
      <c r="D8277" s="15">
        <v>8.36</v>
      </c>
      <c r="E8277" s="14" t="s">
        <v>30</v>
      </c>
    </row>
    <row r="8278" spans="1:5" x14ac:dyDescent="0.25">
      <c r="A8278" s="14">
        <v>1001742</v>
      </c>
      <c r="B8278" s="14" t="s">
        <v>8389</v>
      </c>
      <c r="C8278" s="14" t="s">
        <v>13030</v>
      </c>
      <c r="D8278" s="15">
        <v>450.24</v>
      </c>
      <c r="E8278" s="16" t="s">
        <v>30</v>
      </c>
    </row>
    <row r="8279" spans="1:5" x14ac:dyDescent="0.25">
      <c r="A8279" s="14">
        <v>1001745</v>
      </c>
      <c r="B8279" s="14" t="s">
        <v>8390</v>
      </c>
      <c r="C8279" s="14" t="s">
        <v>13031</v>
      </c>
      <c r="D8279" s="15">
        <v>19.5</v>
      </c>
      <c r="E8279" s="16" t="s">
        <v>30</v>
      </c>
    </row>
    <row r="8280" spans="1:5" x14ac:dyDescent="0.25">
      <c r="A8280" s="14">
        <v>1001746</v>
      </c>
      <c r="B8280" s="14" t="s">
        <v>8391</v>
      </c>
      <c r="C8280" s="14" t="s">
        <v>13031</v>
      </c>
      <c r="D8280" s="15">
        <v>19.5</v>
      </c>
      <c r="E8280" s="16" t="s">
        <v>30</v>
      </c>
    </row>
    <row r="8281" spans="1:5" x14ac:dyDescent="0.25">
      <c r="A8281" s="14">
        <v>1001747</v>
      </c>
      <c r="B8281" s="14" t="s">
        <v>8392</v>
      </c>
      <c r="C8281" s="14" t="s">
        <v>13031</v>
      </c>
      <c r="D8281" s="15">
        <v>19.5</v>
      </c>
      <c r="E8281" s="16" t="s">
        <v>30</v>
      </c>
    </row>
    <row r="8282" spans="1:5" x14ac:dyDescent="0.25">
      <c r="A8282" s="14">
        <v>1001753</v>
      </c>
      <c r="B8282" s="14" t="s">
        <v>8393</v>
      </c>
      <c r="C8282" s="14" t="s">
        <v>13029</v>
      </c>
      <c r="D8282" s="15">
        <v>25.44</v>
      </c>
      <c r="E8282" s="14" t="s">
        <v>30</v>
      </c>
    </row>
    <row r="8283" spans="1:5" x14ac:dyDescent="0.25">
      <c r="A8283" s="14">
        <v>1001754</v>
      </c>
      <c r="B8283" s="14" t="s">
        <v>8394</v>
      </c>
      <c r="C8283" s="14" t="s">
        <v>13029</v>
      </c>
      <c r="D8283" s="15">
        <v>25.44</v>
      </c>
      <c r="E8283" s="14" t="s">
        <v>30</v>
      </c>
    </row>
    <row r="8284" spans="1:5" x14ac:dyDescent="0.25">
      <c r="A8284" s="14">
        <v>1001755</v>
      </c>
      <c r="B8284" s="14" t="s">
        <v>8395</v>
      </c>
      <c r="C8284" s="14" t="s">
        <v>13029</v>
      </c>
      <c r="D8284" s="15">
        <v>25.44</v>
      </c>
      <c r="E8284" s="14" t="s">
        <v>30</v>
      </c>
    </row>
    <row r="8285" spans="1:5" x14ac:dyDescent="0.25">
      <c r="A8285" s="14">
        <v>1001756</v>
      </c>
      <c r="B8285" s="14" t="s">
        <v>8396</v>
      </c>
      <c r="C8285" s="14" t="s">
        <v>13029</v>
      </c>
      <c r="D8285" s="15">
        <v>12.31</v>
      </c>
      <c r="E8285" s="14" t="s">
        <v>30</v>
      </c>
    </row>
    <row r="8286" spans="1:5" x14ac:dyDescent="0.25">
      <c r="A8286" s="14">
        <v>1001757</v>
      </c>
      <c r="B8286" s="14" t="s">
        <v>8397</v>
      </c>
      <c r="C8286" s="14" t="s">
        <v>13029</v>
      </c>
      <c r="D8286" s="15">
        <v>14.25</v>
      </c>
      <c r="E8286" s="14" t="s">
        <v>30</v>
      </c>
    </row>
    <row r="8287" spans="1:5" x14ac:dyDescent="0.25">
      <c r="A8287" s="14">
        <v>1001759</v>
      </c>
      <c r="B8287" s="14" t="s">
        <v>8398</v>
      </c>
      <c r="C8287" s="14" t="s">
        <v>13030</v>
      </c>
      <c r="D8287" s="15">
        <v>71.959999999999994</v>
      </c>
      <c r="E8287" s="16" t="s">
        <v>30</v>
      </c>
    </row>
    <row r="8288" spans="1:5" x14ac:dyDescent="0.25">
      <c r="A8288" s="14">
        <v>1001762</v>
      </c>
      <c r="B8288" s="14" t="s">
        <v>8399</v>
      </c>
      <c r="C8288" s="14" t="s">
        <v>13031</v>
      </c>
      <c r="D8288" s="15">
        <v>1.94</v>
      </c>
      <c r="E8288" s="16" t="s">
        <v>30</v>
      </c>
    </row>
    <row r="8289" spans="1:5" x14ac:dyDescent="0.25">
      <c r="A8289" s="14">
        <v>1001763</v>
      </c>
      <c r="B8289" s="14" t="s">
        <v>8400</v>
      </c>
      <c r="C8289" s="14" t="s">
        <v>13031</v>
      </c>
      <c r="D8289" s="15">
        <v>1.94</v>
      </c>
      <c r="E8289" s="16" t="s">
        <v>30</v>
      </c>
    </row>
    <row r="8290" spans="1:5" x14ac:dyDescent="0.25">
      <c r="A8290" s="14">
        <v>1001764</v>
      </c>
      <c r="B8290" s="14" t="s">
        <v>8401</v>
      </c>
      <c r="C8290" s="14" t="s">
        <v>13031</v>
      </c>
      <c r="D8290" s="15">
        <v>1.94</v>
      </c>
      <c r="E8290" s="16" t="s">
        <v>30</v>
      </c>
    </row>
    <row r="8291" spans="1:5" x14ac:dyDescent="0.25">
      <c r="A8291" s="14">
        <v>1001765</v>
      </c>
      <c r="B8291" s="14" t="s">
        <v>8402</v>
      </c>
      <c r="C8291" s="14" t="s">
        <v>13031</v>
      </c>
      <c r="D8291" s="15">
        <v>1.44</v>
      </c>
      <c r="E8291" s="16" t="s">
        <v>30</v>
      </c>
    </row>
    <row r="8292" spans="1:5" x14ac:dyDescent="0.25">
      <c r="A8292" s="14">
        <v>1001766</v>
      </c>
      <c r="B8292" s="14" t="s">
        <v>8403</v>
      </c>
      <c r="C8292" s="14" t="s">
        <v>13031</v>
      </c>
      <c r="D8292" s="15">
        <v>1.44</v>
      </c>
      <c r="E8292" s="16" t="s">
        <v>30</v>
      </c>
    </row>
    <row r="8293" spans="1:5" x14ac:dyDescent="0.25">
      <c r="A8293" s="14">
        <v>1001767</v>
      </c>
      <c r="B8293" s="14" t="s">
        <v>8404</v>
      </c>
      <c r="C8293" s="14" t="s">
        <v>13031</v>
      </c>
      <c r="D8293" s="15">
        <v>1.44</v>
      </c>
      <c r="E8293" s="16" t="s">
        <v>30</v>
      </c>
    </row>
    <row r="8294" spans="1:5" x14ac:dyDescent="0.25">
      <c r="A8294" s="14">
        <v>1001768</v>
      </c>
      <c r="B8294" s="14" t="s">
        <v>8405</v>
      </c>
      <c r="C8294" s="14" t="s">
        <v>13029</v>
      </c>
      <c r="D8294" s="15">
        <v>9.1</v>
      </c>
      <c r="E8294" s="14" t="s">
        <v>30</v>
      </c>
    </row>
    <row r="8295" spans="1:5" x14ac:dyDescent="0.25">
      <c r="A8295" s="14">
        <v>1001769</v>
      </c>
      <c r="B8295" s="14" t="s">
        <v>8406</v>
      </c>
      <c r="C8295" s="14" t="s">
        <v>13029</v>
      </c>
      <c r="D8295" s="15">
        <v>12</v>
      </c>
      <c r="E8295" s="14" t="s">
        <v>30</v>
      </c>
    </row>
    <row r="8296" spans="1:5" x14ac:dyDescent="0.25">
      <c r="A8296" s="14">
        <v>1001770</v>
      </c>
      <c r="B8296" s="14" t="s">
        <v>8407</v>
      </c>
      <c r="C8296" s="14" t="s">
        <v>13029</v>
      </c>
      <c r="D8296" s="15">
        <v>16</v>
      </c>
      <c r="E8296" s="14" t="s">
        <v>30</v>
      </c>
    </row>
    <row r="8297" spans="1:5" x14ac:dyDescent="0.25">
      <c r="A8297" s="14">
        <v>1001771</v>
      </c>
      <c r="B8297" s="14" t="s">
        <v>8408</v>
      </c>
      <c r="C8297" s="14" t="s">
        <v>13031</v>
      </c>
      <c r="D8297" s="15">
        <v>3.22</v>
      </c>
      <c r="E8297" s="14" t="s">
        <v>30</v>
      </c>
    </row>
    <row r="8298" spans="1:5" x14ac:dyDescent="0.25">
      <c r="A8298" s="14">
        <v>1002130</v>
      </c>
      <c r="B8298" s="14" t="s">
        <v>8409</v>
      </c>
      <c r="C8298" s="14" t="s">
        <v>13031</v>
      </c>
      <c r="D8298" s="15">
        <v>3.43</v>
      </c>
      <c r="E8298" s="14" t="s">
        <v>30</v>
      </c>
    </row>
    <row r="8299" spans="1:5" x14ac:dyDescent="0.25">
      <c r="A8299" s="14">
        <v>1002131</v>
      </c>
      <c r="B8299" s="14" t="s">
        <v>8410</v>
      </c>
      <c r="C8299" s="14" t="s">
        <v>13031</v>
      </c>
      <c r="D8299" s="15">
        <v>15.96</v>
      </c>
      <c r="E8299" s="14" t="s">
        <v>30</v>
      </c>
    </row>
    <row r="8300" spans="1:5" x14ac:dyDescent="0.25">
      <c r="A8300" s="14">
        <v>1002132</v>
      </c>
      <c r="B8300" s="14" t="s">
        <v>8411</v>
      </c>
      <c r="C8300" s="14" t="s">
        <v>13031</v>
      </c>
      <c r="D8300" s="15">
        <v>15.13</v>
      </c>
      <c r="E8300" s="14" t="s">
        <v>30</v>
      </c>
    </row>
    <row r="8301" spans="1:5" x14ac:dyDescent="0.25">
      <c r="A8301" s="14">
        <v>1002186</v>
      </c>
      <c r="B8301" s="14" t="s">
        <v>8412</v>
      </c>
      <c r="C8301" s="14" t="s">
        <v>13031</v>
      </c>
      <c r="D8301" s="15">
        <v>11.12</v>
      </c>
      <c r="E8301" s="16" t="s">
        <v>30</v>
      </c>
    </row>
    <row r="8302" spans="1:5" x14ac:dyDescent="0.25">
      <c r="A8302" s="14">
        <v>1002187</v>
      </c>
      <c r="B8302" s="14" t="s">
        <v>8413</v>
      </c>
      <c r="C8302" s="14" t="s">
        <v>13031</v>
      </c>
      <c r="D8302" s="15">
        <v>13.76</v>
      </c>
      <c r="E8302" s="16" t="s">
        <v>30</v>
      </c>
    </row>
    <row r="8303" spans="1:5" x14ac:dyDescent="0.25">
      <c r="A8303" s="14">
        <v>1002188</v>
      </c>
      <c r="B8303" s="14" t="s">
        <v>8414</v>
      </c>
      <c r="C8303" s="14" t="s">
        <v>13031</v>
      </c>
      <c r="D8303" s="15">
        <v>10.83</v>
      </c>
      <c r="E8303" s="16" t="s">
        <v>30</v>
      </c>
    </row>
    <row r="8304" spans="1:5" x14ac:dyDescent="0.25">
      <c r="A8304" s="14">
        <v>1002197</v>
      </c>
      <c r="B8304" s="14" t="s">
        <v>8415</v>
      </c>
      <c r="C8304" s="14" t="s">
        <v>13030</v>
      </c>
      <c r="D8304" s="15">
        <v>90.27</v>
      </c>
      <c r="E8304" s="14" t="s">
        <v>30</v>
      </c>
    </row>
    <row r="8305" spans="1:5" x14ac:dyDescent="0.25">
      <c r="A8305" s="14">
        <v>1002428</v>
      </c>
      <c r="B8305" s="14" t="s">
        <v>8416</v>
      </c>
      <c r="C8305" s="14" t="s">
        <v>13029</v>
      </c>
      <c r="D8305" s="15">
        <v>9.8000000000000007</v>
      </c>
      <c r="E8305" s="14" t="s">
        <v>30</v>
      </c>
    </row>
    <row r="8306" spans="1:5" x14ac:dyDescent="0.25">
      <c r="A8306" s="14">
        <v>1002444</v>
      </c>
      <c r="B8306" s="14" t="s">
        <v>8417</v>
      </c>
      <c r="C8306" s="14" t="s">
        <v>13029</v>
      </c>
      <c r="D8306" s="15">
        <v>21.3</v>
      </c>
      <c r="E8306" s="14" t="s">
        <v>30</v>
      </c>
    </row>
    <row r="8307" spans="1:5" x14ac:dyDescent="0.25">
      <c r="A8307" s="14">
        <v>1002445</v>
      </c>
      <c r="B8307" s="14" t="s">
        <v>8418</v>
      </c>
      <c r="C8307" s="14" t="s">
        <v>13029</v>
      </c>
      <c r="D8307" s="15">
        <v>21.3</v>
      </c>
      <c r="E8307" s="14" t="s">
        <v>30</v>
      </c>
    </row>
    <row r="8308" spans="1:5" x14ac:dyDescent="0.25">
      <c r="A8308" s="14">
        <v>1002446</v>
      </c>
      <c r="B8308" s="14" t="s">
        <v>8419</v>
      </c>
      <c r="C8308" s="14" t="s">
        <v>13029</v>
      </c>
      <c r="D8308" s="15">
        <v>21.3</v>
      </c>
      <c r="E8308" s="14" t="s">
        <v>30</v>
      </c>
    </row>
    <row r="8309" spans="1:5" x14ac:dyDescent="0.25">
      <c r="A8309" s="14">
        <v>1002447</v>
      </c>
      <c r="B8309" s="14" t="s">
        <v>8420</v>
      </c>
      <c r="C8309" s="14" t="s">
        <v>13029</v>
      </c>
      <c r="D8309" s="15">
        <v>58.23</v>
      </c>
      <c r="E8309" s="14" t="s">
        <v>30</v>
      </c>
    </row>
    <row r="8310" spans="1:5" x14ac:dyDescent="0.25">
      <c r="A8310" s="14">
        <v>1003135</v>
      </c>
      <c r="B8310" s="14" t="s">
        <v>8421</v>
      </c>
      <c r="C8310" s="14" t="s">
        <v>13032</v>
      </c>
      <c r="D8310" s="15">
        <v>120</v>
      </c>
      <c r="E8310" s="16" t="s">
        <v>30</v>
      </c>
    </row>
    <row r="8311" spans="1:5" x14ac:dyDescent="0.25">
      <c r="A8311" s="14">
        <v>1003136</v>
      </c>
      <c r="B8311" s="14" t="s">
        <v>8422</v>
      </c>
      <c r="C8311" s="14" t="s">
        <v>13032</v>
      </c>
      <c r="D8311" s="15">
        <v>45</v>
      </c>
      <c r="E8311" s="16" t="s">
        <v>30</v>
      </c>
    </row>
    <row r="8312" spans="1:5" x14ac:dyDescent="0.25">
      <c r="A8312" s="14">
        <v>1003137</v>
      </c>
      <c r="B8312" s="14" t="s">
        <v>8423</v>
      </c>
      <c r="C8312" s="14" t="s">
        <v>13032</v>
      </c>
      <c r="D8312" s="15">
        <v>45</v>
      </c>
      <c r="E8312" s="16" t="s">
        <v>30</v>
      </c>
    </row>
    <row r="8313" spans="1:5" x14ac:dyDescent="0.25">
      <c r="A8313" s="14">
        <v>1003141</v>
      </c>
      <c r="B8313" s="14" t="s">
        <v>8424</v>
      </c>
      <c r="C8313" s="14" t="s">
        <v>13031</v>
      </c>
      <c r="D8313" s="15">
        <v>16.86</v>
      </c>
      <c r="E8313" s="16" t="s">
        <v>30</v>
      </c>
    </row>
    <row r="8314" spans="1:5" x14ac:dyDescent="0.25">
      <c r="A8314" s="14">
        <v>1003259</v>
      </c>
      <c r="B8314" s="14" t="s">
        <v>8425</v>
      </c>
      <c r="C8314" s="14" t="s">
        <v>13031</v>
      </c>
      <c r="D8314" s="15">
        <v>32.5</v>
      </c>
      <c r="E8314" s="16" t="s">
        <v>30</v>
      </c>
    </row>
    <row r="8315" spans="1:5" x14ac:dyDescent="0.25">
      <c r="A8315" s="14">
        <v>1003260</v>
      </c>
      <c r="B8315" s="14" t="s">
        <v>8426</v>
      </c>
      <c r="C8315" s="14" t="s">
        <v>13031</v>
      </c>
      <c r="D8315" s="15">
        <v>12.99</v>
      </c>
      <c r="E8315" s="14" t="s">
        <v>30</v>
      </c>
    </row>
    <row r="8316" spans="1:5" x14ac:dyDescent="0.25">
      <c r="A8316" s="14">
        <v>1003261</v>
      </c>
      <c r="B8316" s="14" t="s">
        <v>8427</v>
      </c>
      <c r="C8316" s="14" t="s">
        <v>13031</v>
      </c>
      <c r="D8316" s="15">
        <v>23.67</v>
      </c>
      <c r="E8316" s="16" t="s">
        <v>30</v>
      </c>
    </row>
    <row r="8317" spans="1:5" x14ac:dyDescent="0.25">
      <c r="A8317" s="14">
        <v>1003262</v>
      </c>
      <c r="B8317" s="14" t="s">
        <v>8428</v>
      </c>
      <c r="C8317" s="14" t="s">
        <v>13031</v>
      </c>
      <c r="D8317" s="15">
        <v>35.54</v>
      </c>
      <c r="E8317" s="16" t="s">
        <v>30</v>
      </c>
    </row>
    <row r="8318" spans="1:5" x14ac:dyDescent="0.25">
      <c r="A8318" s="14">
        <v>1003263</v>
      </c>
      <c r="B8318" s="14" t="s">
        <v>8429</v>
      </c>
      <c r="C8318" s="14" t="s">
        <v>13031</v>
      </c>
      <c r="D8318" s="15">
        <v>35.54</v>
      </c>
      <c r="E8318" s="14" t="s">
        <v>30</v>
      </c>
    </row>
    <row r="8319" spans="1:5" x14ac:dyDescent="0.25">
      <c r="A8319" s="14">
        <v>1003264</v>
      </c>
      <c r="B8319" s="14" t="s">
        <v>8430</v>
      </c>
      <c r="C8319" s="14" t="s">
        <v>13031</v>
      </c>
      <c r="D8319" s="15">
        <v>20.71</v>
      </c>
      <c r="E8319" s="14" t="s">
        <v>30</v>
      </c>
    </row>
    <row r="8320" spans="1:5" x14ac:dyDescent="0.25">
      <c r="A8320" s="14">
        <v>1003265</v>
      </c>
      <c r="B8320" s="14" t="s">
        <v>8431</v>
      </c>
      <c r="C8320" s="14" t="s">
        <v>13031</v>
      </c>
      <c r="D8320" s="15">
        <v>23.75</v>
      </c>
      <c r="E8320" s="14" t="s">
        <v>30</v>
      </c>
    </row>
    <row r="8321" spans="1:5" x14ac:dyDescent="0.25">
      <c r="A8321" s="14">
        <v>1003295</v>
      </c>
      <c r="B8321" s="14" t="s">
        <v>8432</v>
      </c>
      <c r="C8321" s="14" t="s">
        <v>13029</v>
      </c>
      <c r="D8321" s="15">
        <v>16.21</v>
      </c>
      <c r="E8321" s="14" t="s">
        <v>30</v>
      </c>
    </row>
    <row r="8322" spans="1:5" x14ac:dyDescent="0.25">
      <c r="A8322" s="14">
        <v>1003302</v>
      </c>
      <c r="B8322" s="14" t="s">
        <v>8433</v>
      </c>
      <c r="C8322" s="14" t="s">
        <v>13030</v>
      </c>
      <c r="D8322" s="15">
        <v>68.16</v>
      </c>
      <c r="E8322" s="16" t="s">
        <v>30</v>
      </c>
    </row>
    <row r="8323" spans="1:5" x14ac:dyDescent="0.25">
      <c r="A8323" s="14">
        <v>1003303</v>
      </c>
      <c r="B8323" s="14" t="s">
        <v>8434</v>
      </c>
      <c r="C8323" s="14" t="s">
        <v>13030</v>
      </c>
      <c r="D8323" s="15">
        <v>38.619999999999997</v>
      </c>
      <c r="E8323" s="16" t="s">
        <v>30</v>
      </c>
    </row>
    <row r="8324" spans="1:5" x14ac:dyDescent="0.25">
      <c r="A8324" s="14">
        <v>1003304</v>
      </c>
      <c r="B8324" s="14" t="s">
        <v>8435</v>
      </c>
      <c r="C8324" s="14" t="s">
        <v>13030</v>
      </c>
      <c r="D8324" s="15">
        <v>51.17</v>
      </c>
      <c r="E8324" s="16" t="s">
        <v>30</v>
      </c>
    </row>
    <row r="8325" spans="1:5" x14ac:dyDescent="0.25">
      <c r="A8325" s="14">
        <v>1003667</v>
      </c>
      <c r="B8325" s="14" t="s">
        <v>8436</v>
      </c>
      <c r="C8325" s="14" t="s">
        <v>13030</v>
      </c>
      <c r="D8325" s="15">
        <v>12.9</v>
      </c>
      <c r="E8325" s="16" t="s">
        <v>30</v>
      </c>
    </row>
    <row r="8326" spans="1:5" x14ac:dyDescent="0.25">
      <c r="A8326" s="14">
        <v>1003668</v>
      </c>
      <c r="B8326" s="14" t="s">
        <v>8437</v>
      </c>
      <c r="C8326" s="14" t="s">
        <v>13030</v>
      </c>
      <c r="D8326" s="15">
        <v>12.9</v>
      </c>
      <c r="E8326" s="16" t="s">
        <v>30</v>
      </c>
    </row>
    <row r="8327" spans="1:5" x14ac:dyDescent="0.25">
      <c r="A8327" s="14">
        <v>1003678</v>
      </c>
      <c r="B8327" s="14" t="s">
        <v>8438</v>
      </c>
      <c r="C8327" s="14" t="s">
        <v>13029</v>
      </c>
      <c r="D8327" s="15">
        <v>7.5</v>
      </c>
      <c r="E8327" s="16" t="s">
        <v>30</v>
      </c>
    </row>
    <row r="8328" spans="1:5" x14ac:dyDescent="0.25">
      <c r="A8328" s="14">
        <v>1003679</v>
      </c>
      <c r="B8328" s="14" t="s">
        <v>8439</v>
      </c>
      <c r="C8328" s="14" t="s">
        <v>13030</v>
      </c>
      <c r="D8328" s="15">
        <v>19</v>
      </c>
      <c r="E8328" s="14" t="s">
        <v>30</v>
      </c>
    </row>
    <row r="8329" spans="1:5" x14ac:dyDescent="0.25">
      <c r="A8329" s="14">
        <v>1003681</v>
      </c>
      <c r="B8329" s="14" t="s">
        <v>8440</v>
      </c>
      <c r="C8329" s="14" t="s">
        <v>13030</v>
      </c>
      <c r="D8329" s="15">
        <v>69.849999999999994</v>
      </c>
      <c r="E8329" s="16" t="s">
        <v>30</v>
      </c>
    </row>
    <row r="8330" spans="1:5" x14ac:dyDescent="0.25">
      <c r="A8330" s="14">
        <v>1003690</v>
      </c>
      <c r="B8330" s="14" t="s">
        <v>8441</v>
      </c>
      <c r="C8330" s="14" t="s">
        <v>13029</v>
      </c>
      <c r="D8330" s="15">
        <v>16.559999999999999</v>
      </c>
      <c r="E8330" s="16" t="s">
        <v>30</v>
      </c>
    </row>
    <row r="8331" spans="1:5" x14ac:dyDescent="0.25">
      <c r="A8331" s="14">
        <v>1003691</v>
      </c>
      <c r="B8331" s="14" t="s">
        <v>8442</v>
      </c>
      <c r="C8331" s="14" t="s">
        <v>13029</v>
      </c>
      <c r="D8331" s="15">
        <v>16.559999999999999</v>
      </c>
      <c r="E8331" s="16" t="s">
        <v>30</v>
      </c>
    </row>
    <row r="8332" spans="1:5" x14ac:dyDescent="0.25">
      <c r="A8332" s="14">
        <v>1003692</v>
      </c>
      <c r="B8332" s="14" t="s">
        <v>8443</v>
      </c>
      <c r="C8332" s="14" t="s">
        <v>13029</v>
      </c>
      <c r="D8332" s="15">
        <v>13.11</v>
      </c>
      <c r="E8332" s="16" t="s">
        <v>30</v>
      </c>
    </row>
    <row r="8333" spans="1:5" x14ac:dyDescent="0.25">
      <c r="A8333" s="14">
        <v>1003693</v>
      </c>
      <c r="B8333" s="14" t="s">
        <v>8444</v>
      </c>
      <c r="C8333" s="14" t="s">
        <v>13031</v>
      </c>
      <c r="D8333" s="15">
        <v>6.99</v>
      </c>
      <c r="E8333" s="16" t="s">
        <v>30</v>
      </c>
    </row>
    <row r="8334" spans="1:5" x14ac:dyDescent="0.25">
      <c r="A8334" s="14">
        <v>1003696</v>
      </c>
      <c r="B8334" s="14" t="s">
        <v>8445</v>
      </c>
      <c r="C8334" s="14" t="s">
        <v>13029</v>
      </c>
      <c r="D8334" s="15">
        <v>82.96</v>
      </c>
      <c r="E8334" s="14" t="s">
        <v>30</v>
      </c>
    </row>
    <row r="8335" spans="1:5" x14ac:dyDescent="0.25">
      <c r="A8335" s="14">
        <v>1003698</v>
      </c>
      <c r="B8335" s="14" t="s">
        <v>8446</v>
      </c>
      <c r="C8335" s="14" t="s">
        <v>13029</v>
      </c>
      <c r="D8335" s="15">
        <v>66.05</v>
      </c>
      <c r="E8335" s="14" t="s">
        <v>30</v>
      </c>
    </row>
    <row r="8336" spans="1:5" x14ac:dyDescent="0.25">
      <c r="A8336" s="14">
        <v>1003706</v>
      </c>
      <c r="B8336" s="14" t="s">
        <v>8447</v>
      </c>
      <c r="C8336" s="14" t="s">
        <v>13031</v>
      </c>
      <c r="D8336" s="15">
        <v>53.49</v>
      </c>
      <c r="E8336" s="16" t="s">
        <v>30</v>
      </c>
    </row>
    <row r="8337" spans="1:5" x14ac:dyDescent="0.25">
      <c r="A8337" s="14">
        <v>1003707</v>
      </c>
      <c r="B8337" s="14" t="s">
        <v>8448</v>
      </c>
      <c r="C8337" s="14" t="s">
        <v>13029</v>
      </c>
      <c r="D8337" s="15">
        <v>17.850000000000001</v>
      </c>
      <c r="E8337" s="16" t="s">
        <v>30</v>
      </c>
    </row>
    <row r="8338" spans="1:5" x14ac:dyDescent="0.25">
      <c r="A8338" s="14">
        <v>1003708</v>
      </c>
      <c r="B8338" s="14" t="s">
        <v>8449</v>
      </c>
      <c r="C8338" s="14" t="s">
        <v>13029</v>
      </c>
      <c r="D8338" s="15">
        <v>20.91</v>
      </c>
      <c r="E8338" s="14" t="s">
        <v>30</v>
      </c>
    </row>
    <row r="8339" spans="1:5" x14ac:dyDescent="0.25">
      <c r="A8339" s="14">
        <v>1003712</v>
      </c>
      <c r="B8339" s="14" t="s">
        <v>8450</v>
      </c>
      <c r="C8339" s="14" t="s">
        <v>13029</v>
      </c>
      <c r="D8339" s="15">
        <v>10.1</v>
      </c>
      <c r="E8339" s="16" t="s">
        <v>30</v>
      </c>
    </row>
    <row r="8340" spans="1:5" x14ac:dyDescent="0.25">
      <c r="A8340" s="14">
        <v>1003715</v>
      </c>
      <c r="B8340" s="14" t="s">
        <v>8451</v>
      </c>
      <c r="C8340" s="14" t="s">
        <v>13029</v>
      </c>
      <c r="D8340" s="15">
        <v>42.33</v>
      </c>
      <c r="E8340" s="14" t="s">
        <v>30</v>
      </c>
    </row>
    <row r="8341" spans="1:5" x14ac:dyDescent="0.25">
      <c r="A8341" s="14">
        <v>1003772</v>
      </c>
      <c r="B8341" s="14" t="s">
        <v>8452</v>
      </c>
      <c r="C8341" s="14" t="s">
        <v>13029</v>
      </c>
      <c r="D8341" s="15">
        <v>28.72</v>
      </c>
      <c r="E8341" s="16" t="s">
        <v>30</v>
      </c>
    </row>
    <row r="8342" spans="1:5" x14ac:dyDescent="0.25">
      <c r="A8342" s="14">
        <v>1003773</v>
      </c>
      <c r="B8342" s="14" t="s">
        <v>8453</v>
      </c>
      <c r="C8342" s="14" t="s">
        <v>13029</v>
      </c>
      <c r="D8342" s="15">
        <v>25.46</v>
      </c>
      <c r="E8342" s="16" t="s">
        <v>30</v>
      </c>
    </row>
    <row r="8343" spans="1:5" x14ac:dyDescent="0.25">
      <c r="A8343" s="14">
        <v>1003775</v>
      </c>
      <c r="B8343" s="14" t="s">
        <v>8454</v>
      </c>
      <c r="C8343" s="14" t="s">
        <v>13031</v>
      </c>
      <c r="D8343" s="15">
        <v>6.9</v>
      </c>
      <c r="E8343" s="16" t="s">
        <v>30</v>
      </c>
    </row>
    <row r="8344" spans="1:5" x14ac:dyDescent="0.25">
      <c r="A8344" s="14">
        <v>1003776</v>
      </c>
      <c r="B8344" s="14" t="s">
        <v>8455</v>
      </c>
      <c r="C8344" s="14" t="s">
        <v>13031</v>
      </c>
      <c r="D8344" s="15">
        <v>7.85</v>
      </c>
      <c r="E8344" s="16" t="s">
        <v>30</v>
      </c>
    </row>
    <row r="8345" spans="1:5" x14ac:dyDescent="0.25">
      <c r="A8345" s="14">
        <v>1002201</v>
      </c>
      <c r="B8345" s="14" t="s">
        <v>8456</v>
      </c>
      <c r="C8345" s="14" t="s">
        <v>13030</v>
      </c>
      <c r="D8345" s="15">
        <v>118.78</v>
      </c>
      <c r="E8345" s="16" t="s">
        <v>30</v>
      </c>
    </row>
    <row r="8346" spans="1:5" x14ac:dyDescent="0.25">
      <c r="A8346" s="14">
        <v>1002202</v>
      </c>
      <c r="B8346" s="14" t="s">
        <v>8457</v>
      </c>
      <c r="C8346" s="14" t="s">
        <v>13030</v>
      </c>
      <c r="D8346" s="15">
        <v>107.98</v>
      </c>
      <c r="E8346" s="16" t="s">
        <v>30</v>
      </c>
    </row>
    <row r="8347" spans="1:5" x14ac:dyDescent="0.25">
      <c r="A8347" s="14">
        <v>1003777</v>
      </c>
      <c r="B8347" s="14" t="s">
        <v>8458</v>
      </c>
      <c r="C8347" s="14" t="s">
        <v>13031</v>
      </c>
      <c r="D8347" s="15">
        <v>6.6</v>
      </c>
      <c r="E8347" s="16" t="s">
        <v>30</v>
      </c>
    </row>
    <row r="8348" spans="1:5" x14ac:dyDescent="0.25">
      <c r="A8348" s="14">
        <v>1003893</v>
      </c>
      <c r="B8348" s="14" t="s">
        <v>8459</v>
      </c>
      <c r="C8348" s="14" t="s">
        <v>13029</v>
      </c>
      <c r="D8348" s="15">
        <v>24.58</v>
      </c>
      <c r="E8348" s="16" t="s">
        <v>30</v>
      </c>
    </row>
    <row r="8349" spans="1:5" x14ac:dyDescent="0.25">
      <c r="A8349" s="14">
        <v>1003894</v>
      </c>
      <c r="B8349" s="14" t="s">
        <v>8460</v>
      </c>
      <c r="C8349" s="14" t="s">
        <v>13029</v>
      </c>
      <c r="D8349" s="15">
        <v>38.53</v>
      </c>
      <c r="E8349" s="16" t="s">
        <v>30</v>
      </c>
    </row>
    <row r="8350" spans="1:5" x14ac:dyDescent="0.25">
      <c r="A8350" s="14">
        <v>1003895</v>
      </c>
      <c r="B8350" s="14" t="s">
        <v>8461</v>
      </c>
      <c r="C8350" s="14" t="s">
        <v>13029</v>
      </c>
      <c r="D8350" s="15">
        <v>26.66</v>
      </c>
      <c r="E8350" s="16" t="s">
        <v>30</v>
      </c>
    </row>
    <row r="8351" spans="1:5" x14ac:dyDescent="0.25">
      <c r="A8351" s="14">
        <v>1003896</v>
      </c>
      <c r="B8351" s="14" t="s">
        <v>8462</v>
      </c>
      <c r="C8351" s="14" t="s">
        <v>13029</v>
      </c>
      <c r="D8351" s="15">
        <v>13.79</v>
      </c>
      <c r="E8351" s="16" t="s">
        <v>30</v>
      </c>
    </row>
    <row r="8352" spans="1:5" x14ac:dyDescent="0.25">
      <c r="A8352" s="14">
        <v>1004091</v>
      </c>
      <c r="B8352" s="14" t="s">
        <v>8463</v>
      </c>
      <c r="C8352" s="14" t="s">
        <v>13030</v>
      </c>
      <c r="D8352" s="15">
        <v>94.86</v>
      </c>
      <c r="E8352" s="16" t="s">
        <v>30</v>
      </c>
    </row>
    <row r="8353" spans="1:5" x14ac:dyDescent="0.25">
      <c r="A8353" s="14">
        <v>1004092</v>
      </c>
      <c r="B8353" s="14" t="s">
        <v>8464</v>
      </c>
      <c r="C8353" s="14" t="s">
        <v>13030</v>
      </c>
      <c r="D8353" s="15">
        <v>97.82</v>
      </c>
      <c r="E8353" s="16" t="s">
        <v>30</v>
      </c>
    </row>
    <row r="8354" spans="1:5" x14ac:dyDescent="0.25">
      <c r="A8354" s="14">
        <v>1004094</v>
      </c>
      <c r="B8354" s="14" t="s">
        <v>8465</v>
      </c>
      <c r="C8354" s="14" t="s">
        <v>13030</v>
      </c>
      <c r="D8354" s="15">
        <v>20.84</v>
      </c>
      <c r="E8354" s="16" t="s">
        <v>30</v>
      </c>
    </row>
    <row r="8355" spans="1:5" x14ac:dyDescent="0.25">
      <c r="A8355" s="14">
        <v>1004104</v>
      </c>
      <c r="B8355" s="14" t="s">
        <v>8466</v>
      </c>
      <c r="C8355" s="14" t="s">
        <v>13031</v>
      </c>
      <c r="D8355" s="15">
        <v>8.31</v>
      </c>
      <c r="E8355" s="16" t="s">
        <v>30</v>
      </c>
    </row>
    <row r="8356" spans="1:5" x14ac:dyDescent="0.25">
      <c r="A8356" s="14">
        <v>1004153</v>
      </c>
      <c r="B8356" s="14" t="s">
        <v>8467</v>
      </c>
      <c r="C8356" s="14" t="s">
        <v>13029</v>
      </c>
      <c r="D8356" s="15">
        <v>15.85</v>
      </c>
      <c r="E8356" s="16" t="s">
        <v>30</v>
      </c>
    </row>
    <row r="8357" spans="1:5" x14ac:dyDescent="0.25">
      <c r="A8357" s="14">
        <v>1004154</v>
      </c>
      <c r="B8357" s="14" t="s">
        <v>8468</v>
      </c>
      <c r="C8357" s="14" t="s">
        <v>13029</v>
      </c>
      <c r="D8357" s="15">
        <v>12.7</v>
      </c>
      <c r="E8357" s="16" t="s">
        <v>30</v>
      </c>
    </row>
    <row r="8358" spans="1:5" x14ac:dyDescent="0.25">
      <c r="A8358" s="14">
        <v>1004399</v>
      </c>
      <c r="B8358" s="14" t="s">
        <v>8469</v>
      </c>
      <c r="C8358" s="14" t="s">
        <v>13033</v>
      </c>
      <c r="D8358" s="15">
        <v>13.72</v>
      </c>
      <c r="E8358" s="16" t="s">
        <v>30</v>
      </c>
    </row>
    <row r="8359" spans="1:5" x14ac:dyDescent="0.25">
      <c r="A8359" s="14">
        <v>1004400</v>
      </c>
      <c r="B8359" s="14" t="s">
        <v>8470</v>
      </c>
      <c r="C8359" s="14" t="s">
        <v>13033</v>
      </c>
      <c r="D8359" s="15">
        <v>13.72</v>
      </c>
      <c r="E8359" s="16" t="s">
        <v>30</v>
      </c>
    </row>
    <row r="8360" spans="1:5" x14ac:dyDescent="0.25">
      <c r="A8360" s="14">
        <v>1004401</v>
      </c>
      <c r="B8360" s="14" t="s">
        <v>8471</v>
      </c>
      <c r="C8360" s="14" t="s">
        <v>13033</v>
      </c>
      <c r="D8360" s="15">
        <v>13.72</v>
      </c>
      <c r="E8360" s="16" t="s">
        <v>30</v>
      </c>
    </row>
    <row r="8361" spans="1:5" x14ac:dyDescent="0.25">
      <c r="A8361" s="14">
        <v>1004402</v>
      </c>
      <c r="B8361" s="14" t="s">
        <v>8472</v>
      </c>
      <c r="C8361" s="14" t="s">
        <v>13033</v>
      </c>
      <c r="D8361" s="15">
        <v>13.72</v>
      </c>
      <c r="E8361" s="16" t="s">
        <v>30</v>
      </c>
    </row>
    <row r="8362" spans="1:5" x14ac:dyDescent="0.25">
      <c r="A8362" s="14">
        <v>1004403</v>
      </c>
      <c r="B8362" s="14" t="s">
        <v>8473</v>
      </c>
      <c r="C8362" s="14" t="s">
        <v>13033</v>
      </c>
      <c r="D8362" s="15">
        <v>16.47</v>
      </c>
      <c r="E8362" s="16" t="s">
        <v>30</v>
      </c>
    </row>
    <row r="8363" spans="1:5" x14ac:dyDescent="0.25">
      <c r="A8363" s="14">
        <v>1004404</v>
      </c>
      <c r="B8363" s="14" t="s">
        <v>8474</v>
      </c>
      <c r="C8363" s="14" t="s">
        <v>13030</v>
      </c>
      <c r="D8363" s="15">
        <v>138.91999999999999</v>
      </c>
      <c r="E8363" s="16" t="s">
        <v>30</v>
      </c>
    </row>
    <row r="8364" spans="1:5" x14ac:dyDescent="0.25">
      <c r="A8364" s="14">
        <v>1004405</v>
      </c>
      <c r="B8364" s="14" t="s">
        <v>8475</v>
      </c>
      <c r="C8364" s="14" t="s">
        <v>13030</v>
      </c>
      <c r="D8364" s="15">
        <v>208.4</v>
      </c>
      <c r="E8364" s="16" t="s">
        <v>30</v>
      </c>
    </row>
    <row r="8365" spans="1:5" x14ac:dyDescent="0.25">
      <c r="A8365" s="14">
        <v>1004406</v>
      </c>
      <c r="B8365" s="14" t="s">
        <v>8476</v>
      </c>
      <c r="C8365" s="14" t="s">
        <v>13030</v>
      </c>
      <c r="D8365" s="15">
        <v>764.34</v>
      </c>
      <c r="E8365" s="16" t="s">
        <v>30</v>
      </c>
    </row>
    <row r="8366" spans="1:5" x14ac:dyDescent="0.25">
      <c r="A8366" s="14">
        <v>1004407</v>
      </c>
      <c r="B8366" s="14" t="s">
        <v>8477</v>
      </c>
      <c r="C8366" s="14" t="s">
        <v>13030</v>
      </c>
      <c r="D8366" s="15">
        <v>229.25</v>
      </c>
      <c r="E8366" s="16" t="s">
        <v>30</v>
      </c>
    </row>
    <row r="8367" spans="1:5" x14ac:dyDescent="0.25">
      <c r="A8367" s="14">
        <v>1004432</v>
      </c>
      <c r="B8367" s="14" t="s">
        <v>8478</v>
      </c>
      <c r="C8367" s="14" t="s">
        <v>13030</v>
      </c>
      <c r="D8367" s="15">
        <v>60.32</v>
      </c>
      <c r="E8367" s="16" t="s">
        <v>30</v>
      </c>
    </row>
    <row r="8368" spans="1:5" x14ac:dyDescent="0.25">
      <c r="A8368" s="14">
        <v>1004433</v>
      </c>
      <c r="B8368" s="14" t="s">
        <v>8479</v>
      </c>
      <c r="C8368" s="14" t="s">
        <v>13030</v>
      </c>
      <c r="D8368" s="15">
        <v>76.37</v>
      </c>
      <c r="E8368" s="16" t="s">
        <v>30</v>
      </c>
    </row>
    <row r="8369" spans="1:5" x14ac:dyDescent="0.25">
      <c r="A8369" s="14">
        <v>1004435</v>
      </c>
      <c r="B8369" s="14" t="s">
        <v>8480</v>
      </c>
      <c r="C8369" s="14" t="s">
        <v>13030</v>
      </c>
      <c r="D8369" s="15">
        <v>22.86</v>
      </c>
      <c r="E8369" s="16" t="s">
        <v>30</v>
      </c>
    </row>
    <row r="8370" spans="1:5" x14ac:dyDescent="0.25">
      <c r="A8370" s="14">
        <v>1004436</v>
      </c>
      <c r="B8370" s="14" t="s">
        <v>8481</v>
      </c>
      <c r="C8370" s="14" t="s">
        <v>13030</v>
      </c>
      <c r="D8370" s="15">
        <v>34.67</v>
      </c>
      <c r="E8370" s="16" t="s">
        <v>30</v>
      </c>
    </row>
    <row r="8371" spans="1:5" x14ac:dyDescent="0.25">
      <c r="A8371" s="14">
        <v>1004437</v>
      </c>
      <c r="B8371" s="14" t="s">
        <v>8482</v>
      </c>
      <c r="C8371" s="14" t="s">
        <v>13030</v>
      </c>
      <c r="D8371" s="15">
        <v>44.86</v>
      </c>
      <c r="E8371" s="16" t="s">
        <v>30</v>
      </c>
    </row>
    <row r="8372" spans="1:5" x14ac:dyDescent="0.25">
      <c r="A8372" s="14">
        <v>1004438</v>
      </c>
      <c r="B8372" s="14" t="s">
        <v>8483</v>
      </c>
      <c r="C8372" s="14" t="s">
        <v>13030</v>
      </c>
      <c r="D8372" s="15">
        <v>57.56</v>
      </c>
      <c r="E8372" s="16" t="s">
        <v>30</v>
      </c>
    </row>
    <row r="8373" spans="1:5" x14ac:dyDescent="0.25">
      <c r="A8373" s="14">
        <v>1004439</v>
      </c>
      <c r="B8373" s="14" t="s">
        <v>8484</v>
      </c>
      <c r="C8373" s="14" t="s">
        <v>13030</v>
      </c>
      <c r="D8373" s="15">
        <v>61.16</v>
      </c>
      <c r="E8373" s="16" t="s">
        <v>30</v>
      </c>
    </row>
    <row r="8374" spans="1:5" x14ac:dyDescent="0.25">
      <c r="A8374" s="14">
        <v>1004440</v>
      </c>
      <c r="B8374" s="14" t="s">
        <v>8485</v>
      </c>
      <c r="C8374" s="14" t="s">
        <v>13030</v>
      </c>
      <c r="D8374" s="15">
        <v>61.16</v>
      </c>
      <c r="E8374" s="16" t="s">
        <v>30</v>
      </c>
    </row>
    <row r="8375" spans="1:5" x14ac:dyDescent="0.25">
      <c r="A8375" s="14">
        <v>1004441</v>
      </c>
      <c r="B8375" s="14" t="s">
        <v>8486</v>
      </c>
      <c r="C8375" s="14" t="s">
        <v>13030</v>
      </c>
      <c r="D8375" s="15">
        <v>35.950000000000003</v>
      </c>
      <c r="E8375" s="16" t="s">
        <v>30</v>
      </c>
    </row>
    <row r="8376" spans="1:5" x14ac:dyDescent="0.25">
      <c r="A8376" s="14">
        <v>1004442</v>
      </c>
      <c r="B8376" s="14" t="s">
        <v>8487</v>
      </c>
      <c r="C8376" s="14" t="s">
        <v>13030</v>
      </c>
      <c r="D8376" s="15">
        <v>39.54</v>
      </c>
      <c r="E8376" s="16" t="s">
        <v>30</v>
      </c>
    </row>
    <row r="8377" spans="1:5" x14ac:dyDescent="0.25">
      <c r="A8377" s="14">
        <v>1004444</v>
      </c>
      <c r="B8377" s="14" t="s">
        <v>8488</v>
      </c>
      <c r="C8377" s="14" t="s">
        <v>13030</v>
      </c>
      <c r="D8377" s="15">
        <v>235.65</v>
      </c>
      <c r="E8377" s="16" t="s">
        <v>30</v>
      </c>
    </row>
    <row r="8378" spans="1:5" x14ac:dyDescent="0.25">
      <c r="A8378" s="14">
        <v>1004445</v>
      </c>
      <c r="B8378" s="14" t="s">
        <v>8489</v>
      </c>
      <c r="C8378" s="14" t="s">
        <v>13030</v>
      </c>
      <c r="D8378" s="15">
        <v>76.44</v>
      </c>
      <c r="E8378" s="16" t="s">
        <v>30</v>
      </c>
    </row>
    <row r="8379" spans="1:5" x14ac:dyDescent="0.25">
      <c r="A8379" s="14">
        <v>1004470</v>
      </c>
      <c r="B8379" s="14" t="s">
        <v>8490</v>
      </c>
      <c r="C8379" s="14" t="s">
        <v>13031</v>
      </c>
      <c r="D8379" s="15">
        <v>8.6</v>
      </c>
      <c r="E8379" s="16" t="s">
        <v>30</v>
      </c>
    </row>
    <row r="8380" spans="1:5" x14ac:dyDescent="0.25">
      <c r="A8380" s="14">
        <v>1004471</v>
      </c>
      <c r="B8380" s="14" t="s">
        <v>8491</v>
      </c>
      <c r="C8380" s="14" t="s">
        <v>13029</v>
      </c>
      <c r="D8380" s="15">
        <v>39.979999999999997</v>
      </c>
      <c r="E8380" s="16" t="s">
        <v>30</v>
      </c>
    </row>
    <row r="8381" spans="1:5" x14ac:dyDescent="0.25">
      <c r="A8381" s="14">
        <v>1004472</v>
      </c>
      <c r="B8381" s="14" t="s">
        <v>8492</v>
      </c>
      <c r="C8381" s="14" t="s">
        <v>13029</v>
      </c>
      <c r="D8381" s="15">
        <v>39.979999999999997</v>
      </c>
      <c r="E8381" s="16" t="s">
        <v>30</v>
      </c>
    </row>
    <row r="8382" spans="1:5" x14ac:dyDescent="0.25">
      <c r="A8382" s="14">
        <v>1004473</v>
      </c>
      <c r="B8382" s="14" t="s">
        <v>8493</v>
      </c>
      <c r="C8382" s="14" t="s">
        <v>13029</v>
      </c>
      <c r="D8382" s="15">
        <v>39.979999999999997</v>
      </c>
      <c r="E8382" s="16" t="s">
        <v>30</v>
      </c>
    </row>
    <row r="8383" spans="1:5" x14ac:dyDescent="0.25">
      <c r="A8383" s="14">
        <v>1004474</v>
      </c>
      <c r="B8383" s="14" t="s">
        <v>8494</v>
      </c>
      <c r="C8383" s="14" t="s">
        <v>13029</v>
      </c>
      <c r="D8383" s="15">
        <v>39.979999999999997</v>
      </c>
      <c r="E8383" s="16" t="s">
        <v>30</v>
      </c>
    </row>
    <row r="8384" spans="1:5" x14ac:dyDescent="0.25">
      <c r="A8384" s="14">
        <v>1004475</v>
      </c>
      <c r="B8384" s="14" t="s">
        <v>8495</v>
      </c>
      <c r="C8384" s="14" t="s">
        <v>13029</v>
      </c>
      <c r="D8384" s="15">
        <v>39.979999999999997</v>
      </c>
      <c r="E8384" s="16" t="s">
        <v>30</v>
      </c>
    </row>
    <row r="8385" spans="1:5" x14ac:dyDescent="0.25">
      <c r="A8385" s="14">
        <v>1004476</v>
      </c>
      <c r="B8385" s="14" t="s">
        <v>8496</v>
      </c>
      <c r="C8385" s="14" t="s">
        <v>13029</v>
      </c>
      <c r="D8385" s="15">
        <v>39.979999999999997</v>
      </c>
      <c r="E8385" s="16" t="s">
        <v>30</v>
      </c>
    </row>
    <row r="8386" spans="1:5" x14ac:dyDescent="0.25">
      <c r="A8386" s="14">
        <v>1004631</v>
      </c>
      <c r="B8386" s="14" t="s">
        <v>8497</v>
      </c>
      <c r="C8386" s="14" t="s">
        <v>13031</v>
      </c>
      <c r="D8386" s="15">
        <v>17.7</v>
      </c>
      <c r="E8386" s="16" t="s">
        <v>30</v>
      </c>
    </row>
    <row r="8387" spans="1:5" x14ac:dyDescent="0.25">
      <c r="A8387" s="14">
        <v>1004632</v>
      </c>
      <c r="B8387" s="14" t="s">
        <v>8498</v>
      </c>
      <c r="C8387" s="14" t="s">
        <v>13031</v>
      </c>
      <c r="D8387" s="15">
        <v>7.1</v>
      </c>
      <c r="E8387" s="16" t="s">
        <v>30</v>
      </c>
    </row>
    <row r="8388" spans="1:5" x14ac:dyDescent="0.25">
      <c r="A8388" s="14">
        <v>991447</v>
      </c>
      <c r="B8388" s="14" t="s">
        <v>8499</v>
      </c>
      <c r="C8388" s="14" t="s">
        <v>13031</v>
      </c>
      <c r="D8388" s="15">
        <v>15.42</v>
      </c>
      <c r="E8388" s="16" t="s">
        <v>20</v>
      </c>
    </row>
    <row r="8389" spans="1:5" x14ac:dyDescent="0.25">
      <c r="A8389" s="14">
        <v>1004732</v>
      </c>
      <c r="B8389" s="14" t="s">
        <v>8500</v>
      </c>
      <c r="C8389" s="14" t="s">
        <v>13031</v>
      </c>
      <c r="D8389" s="15">
        <v>130.5</v>
      </c>
      <c r="E8389" s="16" t="s">
        <v>30</v>
      </c>
    </row>
    <row r="8390" spans="1:5" x14ac:dyDescent="0.25">
      <c r="A8390" s="14">
        <v>1004820</v>
      </c>
      <c r="B8390" s="14" t="s">
        <v>8501</v>
      </c>
      <c r="C8390" s="14" t="s">
        <v>13033</v>
      </c>
      <c r="D8390" s="15">
        <v>12.8</v>
      </c>
      <c r="E8390" s="16" t="s">
        <v>30</v>
      </c>
    </row>
    <row r="8391" spans="1:5" x14ac:dyDescent="0.25">
      <c r="A8391" s="14">
        <v>1004941</v>
      </c>
      <c r="B8391" s="14" t="s">
        <v>8502</v>
      </c>
      <c r="C8391" s="14" t="s">
        <v>13029</v>
      </c>
      <c r="D8391" s="15">
        <v>18.66</v>
      </c>
      <c r="E8391" s="16" t="s">
        <v>30</v>
      </c>
    </row>
    <row r="8392" spans="1:5" x14ac:dyDescent="0.25">
      <c r="A8392" s="14">
        <v>1004942</v>
      </c>
      <c r="B8392" s="14" t="s">
        <v>8503</v>
      </c>
      <c r="C8392" s="14" t="s">
        <v>13029</v>
      </c>
      <c r="D8392" s="15">
        <v>65.19</v>
      </c>
      <c r="E8392" s="16" t="s">
        <v>30</v>
      </c>
    </row>
    <row r="8393" spans="1:5" x14ac:dyDescent="0.25">
      <c r="A8393" s="14">
        <v>997982</v>
      </c>
      <c r="B8393" s="14" t="s">
        <v>8504</v>
      </c>
      <c r="C8393" s="14" t="s">
        <v>13030</v>
      </c>
      <c r="D8393" s="15">
        <v>83.81</v>
      </c>
      <c r="E8393" s="16" t="s">
        <v>20</v>
      </c>
    </row>
    <row r="8394" spans="1:5" x14ac:dyDescent="0.25">
      <c r="A8394" s="14">
        <v>1004943</v>
      </c>
      <c r="B8394" s="14" t="s">
        <v>8505</v>
      </c>
      <c r="C8394" s="14" t="s">
        <v>13029</v>
      </c>
      <c r="D8394" s="15">
        <v>65.19</v>
      </c>
      <c r="E8394" s="16" t="s">
        <v>30</v>
      </c>
    </row>
    <row r="8395" spans="1:5" x14ac:dyDescent="0.25">
      <c r="A8395" s="14">
        <v>1004952</v>
      </c>
      <c r="B8395" s="14" t="s">
        <v>8506</v>
      </c>
      <c r="C8395" s="14" t="s">
        <v>13031</v>
      </c>
      <c r="D8395" s="15">
        <v>23.58</v>
      </c>
      <c r="E8395" s="16" t="s">
        <v>30</v>
      </c>
    </row>
    <row r="8396" spans="1:5" x14ac:dyDescent="0.25">
      <c r="A8396" s="14">
        <v>1004953</v>
      </c>
      <c r="B8396" s="14" t="s">
        <v>8507</v>
      </c>
      <c r="C8396" s="14" t="s">
        <v>13031</v>
      </c>
      <c r="D8396" s="15">
        <v>9.36</v>
      </c>
      <c r="E8396" s="16" t="s">
        <v>30</v>
      </c>
    </row>
    <row r="8397" spans="1:5" x14ac:dyDescent="0.25">
      <c r="A8397" s="14">
        <v>1004955</v>
      </c>
      <c r="B8397" s="14" t="s">
        <v>8508</v>
      </c>
      <c r="C8397" s="14" t="s">
        <v>13029</v>
      </c>
      <c r="D8397" s="15">
        <v>32.97</v>
      </c>
      <c r="E8397" s="16" t="s">
        <v>30</v>
      </c>
    </row>
    <row r="8398" spans="1:5" x14ac:dyDescent="0.25">
      <c r="A8398" s="14">
        <v>1004956</v>
      </c>
      <c r="B8398" s="14" t="s">
        <v>8509</v>
      </c>
      <c r="C8398" s="14" t="s">
        <v>13029</v>
      </c>
      <c r="D8398" s="15">
        <v>44.07</v>
      </c>
      <c r="E8398" s="16" t="s">
        <v>30</v>
      </c>
    </row>
    <row r="8399" spans="1:5" x14ac:dyDescent="0.25">
      <c r="A8399" s="14">
        <v>1004957</v>
      </c>
      <c r="B8399" s="14" t="s">
        <v>8510</v>
      </c>
      <c r="C8399" s="14" t="s">
        <v>13029</v>
      </c>
      <c r="D8399" s="15">
        <v>49.53</v>
      </c>
      <c r="E8399" s="16" t="s">
        <v>30</v>
      </c>
    </row>
    <row r="8400" spans="1:5" x14ac:dyDescent="0.25">
      <c r="A8400" s="14">
        <v>1004958</v>
      </c>
      <c r="B8400" s="14" t="s">
        <v>8511</v>
      </c>
      <c r="C8400" s="14" t="s">
        <v>13029</v>
      </c>
      <c r="D8400" s="15">
        <v>51.55</v>
      </c>
      <c r="E8400" s="16" t="s">
        <v>30</v>
      </c>
    </row>
    <row r="8401" spans="1:5" x14ac:dyDescent="0.25">
      <c r="A8401" s="14">
        <v>1004959</v>
      </c>
      <c r="B8401" s="14" t="s">
        <v>8512</v>
      </c>
      <c r="C8401" s="14" t="s">
        <v>13029</v>
      </c>
      <c r="D8401" s="15">
        <v>44.07</v>
      </c>
      <c r="E8401" s="16" t="s">
        <v>30</v>
      </c>
    </row>
    <row r="8402" spans="1:5" x14ac:dyDescent="0.25">
      <c r="A8402" s="14">
        <v>1004960</v>
      </c>
      <c r="B8402" s="14" t="s">
        <v>8513</v>
      </c>
      <c r="C8402" s="14" t="s">
        <v>13029</v>
      </c>
      <c r="D8402" s="15">
        <v>52.54</v>
      </c>
      <c r="E8402" s="16" t="s">
        <v>30</v>
      </c>
    </row>
    <row r="8403" spans="1:5" x14ac:dyDescent="0.25">
      <c r="A8403" s="14">
        <v>1004961</v>
      </c>
      <c r="B8403" s="14" t="s">
        <v>8514</v>
      </c>
      <c r="C8403" s="14" t="s">
        <v>13029</v>
      </c>
      <c r="D8403" s="15">
        <v>51.14</v>
      </c>
      <c r="E8403" s="16" t="s">
        <v>30</v>
      </c>
    </row>
    <row r="8404" spans="1:5" x14ac:dyDescent="0.25">
      <c r="A8404" s="14">
        <v>1004962</v>
      </c>
      <c r="B8404" s="14" t="s">
        <v>8515</v>
      </c>
      <c r="C8404" s="14" t="s">
        <v>13029</v>
      </c>
      <c r="D8404" s="15">
        <v>43.74</v>
      </c>
      <c r="E8404" s="16" t="s">
        <v>30</v>
      </c>
    </row>
    <row r="8405" spans="1:5" x14ac:dyDescent="0.25">
      <c r="A8405" s="14">
        <v>997983</v>
      </c>
      <c r="B8405" s="14" t="s">
        <v>8516</v>
      </c>
      <c r="C8405" s="14" t="s">
        <v>13030</v>
      </c>
      <c r="D8405" s="15">
        <v>163.30000000000001</v>
      </c>
      <c r="E8405" s="16" t="s">
        <v>20</v>
      </c>
    </row>
    <row r="8406" spans="1:5" x14ac:dyDescent="0.25">
      <c r="A8406" s="14">
        <v>1004963</v>
      </c>
      <c r="B8406" s="14" t="s">
        <v>8517</v>
      </c>
      <c r="C8406" s="14" t="s">
        <v>13029</v>
      </c>
      <c r="D8406" s="15">
        <v>47.37</v>
      </c>
      <c r="E8406" s="16" t="s">
        <v>30</v>
      </c>
    </row>
    <row r="8407" spans="1:5" x14ac:dyDescent="0.25">
      <c r="A8407" s="14">
        <v>1005065</v>
      </c>
      <c r="B8407" s="14" t="s">
        <v>8518</v>
      </c>
      <c r="C8407" s="14" t="s">
        <v>13031</v>
      </c>
      <c r="D8407" s="15">
        <v>5.87</v>
      </c>
      <c r="E8407" s="16" t="s">
        <v>30</v>
      </c>
    </row>
    <row r="8408" spans="1:5" x14ac:dyDescent="0.25">
      <c r="A8408" s="14">
        <v>1005066</v>
      </c>
      <c r="B8408" s="14" t="s">
        <v>8519</v>
      </c>
      <c r="C8408" s="14" t="s">
        <v>13031</v>
      </c>
      <c r="D8408" s="15">
        <v>5.87</v>
      </c>
      <c r="E8408" s="16" t="s">
        <v>30</v>
      </c>
    </row>
    <row r="8409" spans="1:5" x14ac:dyDescent="0.25">
      <c r="A8409" s="14">
        <v>1005071</v>
      </c>
      <c r="B8409" s="14" t="s">
        <v>8520</v>
      </c>
      <c r="C8409" s="14" t="s">
        <v>13031</v>
      </c>
      <c r="D8409" s="15">
        <v>5.87</v>
      </c>
      <c r="E8409" s="16" t="s">
        <v>30</v>
      </c>
    </row>
    <row r="8410" spans="1:5" x14ac:dyDescent="0.25">
      <c r="A8410" s="14">
        <v>1005072</v>
      </c>
      <c r="B8410" s="14" t="s">
        <v>8521</v>
      </c>
      <c r="C8410" s="14" t="s">
        <v>13031</v>
      </c>
      <c r="D8410" s="15">
        <v>5.6</v>
      </c>
      <c r="E8410" s="16" t="s">
        <v>30</v>
      </c>
    </row>
    <row r="8411" spans="1:5" x14ac:dyDescent="0.25">
      <c r="A8411" s="14">
        <v>1005323</v>
      </c>
      <c r="B8411" s="14" t="s">
        <v>8522</v>
      </c>
      <c r="C8411" s="14" t="s">
        <v>13031</v>
      </c>
      <c r="D8411" s="15">
        <v>5.0999999999999996</v>
      </c>
      <c r="E8411" s="16" t="s">
        <v>30</v>
      </c>
    </row>
    <row r="8412" spans="1:5" x14ac:dyDescent="0.25">
      <c r="A8412" s="14">
        <v>1005324</v>
      </c>
      <c r="B8412" s="14" t="s">
        <v>8523</v>
      </c>
      <c r="C8412" s="14" t="s">
        <v>13031</v>
      </c>
      <c r="D8412" s="15">
        <v>8.84</v>
      </c>
      <c r="E8412" s="16" t="s">
        <v>30</v>
      </c>
    </row>
    <row r="8413" spans="1:5" x14ac:dyDescent="0.25">
      <c r="A8413" s="14">
        <v>1005325</v>
      </c>
      <c r="B8413" s="14" t="s">
        <v>8524</v>
      </c>
      <c r="C8413" s="14" t="s">
        <v>13031</v>
      </c>
      <c r="D8413" s="15">
        <v>5.28</v>
      </c>
      <c r="E8413" s="16" t="s">
        <v>30</v>
      </c>
    </row>
    <row r="8414" spans="1:5" x14ac:dyDescent="0.25">
      <c r="A8414" s="14">
        <v>1005326</v>
      </c>
      <c r="B8414" s="14" t="s">
        <v>8525</v>
      </c>
      <c r="C8414" s="14" t="s">
        <v>13031</v>
      </c>
      <c r="D8414" s="15">
        <v>8.31</v>
      </c>
      <c r="E8414" s="16" t="s">
        <v>30</v>
      </c>
    </row>
    <row r="8415" spans="1:5" x14ac:dyDescent="0.25">
      <c r="A8415" s="14">
        <v>1005327</v>
      </c>
      <c r="B8415" s="14" t="s">
        <v>8526</v>
      </c>
      <c r="C8415" s="14" t="s">
        <v>13031</v>
      </c>
      <c r="D8415" s="15">
        <v>3.74</v>
      </c>
      <c r="E8415" s="16" t="s">
        <v>30</v>
      </c>
    </row>
    <row r="8416" spans="1:5" x14ac:dyDescent="0.25">
      <c r="A8416" s="14">
        <v>1005465</v>
      </c>
      <c r="B8416" s="14" t="s">
        <v>8527</v>
      </c>
      <c r="C8416" s="14" t="s">
        <v>13029</v>
      </c>
      <c r="D8416" s="15">
        <v>8.75</v>
      </c>
      <c r="E8416" s="16" t="s">
        <v>30</v>
      </c>
    </row>
    <row r="8417" spans="1:5" x14ac:dyDescent="0.25">
      <c r="A8417" s="14">
        <v>1005466</v>
      </c>
      <c r="B8417" s="14" t="s">
        <v>8528</v>
      </c>
      <c r="C8417" s="14" t="s">
        <v>13029</v>
      </c>
      <c r="D8417" s="15">
        <v>5.87</v>
      </c>
      <c r="E8417" s="16" t="s">
        <v>30</v>
      </c>
    </row>
    <row r="8418" spans="1:5" x14ac:dyDescent="0.25">
      <c r="A8418" s="14">
        <v>1005467</v>
      </c>
      <c r="B8418" s="14" t="s">
        <v>8529</v>
      </c>
      <c r="C8418" s="14" t="s">
        <v>13029</v>
      </c>
      <c r="D8418" s="15">
        <v>4.6900000000000004</v>
      </c>
      <c r="E8418" s="16" t="s">
        <v>30</v>
      </c>
    </row>
    <row r="8419" spans="1:5" x14ac:dyDescent="0.25">
      <c r="A8419" s="14">
        <v>1005468</v>
      </c>
      <c r="B8419" s="14" t="s">
        <v>8530</v>
      </c>
      <c r="C8419" s="14" t="s">
        <v>13029</v>
      </c>
      <c r="D8419" s="15">
        <v>7.06</v>
      </c>
      <c r="E8419" s="16" t="s">
        <v>30</v>
      </c>
    </row>
    <row r="8420" spans="1:5" x14ac:dyDescent="0.25">
      <c r="A8420" s="14">
        <v>1005469</v>
      </c>
      <c r="B8420" s="14" t="s">
        <v>8531</v>
      </c>
      <c r="C8420" s="14" t="s">
        <v>13029</v>
      </c>
      <c r="D8420" s="15">
        <v>14.83</v>
      </c>
      <c r="E8420" s="16" t="s">
        <v>30</v>
      </c>
    </row>
    <row r="8421" spans="1:5" x14ac:dyDescent="0.25">
      <c r="A8421" s="14">
        <v>1005515</v>
      </c>
      <c r="B8421" s="14" t="s">
        <v>8532</v>
      </c>
      <c r="C8421" s="14" t="s">
        <v>13029</v>
      </c>
      <c r="D8421" s="15">
        <v>41.42</v>
      </c>
      <c r="E8421" s="16" t="s">
        <v>30</v>
      </c>
    </row>
    <row r="8422" spans="1:5" x14ac:dyDescent="0.25">
      <c r="A8422" s="14">
        <v>1005516</v>
      </c>
      <c r="B8422" s="14" t="s">
        <v>8533</v>
      </c>
      <c r="C8422" s="14" t="s">
        <v>13029</v>
      </c>
      <c r="D8422" s="15">
        <v>41.42</v>
      </c>
      <c r="E8422" s="16" t="s">
        <v>30</v>
      </c>
    </row>
    <row r="8423" spans="1:5" x14ac:dyDescent="0.25">
      <c r="A8423" s="14">
        <v>1005519</v>
      </c>
      <c r="B8423" s="14" t="s">
        <v>8534</v>
      </c>
      <c r="C8423" s="14" t="s">
        <v>13030</v>
      </c>
      <c r="D8423" s="15">
        <v>167.72</v>
      </c>
      <c r="E8423" s="16" t="s">
        <v>30</v>
      </c>
    </row>
    <row r="8424" spans="1:5" x14ac:dyDescent="0.25">
      <c r="A8424" s="14">
        <v>1005520</v>
      </c>
      <c r="B8424" s="14" t="s">
        <v>8535</v>
      </c>
      <c r="C8424" s="14" t="s">
        <v>13030</v>
      </c>
      <c r="D8424" s="15">
        <v>182.97</v>
      </c>
      <c r="E8424" s="16" t="s">
        <v>30</v>
      </c>
    </row>
    <row r="8425" spans="1:5" x14ac:dyDescent="0.25">
      <c r="A8425" s="14">
        <v>1005649</v>
      </c>
      <c r="B8425" s="14" t="s">
        <v>8536</v>
      </c>
      <c r="C8425" s="14" t="s">
        <v>13031</v>
      </c>
      <c r="D8425" s="15">
        <v>9.19</v>
      </c>
      <c r="E8425" s="16" t="s">
        <v>30</v>
      </c>
    </row>
    <row r="8426" spans="1:5" x14ac:dyDescent="0.25">
      <c r="A8426" s="14">
        <v>1005650</v>
      </c>
      <c r="B8426" s="14" t="s">
        <v>8537</v>
      </c>
      <c r="C8426" s="14" t="s">
        <v>13031</v>
      </c>
      <c r="D8426" s="15">
        <v>10.029999999999999</v>
      </c>
      <c r="E8426" s="16" t="s">
        <v>30</v>
      </c>
    </row>
    <row r="8427" spans="1:5" x14ac:dyDescent="0.25">
      <c r="A8427" s="14">
        <v>1005726</v>
      </c>
      <c r="B8427" s="14" t="s">
        <v>8538</v>
      </c>
      <c r="C8427" s="14" t="s">
        <v>13029</v>
      </c>
      <c r="D8427" s="15">
        <v>14.77</v>
      </c>
      <c r="E8427" s="16" t="s">
        <v>30</v>
      </c>
    </row>
    <row r="8428" spans="1:5" x14ac:dyDescent="0.25">
      <c r="A8428" s="14">
        <v>1005727</v>
      </c>
      <c r="B8428" s="14" t="s">
        <v>8539</v>
      </c>
      <c r="C8428" s="14" t="s">
        <v>13029</v>
      </c>
      <c r="D8428" s="15">
        <v>17.739999999999998</v>
      </c>
      <c r="E8428" s="16" t="s">
        <v>30</v>
      </c>
    </row>
    <row r="8429" spans="1:5" x14ac:dyDescent="0.25">
      <c r="A8429" s="14">
        <v>1005813</v>
      </c>
      <c r="B8429" s="14" t="s">
        <v>8540</v>
      </c>
      <c r="C8429" s="14" t="s">
        <v>13031</v>
      </c>
      <c r="D8429" s="15">
        <v>8.85</v>
      </c>
      <c r="E8429" s="16" t="s">
        <v>30</v>
      </c>
    </row>
    <row r="8430" spans="1:5" x14ac:dyDescent="0.25">
      <c r="A8430" s="14">
        <v>1005814</v>
      </c>
      <c r="B8430" s="14" t="s">
        <v>8541</v>
      </c>
      <c r="C8430" s="14" t="s">
        <v>13031</v>
      </c>
      <c r="D8430" s="15">
        <v>8.85</v>
      </c>
      <c r="E8430" s="16" t="s">
        <v>30</v>
      </c>
    </row>
    <row r="8431" spans="1:5" x14ac:dyDescent="0.25">
      <c r="A8431" s="14">
        <v>1005815</v>
      </c>
      <c r="B8431" s="14" t="s">
        <v>8542</v>
      </c>
      <c r="C8431" s="14" t="s">
        <v>13031</v>
      </c>
      <c r="D8431" s="15">
        <v>8.85</v>
      </c>
      <c r="E8431" s="16" t="s">
        <v>30</v>
      </c>
    </row>
    <row r="8432" spans="1:5" x14ac:dyDescent="0.25">
      <c r="A8432" s="14">
        <v>1005817</v>
      </c>
      <c r="B8432" s="14" t="s">
        <v>8543</v>
      </c>
      <c r="C8432" s="14" t="s">
        <v>13031</v>
      </c>
      <c r="D8432" s="15">
        <v>6.05</v>
      </c>
      <c r="E8432" s="16" t="s">
        <v>30</v>
      </c>
    </row>
    <row r="8433" spans="1:5" x14ac:dyDescent="0.25">
      <c r="A8433" s="14">
        <v>1005820</v>
      </c>
      <c r="B8433" s="14" t="s">
        <v>8544</v>
      </c>
      <c r="C8433" s="14" t="s">
        <v>13031</v>
      </c>
      <c r="D8433" s="15">
        <v>17.16</v>
      </c>
      <c r="E8433" s="16" t="s">
        <v>30</v>
      </c>
    </row>
    <row r="8434" spans="1:5" x14ac:dyDescent="0.25">
      <c r="A8434" s="14">
        <v>1005821</v>
      </c>
      <c r="B8434" s="14" t="s">
        <v>8545</v>
      </c>
      <c r="C8434" s="14" t="s">
        <v>13031</v>
      </c>
      <c r="D8434" s="15">
        <v>17.16</v>
      </c>
      <c r="E8434" s="16" t="s">
        <v>30</v>
      </c>
    </row>
    <row r="8435" spans="1:5" x14ac:dyDescent="0.25">
      <c r="A8435" s="14">
        <v>1005822</v>
      </c>
      <c r="B8435" s="14" t="s">
        <v>8546</v>
      </c>
      <c r="C8435" s="14" t="s">
        <v>13031</v>
      </c>
      <c r="D8435" s="15">
        <v>6</v>
      </c>
      <c r="E8435" s="16" t="s">
        <v>30</v>
      </c>
    </row>
    <row r="8436" spans="1:5" x14ac:dyDescent="0.25">
      <c r="A8436" s="14">
        <v>1005823</v>
      </c>
      <c r="B8436" s="14" t="s">
        <v>8547</v>
      </c>
      <c r="C8436" s="14" t="s">
        <v>13030</v>
      </c>
      <c r="D8436" s="15">
        <v>23.7</v>
      </c>
      <c r="E8436" s="16" t="s">
        <v>30</v>
      </c>
    </row>
    <row r="8437" spans="1:5" x14ac:dyDescent="0.25">
      <c r="A8437" s="14">
        <v>1005824</v>
      </c>
      <c r="B8437" s="14" t="s">
        <v>8548</v>
      </c>
      <c r="C8437" s="14" t="s">
        <v>13030</v>
      </c>
      <c r="D8437" s="15">
        <v>23.7</v>
      </c>
      <c r="E8437" s="16" t="s">
        <v>30</v>
      </c>
    </row>
    <row r="8438" spans="1:5" x14ac:dyDescent="0.25">
      <c r="A8438" s="14">
        <v>1005825</v>
      </c>
      <c r="B8438" s="14" t="s">
        <v>8549</v>
      </c>
      <c r="C8438" s="14" t="s">
        <v>13030</v>
      </c>
      <c r="D8438" s="15">
        <v>5.84</v>
      </c>
      <c r="E8438" s="16" t="s">
        <v>30</v>
      </c>
    </row>
    <row r="8439" spans="1:5" x14ac:dyDescent="0.25">
      <c r="A8439" s="14">
        <v>1005826</v>
      </c>
      <c r="B8439" s="14" t="s">
        <v>8550</v>
      </c>
      <c r="C8439" s="14" t="s">
        <v>13030</v>
      </c>
      <c r="D8439" s="15">
        <v>173.67</v>
      </c>
      <c r="E8439" s="16" t="s">
        <v>30</v>
      </c>
    </row>
    <row r="8440" spans="1:5" x14ac:dyDescent="0.25">
      <c r="A8440" s="14">
        <v>1005827</v>
      </c>
      <c r="B8440" s="14" t="s">
        <v>8551</v>
      </c>
      <c r="C8440" s="14" t="s">
        <v>13030</v>
      </c>
      <c r="D8440" s="15">
        <v>548.91</v>
      </c>
      <c r="E8440" s="16" t="s">
        <v>30</v>
      </c>
    </row>
    <row r="8441" spans="1:5" x14ac:dyDescent="0.25">
      <c r="A8441" s="14">
        <v>1005833</v>
      </c>
      <c r="B8441" s="14" t="s">
        <v>8552</v>
      </c>
      <c r="C8441" s="14" t="s">
        <v>13029</v>
      </c>
      <c r="D8441" s="15">
        <v>25.24</v>
      </c>
      <c r="E8441" s="16" t="s">
        <v>30</v>
      </c>
    </row>
    <row r="8442" spans="1:5" x14ac:dyDescent="0.25">
      <c r="A8442" s="14">
        <v>1005834</v>
      </c>
      <c r="B8442" s="14" t="s">
        <v>8553</v>
      </c>
      <c r="C8442" s="14" t="s">
        <v>13029</v>
      </c>
      <c r="D8442" s="15">
        <v>18.96</v>
      </c>
      <c r="E8442" s="16" t="s">
        <v>30</v>
      </c>
    </row>
    <row r="8443" spans="1:5" x14ac:dyDescent="0.25">
      <c r="A8443" s="14">
        <v>1005835</v>
      </c>
      <c r="B8443" s="14" t="s">
        <v>8554</v>
      </c>
      <c r="C8443" s="14" t="s">
        <v>13029</v>
      </c>
      <c r="D8443" s="15">
        <v>18.96</v>
      </c>
      <c r="E8443" s="16" t="s">
        <v>30</v>
      </c>
    </row>
    <row r="8444" spans="1:5" x14ac:dyDescent="0.25">
      <c r="A8444" s="14">
        <v>1005836</v>
      </c>
      <c r="B8444" s="14" t="s">
        <v>8555</v>
      </c>
      <c r="C8444" s="14" t="s">
        <v>13029</v>
      </c>
      <c r="D8444" s="15">
        <v>18.96</v>
      </c>
      <c r="E8444" s="16" t="s">
        <v>30</v>
      </c>
    </row>
    <row r="8445" spans="1:5" x14ac:dyDescent="0.25">
      <c r="A8445" s="14">
        <v>1005837</v>
      </c>
      <c r="B8445" s="14" t="s">
        <v>8556</v>
      </c>
      <c r="C8445" s="14" t="s">
        <v>13029</v>
      </c>
      <c r="D8445" s="15">
        <v>18.96</v>
      </c>
      <c r="E8445" s="16" t="s">
        <v>30</v>
      </c>
    </row>
    <row r="8446" spans="1:5" x14ac:dyDescent="0.25">
      <c r="A8446" s="14">
        <v>1005838</v>
      </c>
      <c r="B8446" s="14" t="s">
        <v>8557</v>
      </c>
      <c r="C8446" s="14" t="s">
        <v>13029</v>
      </c>
      <c r="D8446" s="15">
        <v>18.96</v>
      </c>
      <c r="E8446" s="16" t="s">
        <v>30</v>
      </c>
    </row>
    <row r="8447" spans="1:5" x14ac:dyDescent="0.25">
      <c r="A8447" s="14">
        <v>1005839</v>
      </c>
      <c r="B8447" s="14" t="s">
        <v>8558</v>
      </c>
      <c r="C8447" s="14" t="s">
        <v>13029</v>
      </c>
      <c r="D8447" s="15">
        <v>18.96</v>
      </c>
      <c r="E8447" s="16" t="s">
        <v>30</v>
      </c>
    </row>
    <row r="8448" spans="1:5" x14ac:dyDescent="0.25">
      <c r="A8448" s="14">
        <v>1005841</v>
      </c>
      <c r="B8448" s="14" t="s">
        <v>8559</v>
      </c>
      <c r="C8448" s="14" t="s">
        <v>13029</v>
      </c>
      <c r="D8448" s="15">
        <v>12.68</v>
      </c>
      <c r="E8448" s="16" t="s">
        <v>30</v>
      </c>
    </row>
    <row r="8449" spans="1:5" x14ac:dyDescent="0.25">
      <c r="A8449" s="14">
        <v>1005842</v>
      </c>
      <c r="B8449" s="14" t="s">
        <v>8560</v>
      </c>
      <c r="C8449" s="14" t="s">
        <v>13029</v>
      </c>
      <c r="D8449" s="15">
        <v>12.68</v>
      </c>
      <c r="E8449" s="16" t="s">
        <v>30</v>
      </c>
    </row>
    <row r="8450" spans="1:5" x14ac:dyDescent="0.25">
      <c r="A8450" s="14">
        <v>1006626</v>
      </c>
      <c r="B8450" s="14" t="s">
        <v>8561</v>
      </c>
      <c r="C8450" s="14" t="s">
        <v>13030</v>
      </c>
      <c r="D8450" s="15">
        <v>80.8</v>
      </c>
      <c r="E8450" s="16" t="s">
        <v>30</v>
      </c>
    </row>
    <row r="8451" spans="1:5" x14ac:dyDescent="0.25">
      <c r="A8451" s="14">
        <v>1006627</v>
      </c>
      <c r="B8451" s="14" t="s">
        <v>8562</v>
      </c>
      <c r="C8451" s="14" t="s">
        <v>13030</v>
      </c>
      <c r="D8451" s="15">
        <v>48.95</v>
      </c>
      <c r="E8451" s="16" t="s">
        <v>30</v>
      </c>
    </row>
    <row r="8452" spans="1:5" x14ac:dyDescent="0.25">
      <c r="A8452" s="14">
        <v>1006808</v>
      </c>
      <c r="B8452" s="14" t="s">
        <v>8563</v>
      </c>
      <c r="C8452" s="14" t="s">
        <v>13031</v>
      </c>
      <c r="D8452" s="15">
        <v>29.8</v>
      </c>
      <c r="E8452" s="16" t="s">
        <v>30</v>
      </c>
    </row>
    <row r="8453" spans="1:5" x14ac:dyDescent="0.25">
      <c r="A8453" s="14">
        <v>1006809</v>
      </c>
      <c r="B8453" s="14" t="s">
        <v>8564</v>
      </c>
      <c r="C8453" s="14" t="s">
        <v>13031</v>
      </c>
      <c r="D8453" s="15">
        <v>29.8</v>
      </c>
      <c r="E8453" s="16" t="s">
        <v>30</v>
      </c>
    </row>
    <row r="8454" spans="1:5" x14ac:dyDescent="0.25">
      <c r="A8454" s="14">
        <v>1006810</v>
      </c>
      <c r="B8454" s="14" t="s">
        <v>8565</v>
      </c>
      <c r="C8454" s="14" t="s">
        <v>13031</v>
      </c>
      <c r="D8454" s="15">
        <v>18.5</v>
      </c>
      <c r="E8454" s="16" t="s">
        <v>30</v>
      </c>
    </row>
    <row r="8455" spans="1:5" x14ac:dyDescent="0.25">
      <c r="A8455" s="14">
        <v>1006811</v>
      </c>
      <c r="B8455" s="14" t="s">
        <v>8566</v>
      </c>
      <c r="C8455" s="14" t="s">
        <v>13031</v>
      </c>
      <c r="D8455" s="15">
        <v>21.48</v>
      </c>
      <c r="E8455" s="16" t="s">
        <v>30</v>
      </c>
    </row>
    <row r="8456" spans="1:5" x14ac:dyDescent="0.25">
      <c r="A8456" s="14">
        <v>1006824</v>
      </c>
      <c r="B8456" s="14" t="s">
        <v>8567</v>
      </c>
      <c r="C8456" s="14" t="s">
        <v>13029</v>
      </c>
      <c r="D8456" s="15">
        <v>15.13</v>
      </c>
      <c r="E8456" s="16" t="s">
        <v>30</v>
      </c>
    </row>
    <row r="8457" spans="1:5" x14ac:dyDescent="0.25">
      <c r="A8457" s="14">
        <v>1006825</v>
      </c>
      <c r="B8457" s="14" t="s">
        <v>8568</v>
      </c>
      <c r="C8457" s="14" t="s">
        <v>13029</v>
      </c>
      <c r="D8457" s="15">
        <v>9.43</v>
      </c>
      <c r="E8457" s="16" t="s">
        <v>30</v>
      </c>
    </row>
    <row r="8458" spans="1:5" x14ac:dyDescent="0.25">
      <c r="A8458" s="14">
        <v>1006836</v>
      </c>
      <c r="B8458" s="14" t="s">
        <v>8569</v>
      </c>
      <c r="C8458" s="14" t="s">
        <v>13029</v>
      </c>
      <c r="D8458" s="15">
        <v>10.15</v>
      </c>
      <c r="E8458" s="16" t="s">
        <v>30</v>
      </c>
    </row>
    <row r="8459" spans="1:5" x14ac:dyDescent="0.25">
      <c r="A8459" s="14">
        <v>1006838</v>
      </c>
      <c r="B8459" s="14" t="s">
        <v>8570</v>
      </c>
      <c r="C8459" s="14" t="s">
        <v>13031</v>
      </c>
      <c r="D8459" s="15">
        <v>11</v>
      </c>
      <c r="E8459" s="16" t="s">
        <v>30</v>
      </c>
    </row>
    <row r="8460" spans="1:5" x14ac:dyDescent="0.25">
      <c r="A8460" s="14">
        <v>1006843</v>
      </c>
      <c r="B8460" s="14" t="s">
        <v>8571</v>
      </c>
      <c r="C8460" s="14" t="s">
        <v>13031</v>
      </c>
      <c r="D8460" s="15">
        <v>14.77</v>
      </c>
      <c r="E8460" s="16" t="s">
        <v>30</v>
      </c>
    </row>
    <row r="8461" spans="1:5" x14ac:dyDescent="0.25">
      <c r="A8461" s="14">
        <v>1006844</v>
      </c>
      <c r="B8461" s="14" t="s">
        <v>8572</v>
      </c>
      <c r="C8461" s="14" t="s">
        <v>13031</v>
      </c>
      <c r="D8461" s="15">
        <v>14.77</v>
      </c>
      <c r="E8461" s="16" t="s">
        <v>30</v>
      </c>
    </row>
    <row r="8462" spans="1:5" x14ac:dyDescent="0.25">
      <c r="A8462" s="14">
        <v>1006845</v>
      </c>
      <c r="B8462" s="14" t="s">
        <v>8573</v>
      </c>
      <c r="C8462" s="14" t="s">
        <v>13031</v>
      </c>
      <c r="D8462" s="15">
        <v>14.77</v>
      </c>
      <c r="E8462" s="16" t="s">
        <v>30</v>
      </c>
    </row>
    <row r="8463" spans="1:5" x14ac:dyDescent="0.25">
      <c r="A8463" s="14">
        <v>1006955</v>
      </c>
      <c r="B8463" s="14" t="s">
        <v>8574</v>
      </c>
      <c r="C8463" s="14" t="s">
        <v>13029</v>
      </c>
      <c r="D8463" s="15">
        <v>19.43</v>
      </c>
      <c r="E8463" s="16" t="s">
        <v>30</v>
      </c>
    </row>
    <row r="8464" spans="1:5" x14ac:dyDescent="0.25">
      <c r="A8464" s="14">
        <v>1006956</v>
      </c>
      <c r="B8464" s="14" t="s">
        <v>8575</v>
      </c>
      <c r="C8464" s="14" t="s">
        <v>13029</v>
      </c>
      <c r="D8464" s="15">
        <v>19.43</v>
      </c>
      <c r="E8464" s="16" t="s">
        <v>30</v>
      </c>
    </row>
    <row r="8465" spans="1:5" x14ac:dyDescent="0.25">
      <c r="A8465" s="14">
        <v>1007159</v>
      </c>
      <c r="B8465" s="14" t="s">
        <v>8576</v>
      </c>
      <c r="C8465" s="14" t="s">
        <v>13029</v>
      </c>
      <c r="D8465" s="15">
        <v>14.9</v>
      </c>
      <c r="E8465" s="16" t="s">
        <v>30</v>
      </c>
    </row>
    <row r="8466" spans="1:5" x14ac:dyDescent="0.25">
      <c r="A8466" s="14">
        <v>1007160</v>
      </c>
      <c r="B8466" s="14" t="s">
        <v>8577</v>
      </c>
      <c r="C8466" s="14" t="s">
        <v>13029</v>
      </c>
      <c r="D8466" s="15">
        <v>14.9</v>
      </c>
      <c r="E8466" s="16" t="s">
        <v>30</v>
      </c>
    </row>
    <row r="8467" spans="1:5" x14ac:dyDescent="0.25">
      <c r="A8467" s="14">
        <v>1007364</v>
      </c>
      <c r="B8467" s="14" t="s">
        <v>8578</v>
      </c>
      <c r="C8467" s="14" t="s">
        <v>13030</v>
      </c>
      <c r="D8467" s="15">
        <v>4.7699999999999996</v>
      </c>
      <c r="E8467" s="16" t="s">
        <v>30</v>
      </c>
    </row>
    <row r="8468" spans="1:5" x14ac:dyDescent="0.25">
      <c r="A8468" s="14">
        <v>1007365</v>
      </c>
      <c r="B8468" s="14" t="s">
        <v>8579</v>
      </c>
      <c r="C8468" s="14" t="s">
        <v>13030</v>
      </c>
      <c r="D8468" s="15">
        <v>3.74</v>
      </c>
      <c r="E8468" s="16" t="s">
        <v>30</v>
      </c>
    </row>
    <row r="8469" spans="1:5" x14ac:dyDescent="0.25">
      <c r="A8469" s="14">
        <v>1007366</v>
      </c>
      <c r="B8469" s="14" t="s">
        <v>8580</v>
      </c>
      <c r="C8469" s="14" t="s">
        <v>13030</v>
      </c>
      <c r="D8469" s="15">
        <v>4.1500000000000004</v>
      </c>
      <c r="E8469" s="16" t="s">
        <v>30</v>
      </c>
    </row>
    <row r="8470" spans="1:5" x14ac:dyDescent="0.25">
      <c r="A8470" s="14">
        <v>1007367</v>
      </c>
      <c r="B8470" s="14" t="s">
        <v>8581</v>
      </c>
      <c r="C8470" s="14" t="s">
        <v>13030</v>
      </c>
      <c r="D8470" s="15">
        <v>4.1500000000000004</v>
      </c>
      <c r="E8470" s="16" t="s">
        <v>30</v>
      </c>
    </row>
    <row r="8471" spans="1:5" x14ac:dyDescent="0.25">
      <c r="A8471" s="14">
        <v>1007574</v>
      </c>
      <c r="B8471" s="14" t="s">
        <v>8582</v>
      </c>
      <c r="C8471" s="14" t="s">
        <v>13030</v>
      </c>
      <c r="D8471" s="15">
        <v>104.71</v>
      </c>
      <c r="E8471" s="16" t="s">
        <v>30</v>
      </c>
    </row>
    <row r="8472" spans="1:5" x14ac:dyDescent="0.25">
      <c r="A8472" s="14">
        <v>1007575</v>
      </c>
      <c r="B8472" s="14" t="s">
        <v>8583</v>
      </c>
      <c r="C8472" s="14" t="s">
        <v>13030</v>
      </c>
      <c r="D8472" s="15">
        <v>70.069999999999993</v>
      </c>
      <c r="E8472" s="16" t="s">
        <v>30</v>
      </c>
    </row>
    <row r="8473" spans="1:5" x14ac:dyDescent="0.25">
      <c r="A8473" s="14">
        <v>1007576</v>
      </c>
      <c r="B8473" s="14" t="s">
        <v>8584</v>
      </c>
      <c r="C8473" s="14" t="s">
        <v>13030</v>
      </c>
      <c r="D8473" s="15">
        <v>117.54</v>
      </c>
      <c r="E8473" s="16" t="s">
        <v>30</v>
      </c>
    </row>
    <row r="8474" spans="1:5" x14ac:dyDescent="0.25">
      <c r="A8474" s="14">
        <v>1007577</v>
      </c>
      <c r="B8474" s="14" t="s">
        <v>8585</v>
      </c>
      <c r="C8474" s="14" t="s">
        <v>13030</v>
      </c>
      <c r="D8474" s="15">
        <v>77.349999999999994</v>
      </c>
      <c r="E8474" s="16" t="s">
        <v>30</v>
      </c>
    </row>
    <row r="8475" spans="1:5" x14ac:dyDescent="0.25">
      <c r="A8475" s="14">
        <v>1007578</v>
      </c>
      <c r="B8475" s="14" t="s">
        <v>8586</v>
      </c>
      <c r="C8475" s="14" t="s">
        <v>13030</v>
      </c>
      <c r="D8475" s="15">
        <v>100.87</v>
      </c>
      <c r="E8475" s="16" t="s">
        <v>30</v>
      </c>
    </row>
    <row r="8476" spans="1:5" x14ac:dyDescent="0.25">
      <c r="A8476" s="14">
        <v>1007579</v>
      </c>
      <c r="B8476" s="14" t="s">
        <v>8587</v>
      </c>
      <c r="C8476" s="14" t="s">
        <v>13030</v>
      </c>
      <c r="D8476" s="15">
        <v>90.4</v>
      </c>
      <c r="E8476" s="16" t="s">
        <v>30</v>
      </c>
    </row>
    <row r="8477" spans="1:5" x14ac:dyDescent="0.25">
      <c r="A8477" s="14">
        <v>1007580</v>
      </c>
      <c r="B8477" s="14" t="s">
        <v>8588</v>
      </c>
      <c r="C8477" s="14" t="s">
        <v>13030</v>
      </c>
      <c r="D8477" s="15">
        <v>68.989999999999995</v>
      </c>
      <c r="E8477" s="16" t="s">
        <v>30</v>
      </c>
    </row>
    <row r="8478" spans="1:5" x14ac:dyDescent="0.25">
      <c r="A8478" s="14">
        <v>1007581</v>
      </c>
      <c r="B8478" s="14" t="s">
        <v>8589</v>
      </c>
      <c r="C8478" s="14" t="s">
        <v>13030</v>
      </c>
      <c r="D8478" s="15">
        <v>71.56</v>
      </c>
      <c r="E8478" s="16" t="s">
        <v>30</v>
      </c>
    </row>
    <row r="8479" spans="1:5" x14ac:dyDescent="0.25">
      <c r="A8479" s="14">
        <v>1007582</v>
      </c>
      <c r="B8479" s="14" t="s">
        <v>8590</v>
      </c>
      <c r="C8479" s="14" t="s">
        <v>13030</v>
      </c>
      <c r="D8479" s="15">
        <v>109.2</v>
      </c>
      <c r="E8479" s="16" t="s">
        <v>30</v>
      </c>
    </row>
    <row r="8480" spans="1:5" x14ac:dyDescent="0.25">
      <c r="A8480" s="14">
        <v>1007583</v>
      </c>
      <c r="B8480" s="14" t="s">
        <v>8591</v>
      </c>
      <c r="C8480" s="14" t="s">
        <v>13030</v>
      </c>
      <c r="D8480" s="15">
        <v>58.77</v>
      </c>
      <c r="E8480" s="16" t="s">
        <v>30</v>
      </c>
    </row>
    <row r="8481" spans="1:5" x14ac:dyDescent="0.25">
      <c r="A8481" s="14">
        <v>1007584</v>
      </c>
      <c r="B8481" s="14" t="s">
        <v>8592</v>
      </c>
      <c r="C8481" s="14" t="s">
        <v>13030</v>
      </c>
      <c r="D8481" s="15">
        <v>48.4</v>
      </c>
      <c r="E8481" s="16" t="s">
        <v>30</v>
      </c>
    </row>
    <row r="8482" spans="1:5" x14ac:dyDescent="0.25">
      <c r="A8482" s="14">
        <v>1007585</v>
      </c>
      <c r="B8482" s="14" t="s">
        <v>8593</v>
      </c>
      <c r="C8482" s="14" t="s">
        <v>13030</v>
      </c>
      <c r="D8482" s="15">
        <v>51.23</v>
      </c>
      <c r="E8482" s="16" t="s">
        <v>30</v>
      </c>
    </row>
    <row r="8483" spans="1:5" x14ac:dyDescent="0.25">
      <c r="A8483" s="14">
        <v>1007586</v>
      </c>
      <c r="B8483" s="14" t="s">
        <v>8594</v>
      </c>
      <c r="C8483" s="14" t="s">
        <v>13030</v>
      </c>
      <c r="D8483" s="15">
        <v>51.23</v>
      </c>
      <c r="E8483" s="16" t="s">
        <v>30</v>
      </c>
    </row>
    <row r="8484" spans="1:5" x14ac:dyDescent="0.25">
      <c r="A8484" s="14">
        <v>1007587</v>
      </c>
      <c r="B8484" s="14" t="s">
        <v>8595</v>
      </c>
      <c r="C8484" s="14" t="s">
        <v>13030</v>
      </c>
      <c r="D8484" s="15">
        <v>148.69999999999999</v>
      </c>
      <c r="E8484" s="16" t="s">
        <v>30</v>
      </c>
    </row>
    <row r="8485" spans="1:5" x14ac:dyDescent="0.25">
      <c r="A8485" s="14">
        <v>1007588</v>
      </c>
      <c r="B8485" s="14" t="s">
        <v>8596</v>
      </c>
      <c r="C8485" s="14" t="s">
        <v>13030</v>
      </c>
      <c r="D8485" s="15">
        <v>273.86</v>
      </c>
      <c r="E8485" s="16" t="s">
        <v>30</v>
      </c>
    </row>
    <row r="8486" spans="1:5" x14ac:dyDescent="0.25">
      <c r="A8486" s="14">
        <v>1007864</v>
      </c>
      <c r="B8486" s="14" t="s">
        <v>8597</v>
      </c>
      <c r="C8486" s="14" t="s">
        <v>13029</v>
      </c>
      <c r="D8486" s="15">
        <v>8.25</v>
      </c>
      <c r="E8486" s="16" t="s">
        <v>30</v>
      </c>
    </row>
    <row r="8487" spans="1:5" x14ac:dyDescent="0.25">
      <c r="A8487" s="14">
        <v>1007865</v>
      </c>
      <c r="B8487" s="14" t="s">
        <v>8598</v>
      </c>
      <c r="C8487" s="14" t="s">
        <v>13029</v>
      </c>
      <c r="D8487" s="15">
        <v>11.81</v>
      </c>
      <c r="E8487" s="16" t="s">
        <v>30</v>
      </c>
    </row>
    <row r="8488" spans="1:5" x14ac:dyDescent="0.25">
      <c r="A8488" s="14">
        <v>1007866</v>
      </c>
      <c r="B8488" s="14" t="s">
        <v>8599</v>
      </c>
      <c r="C8488" s="14" t="s">
        <v>13029</v>
      </c>
      <c r="D8488" s="15">
        <v>15.2</v>
      </c>
      <c r="E8488" s="16" t="s">
        <v>30</v>
      </c>
    </row>
    <row r="8489" spans="1:5" x14ac:dyDescent="0.25">
      <c r="A8489" s="14">
        <v>1007868</v>
      </c>
      <c r="B8489" s="14" t="s">
        <v>8600</v>
      </c>
      <c r="C8489" s="14" t="s">
        <v>13029</v>
      </c>
      <c r="D8489" s="15">
        <v>71.06</v>
      </c>
      <c r="E8489" s="16" t="s">
        <v>30</v>
      </c>
    </row>
    <row r="8490" spans="1:5" x14ac:dyDescent="0.25">
      <c r="A8490" s="14">
        <v>1007880</v>
      </c>
      <c r="B8490" s="14" t="s">
        <v>8601</v>
      </c>
      <c r="C8490" s="14" t="s">
        <v>13031</v>
      </c>
      <c r="D8490" s="15">
        <v>10.6</v>
      </c>
      <c r="E8490" s="16" t="s">
        <v>30</v>
      </c>
    </row>
    <row r="8491" spans="1:5" x14ac:dyDescent="0.25">
      <c r="A8491" s="14">
        <v>1007881</v>
      </c>
      <c r="B8491" s="14" t="s">
        <v>8602</v>
      </c>
      <c r="C8491" s="14" t="s">
        <v>13031</v>
      </c>
      <c r="D8491" s="15">
        <v>21.9</v>
      </c>
      <c r="E8491" s="16" t="s">
        <v>30</v>
      </c>
    </row>
    <row r="8492" spans="1:5" x14ac:dyDescent="0.25">
      <c r="A8492" s="14">
        <v>1007883</v>
      </c>
      <c r="B8492" s="14" t="s">
        <v>8603</v>
      </c>
      <c r="C8492" s="14" t="s">
        <v>13029</v>
      </c>
      <c r="D8492" s="15">
        <v>14.25</v>
      </c>
      <c r="E8492" s="16" t="s">
        <v>30</v>
      </c>
    </row>
    <row r="8493" spans="1:5" x14ac:dyDescent="0.25">
      <c r="A8493" s="14">
        <v>1007885</v>
      </c>
      <c r="B8493" s="14" t="s">
        <v>8604</v>
      </c>
      <c r="C8493" s="14" t="s">
        <v>13030</v>
      </c>
      <c r="D8493" s="15">
        <v>12.99</v>
      </c>
      <c r="E8493" s="16" t="s">
        <v>30</v>
      </c>
    </row>
    <row r="8494" spans="1:5" x14ac:dyDescent="0.25">
      <c r="A8494" s="14">
        <v>1008172</v>
      </c>
      <c r="B8494" s="14" t="s">
        <v>8605</v>
      </c>
      <c r="C8494" s="14" t="s">
        <v>13030</v>
      </c>
      <c r="D8494" s="15">
        <v>3.31</v>
      </c>
      <c r="E8494" s="16" t="s">
        <v>30</v>
      </c>
    </row>
    <row r="8495" spans="1:5" x14ac:dyDescent="0.25">
      <c r="A8495" s="14">
        <v>1008175</v>
      </c>
      <c r="B8495" s="14" t="s">
        <v>8606</v>
      </c>
      <c r="C8495" s="14" t="s">
        <v>13031</v>
      </c>
      <c r="D8495" s="15">
        <v>40</v>
      </c>
      <c r="E8495" s="16" t="s">
        <v>30</v>
      </c>
    </row>
    <row r="8496" spans="1:5" x14ac:dyDescent="0.25">
      <c r="A8496" s="14">
        <v>1008176</v>
      </c>
      <c r="B8496" s="14" t="s">
        <v>8607</v>
      </c>
      <c r="C8496" s="14" t="s">
        <v>13031</v>
      </c>
      <c r="D8496" s="15">
        <v>22.88</v>
      </c>
      <c r="E8496" s="16" t="s">
        <v>30</v>
      </c>
    </row>
    <row r="8497" spans="1:5" x14ac:dyDescent="0.25">
      <c r="A8497" s="14">
        <v>1008177</v>
      </c>
      <c r="B8497" s="14" t="s">
        <v>8608</v>
      </c>
      <c r="C8497" s="14" t="s">
        <v>13031</v>
      </c>
      <c r="D8497" s="15">
        <v>29.5</v>
      </c>
      <c r="E8497" s="16" t="s">
        <v>30</v>
      </c>
    </row>
    <row r="8498" spans="1:5" x14ac:dyDescent="0.25">
      <c r="A8498" s="14">
        <v>1008178</v>
      </c>
      <c r="B8498" s="14" t="s">
        <v>8609</v>
      </c>
      <c r="C8498" s="14" t="s">
        <v>13031</v>
      </c>
      <c r="D8498" s="15">
        <v>29.5</v>
      </c>
      <c r="E8498" s="16" t="s">
        <v>30</v>
      </c>
    </row>
    <row r="8499" spans="1:5" x14ac:dyDescent="0.25">
      <c r="A8499" s="14">
        <v>1008181</v>
      </c>
      <c r="B8499" s="14" t="s">
        <v>8610</v>
      </c>
      <c r="C8499" s="14" t="s">
        <v>13029</v>
      </c>
      <c r="D8499" s="15">
        <v>9.16</v>
      </c>
      <c r="E8499" s="16" t="s">
        <v>30</v>
      </c>
    </row>
    <row r="8500" spans="1:5" x14ac:dyDescent="0.25">
      <c r="A8500" s="14">
        <v>1008182</v>
      </c>
      <c r="B8500" s="14" t="s">
        <v>8611</v>
      </c>
      <c r="C8500" s="14" t="s">
        <v>13029</v>
      </c>
      <c r="D8500" s="15">
        <v>9.43</v>
      </c>
      <c r="E8500" s="16" t="s">
        <v>30</v>
      </c>
    </row>
    <row r="8501" spans="1:5" x14ac:dyDescent="0.25">
      <c r="A8501" s="14">
        <v>1008183</v>
      </c>
      <c r="B8501" s="14" t="s">
        <v>8612</v>
      </c>
      <c r="C8501" s="14" t="s">
        <v>13029</v>
      </c>
      <c r="D8501" s="15">
        <v>14.9</v>
      </c>
      <c r="E8501" s="16" t="s">
        <v>30</v>
      </c>
    </row>
    <row r="8502" spans="1:5" x14ac:dyDescent="0.25">
      <c r="A8502" s="14">
        <v>1008184</v>
      </c>
      <c r="B8502" s="14" t="s">
        <v>8613</v>
      </c>
      <c r="C8502" s="14" t="s">
        <v>13029</v>
      </c>
      <c r="D8502" s="15">
        <v>14.9</v>
      </c>
      <c r="E8502" s="16" t="s">
        <v>30</v>
      </c>
    </row>
    <row r="8503" spans="1:5" x14ac:dyDescent="0.25">
      <c r="A8503" s="14">
        <v>1008185</v>
      </c>
      <c r="B8503" s="14" t="s">
        <v>8614</v>
      </c>
      <c r="C8503" s="14" t="s">
        <v>13029</v>
      </c>
      <c r="D8503" s="15">
        <v>14.9</v>
      </c>
      <c r="E8503" s="16" t="s">
        <v>30</v>
      </c>
    </row>
    <row r="8504" spans="1:5" x14ac:dyDescent="0.25">
      <c r="A8504" s="14">
        <v>1008186</v>
      </c>
      <c r="B8504" s="14" t="s">
        <v>8615</v>
      </c>
      <c r="C8504" s="14" t="s">
        <v>13029</v>
      </c>
      <c r="D8504" s="15">
        <v>14.9</v>
      </c>
      <c r="E8504" s="16" t="s">
        <v>30</v>
      </c>
    </row>
    <row r="8505" spans="1:5" x14ac:dyDescent="0.25">
      <c r="A8505" s="14">
        <v>1008574</v>
      </c>
      <c r="B8505" s="14" t="s">
        <v>8616</v>
      </c>
      <c r="C8505" s="14" t="s">
        <v>13033</v>
      </c>
      <c r="D8505" s="15">
        <v>17.86</v>
      </c>
      <c r="E8505" s="16" t="s">
        <v>30</v>
      </c>
    </row>
    <row r="8506" spans="1:5" x14ac:dyDescent="0.25">
      <c r="A8506" s="14">
        <v>1008585</v>
      </c>
      <c r="B8506" s="14" t="s">
        <v>8617</v>
      </c>
      <c r="C8506" s="14" t="s">
        <v>13029</v>
      </c>
      <c r="D8506" s="15">
        <v>4.32</v>
      </c>
      <c r="E8506" s="16" t="s">
        <v>30</v>
      </c>
    </row>
    <row r="8507" spans="1:5" x14ac:dyDescent="0.25">
      <c r="A8507" s="14">
        <v>1008870</v>
      </c>
      <c r="B8507" s="14" t="s">
        <v>8618</v>
      </c>
      <c r="C8507" s="14" t="s">
        <v>13030</v>
      </c>
      <c r="D8507" s="15">
        <v>197.89</v>
      </c>
      <c r="E8507" s="16" t="s">
        <v>30</v>
      </c>
    </row>
    <row r="8508" spans="1:5" x14ac:dyDescent="0.25">
      <c r="A8508" s="14">
        <v>1009164</v>
      </c>
      <c r="B8508" s="14" t="s">
        <v>8619</v>
      </c>
      <c r="C8508" s="14" t="s">
        <v>13031</v>
      </c>
      <c r="D8508" s="15">
        <v>5.46</v>
      </c>
      <c r="E8508" s="16" t="s">
        <v>30</v>
      </c>
    </row>
    <row r="8509" spans="1:5" x14ac:dyDescent="0.25">
      <c r="A8509" s="14">
        <v>1009165</v>
      </c>
      <c r="B8509" s="14" t="s">
        <v>8620</v>
      </c>
      <c r="C8509" s="14" t="s">
        <v>13031</v>
      </c>
      <c r="D8509" s="15">
        <v>11.48</v>
      </c>
      <c r="E8509" s="16" t="s">
        <v>30</v>
      </c>
    </row>
    <row r="8510" spans="1:5" x14ac:dyDescent="0.25">
      <c r="A8510" s="14">
        <v>1009166</v>
      </c>
      <c r="B8510" s="14" t="s">
        <v>8621</v>
      </c>
      <c r="C8510" s="14" t="s">
        <v>13031</v>
      </c>
      <c r="D8510" s="15">
        <v>9.43</v>
      </c>
      <c r="E8510" s="16" t="s">
        <v>30</v>
      </c>
    </row>
    <row r="8511" spans="1:5" x14ac:dyDescent="0.25">
      <c r="A8511" s="14">
        <v>1009167</v>
      </c>
      <c r="B8511" s="14" t="s">
        <v>8622</v>
      </c>
      <c r="C8511" s="14" t="s">
        <v>13031</v>
      </c>
      <c r="D8511" s="15">
        <v>7.65</v>
      </c>
      <c r="E8511" s="16" t="s">
        <v>30</v>
      </c>
    </row>
    <row r="8512" spans="1:5" x14ac:dyDescent="0.25">
      <c r="A8512" s="14">
        <v>1009378</v>
      </c>
      <c r="B8512" s="14" t="s">
        <v>8623</v>
      </c>
      <c r="C8512" s="14" t="s">
        <v>13031</v>
      </c>
      <c r="D8512" s="15">
        <v>6.9</v>
      </c>
      <c r="E8512" s="16" t="s">
        <v>30</v>
      </c>
    </row>
    <row r="8513" spans="1:5" x14ac:dyDescent="0.25">
      <c r="A8513" s="14">
        <v>1009379</v>
      </c>
      <c r="B8513" s="14" t="s">
        <v>8624</v>
      </c>
      <c r="C8513" s="14" t="s">
        <v>13031</v>
      </c>
      <c r="D8513" s="15">
        <v>9.14</v>
      </c>
      <c r="E8513" s="16" t="s">
        <v>30</v>
      </c>
    </row>
    <row r="8514" spans="1:5" x14ac:dyDescent="0.25">
      <c r="A8514" s="14">
        <v>1009385</v>
      </c>
      <c r="B8514" s="14" t="s">
        <v>8625</v>
      </c>
      <c r="C8514" s="14" t="s">
        <v>13030</v>
      </c>
      <c r="D8514" s="15">
        <v>19.670000000000002</v>
      </c>
      <c r="E8514" s="16" t="s">
        <v>30</v>
      </c>
    </row>
    <row r="8515" spans="1:5" x14ac:dyDescent="0.25">
      <c r="A8515" s="14">
        <v>1009386</v>
      </c>
      <c r="B8515" s="14" t="s">
        <v>8626</v>
      </c>
      <c r="C8515" s="14" t="s">
        <v>13030</v>
      </c>
      <c r="D8515" s="15">
        <v>29.75</v>
      </c>
      <c r="E8515" s="16" t="s">
        <v>30</v>
      </c>
    </row>
    <row r="8516" spans="1:5" x14ac:dyDescent="0.25">
      <c r="A8516" s="14">
        <v>1009387</v>
      </c>
      <c r="B8516" s="14" t="s">
        <v>8627</v>
      </c>
      <c r="C8516" s="14" t="s">
        <v>13030</v>
      </c>
      <c r="D8516" s="15">
        <v>29.75</v>
      </c>
      <c r="E8516" s="16" t="s">
        <v>30</v>
      </c>
    </row>
    <row r="8517" spans="1:5" x14ac:dyDescent="0.25">
      <c r="A8517" s="14">
        <v>1009388</v>
      </c>
      <c r="B8517" s="14" t="s">
        <v>8628</v>
      </c>
      <c r="C8517" s="14" t="s">
        <v>13030</v>
      </c>
      <c r="D8517" s="15">
        <v>27.74</v>
      </c>
      <c r="E8517" s="16" t="s">
        <v>30</v>
      </c>
    </row>
    <row r="8518" spans="1:5" x14ac:dyDescent="0.25">
      <c r="A8518" s="14">
        <v>1009389</v>
      </c>
      <c r="B8518" s="14" t="s">
        <v>8629</v>
      </c>
      <c r="C8518" s="14" t="s">
        <v>13030</v>
      </c>
      <c r="D8518" s="15">
        <v>27.74</v>
      </c>
      <c r="E8518" s="16" t="s">
        <v>30</v>
      </c>
    </row>
    <row r="8519" spans="1:5" x14ac:dyDescent="0.25">
      <c r="A8519" s="14">
        <v>1009390</v>
      </c>
      <c r="B8519" s="14" t="s">
        <v>8630</v>
      </c>
      <c r="C8519" s="14" t="s">
        <v>13030</v>
      </c>
      <c r="D8519" s="15">
        <v>26.22</v>
      </c>
      <c r="E8519" s="16" t="s">
        <v>30</v>
      </c>
    </row>
    <row r="8520" spans="1:5" x14ac:dyDescent="0.25">
      <c r="A8520" s="14">
        <v>1009391</v>
      </c>
      <c r="B8520" s="14" t="s">
        <v>8631</v>
      </c>
      <c r="C8520" s="14" t="s">
        <v>13030</v>
      </c>
      <c r="D8520" s="15">
        <v>26.22</v>
      </c>
      <c r="E8520" s="16" t="s">
        <v>30</v>
      </c>
    </row>
    <row r="8521" spans="1:5" x14ac:dyDescent="0.25">
      <c r="A8521" s="14">
        <v>1009392</v>
      </c>
      <c r="B8521" s="14" t="s">
        <v>8632</v>
      </c>
      <c r="C8521" s="14" t="s">
        <v>13030</v>
      </c>
      <c r="D8521" s="15">
        <v>26.22</v>
      </c>
      <c r="E8521" s="16" t="s">
        <v>30</v>
      </c>
    </row>
    <row r="8522" spans="1:5" x14ac:dyDescent="0.25">
      <c r="A8522" s="14">
        <v>1009393</v>
      </c>
      <c r="B8522" s="14" t="s">
        <v>8633</v>
      </c>
      <c r="C8522" s="14" t="s">
        <v>13030</v>
      </c>
      <c r="D8522" s="15">
        <v>26.22</v>
      </c>
      <c r="E8522" s="16" t="s">
        <v>30</v>
      </c>
    </row>
    <row r="8523" spans="1:5" x14ac:dyDescent="0.25">
      <c r="A8523" s="14">
        <v>1009395</v>
      </c>
      <c r="B8523" s="14" t="s">
        <v>8634</v>
      </c>
      <c r="C8523" s="14" t="s">
        <v>13030</v>
      </c>
      <c r="D8523" s="15">
        <v>132.80000000000001</v>
      </c>
      <c r="E8523" s="16" t="s">
        <v>30</v>
      </c>
    </row>
    <row r="8524" spans="1:5" x14ac:dyDescent="0.25">
      <c r="A8524" s="14">
        <v>1009396</v>
      </c>
      <c r="B8524" s="14" t="s">
        <v>8635</v>
      </c>
      <c r="C8524" s="14" t="s">
        <v>13030</v>
      </c>
      <c r="D8524" s="15">
        <v>39.79</v>
      </c>
      <c r="E8524" s="16" t="s">
        <v>30</v>
      </c>
    </row>
    <row r="8525" spans="1:5" x14ac:dyDescent="0.25">
      <c r="A8525" s="14">
        <v>1009397</v>
      </c>
      <c r="B8525" s="14" t="s">
        <v>8636</v>
      </c>
      <c r="C8525" s="14" t="s">
        <v>13030</v>
      </c>
      <c r="D8525" s="15">
        <v>19.41</v>
      </c>
      <c r="E8525" s="16" t="s">
        <v>30</v>
      </c>
    </row>
    <row r="8526" spans="1:5" x14ac:dyDescent="0.25">
      <c r="A8526" s="14">
        <v>1009404</v>
      </c>
      <c r="B8526" s="14" t="s">
        <v>8637</v>
      </c>
      <c r="C8526" s="14" t="s">
        <v>13030</v>
      </c>
      <c r="D8526" s="15">
        <v>18.41</v>
      </c>
      <c r="E8526" s="16" t="s">
        <v>30</v>
      </c>
    </row>
    <row r="8527" spans="1:5" x14ac:dyDescent="0.25">
      <c r="A8527" s="14">
        <v>1009406</v>
      </c>
      <c r="B8527" s="14" t="s">
        <v>8638</v>
      </c>
      <c r="C8527" s="14" t="s">
        <v>13030</v>
      </c>
      <c r="D8527" s="15">
        <v>15.12</v>
      </c>
      <c r="E8527" s="16" t="s">
        <v>30</v>
      </c>
    </row>
    <row r="8528" spans="1:5" x14ac:dyDescent="0.25">
      <c r="A8528" s="14">
        <v>997984</v>
      </c>
      <c r="B8528" s="14" t="s">
        <v>8639</v>
      </c>
      <c r="C8528" s="14" t="s">
        <v>13030</v>
      </c>
      <c r="D8528" s="15">
        <v>74.040000000000006</v>
      </c>
      <c r="E8528" s="16" t="s">
        <v>20</v>
      </c>
    </row>
    <row r="8529" spans="1:5" x14ac:dyDescent="0.25">
      <c r="A8529" s="14">
        <v>991453</v>
      </c>
      <c r="B8529" s="14" t="s">
        <v>8640</v>
      </c>
      <c r="C8529" s="14" t="s">
        <v>13031</v>
      </c>
      <c r="D8529" s="15">
        <v>6.71</v>
      </c>
      <c r="E8529" s="16" t="s">
        <v>20</v>
      </c>
    </row>
    <row r="8530" spans="1:5" x14ac:dyDescent="0.25">
      <c r="A8530" s="14">
        <v>991454</v>
      </c>
      <c r="B8530" s="14" t="s">
        <v>8641</v>
      </c>
      <c r="C8530" s="14" t="s">
        <v>13031</v>
      </c>
      <c r="D8530" s="15">
        <v>10.029999999999999</v>
      </c>
      <c r="E8530" s="16" t="s">
        <v>20</v>
      </c>
    </row>
    <row r="8531" spans="1:5" x14ac:dyDescent="0.25">
      <c r="A8531" s="14">
        <v>1009407</v>
      </c>
      <c r="B8531" s="14" t="s">
        <v>8642</v>
      </c>
      <c r="C8531" s="14" t="s">
        <v>13030</v>
      </c>
      <c r="D8531" s="15">
        <v>28.81</v>
      </c>
      <c r="E8531" s="16" t="s">
        <v>30</v>
      </c>
    </row>
    <row r="8532" spans="1:5" x14ac:dyDescent="0.25">
      <c r="A8532" s="14">
        <v>1009409</v>
      </c>
      <c r="B8532" s="14" t="s">
        <v>69</v>
      </c>
      <c r="C8532" s="14" t="s">
        <v>13030</v>
      </c>
      <c r="D8532" s="15">
        <v>15.12</v>
      </c>
      <c r="E8532" s="16" t="s">
        <v>30</v>
      </c>
    </row>
    <row r="8533" spans="1:5" x14ac:dyDescent="0.25">
      <c r="A8533" s="14">
        <v>1009410</v>
      </c>
      <c r="B8533" s="14" t="s">
        <v>8643</v>
      </c>
      <c r="C8533" s="14" t="s">
        <v>13030</v>
      </c>
      <c r="D8533" s="15">
        <v>28.81</v>
      </c>
      <c r="E8533" s="16" t="s">
        <v>30</v>
      </c>
    </row>
    <row r="8534" spans="1:5" x14ac:dyDescent="0.25">
      <c r="A8534" s="14">
        <v>1009412</v>
      </c>
      <c r="B8534" s="14" t="s">
        <v>8644</v>
      </c>
      <c r="C8534" s="14" t="s">
        <v>13030</v>
      </c>
      <c r="D8534" s="15">
        <v>15.12</v>
      </c>
      <c r="E8534" s="16" t="s">
        <v>30</v>
      </c>
    </row>
    <row r="8535" spans="1:5" x14ac:dyDescent="0.25">
      <c r="A8535" s="14">
        <v>1009422</v>
      </c>
      <c r="B8535" s="14" t="s">
        <v>8645</v>
      </c>
      <c r="C8535" s="14" t="s">
        <v>13029</v>
      </c>
      <c r="D8535" s="15">
        <v>2.85</v>
      </c>
      <c r="E8535" s="16" t="s">
        <v>30</v>
      </c>
    </row>
    <row r="8536" spans="1:5" x14ac:dyDescent="0.25">
      <c r="A8536" s="14">
        <v>1009423</v>
      </c>
      <c r="B8536" s="14" t="s">
        <v>8646</v>
      </c>
      <c r="C8536" s="14" t="s">
        <v>13029</v>
      </c>
      <c r="D8536" s="15">
        <v>5.39</v>
      </c>
      <c r="E8536" s="16" t="s">
        <v>30</v>
      </c>
    </row>
    <row r="8537" spans="1:5" x14ac:dyDescent="0.25">
      <c r="A8537" s="14">
        <v>1009424</v>
      </c>
      <c r="B8537" s="14" t="s">
        <v>8647</v>
      </c>
      <c r="C8537" s="14" t="s">
        <v>13030</v>
      </c>
      <c r="D8537" s="15">
        <v>45.42</v>
      </c>
      <c r="E8537" s="16" t="s">
        <v>30</v>
      </c>
    </row>
    <row r="8538" spans="1:5" x14ac:dyDescent="0.25">
      <c r="A8538" s="14">
        <v>1009425</v>
      </c>
      <c r="B8538" s="14" t="s">
        <v>8648</v>
      </c>
      <c r="C8538" s="14" t="s">
        <v>13030</v>
      </c>
      <c r="D8538" s="15">
        <v>45.42</v>
      </c>
      <c r="E8538" s="16" t="s">
        <v>30</v>
      </c>
    </row>
    <row r="8539" spans="1:5" x14ac:dyDescent="0.25">
      <c r="A8539" s="14">
        <v>1009426</v>
      </c>
      <c r="B8539" s="14" t="s">
        <v>8649</v>
      </c>
      <c r="C8539" s="14" t="s">
        <v>13030</v>
      </c>
      <c r="D8539" s="15">
        <v>45.42</v>
      </c>
      <c r="E8539" s="16" t="s">
        <v>30</v>
      </c>
    </row>
    <row r="8540" spans="1:5" x14ac:dyDescent="0.25">
      <c r="A8540" s="14">
        <v>1009427</v>
      </c>
      <c r="B8540" s="14" t="s">
        <v>8650</v>
      </c>
      <c r="C8540" s="14" t="s">
        <v>13030</v>
      </c>
      <c r="D8540" s="15">
        <v>45.42</v>
      </c>
      <c r="E8540" s="16" t="s">
        <v>30</v>
      </c>
    </row>
    <row r="8541" spans="1:5" x14ac:dyDescent="0.25">
      <c r="A8541" s="14">
        <v>1009726</v>
      </c>
      <c r="B8541" s="14" t="s">
        <v>8651</v>
      </c>
      <c r="C8541" s="14" t="s">
        <v>13031</v>
      </c>
      <c r="D8541" s="15">
        <v>9</v>
      </c>
      <c r="E8541" s="16" t="s">
        <v>30</v>
      </c>
    </row>
    <row r="8542" spans="1:5" x14ac:dyDescent="0.25">
      <c r="A8542" s="14">
        <v>1009727</v>
      </c>
      <c r="B8542" s="14" t="s">
        <v>8652</v>
      </c>
      <c r="C8542" s="14" t="s">
        <v>13031</v>
      </c>
      <c r="D8542" s="15">
        <v>9</v>
      </c>
      <c r="E8542" s="16" t="s">
        <v>30</v>
      </c>
    </row>
    <row r="8543" spans="1:5" x14ac:dyDescent="0.25">
      <c r="A8543" s="14">
        <v>1009728</v>
      </c>
      <c r="B8543" s="14" t="s">
        <v>8653</v>
      </c>
      <c r="C8543" s="14" t="s">
        <v>13029</v>
      </c>
      <c r="D8543" s="15">
        <v>9.4499999999999993</v>
      </c>
      <c r="E8543" s="16" t="s">
        <v>30</v>
      </c>
    </row>
    <row r="8544" spans="1:5" x14ac:dyDescent="0.25">
      <c r="A8544" s="14">
        <v>1009729</v>
      </c>
      <c r="B8544" s="14" t="s">
        <v>8654</v>
      </c>
      <c r="C8544" s="14" t="s">
        <v>13029</v>
      </c>
      <c r="D8544" s="15">
        <v>65.52</v>
      </c>
      <c r="E8544" s="16" t="s">
        <v>30</v>
      </c>
    </row>
    <row r="8545" spans="1:5" x14ac:dyDescent="0.25">
      <c r="A8545" s="14">
        <v>998011</v>
      </c>
      <c r="B8545" s="14" t="s">
        <v>8655</v>
      </c>
      <c r="C8545" s="14" t="s">
        <v>13030</v>
      </c>
      <c r="D8545" s="15">
        <v>38.21</v>
      </c>
      <c r="E8545" s="16" t="s">
        <v>20</v>
      </c>
    </row>
    <row r="8546" spans="1:5" x14ac:dyDescent="0.25">
      <c r="A8546" s="14">
        <v>1009730</v>
      </c>
      <c r="B8546" s="14" t="s">
        <v>8656</v>
      </c>
      <c r="C8546" s="14" t="s">
        <v>13029</v>
      </c>
      <c r="D8546" s="15">
        <v>40.24</v>
      </c>
      <c r="E8546" s="16" t="s">
        <v>30</v>
      </c>
    </row>
    <row r="8547" spans="1:5" x14ac:dyDescent="0.25">
      <c r="A8547" s="14">
        <v>1009731</v>
      </c>
      <c r="B8547" s="14" t="s">
        <v>8657</v>
      </c>
      <c r="C8547" s="14" t="s">
        <v>13029</v>
      </c>
      <c r="D8547" s="15">
        <v>40.24</v>
      </c>
      <c r="E8547" s="16" t="s">
        <v>30</v>
      </c>
    </row>
    <row r="8548" spans="1:5" x14ac:dyDescent="0.25">
      <c r="A8548" s="14">
        <v>1009732</v>
      </c>
      <c r="B8548" s="14" t="s">
        <v>8658</v>
      </c>
      <c r="C8548" s="14" t="s">
        <v>13029</v>
      </c>
      <c r="D8548" s="15">
        <v>40.24</v>
      </c>
      <c r="E8548" s="16" t="s">
        <v>30</v>
      </c>
    </row>
    <row r="8549" spans="1:5" x14ac:dyDescent="0.25">
      <c r="A8549" s="14">
        <v>1009733</v>
      </c>
      <c r="B8549" s="14" t="s">
        <v>8659</v>
      </c>
      <c r="C8549" s="14" t="s">
        <v>13029</v>
      </c>
      <c r="D8549" s="15">
        <v>40.24</v>
      </c>
      <c r="E8549" s="16" t="s">
        <v>30</v>
      </c>
    </row>
    <row r="8550" spans="1:5" x14ac:dyDescent="0.25">
      <c r="A8550" s="14">
        <v>1009734</v>
      </c>
      <c r="B8550" s="14" t="s">
        <v>8660</v>
      </c>
      <c r="C8550" s="14" t="s">
        <v>13029</v>
      </c>
      <c r="D8550" s="15">
        <v>40.24</v>
      </c>
      <c r="E8550" s="16" t="s">
        <v>30</v>
      </c>
    </row>
    <row r="8551" spans="1:5" x14ac:dyDescent="0.25">
      <c r="A8551" s="14">
        <v>1009740</v>
      </c>
      <c r="B8551" s="14" t="s">
        <v>8661</v>
      </c>
      <c r="C8551" s="14" t="s">
        <v>13029</v>
      </c>
      <c r="D8551" s="15">
        <v>27.62</v>
      </c>
      <c r="E8551" s="16" t="s">
        <v>30</v>
      </c>
    </row>
    <row r="8552" spans="1:5" x14ac:dyDescent="0.25">
      <c r="A8552" s="14">
        <v>1009782</v>
      </c>
      <c r="B8552" s="14" t="s">
        <v>8662</v>
      </c>
      <c r="C8552" s="14" t="s">
        <v>13029</v>
      </c>
      <c r="D8552" s="15">
        <v>21.79</v>
      </c>
      <c r="E8552" s="16" t="s">
        <v>30</v>
      </c>
    </row>
    <row r="8553" spans="1:5" x14ac:dyDescent="0.25">
      <c r="A8553" s="14">
        <v>1009783</v>
      </c>
      <c r="B8553" s="14" t="s">
        <v>8663</v>
      </c>
      <c r="C8553" s="14" t="s">
        <v>13029</v>
      </c>
      <c r="D8553" s="15">
        <v>15.61</v>
      </c>
      <c r="E8553" s="16" t="s">
        <v>30</v>
      </c>
    </row>
    <row r="8554" spans="1:5" x14ac:dyDescent="0.25">
      <c r="A8554" s="14">
        <v>1009784</v>
      </c>
      <c r="B8554" s="14" t="s">
        <v>8664</v>
      </c>
      <c r="C8554" s="14" t="s">
        <v>13029</v>
      </c>
      <c r="D8554" s="15">
        <v>23.89</v>
      </c>
      <c r="E8554" s="16" t="s">
        <v>30</v>
      </c>
    </row>
    <row r="8555" spans="1:5" x14ac:dyDescent="0.25">
      <c r="A8555" s="14">
        <v>1009786</v>
      </c>
      <c r="B8555" s="14" t="s">
        <v>8665</v>
      </c>
      <c r="C8555" s="14" t="s">
        <v>13029</v>
      </c>
      <c r="D8555" s="15">
        <v>23.89</v>
      </c>
      <c r="E8555" s="16" t="s">
        <v>30</v>
      </c>
    </row>
    <row r="8556" spans="1:5" x14ac:dyDescent="0.25">
      <c r="A8556" s="14">
        <v>1009787</v>
      </c>
      <c r="B8556" s="14" t="s">
        <v>8666</v>
      </c>
      <c r="C8556" s="14" t="s">
        <v>13029</v>
      </c>
      <c r="D8556" s="15">
        <v>15.61</v>
      </c>
      <c r="E8556" s="16" t="s">
        <v>30</v>
      </c>
    </row>
    <row r="8557" spans="1:5" x14ac:dyDescent="0.25">
      <c r="A8557" s="14">
        <v>1009788</v>
      </c>
      <c r="B8557" s="14" t="s">
        <v>8667</v>
      </c>
      <c r="C8557" s="14" t="s">
        <v>13029</v>
      </c>
      <c r="D8557" s="15">
        <v>15.61</v>
      </c>
      <c r="E8557" s="16" t="s">
        <v>30</v>
      </c>
    </row>
    <row r="8558" spans="1:5" x14ac:dyDescent="0.25">
      <c r="A8558" s="14">
        <v>1009789</v>
      </c>
      <c r="B8558" s="14" t="s">
        <v>8668</v>
      </c>
      <c r="C8558" s="14" t="s">
        <v>13029</v>
      </c>
      <c r="D8558" s="15">
        <v>29.81</v>
      </c>
      <c r="E8558" s="16" t="s">
        <v>30</v>
      </c>
    </row>
    <row r="8559" spans="1:5" x14ac:dyDescent="0.25">
      <c r="A8559" s="14">
        <v>1009790</v>
      </c>
      <c r="B8559" s="14" t="s">
        <v>8669</v>
      </c>
      <c r="C8559" s="14" t="s">
        <v>13029</v>
      </c>
      <c r="D8559" s="15">
        <v>47.4</v>
      </c>
      <c r="E8559" s="16" t="s">
        <v>30</v>
      </c>
    </row>
    <row r="8560" spans="1:5" x14ac:dyDescent="0.25">
      <c r="A8560" s="14">
        <v>1009791</v>
      </c>
      <c r="B8560" s="14" t="s">
        <v>8670</v>
      </c>
      <c r="C8560" s="14" t="s">
        <v>13029</v>
      </c>
      <c r="D8560" s="15">
        <v>22.25</v>
      </c>
      <c r="E8560" s="16" t="s">
        <v>30</v>
      </c>
    </row>
    <row r="8561" spans="1:5" x14ac:dyDescent="0.25">
      <c r="A8561" s="14">
        <v>1009792</v>
      </c>
      <c r="B8561" s="14" t="s">
        <v>8671</v>
      </c>
      <c r="C8561" s="14" t="s">
        <v>13029</v>
      </c>
      <c r="D8561" s="15">
        <v>23.67</v>
      </c>
      <c r="E8561" s="16" t="s">
        <v>30</v>
      </c>
    </row>
    <row r="8562" spans="1:5" x14ac:dyDescent="0.25">
      <c r="A8562" s="14">
        <v>1009793</v>
      </c>
      <c r="B8562" s="14" t="s">
        <v>8672</v>
      </c>
      <c r="C8562" s="14" t="s">
        <v>13029</v>
      </c>
      <c r="D8562" s="15">
        <v>56.89</v>
      </c>
      <c r="E8562" s="16" t="s">
        <v>30</v>
      </c>
    </row>
    <row r="8563" spans="1:5" x14ac:dyDescent="0.25">
      <c r="A8563" s="14">
        <v>1010794</v>
      </c>
      <c r="B8563" s="14" t="s">
        <v>8673</v>
      </c>
      <c r="C8563" s="14" t="s">
        <v>13031</v>
      </c>
      <c r="D8563" s="15">
        <v>100.67</v>
      </c>
      <c r="E8563" s="16" t="s">
        <v>30</v>
      </c>
    </row>
    <row r="8564" spans="1:5" x14ac:dyDescent="0.25">
      <c r="A8564" s="14">
        <v>1010796</v>
      </c>
      <c r="B8564" s="14" t="s">
        <v>8674</v>
      </c>
      <c r="C8564" s="14" t="s">
        <v>13031</v>
      </c>
      <c r="D8564" s="15">
        <v>23.67</v>
      </c>
      <c r="E8564" s="16" t="s">
        <v>30</v>
      </c>
    </row>
    <row r="8565" spans="1:5" x14ac:dyDescent="0.25">
      <c r="A8565" s="14">
        <v>1010797</v>
      </c>
      <c r="B8565" s="14" t="s">
        <v>8675</v>
      </c>
      <c r="C8565" s="14" t="s">
        <v>13031</v>
      </c>
      <c r="D8565" s="15">
        <v>23.67</v>
      </c>
      <c r="E8565" s="16" t="s">
        <v>30</v>
      </c>
    </row>
    <row r="8566" spans="1:5" x14ac:dyDescent="0.25">
      <c r="A8566" s="14">
        <v>1010798</v>
      </c>
      <c r="B8566" s="14" t="s">
        <v>8676</v>
      </c>
      <c r="C8566" s="14" t="s">
        <v>13031</v>
      </c>
      <c r="D8566" s="15">
        <v>23.67</v>
      </c>
      <c r="E8566" s="16" t="s">
        <v>30</v>
      </c>
    </row>
    <row r="8567" spans="1:5" x14ac:dyDescent="0.25">
      <c r="A8567" s="14">
        <v>1010799</v>
      </c>
      <c r="B8567" s="14" t="s">
        <v>8677</v>
      </c>
      <c r="C8567" s="14" t="s">
        <v>13031</v>
      </c>
      <c r="D8567" s="15">
        <v>10.4</v>
      </c>
      <c r="E8567" s="16" t="s">
        <v>30</v>
      </c>
    </row>
    <row r="8568" spans="1:5" x14ac:dyDescent="0.25">
      <c r="A8568" s="14">
        <v>1011359</v>
      </c>
      <c r="B8568" s="14" t="s">
        <v>8678</v>
      </c>
      <c r="C8568" s="14" t="s">
        <v>13030</v>
      </c>
      <c r="D8568" s="15">
        <v>29.75</v>
      </c>
      <c r="E8568" s="16" t="s">
        <v>30</v>
      </c>
    </row>
    <row r="8569" spans="1:5" x14ac:dyDescent="0.25">
      <c r="A8569" s="14">
        <v>1011360</v>
      </c>
      <c r="B8569" s="14" t="s">
        <v>8679</v>
      </c>
      <c r="C8569" s="14" t="s">
        <v>13030</v>
      </c>
      <c r="D8569" s="15">
        <v>29.75</v>
      </c>
      <c r="E8569" s="16" t="s">
        <v>30</v>
      </c>
    </row>
    <row r="8570" spans="1:5" x14ac:dyDescent="0.25">
      <c r="A8570" s="14">
        <v>1011361</v>
      </c>
      <c r="B8570" s="14" t="s">
        <v>8680</v>
      </c>
      <c r="C8570" s="14" t="s">
        <v>13030</v>
      </c>
      <c r="D8570" s="15">
        <v>60.01</v>
      </c>
      <c r="E8570" s="16" t="s">
        <v>30</v>
      </c>
    </row>
    <row r="8571" spans="1:5" x14ac:dyDescent="0.25">
      <c r="A8571" s="14">
        <v>1011362</v>
      </c>
      <c r="B8571" s="14" t="s">
        <v>8681</v>
      </c>
      <c r="C8571" s="14" t="s">
        <v>13030</v>
      </c>
      <c r="D8571" s="15">
        <v>60.01</v>
      </c>
      <c r="E8571" s="16" t="s">
        <v>30</v>
      </c>
    </row>
    <row r="8572" spans="1:5" x14ac:dyDescent="0.25">
      <c r="A8572" s="14">
        <v>1011363</v>
      </c>
      <c r="B8572" s="14" t="s">
        <v>8682</v>
      </c>
      <c r="C8572" s="14" t="s">
        <v>13030</v>
      </c>
      <c r="D8572" s="15">
        <v>125.55</v>
      </c>
      <c r="E8572" s="16" t="s">
        <v>30</v>
      </c>
    </row>
    <row r="8573" spans="1:5" x14ac:dyDescent="0.25">
      <c r="A8573" s="14">
        <v>1011389</v>
      </c>
      <c r="B8573" s="14" t="s">
        <v>8683</v>
      </c>
      <c r="C8573" s="14" t="s">
        <v>13029</v>
      </c>
      <c r="D8573" s="15">
        <v>3.73</v>
      </c>
      <c r="E8573" s="16" t="s">
        <v>30</v>
      </c>
    </row>
    <row r="8574" spans="1:5" x14ac:dyDescent="0.25">
      <c r="A8574" s="14">
        <v>1011390</v>
      </c>
      <c r="B8574" s="14" t="s">
        <v>8684</v>
      </c>
      <c r="C8574" s="14" t="s">
        <v>13029</v>
      </c>
      <c r="D8574" s="15">
        <v>11.39</v>
      </c>
      <c r="E8574" s="16" t="s">
        <v>30</v>
      </c>
    </row>
    <row r="8575" spans="1:5" x14ac:dyDescent="0.25">
      <c r="A8575" s="14">
        <v>1011391</v>
      </c>
      <c r="B8575" s="14" t="s">
        <v>8685</v>
      </c>
      <c r="C8575" s="14" t="s">
        <v>13029</v>
      </c>
      <c r="D8575" s="15">
        <v>2.66</v>
      </c>
      <c r="E8575" s="16" t="s">
        <v>30</v>
      </c>
    </row>
    <row r="8576" spans="1:5" x14ac:dyDescent="0.25">
      <c r="A8576" s="14">
        <v>1011392</v>
      </c>
      <c r="B8576" s="14" t="s">
        <v>8686</v>
      </c>
      <c r="C8576" s="14" t="s">
        <v>13029</v>
      </c>
      <c r="D8576" s="15">
        <v>2.66</v>
      </c>
      <c r="E8576" s="16" t="s">
        <v>30</v>
      </c>
    </row>
    <row r="8577" spans="1:5" x14ac:dyDescent="0.25">
      <c r="A8577" s="14">
        <v>1011393</v>
      </c>
      <c r="B8577" s="14" t="s">
        <v>8687</v>
      </c>
      <c r="C8577" s="14" t="s">
        <v>13029</v>
      </c>
      <c r="D8577" s="15">
        <v>3.65</v>
      </c>
      <c r="E8577" s="16" t="s">
        <v>30</v>
      </c>
    </row>
    <row r="8578" spans="1:5" x14ac:dyDescent="0.25">
      <c r="A8578" s="14">
        <v>1011394</v>
      </c>
      <c r="B8578" s="14" t="s">
        <v>8688</v>
      </c>
      <c r="C8578" s="14" t="s">
        <v>13029</v>
      </c>
      <c r="D8578" s="15">
        <v>3.65</v>
      </c>
      <c r="E8578" s="16" t="s">
        <v>30</v>
      </c>
    </row>
    <row r="8579" spans="1:5" x14ac:dyDescent="0.25">
      <c r="A8579" s="14">
        <v>1011399</v>
      </c>
      <c r="B8579" s="14" t="s">
        <v>8689</v>
      </c>
      <c r="C8579" s="14" t="s">
        <v>13029</v>
      </c>
      <c r="D8579" s="15">
        <v>9.4</v>
      </c>
      <c r="E8579" s="16" t="s">
        <v>30</v>
      </c>
    </row>
    <row r="8580" spans="1:5" x14ac:dyDescent="0.25">
      <c r="A8580" s="14">
        <v>1011400</v>
      </c>
      <c r="B8580" s="14" t="s">
        <v>8690</v>
      </c>
      <c r="C8580" s="14" t="s">
        <v>13029</v>
      </c>
      <c r="D8580" s="15">
        <v>9.4</v>
      </c>
      <c r="E8580" s="16" t="s">
        <v>30</v>
      </c>
    </row>
    <row r="8581" spans="1:5" x14ac:dyDescent="0.25">
      <c r="A8581" s="14">
        <v>1011404</v>
      </c>
      <c r="B8581" s="14" t="s">
        <v>8691</v>
      </c>
      <c r="C8581" s="14" t="s">
        <v>13031</v>
      </c>
      <c r="D8581" s="15">
        <v>2.0299999999999998</v>
      </c>
      <c r="E8581" s="16" t="s">
        <v>30</v>
      </c>
    </row>
    <row r="8582" spans="1:5" x14ac:dyDescent="0.25">
      <c r="A8582" s="14">
        <v>1011405</v>
      </c>
      <c r="B8582" s="14" t="s">
        <v>8692</v>
      </c>
      <c r="C8582" s="14" t="s">
        <v>13031</v>
      </c>
      <c r="D8582" s="15">
        <v>2.0299999999999998</v>
      </c>
      <c r="E8582" s="16" t="s">
        <v>30</v>
      </c>
    </row>
    <row r="8583" spans="1:5" x14ac:dyDescent="0.25">
      <c r="A8583" s="14">
        <v>1011406</v>
      </c>
      <c r="B8583" s="14" t="s">
        <v>8693</v>
      </c>
      <c r="C8583" s="14" t="s">
        <v>13031</v>
      </c>
      <c r="D8583" s="15">
        <v>11.8</v>
      </c>
      <c r="E8583" s="16" t="s">
        <v>30</v>
      </c>
    </row>
    <row r="8584" spans="1:5" x14ac:dyDescent="0.25">
      <c r="A8584" s="14">
        <v>1011415</v>
      </c>
      <c r="B8584" s="14" t="s">
        <v>8694</v>
      </c>
      <c r="C8584" s="14" t="s">
        <v>13031</v>
      </c>
      <c r="D8584" s="15">
        <v>1.38</v>
      </c>
      <c r="E8584" s="16" t="s">
        <v>30</v>
      </c>
    </row>
    <row r="8585" spans="1:5" x14ac:dyDescent="0.25">
      <c r="A8585" s="14">
        <v>1011416</v>
      </c>
      <c r="B8585" s="14" t="s">
        <v>8695</v>
      </c>
      <c r="C8585" s="14" t="s">
        <v>13031</v>
      </c>
      <c r="D8585" s="15">
        <v>1.38</v>
      </c>
      <c r="E8585" s="16" t="s">
        <v>30</v>
      </c>
    </row>
    <row r="8586" spans="1:5" x14ac:dyDescent="0.25">
      <c r="A8586" s="14">
        <v>1011417</v>
      </c>
      <c r="B8586" s="14" t="s">
        <v>8696</v>
      </c>
      <c r="C8586" s="14" t="s">
        <v>13031</v>
      </c>
      <c r="D8586" s="15">
        <v>7.71</v>
      </c>
      <c r="E8586" s="16" t="s">
        <v>30</v>
      </c>
    </row>
    <row r="8587" spans="1:5" x14ac:dyDescent="0.25">
      <c r="A8587" s="14">
        <v>1011418</v>
      </c>
      <c r="B8587" s="14" t="s">
        <v>8697</v>
      </c>
      <c r="C8587" s="14" t="s">
        <v>13031</v>
      </c>
      <c r="D8587" s="15">
        <v>11.81</v>
      </c>
      <c r="E8587" s="16" t="s">
        <v>30</v>
      </c>
    </row>
    <row r="8588" spans="1:5" x14ac:dyDescent="0.25">
      <c r="A8588" s="14">
        <v>1011419</v>
      </c>
      <c r="B8588" s="14" t="s">
        <v>8698</v>
      </c>
      <c r="C8588" s="14" t="s">
        <v>13031</v>
      </c>
      <c r="D8588" s="15">
        <v>10.38</v>
      </c>
      <c r="E8588" s="16" t="s">
        <v>30</v>
      </c>
    </row>
    <row r="8589" spans="1:5" x14ac:dyDescent="0.25">
      <c r="A8589" s="14">
        <v>1011420</v>
      </c>
      <c r="B8589" s="14" t="s">
        <v>8699</v>
      </c>
      <c r="C8589" s="14" t="s">
        <v>13031</v>
      </c>
      <c r="D8589" s="15">
        <v>10.38</v>
      </c>
      <c r="E8589" s="16" t="s">
        <v>30</v>
      </c>
    </row>
    <row r="8590" spans="1:5" x14ac:dyDescent="0.25">
      <c r="A8590" s="14">
        <v>1011441</v>
      </c>
      <c r="B8590" s="14" t="s">
        <v>8700</v>
      </c>
      <c r="C8590" s="14" t="s">
        <v>13029</v>
      </c>
      <c r="D8590" s="15">
        <v>23.05</v>
      </c>
      <c r="E8590" s="16" t="s">
        <v>30</v>
      </c>
    </row>
    <row r="8591" spans="1:5" x14ac:dyDescent="0.25">
      <c r="A8591" s="14">
        <v>1011442</v>
      </c>
      <c r="B8591" s="14" t="s">
        <v>8701</v>
      </c>
      <c r="C8591" s="14" t="s">
        <v>13029</v>
      </c>
      <c r="D8591" s="15">
        <v>23.05</v>
      </c>
      <c r="E8591" s="16" t="s">
        <v>30</v>
      </c>
    </row>
    <row r="8592" spans="1:5" x14ac:dyDescent="0.25">
      <c r="A8592" s="14">
        <v>1011443</v>
      </c>
      <c r="B8592" s="14" t="s">
        <v>8702</v>
      </c>
      <c r="C8592" s="14" t="s">
        <v>13029</v>
      </c>
      <c r="D8592" s="15">
        <v>23.05</v>
      </c>
      <c r="E8592" s="16" t="s">
        <v>30</v>
      </c>
    </row>
    <row r="8593" spans="1:5" x14ac:dyDescent="0.25">
      <c r="A8593" s="14">
        <v>1011444</v>
      </c>
      <c r="B8593" s="14" t="s">
        <v>8703</v>
      </c>
      <c r="C8593" s="14" t="s">
        <v>13029</v>
      </c>
      <c r="D8593" s="15">
        <v>23.05</v>
      </c>
      <c r="E8593" s="16" t="s">
        <v>30</v>
      </c>
    </row>
    <row r="8594" spans="1:5" x14ac:dyDescent="0.25">
      <c r="A8594" s="14">
        <v>1011445</v>
      </c>
      <c r="B8594" s="14" t="s">
        <v>8704</v>
      </c>
      <c r="C8594" s="14" t="s">
        <v>13029</v>
      </c>
      <c r="D8594" s="15">
        <v>23.05</v>
      </c>
      <c r="E8594" s="16" t="s">
        <v>30</v>
      </c>
    </row>
    <row r="8595" spans="1:5" x14ac:dyDescent="0.25">
      <c r="A8595" s="14">
        <v>1011446</v>
      </c>
      <c r="B8595" s="14" t="s">
        <v>8705</v>
      </c>
      <c r="C8595" s="14" t="s">
        <v>13029</v>
      </c>
      <c r="D8595" s="15">
        <v>23.05</v>
      </c>
      <c r="E8595" s="16" t="s">
        <v>30</v>
      </c>
    </row>
    <row r="8596" spans="1:5" x14ac:dyDescent="0.25">
      <c r="A8596" s="14">
        <v>1011491</v>
      </c>
      <c r="B8596" s="14" t="s">
        <v>8706</v>
      </c>
      <c r="C8596" s="14" t="s">
        <v>13029</v>
      </c>
      <c r="D8596" s="15">
        <v>2.31</v>
      </c>
      <c r="E8596" s="16" t="s">
        <v>30</v>
      </c>
    </row>
    <row r="8597" spans="1:5" x14ac:dyDescent="0.25">
      <c r="A8597" s="14">
        <v>1011492</v>
      </c>
      <c r="B8597" s="14" t="s">
        <v>8707</v>
      </c>
      <c r="C8597" s="14" t="s">
        <v>13029</v>
      </c>
      <c r="D8597" s="15">
        <v>7.65</v>
      </c>
      <c r="E8597" s="16" t="s">
        <v>30</v>
      </c>
    </row>
    <row r="8598" spans="1:5" x14ac:dyDescent="0.25">
      <c r="A8598" s="14">
        <v>1011493</v>
      </c>
      <c r="B8598" s="14" t="s">
        <v>8708</v>
      </c>
      <c r="C8598" s="14" t="s">
        <v>13029</v>
      </c>
      <c r="D8598" s="15">
        <v>22.27</v>
      </c>
      <c r="E8598" s="16" t="s">
        <v>30</v>
      </c>
    </row>
    <row r="8599" spans="1:5" x14ac:dyDescent="0.25">
      <c r="A8599" s="14">
        <v>1011494</v>
      </c>
      <c r="B8599" s="14" t="s">
        <v>8709</v>
      </c>
      <c r="C8599" s="14" t="s">
        <v>13029</v>
      </c>
      <c r="D8599" s="15">
        <v>20.91</v>
      </c>
      <c r="E8599" s="16" t="s">
        <v>30</v>
      </c>
    </row>
    <row r="8600" spans="1:5" x14ac:dyDescent="0.25">
      <c r="A8600" s="14">
        <v>1011539</v>
      </c>
      <c r="B8600" s="14" t="s">
        <v>8710</v>
      </c>
      <c r="C8600" s="14" t="s">
        <v>13029</v>
      </c>
      <c r="D8600" s="15">
        <v>19.34</v>
      </c>
      <c r="E8600" s="16" t="s">
        <v>30</v>
      </c>
    </row>
    <row r="8601" spans="1:5" x14ac:dyDescent="0.25">
      <c r="A8601" s="14">
        <v>1011540</v>
      </c>
      <c r="B8601" s="14" t="s">
        <v>8711</v>
      </c>
      <c r="C8601" s="14" t="s">
        <v>13029</v>
      </c>
      <c r="D8601" s="15">
        <v>24.86</v>
      </c>
      <c r="E8601" s="16" t="s">
        <v>30</v>
      </c>
    </row>
    <row r="8602" spans="1:5" x14ac:dyDescent="0.25">
      <c r="A8602" s="14">
        <v>1011606</v>
      </c>
      <c r="B8602" s="14" t="s">
        <v>8712</v>
      </c>
      <c r="C8602" s="14" t="s">
        <v>13036</v>
      </c>
      <c r="D8602" s="15">
        <v>8.0299999999999994</v>
      </c>
      <c r="E8602" s="16" t="s">
        <v>30</v>
      </c>
    </row>
    <row r="8603" spans="1:5" x14ac:dyDescent="0.25">
      <c r="A8603" s="14">
        <v>1012167</v>
      </c>
      <c r="B8603" s="14" t="s">
        <v>8713</v>
      </c>
      <c r="C8603" s="14" t="s">
        <v>13031</v>
      </c>
      <c r="D8603" s="15">
        <v>2.08</v>
      </c>
      <c r="E8603" s="16" t="s">
        <v>30</v>
      </c>
    </row>
    <row r="8604" spans="1:5" x14ac:dyDescent="0.25">
      <c r="A8604" s="14">
        <v>1012168</v>
      </c>
      <c r="B8604" s="14" t="s">
        <v>8714</v>
      </c>
      <c r="C8604" s="14" t="s">
        <v>13031</v>
      </c>
      <c r="D8604" s="15">
        <v>2.08</v>
      </c>
      <c r="E8604" s="16" t="s">
        <v>30</v>
      </c>
    </row>
    <row r="8605" spans="1:5" x14ac:dyDescent="0.25">
      <c r="A8605" s="14">
        <v>1012174</v>
      </c>
      <c r="B8605" s="14" t="s">
        <v>8715</v>
      </c>
      <c r="C8605" s="14" t="s">
        <v>13031</v>
      </c>
      <c r="D8605" s="15">
        <v>43.22</v>
      </c>
      <c r="E8605" s="16" t="s">
        <v>30</v>
      </c>
    </row>
    <row r="8606" spans="1:5" x14ac:dyDescent="0.25">
      <c r="A8606" s="14">
        <v>1012180</v>
      </c>
      <c r="B8606" s="14" t="s">
        <v>8716</v>
      </c>
      <c r="C8606" s="14" t="s">
        <v>13029</v>
      </c>
      <c r="D8606" s="15">
        <v>41.47</v>
      </c>
      <c r="E8606" s="16" t="s">
        <v>30</v>
      </c>
    </row>
    <row r="8607" spans="1:5" x14ac:dyDescent="0.25">
      <c r="A8607" s="14">
        <v>1012181</v>
      </c>
      <c r="B8607" s="14" t="s">
        <v>8717</v>
      </c>
      <c r="C8607" s="14" t="s">
        <v>13029</v>
      </c>
      <c r="D8607" s="15">
        <v>41.47</v>
      </c>
      <c r="E8607" s="16" t="s">
        <v>30</v>
      </c>
    </row>
    <row r="8608" spans="1:5" x14ac:dyDescent="0.25">
      <c r="A8608" s="14">
        <v>1012182</v>
      </c>
      <c r="B8608" s="14" t="s">
        <v>8718</v>
      </c>
      <c r="C8608" s="14" t="s">
        <v>13029</v>
      </c>
      <c r="D8608" s="15">
        <v>29.6</v>
      </c>
      <c r="E8608" s="16" t="s">
        <v>30</v>
      </c>
    </row>
    <row r="8609" spans="1:5" x14ac:dyDescent="0.25">
      <c r="A8609" s="14">
        <v>1012183</v>
      </c>
      <c r="B8609" s="14" t="s">
        <v>8719</v>
      </c>
      <c r="C8609" s="14" t="s">
        <v>13031</v>
      </c>
      <c r="D8609" s="15">
        <v>11.8</v>
      </c>
      <c r="E8609" s="16" t="s">
        <v>30</v>
      </c>
    </row>
    <row r="8610" spans="1:5" x14ac:dyDescent="0.25">
      <c r="A8610" s="14">
        <v>1012184</v>
      </c>
      <c r="B8610" s="14" t="s">
        <v>8720</v>
      </c>
      <c r="C8610" s="14" t="s">
        <v>13031</v>
      </c>
      <c r="D8610" s="15">
        <v>17.399999999999999</v>
      </c>
      <c r="E8610" s="16" t="s">
        <v>30</v>
      </c>
    </row>
    <row r="8611" spans="1:5" x14ac:dyDescent="0.25">
      <c r="A8611" s="14">
        <v>1012199</v>
      </c>
      <c r="B8611" s="14" t="s">
        <v>8721</v>
      </c>
      <c r="C8611" s="14" t="s">
        <v>13029</v>
      </c>
      <c r="D8611" s="15">
        <v>14.9</v>
      </c>
      <c r="E8611" s="16" t="s">
        <v>30</v>
      </c>
    </row>
    <row r="8612" spans="1:5" x14ac:dyDescent="0.25">
      <c r="A8612" s="14">
        <v>1012200</v>
      </c>
      <c r="B8612" s="14" t="s">
        <v>8722</v>
      </c>
      <c r="C8612" s="14" t="s">
        <v>13029</v>
      </c>
      <c r="D8612" s="15">
        <v>14.9</v>
      </c>
      <c r="E8612" s="16" t="s">
        <v>30</v>
      </c>
    </row>
    <row r="8613" spans="1:5" x14ac:dyDescent="0.25">
      <c r="A8613" s="14">
        <v>1012201</v>
      </c>
      <c r="B8613" s="14" t="s">
        <v>8723</v>
      </c>
      <c r="C8613" s="14" t="s">
        <v>13029</v>
      </c>
      <c r="D8613" s="15">
        <v>15.96</v>
      </c>
      <c r="E8613" s="16" t="s">
        <v>30</v>
      </c>
    </row>
    <row r="8614" spans="1:5" x14ac:dyDescent="0.25">
      <c r="A8614" s="14">
        <v>1012202</v>
      </c>
      <c r="B8614" s="14" t="s">
        <v>8724</v>
      </c>
      <c r="C8614" s="14" t="s">
        <v>13029</v>
      </c>
      <c r="D8614" s="15">
        <v>14.9</v>
      </c>
      <c r="E8614" s="16" t="s">
        <v>30</v>
      </c>
    </row>
    <row r="8615" spans="1:5" x14ac:dyDescent="0.25">
      <c r="A8615" s="14">
        <v>1012203</v>
      </c>
      <c r="B8615" s="14" t="s">
        <v>8725</v>
      </c>
      <c r="C8615" s="14" t="s">
        <v>13029</v>
      </c>
      <c r="D8615" s="15">
        <v>14.9</v>
      </c>
      <c r="E8615" s="16" t="s">
        <v>30</v>
      </c>
    </row>
    <row r="8616" spans="1:5" x14ac:dyDescent="0.25">
      <c r="A8616" s="14">
        <v>1012204</v>
      </c>
      <c r="B8616" s="14" t="s">
        <v>8726</v>
      </c>
      <c r="C8616" s="14" t="s">
        <v>13029</v>
      </c>
      <c r="D8616" s="15">
        <v>9.66</v>
      </c>
      <c r="E8616" s="16" t="s">
        <v>30</v>
      </c>
    </row>
    <row r="8617" spans="1:5" x14ac:dyDescent="0.25">
      <c r="A8617" s="14">
        <v>1012205</v>
      </c>
      <c r="B8617" s="14" t="s">
        <v>8727</v>
      </c>
      <c r="C8617" s="14" t="s">
        <v>13029</v>
      </c>
      <c r="D8617" s="15">
        <v>9.66</v>
      </c>
      <c r="E8617" s="16" t="s">
        <v>30</v>
      </c>
    </row>
    <row r="8618" spans="1:5" x14ac:dyDescent="0.25">
      <c r="A8618" s="14">
        <v>1012206</v>
      </c>
      <c r="B8618" s="14" t="s">
        <v>8728</v>
      </c>
      <c r="C8618" s="14" t="s">
        <v>13029</v>
      </c>
      <c r="D8618" s="15">
        <v>6.9</v>
      </c>
      <c r="E8618" s="16" t="s">
        <v>30</v>
      </c>
    </row>
    <row r="8619" spans="1:5" x14ac:dyDescent="0.25">
      <c r="A8619" s="14">
        <v>1012266</v>
      </c>
      <c r="B8619" s="14" t="s">
        <v>8729</v>
      </c>
      <c r="C8619" s="14" t="s">
        <v>13031</v>
      </c>
      <c r="D8619" s="15">
        <v>9.85</v>
      </c>
      <c r="E8619" s="16" t="s">
        <v>30</v>
      </c>
    </row>
    <row r="8620" spans="1:5" x14ac:dyDescent="0.25">
      <c r="A8620" s="14">
        <v>1012268</v>
      </c>
      <c r="B8620" s="14" t="s">
        <v>8730</v>
      </c>
      <c r="C8620" s="14" t="s">
        <v>13030</v>
      </c>
      <c r="D8620" s="15">
        <v>41.6</v>
      </c>
      <c r="E8620" s="16" t="s">
        <v>30</v>
      </c>
    </row>
    <row r="8621" spans="1:5" x14ac:dyDescent="0.25">
      <c r="A8621" s="14">
        <v>1012269</v>
      </c>
      <c r="B8621" s="14" t="s">
        <v>8731</v>
      </c>
      <c r="C8621" s="14" t="s">
        <v>13030</v>
      </c>
      <c r="D8621" s="15">
        <v>104.17</v>
      </c>
      <c r="E8621" s="16" t="s">
        <v>30</v>
      </c>
    </row>
    <row r="8622" spans="1:5" x14ac:dyDescent="0.25">
      <c r="A8622" s="14">
        <v>1012270</v>
      </c>
      <c r="B8622" s="14" t="s">
        <v>8732</v>
      </c>
      <c r="C8622" s="14" t="s">
        <v>13030</v>
      </c>
      <c r="D8622" s="15">
        <v>104.17</v>
      </c>
      <c r="E8622" s="16" t="s">
        <v>30</v>
      </c>
    </row>
    <row r="8623" spans="1:5" x14ac:dyDescent="0.25">
      <c r="A8623" s="14">
        <v>1012329</v>
      </c>
      <c r="B8623" s="14" t="s">
        <v>8733</v>
      </c>
      <c r="C8623" s="14" t="s">
        <v>13031</v>
      </c>
      <c r="D8623" s="15">
        <v>6.49</v>
      </c>
      <c r="E8623" s="16" t="s">
        <v>30</v>
      </c>
    </row>
    <row r="8624" spans="1:5" x14ac:dyDescent="0.25">
      <c r="A8624" s="14">
        <v>1012330</v>
      </c>
      <c r="B8624" s="14" t="s">
        <v>8734</v>
      </c>
      <c r="C8624" s="14" t="s">
        <v>13031</v>
      </c>
      <c r="D8624" s="15">
        <v>5.87</v>
      </c>
      <c r="E8624" s="16" t="s">
        <v>30</v>
      </c>
    </row>
    <row r="8625" spans="1:5" x14ac:dyDescent="0.25">
      <c r="A8625" s="14">
        <v>1012332</v>
      </c>
      <c r="B8625" s="14" t="s">
        <v>8735</v>
      </c>
      <c r="C8625" s="14" t="s">
        <v>13031</v>
      </c>
      <c r="D8625" s="15">
        <v>14.99</v>
      </c>
      <c r="E8625" s="16" t="s">
        <v>30</v>
      </c>
    </row>
    <row r="8626" spans="1:5" x14ac:dyDescent="0.25">
      <c r="A8626" s="14">
        <v>1012333</v>
      </c>
      <c r="B8626" s="14" t="s">
        <v>8736</v>
      </c>
      <c r="C8626" s="14" t="s">
        <v>13031</v>
      </c>
      <c r="D8626" s="15">
        <v>14.99</v>
      </c>
      <c r="E8626" s="16" t="s">
        <v>30</v>
      </c>
    </row>
    <row r="8627" spans="1:5" x14ac:dyDescent="0.25">
      <c r="A8627" s="14">
        <v>1012335</v>
      </c>
      <c r="B8627" s="14" t="s">
        <v>8737</v>
      </c>
      <c r="C8627" s="14" t="s">
        <v>13031</v>
      </c>
      <c r="D8627" s="15">
        <v>14.99</v>
      </c>
      <c r="E8627" s="16" t="s">
        <v>30</v>
      </c>
    </row>
    <row r="8628" spans="1:5" x14ac:dyDescent="0.25">
      <c r="A8628" s="14">
        <v>1012336</v>
      </c>
      <c r="B8628" s="14" t="s">
        <v>8738</v>
      </c>
      <c r="C8628" s="14" t="s">
        <v>13031</v>
      </c>
      <c r="D8628" s="15">
        <v>14.99</v>
      </c>
      <c r="E8628" s="16" t="s">
        <v>30</v>
      </c>
    </row>
    <row r="8629" spans="1:5" x14ac:dyDescent="0.25">
      <c r="A8629" s="14">
        <v>1012341</v>
      </c>
      <c r="B8629" s="14" t="s">
        <v>8739</v>
      </c>
      <c r="C8629" s="14" t="s">
        <v>13030</v>
      </c>
      <c r="D8629" s="15">
        <v>5.76</v>
      </c>
      <c r="E8629" s="16" t="s">
        <v>30</v>
      </c>
    </row>
    <row r="8630" spans="1:5" x14ac:dyDescent="0.25">
      <c r="A8630" s="14">
        <v>1012342</v>
      </c>
      <c r="B8630" s="14" t="s">
        <v>8740</v>
      </c>
      <c r="C8630" s="14" t="s">
        <v>13030</v>
      </c>
      <c r="D8630" s="15">
        <v>5.76</v>
      </c>
      <c r="E8630" s="16" t="s">
        <v>30</v>
      </c>
    </row>
    <row r="8631" spans="1:5" x14ac:dyDescent="0.25">
      <c r="A8631" s="14">
        <v>1012407</v>
      </c>
      <c r="B8631" s="14" t="s">
        <v>8741</v>
      </c>
      <c r="C8631" s="14" t="s">
        <v>13029</v>
      </c>
      <c r="D8631" s="15">
        <v>65.87</v>
      </c>
      <c r="E8631" s="16" t="s">
        <v>30</v>
      </c>
    </row>
    <row r="8632" spans="1:5" x14ac:dyDescent="0.25">
      <c r="A8632" s="14">
        <v>1012408</v>
      </c>
      <c r="B8632" s="14" t="s">
        <v>8742</v>
      </c>
      <c r="C8632" s="14" t="s">
        <v>13029</v>
      </c>
      <c r="D8632" s="15">
        <v>63.24</v>
      </c>
      <c r="E8632" s="16" t="s">
        <v>30</v>
      </c>
    </row>
    <row r="8633" spans="1:5" x14ac:dyDescent="0.25">
      <c r="A8633" s="14">
        <v>1012409</v>
      </c>
      <c r="B8633" s="14" t="s">
        <v>8743</v>
      </c>
      <c r="C8633" s="14" t="s">
        <v>13029</v>
      </c>
      <c r="D8633" s="15">
        <v>14.35</v>
      </c>
      <c r="E8633" s="16" t="s">
        <v>30</v>
      </c>
    </row>
    <row r="8634" spans="1:5" x14ac:dyDescent="0.25">
      <c r="A8634" s="14">
        <v>1012410</v>
      </c>
      <c r="B8634" s="14" t="s">
        <v>8744</v>
      </c>
      <c r="C8634" s="14" t="s">
        <v>13029</v>
      </c>
      <c r="D8634" s="15">
        <v>14.35</v>
      </c>
      <c r="E8634" s="16" t="s">
        <v>30</v>
      </c>
    </row>
    <row r="8635" spans="1:5" x14ac:dyDescent="0.25">
      <c r="A8635" s="14">
        <v>1012415</v>
      </c>
      <c r="B8635" s="14" t="s">
        <v>8745</v>
      </c>
      <c r="C8635" s="14" t="s">
        <v>13029</v>
      </c>
      <c r="D8635" s="15">
        <v>47.1</v>
      </c>
      <c r="E8635" s="16" t="s">
        <v>30</v>
      </c>
    </row>
    <row r="8636" spans="1:5" x14ac:dyDescent="0.25">
      <c r="A8636" s="14">
        <v>1012416</v>
      </c>
      <c r="B8636" s="14" t="s">
        <v>8746</v>
      </c>
      <c r="C8636" s="14" t="s">
        <v>13029</v>
      </c>
      <c r="D8636" s="15">
        <v>53.65</v>
      </c>
      <c r="E8636" s="16" t="s">
        <v>30</v>
      </c>
    </row>
    <row r="8637" spans="1:5" x14ac:dyDescent="0.25">
      <c r="A8637" s="14">
        <v>1012635</v>
      </c>
      <c r="B8637" s="14" t="s">
        <v>8747</v>
      </c>
      <c r="C8637" s="14" t="s">
        <v>13031</v>
      </c>
      <c r="D8637" s="15">
        <v>4.1500000000000004</v>
      </c>
      <c r="E8637" s="16" t="s">
        <v>30</v>
      </c>
    </row>
    <row r="8638" spans="1:5" x14ac:dyDescent="0.25">
      <c r="A8638" s="14">
        <v>1012636</v>
      </c>
      <c r="B8638" s="14" t="s">
        <v>8748</v>
      </c>
      <c r="C8638" s="14" t="s">
        <v>13029</v>
      </c>
      <c r="D8638" s="15">
        <v>5.46</v>
      </c>
      <c r="E8638" s="16" t="s">
        <v>30</v>
      </c>
    </row>
    <row r="8639" spans="1:5" x14ac:dyDescent="0.25">
      <c r="A8639" s="14">
        <v>1012814</v>
      </c>
      <c r="B8639" s="14" t="s">
        <v>8749</v>
      </c>
      <c r="C8639" s="14" t="s">
        <v>13030</v>
      </c>
      <c r="D8639" s="15">
        <v>76.41</v>
      </c>
      <c r="E8639" s="16" t="s">
        <v>30</v>
      </c>
    </row>
    <row r="8640" spans="1:5" x14ac:dyDescent="0.25">
      <c r="A8640" s="14">
        <v>1012815</v>
      </c>
      <c r="B8640" s="14" t="s">
        <v>8750</v>
      </c>
      <c r="C8640" s="14" t="s">
        <v>13030</v>
      </c>
      <c r="D8640" s="15">
        <v>76.53</v>
      </c>
      <c r="E8640" s="16" t="s">
        <v>30</v>
      </c>
    </row>
    <row r="8641" spans="1:5" x14ac:dyDescent="0.25">
      <c r="A8641" s="14">
        <v>1012817</v>
      </c>
      <c r="B8641" s="14" t="s">
        <v>8751</v>
      </c>
      <c r="C8641" s="14" t="s">
        <v>13029</v>
      </c>
      <c r="D8641" s="15">
        <v>29.87</v>
      </c>
      <c r="E8641" s="16" t="s">
        <v>30</v>
      </c>
    </row>
    <row r="8642" spans="1:5" x14ac:dyDescent="0.25">
      <c r="A8642" s="14">
        <v>1012818</v>
      </c>
      <c r="B8642" s="14" t="s">
        <v>8752</v>
      </c>
      <c r="C8642" s="14" t="s">
        <v>13029</v>
      </c>
      <c r="D8642" s="15">
        <v>41.3</v>
      </c>
      <c r="E8642" s="16" t="s">
        <v>30</v>
      </c>
    </row>
    <row r="8643" spans="1:5" x14ac:dyDescent="0.25">
      <c r="A8643" s="14">
        <v>1012819</v>
      </c>
      <c r="B8643" s="14" t="s">
        <v>8753</v>
      </c>
      <c r="C8643" s="14" t="s">
        <v>13029</v>
      </c>
      <c r="D8643" s="15">
        <v>13.35</v>
      </c>
      <c r="E8643" s="16" t="s">
        <v>30</v>
      </c>
    </row>
    <row r="8644" spans="1:5" x14ac:dyDescent="0.25">
      <c r="A8644" s="14">
        <v>1013015</v>
      </c>
      <c r="B8644" s="14" t="s">
        <v>8754</v>
      </c>
      <c r="C8644" s="14" t="s">
        <v>13033</v>
      </c>
      <c r="D8644" s="15">
        <v>6.48</v>
      </c>
      <c r="E8644" s="16" t="s">
        <v>30</v>
      </c>
    </row>
    <row r="8645" spans="1:5" x14ac:dyDescent="0.25">
      <c r="A8645" s="14">
        <v>1013016</v>
      </c>
      <c r="B8645" s="14" t="s">
        <v>8755</v>
      </c>
      <c r="C8645" s="14" t="s">
        <v>13033</v>
      </c>
      <c r="D8645" s="15">
        <v>6.48</v>
      </c>
      <c r="E8645" s="16" t="s">
        <v>30</v>
      </c>
    </row>
    <row r="8646" spans="1:5" x14ac:dyDescent="0.25">
      <c r="A8646" s="14">
        <v>1013026</v>
      </c>
      <c r="B8646" s="14" t="s">
        <v>8756</v>
      </c>
      <c r="C8646" s="14" t="s">
        <v>13029</v>
      </c>
      <c r="D8646" s="15">
        <v>13.18</v>
      </c>
      <c r="E8646" s="16" t="s">
        <v>30</v>
      </c>
    </row>
    <row r="8647" spans="1:5" x14ac:dyDescent="0.25">
      <c r="A8647" s="14">
        <v>1013027</v>
      </c>
      <c r="B8647" s="14" t="s">
        <v>8757</v>
      </c>
      <c r="C8647" s="14" t="s">
        <v>13029</v>
      </c>
      <c r="D8647" s="15">
        <v>13.77</v>
      </c>
      <c r="E8647" s="16" t="s">
        <v>30</v>
      </c>
    </row>
    <row r="8648" spans="1:5" x14ac:dyDescent="0.25">
      <c r="A8648" s="14">
        <v>1013028</v>
      </c>
      <c r="B8648" s="14" t="s">
        <v>8758</v>
      </c>
      <c r="C8648" s="14" t="s">
        <v>13029</v>
      </c>
      <c r="D8648" s="15">
        <v>25.33</v>
      </c>
      <c r="E8648" s="16" t="s">
        <v>30</v>
      </c>
    </row>
    <row r="8649" spans="1:5" x14ac:dyDescent="0.25">
      <c r="A8649" s="14">
        <v>1013029</v>
      </c>
      <c r="B8649" s="14" t="s">
        <v>8759</v>
      </c>
      <c r="C8649" s="14" t="s">
        <v>13029</v>
      </c>
      <c r="D8649" s="15">
        <v>41.47</v>
      </c>
      <c r="E8649" s="16" t="s">
        <v>30</v>
      </c>
    </row>
    <row r="8650" spans="1:5" x14ac:dyDescent="0.25">
      <c r="A8650" s="14">
        <v>1013030</v>
      </c>
      <c r="B8650" s="14" t="s">
        <v>8760</v>
      </c>
      <c r="C8650" s="14" t="s">
        <v>13029</v>
      </c>
      <c r="D8650" s="15">
        <v>35.53</v>
      </c>
      <c r="E8650" s="16" t="s">
        <v>30</v>
      </c>
    </row>
    <row r="8651" spans="1:5" x14ac:dyDescent="0.25">
      <c r="A8651" s="14">
        <v>1013038</v>
      </c>
      <c r="B8651" s="14" t="s">
        <v>8761</v>
      </c>
      <c r="C8651" s="14" t="s">
        <v>13030</v>
      </c>
      <c r="D8651" s="15">
        <v>59.08</v>
      </c>
      <c r="E8651" s="16" t="s">
        <v>30</v>
      </c>
    </row>
    <row r="8652" spans="1:5" x14ac:dyDescent="0.25">
      <c r="A8652" s="14">
        <v>1013045</v>
      </c>
      <c r="B8652" s="14" t="s">
        <v>8762</v>
      </c>
      <c r="C8652" s="14" t="s">
        <v>13031</v>
      </c>
      <c r="D8652" s="15">
        <v>7.94</v>
      </c>
      <c r="E8652" s="16" t="s">
        <v>30</v>
      </c>
    </row>
    <row r="8653" spans="1:5" x14ac:dyDescent="0.25">
      <c r="A8653" s="14">
        <v>1013095</v>
      </c>
      <c r="B8653" s="14" t="s">
        <v>8763</v>
      </c>
      <c r="C8653" s="14" t="s">
        <v>13030</v>
      </c>
      <c r="D8653" s="15">
        <v>44.43</v>
      </c>
      <c r="E8653" s="16" t="s">
        <v>30</v>
      </c>
    </row>
    <row r="8654" spans="1:5" x14ac:dyDescent="0.25">
      <c r="A8654" s="14">
        <v>1013096</v>
      </c>
      <c r="B8654" s="14" t="s">
        <v>8764</v>
      </c>
      <c r="C8654" s="14" t="s">
        <v>13030</v>
      </c>
      <c r="D8654" s="15">
        <v>66.260000000000005</v>
      </c>
      <c r="E8654" s="16" t="s">
        <v>30</v>
      </c>
    </row>
    <row r="8655" spans="1:5" x14ac:dyDescent="0.25">
      <c r="A8655" s="14">
        <v>1013097</v>
      </c>
      <c r="B8655" s="14" t="s">
        <v>8765</v>
      </c>
      <c r="C8655" s="14" t="s">
        <v>13030</v>
      </c>
      <c r="D8655" s="15">
        <v>66.260000000000005</v>
      </c>
      <c r="E8655" s="16" t="s">
        <v>30</v>
      </c>
    </row>
    <row r="8656" spans="1:5" x14ac:dyDescent="0.25">
      <c r="A8656" s="14">
        <v>1013098</v>
      </c>
      <c r="B8656" s="14" t="s">
        <v>8766</v>
      </c>
      <c r="C8656" s="14" t="s">
        <v>13030</v>
      </c>
      <c r="D8656" s="15">
        <v>49.69</v>
      </c>
      <c r="E8656" s="16" t="s">
        <v>30</v>
      </c>
    </row>
    <row r="8657" spans="1:5" x14ac:dyDescent="0.25">
      <c r="A8657" s="14">
        <v>1013099</v>
      </c>
      <c r="B8657" s="14" t="s">
        <v>8767</v>
      </c>
      <c r="C8657" s="14" t="s">
        <v>13030</v>
      </c>
      <c r="D8657" s="15">
        <v>70.150000000000006</v>
      </c>
      <c r="E8657" s="16" t="s">
        <v>30</v>
      </c>
    </row>
    <row r="8658" spans="1:5" x14ac:dyDescent="0.25">
      <c r="A8658" s="14">
        <v>1013110</v>
      </c>
      <c r="B8658" s="14" t="s">
        <v>8768</v>
      </c>
      <c r="C8658" s="14" t="s">
        <v>13031</v>
      </c>
      <c r="D8658" s="15">
        <v>8.59</v>
      </c>
      <c r="E8658" s="16" t="s">
        <v>30</v>
      </c>
    </row>
    <row r="8659" spans="1:5" x14ac:dyDescent="0.25">
      <c r="A8659" s="14">
        <v>1013111</v>
      </c>
      <c r="B8659" s="14" t="s">
        <v>8769</v>
      </c>
      <c r="C8659" s="14" t="s">
        <v>13031</v>
      </c>
      <c r="D8659" s="15">
        <v>8.59</v>
      </c>
      <c r="E8659" s="16" t="s">
        <v>30</v>
      </c>
    </row>
    <row r="8660" spans="1:5" x14ac:dyDescent="0.25">
      <c r="A8660" s="14">
        <v>1013112</v>
      </c>
      <c r="B8660" s="14" t="s">
        <v>8770</v>
      </c>
      <c r="C8660" s="14" t="s">
        <v>13031</v>
      </c>
      <c r="D8660" s="15">
        <v>13.87</v>
      </c>
      <c r="E8660" s="16" t="s">
        <v>30</v>
      </c>
    </row>
    <row r="8661" spans="1:5" x14ac:dyDescent="0.25">
      <c r="A8661" s="14">
        <v>1013132</v>
      </c>
      <c r="B8661" s="14" t="s">
        <v>8771</v>
      </c>
      <c r="C8661" s="14" t="s">
        <v>13030</v>
      </c>
      <c r="D8661" s="15">
        <v>12.12</v>
      </c>
      <c r="E8661" s="16" t="s">
        <v>30</v>
      </c>
    </row>
    <row r="8662" spans="1:5" x14ac:dyDescent="0.25">
      <c r="A8662" s="14">
        <v>1013133</v>
      </c>
      <c r="B8662" s="14" t="s">
        <v>8772</v>
      </c>
      <c r="C8662" s="14" t="s">
        <v>13030</v>
      </c>
      <c r="D8662" s="15">
        <v>12.12</v>
      </c>
      <c r="E8662" s="16" t="s">
        <v>30</v>
      </c>
    </row>
    <row r="8663" spans="1:5" x14ac:dyDescent="0.25">
      <c r="A8663" s="14">
        <v>1013134</v>
      </c>
      <c r="B8663" s="14" t="s">
        <v>8773</v>
      </c>
      <c r="C8663" s="14" t="s">
        <v>13030</v>
      </c>
      <c r="D8663" s="15">
        <v>12.12</v>
      </c>
      <c r="E8663" s="16" t="s">
        <v>30</v>
      </c>
    </row>
    <row r="8664" spans="1:5" x14ac:dyDescent="0.25">
      <c r="A8664" s="14">
        <v>1013135</v>
      </c>
      <c r="B8664" s="14" t="s">
        <v>8774</v>
      </c>
      <c r="C8664" s="14" t="s">
        <v>13030</v>
      </c>
      <c r="D8664" s="15">
        <v>4.53</v>
      </c>
      <c r="E8664" s="16" t="s">
        <v>30</v>
      </c>
    </row>
    <row r="8665" spans="1:5" x14ac:dyDescent="0.25">
      <c r="A8665" s="14">
        <v>1013136</v>
      </c>
      <c r="B8665" s="14" t="s">
        <v>8775</v>
      </c>
      <c r="C8665" s="14" t="s">
        <v>13030</v>
      </c>
      <c r="D8665" s="15">
        <v>4.53</v>
      </c>
      <c r="E8665" s="16" t="s">
        <v>30</v>
      </c>
    </row>
    <row r="8666" spans="1:5" x14ac:dyDescent="0.25">
      <c r="A8666" s="14">
        <v>1013149</v>
      </c>
      <c r="B8666" s="14" t="s">
        <v>8776</v>
      </c>
      <c r="C8666" s="14" t="s">
        <v>13029</v>
      </c>
      <c r="D8666" s="15">
        <v>40.24</v>
      </c>
      <c r="E8666" s="16" t="s">
        <v>30</v>
      </c>
    </row>
    <row r="8667" spans="1:5" x14ac:dyDescent="0.25">
      <c r="A8667" s="14">
        <v>1013154</v>
      </c>
      <c r="B8667" s="14" t="s">
        <v>8777</v>
      </c>
      <c r="C8667" s="14" t="s">
        <v>13029</v>
      </c>
      <c r="D8667" s="15">
        <v>14.27</v>
      </c>
      <c r="E8667" s="16" t="s">
        <v>30</v>
      </c>
    </row>
    <row r="8668" spans="1:5" x14ac:dyDescent="0.25">
      <c r="A8668" s="14">
        <v>1013347</v>
      </c>
      <c r="B8668" s="14" t="s">
        <v>8778</v>
      </c>
      <c r="C8668" s="14" t="s">
        <v>13031</v>
      </c>
      <c r="D8668" s="15">
        <v>6.5</v>
      </c>
      <c r="E8668" s="16" t="s">
        <v>30</v>
      </c>
    </row>
    <row r="8669" spans="1:5" x14ac:dyDescent="0.25">
      <c r="A8669" s="14">
        <v>1013640</v>
      </c>
      <c r="B8669" s="14" t="s">
        <v>8779</v>
      </c>
      <c r="C8669" s="14" t="s">
        <v>13031</v>
      </c>
      <c r="D8669" s="15">
        <v>33.049999999999997</v>
      </c>
      <c r="E8669" s="16" t="s">
        <v>30</v>
      </c>
    </row>
    <row r="8670" spans="1:5" x14ac:dyDescent="0.25">
      <c r="A8670" s="14">
        <v>1013695</v>
      </c>
      <c r="B8670" s="14" t="s">
        <v>8780</v>
      </c>
      <c r="C8670" s="14" t="s">
        <v>13029</v>
      </c>
      <c r="D8670" s="15">
        <v>26.18</v>
      </c>
      <c r="E8670" s="16" t="s">
        <v>30</v>
      </c>
    </row>
    <row r="8671" spans="1:5" x14ac:dyDescent="0.25">
      <c r="A8671" s="14">
        <v>1013696</v>
      </c>
      <c r="B8671" s="14" t="s">
        <v>8781</v>
      </c>
      <c r="C8671" s="14" t="s">
        <v>13029</v>
      </c>
      <c r="D8671" s="15">
        <v>17.63</v>
      </c>
      <c r="E8671" s="16" t="s">
        <v>30</v>
      </c>
    </row>
    <row r="8672" spans="1:5" x14ac:dyDescent="0.25">
      <c r="A8672" s="14">
        <v>1013697</v>
      </c>
      <c r="B8672" s="14" t="s">
        <v>8782</v>
      </c>
      <c r="C8672" s="14" t="s">
        <v>13029</v>
      </c>
      <c r="D8672" s="15">
        <v>9.7899999999999991</v>
      </c>
      <c r="E8672" s="16" t="s">
        <v>30</v>
      </c>
    </row>
    <row r="8673" spans="1:5" x14ac:dyDescent="0.25">
      <c r="A8673" s="14">
        <v>1013827</v>
      </c>
      <c r="B8673" s="14" t="s">
        <v>8783</v>
      </c>
      <c r="C8673" s="14" t="s">
        <v>13030</v>
      </c>
      <c r="D8673" s="15">
        <v>5</v>
      </c>
      <c r="E8673" s="16" t="s">
        <v>30</v>
      </c>
    </row>
    <row r="8674" spans="1:5" x14ac:dyDescent="0.25">
      <c r="A8674" s="14">
        <v>1013979</v>
      </c>
      <c r="B8674" s="14" t="s">
        <v>8784</v>
      </c>
      <c r="C8674" s="14" t="s">
        <v>13031</v>
      </c>
      <c r="D8674" s="15">
        <v>11.78</v>
      </c>
      <c r="E8674" s="16" t="s">
        <v>30</v>
      </c>
    </row>
    <row r="8675" spans="1:5" x14ac:dyDescent="0.25">
      <c r="A8675" s="14">
        <v>1013980</v>
      </c>
      <c r="B8675" s="14" t="s">
        <v>8785</v>
      </c>
      <c r="C8675" s="14" t="s">
        <v>13031</v>
      </c>
      <c r="D8675" s="15">
        <v>11.78</v>
      </c>
      <c r="E8675" s="16" t="s">
        <v>30</v>
      </c>
    </row>
    <row r="8676" spans="1:5" x14ac:dyDescent="0.25">
      <c r="A8676" s="14">
        <v>1013984</v>
      </c>
      <c r="B8676" s="14" t="s">
        <v>8786</v>
      </c>
      <c r="C8676" s="14" t="s">
        <v>13031</v>
      </c>
      <c r="D8676" s="15">
        <v>8.01</v>
      </c>
      <c r="E8676" s="16" t="s">
        <v>30</v>
      </c>
    </row>
    <row r="8677" spans="1:5" x14ac:dyDescent="0.25">
      <c r="A8677" s="14">
        <v>998012</v>
      </c>
      <c r="B8677" s="14" t="s">
        <v>8787</v>
      </c>
      <c r="C8677" s="14" t="s">
        <v>13030</v>
      </c>
      <c r="D8677" s="15">
        <v>95.85</v>
      </c>
      <c r="E8677" s="16" t="s">
        <v>20</v>
      </c>
    </row>
    <row r="8678" spans="1:5" x14ac:dyDescent="0.25">
      <c r="A8678" s="14">
        <v>1013985</v>
      </c>
      <c r="B8678" s="14" t="s">
        <v>8788</v>
      </c>
      <c r="C8678" s="14" t="s">
        <v>13031</v>
      </c>
      <c r="D8678" s="15">
        <v>10.38</v>
      </c>
      <c r="E8678" s="16" t="s">
        <v>30</v>
      </c>
    </row>
    <row r="8679" spans="1:5" x14ac:dyDescent="0.25">
      <c r="A8679" s="14">
        <v>1013986</v>
      </c>
      <c r="B8679" s="14" t="s">
        <v>8789</v>
      </c>
      <c r="C8679" s="14" t="s">
        <v>13031</v>
      </c>
      <c r="D8679" s="15">
        <v>6.6</v>
      </c>
      <c r="E8679" s="16" t="s">
        <v>30</v>
      </c>
    </row>
    <row r="8680" spans="1:5" x14ac:dyDescent="0.25">
      <c r="A8680" s="14">
        <v>1013987</v>
      </c>
      <c r="B8680" s="14" t="s">
        <v>8790</v>
      </c>
      <c r="C8680" s="14" t="s">
        <v>13031</v>
      </c>
      <c r="D8680" s="15">
        <v>17.739999999999998</v>
      </c>
      <c r="E8680" s="16" t="s">
        <v>30</v>
      </c>
    </row>
    <row r="8681" spans="1:5" x14ac:dyDescent="0.25">
      <c r="A8681" s="14">
        <v>1013988</v>
      </c>
      <c r="B8681" s="14" t="s">
        <v>8791</v>
      </c>
      <c r="C8681" s="14" t="s">
        <v>13031</v>
      </c>
      <c r="D8681" s="15">
        <v>17.739999999999998</v>
      </c>
      <c r="E8681" s="16" t="s">
        <v>30</v>
      </c>
    </row>
    <row r="8682" spans="1:5" x14ac:dyDescent="0.25">
      <c r="A8682" s="14">
        <v>1013989</v>
      </c>
      <c r="B8682" s="14" t="s">
        <v>8792</v>
      </c>
      <c r="C8682" s="14" t="s">
        <v>13031</v>
      </c>
      <c r="D8682" s="15">
        <v>20.11</v>
      </c>
      <c r="E8682" s="16" t="s">
        <v>30</v>
      </c>
    </row>
    <row r="8683" spans="1:5" x14ac:dyDescent="0.25">
      <c r="A8683" s="14">
        <v>1014011</v>
      </c>
      <c r="B8683" s="14" t="s">
        <v>8793</v>
      </c>
      <c r="C8683" s="14" t="s">
        <v>13030</v>
      </c>
      <c r="D8683" s="15">
        <v>33.19</v>
      </c>
      <c r="E8683" s="16" t="s">
        <v>30</v>
      </c>
    </row>
    <row r="8684" spans="1:5" x14ac:dyDescent="0.25">
      <c r="A8684" s="14">
        <v>1014012</v>
      </c>
      <c r="B8684" s="14" t="s">
        <v>8794</v>
      </c>
      <c r="C8684" s="14" t="s">
        <v>13030</v>
      </c>
      <c r="D8684" s="15">
        <v>33.19</v>
      </c>
      <c r="E8684" s="16" t="s">
        <v>30</v>
      </c>
    </row>
    <row r="8685" spans="1:5" x14ac:dyDescent="0.25">
      <c r="A8685" s="14">
        <v>1014013</v>
      </c>
      <c r="B8685" s="14" t="s">
        <v>8795</v>
      </c>
      <c r="C8685" s="14" t="s">
        <v>13030</v>
      </c>
      <c r="D8685" s="15">
        <v>19.89</v>
      </c>
      <c r="E8685" s="16" t="s">
        <v>30</v>
      </c>
    </row>
    <row r="8686" spans="1:5" x14ac:dyDescent="0.25">
      <c r="A8686" s="14">
        <v>1014014</v>
      </c>
      <c r="B8686" s="14" t="s">
        <v>8796</v>
      </c>
      <c r="C8686" s="14" t="s">
        <v>13030</v>
      </c>
      <c r="D8686" s="15">
        <v>35.29</v>
      </c>
      <c r="E8686" s="16" t="s">
        <v>30</v>
      </c>
    </row>
    <row r="8687" spans="1:5" x14ac:dyDescent="0.25">
      <c r="A8687" s="14">
        <v>1014015</v>
      </c>
      <c r="B8687" s="14" t="s">
        <v>8797</v>
      </c>
      <c r="C8687" s="14" t="s">
        <v>13030</v>
      </c>
      <c r="D8687" s="15">
        <v>35.29</v>
      </c>
      <c r="E8687" s="16" t="s">
        <v>30</v>
      </c>
    </row>
    <row r="8688" spans="1:5" x14ac:dyDescent="0.25">
      <c r="A8688" s="14">
        <v>1014016</v>
      </c>
      <c r="B8688" s="14" t="s">
        <v>8798</v>
      </c>
      <c r="C8688" s="14" t="s">
        <v>13030</v>
      </c>
      <c r="D8688" s="15">
        <v>53.28</v>
      </c>
      <c r="E8688" s="16" t="s">
        <v>30</v>
      </c>
    </row>
    <row r="8689" spans="1:5" x14ac:dyDescent="0.25">
      <c r="A8689" s="14">
        <v>1014017</v>
      </c>
      <c r="B8689" s="14" t="s">
        <v>8799</v>
      </c>
      <c r="C8689" s="14" t="s">
        <v>13030</v>
      </c>
      <c r="D8689" s="15">
        <v>53.28</v>
      </c>
      <c r="E8689" s="16" t="s">
        <v>30</v>
      </c>
    </row>
    <row r="8690" spans="1:5" x14ac:dyDescent="0.25">
      <c r="A8690" s="14">
        <v>1014018</v>
      </c>
      <c r="B8690" s="14" t="s">
        <v>8800</v>
      </c>
      <c r="C8690" s="14" t="s">
        <v>13030</v>
      </c>
      <c r="D8690" s="15">
        <v>64.69</v>
      </c>
      <c r="E8690" s="16" t="s">
        <v>30</v>
      </c>
    </row>
    <row r="8691" spans="1:5" x14ac:dyDescent="0.25">
      <c r="A8691" s="14">
        <v>1014019</v>
      </c>
      <c r="B8691" s="14" t="s">
        <v>8801</v>
      </c>
      <c r="C8691" s="14" t="s">
        <v>13030</v>
      </c>
      <c r="D8691" s="15">
        <v>64.69</v>
      </c>
      <c r="E8691" s="16" t="s">
        <v>30</v>
      </c>
    </row>
    <row r="8692" spans="1:5" x14ac:dyDescent="0.25">
      <c r="A8692" s="14">
        <v>1014020</v>
      </c>
      <c r="B8692" s="14" t="s">
        <v>8802</v>
      </c>
      <c r="C8692" s="14" t="s">
        <v>13030</v>
      </c>
      <c r="D8692" s="15">
        <v>35.979999999999997</v>
      </c>
      <c r="E8692" s="16" t="s">
        <v>30</v>
      </c>
    </row>
    <row r="8693" spans="1:5" x14ac:dyDescent="0.25">
      <c r="A8693" s="14">
        <v>1014021</v>
      </c>
      <c r="B8693" s="14" t="s">
        <v>8803</v>
      </c>
      <c r="C8693" s="14" t="s">
        <v>13030</v>
      </c>
      <c r="D8693" s="15">
        <v>35.979999999999997</v>
      </c>
      <c r="E8693" s="16" t="s">
        <v>30</v>
      </c>
    </row>
    <row r="8694" spans="1:5" x14ac:dyDescent="0.25">
      <c r="A8694" s="14">
        <v>1014022</v>
      </c>
      <c r="B8694" s="14" t="s">
        <v>8804</v>
      </c>
      <c r="C8694" s="14" t="s">
        <v>13030</v>
      </c>
      <c r="D8694" s="15">
        <v>35.979999999999997</v>
      </c>
      <c r="E8694" s="16" t="s">
        <v>30</v>
      </c>
    </row>
    <row r="8695" spans="1:5" x14ac:dyDescent="0.25">
      <c r="A8695" s="14">
        <v>1014023</v>
      </c>
      <c r="B8695" s="14" t="s">
        <v>8805</v>
      </c>
      <c r="C8695" s="14" t="s">
        <v>13030</v>
      </c>
      <c r="D8695" s="15">
        <v>43.15</v>
      </c>
      <c r="E8695" s="16" t="s">
        <v>30</v>
      </c>
    </row>
    <row r="8696" spans="1:5" x14ac:dyDescent="0.25">
      <c r="A8696" s="14">
        <v>1014024</v>
      </c>
      <c r="B8696" s="14" t="s">
        <v>8806</v>
      </c>
      <c r="C8696" s="14" t="s">
        <v>13030</v>
      </c>
      <c r="D8696" s="15">
        <v>43.15</v>
      </c>
      <c r="E8696" s="16" t="s">
        <v>30</v>
      </c>
    </row>
    <row r="8697" spans="1:5" x14ac:dyDescent="0.25">
      <c r="A8697" s="14">
        <v>1014025</v>
      </c>
      <c r="B8697" s="14" t="s">
        <v>8807</v>
      </c>
      <c r="C8697" s="14" t="s">
        <v>13030</v>
      </c>
      <c r="D8697" s="15">
        <v>43.15</v>
      </c>
      <c r="E8697" s="16" t="s">
        <v>30</v>
      </c>
    </row>
    <row r="8698" spans="1:5" x14ac:dyDescent="0.25">
      <c r="A8698" s="14">
        <v>1014026</v>
      </c>
      <c r="B8698" s="14" t="s">
        <v>8808</v>
      </c>
      <c r="C8698" s="14" t="s">
        <v>13030</v>
      </c>
      <c r="D8698" s="15">
        <v>23.7</v>
      </c>
      <c r="E8698" s="16" t="s">
        <v>30</v>
      </c>
    </row>
    <row r="8699" spans="1:5" x14ac:dyDescent="0.25">
      <c r="A8699" s="14">
        <v>1014034</v>
      </c>
      <c r="B8699" s="14" t="s">
        <v>8809</v>
      </c>
      <c r="C8699" s="14" t="s">
        <v>13030</v>
      </c>
      <c r="D8699" s="15">
        <v>23.7</v>
      </c>
      <c r="E8699" s="16" t="s">
        <v>30</v>
      </c>
    </row>
    <row r="8700" spans="1:5" x14ac:dyDescent="0.25">
      <c r="A8700" s="14">
        <v>1014110</v>
      </c>
      <c r="B8700" s="14" t="s">
        <v>8810</v>
      </c>
      <c r="C8700" s="14" t="s">
        <v>13029</v>
      </c>
      <c r="D8700" s="15">
        <v>7.87</v>
      </c>
      <c r="E8700" s="16" t="s">
        <v>30</v>
      </c>
    </row>
    <row r="8701" spans="1:5" x14ac:dyDescent="0.25">
      <c r="A8701" s="14">
        <v>1014157</v>
      </c>
      <c r="B8701" s="14" t="s">
        <v>8811</v>
      </c>
      <c r="C8701" s="14" t="s">
        <v>13031</v>
      </c>
      <c r="D8701" s="15">
        <v>9.32</v>
      </c>
      <c r="E8701" s="16" t="s">
        <v>30</v>
      </c>
    </row>
    <row r="8702" spans="1:5" x14ac:dyDescent="0.25">
      <c r="A8702" s="14">
        <v>1014158</v>
      </c>
      <c r="B8702" s="14" t="s">
        <v>8812</v>
      </c>
      <c r="C8702" s="14" t="s">
        <v>13031</v>
      </c>
      <c r="D8702" s="15">
        <v>8.2200000000000006</v>
      </c>
      <c r="E8702" s="16" t="s">
        <v>30</v>
      </c>
    </row>
    <row r="8703" spans="1:5" x14ac:dyDescent="0.25">
      <c r="A8703" s="14">
        <v>1014159</v>
      </c>
      <c r="B8703" s="14" t="s">
        <v>8813</v>
      </c>
      <c r="C8703" s="14" t="s">
        <v>13031</v>
      </c>
      <c r="D8703" s="15">
        <v>9.07</v>
      </c>
      <c r="E8703" s="16" t="s">
        <v>30</v>
      </c>
    </row>
    <row r="8704" spans="1:5" x14ac:dyDescent="0.25">
      <c r="A8704" s="14">
        <v>1014160</v>
      </c>
      <c r="B8704" s="14" t="s">
        <v>8814</v>
      </c>
      <c r="C8704" s="14" t="s">
        <v>13031</v>
      </c>
      <c r="D8704" s="15">
        <v>9.66</v>
      </c>
      <c r="E8704" s="16" t="s">
        <v>30</v>
      </c>
    </row>
    <row r="8705" spans="1:5" x14ac:dyDescent="0.25">
      <c r="A8705" s="14">
        <v>1014163</v>
      </c>
      <c r="B8705" s="14" t="s">
        <v>8815</v>
      </c>
      <c r="C8705" s="14" t="s">
        <v>13031</v>
      </c>
      <c r="D8705" s="15">
        <v>18.829999999999998</v>
      </c>
      <c r="E8705" s="16" t="s">
        <v>30</v>
      </c>
    </row>
    <row r="8706" spans="1:5" x14ac:dyDescent="0.25">
      <c r="A8706" s="14">
        <v>1014164</v>
      </c>
      <c r="B8706" s="14" t="s">
        <v>8816</v>
      </c>
      <c r="C8706" s="14" t="s">
        <v>13031</v>
      </c>
      <c r="D8706" s="15">
        <v>18.829999999999998</v>
      </c>
      <c r="E8706" s="16" t="s">
        <v>30</v>
      </c>
    </row>
    <row r="8707" spans="1:5" x14ac:dyDescent="0.25">
      <c r="A8707" s="14">
        <v>1014165</v>
      </c>
      <c r="B8707" s="14" t="s">
        <v>8817</v>
      </c>
      <c r="C8707" s="14" t="s">
        <v>13031</v>
      </c>
      <c r="D8707" s="15">
        <v>15.96</v>
      </c>
      <c r="E8707" s="16" t="s">
        <v>30</v>
      </c>
    </row>
    <row r="8708" spans="1:5" x14ac:dyDescent="0.25">
      <c r="A8708" s="14">
        <v>1014166</v>
      </c>
      <c r="B8708" s="14" t="s">
        <v>8818</v>
      </c>
      <c r="C8708" s="14" t="s">
        <v>13031</v>
      </c>
      <c r="D8708" s="15">
        <v>14.41</v>
      </c>
      <c r="E8708" s="16" t="s">
        <v>30</v>
      </c>
    </row>
    <row r="8709" spans="1:5" x14ac:dyDescent="0.25">
      <c r="A8709" s="14">
        <v>1014169</v>
      </c>
      <c r="B8709" s="14" t="s">
        <v>8819</v>
      </c>
      <c r="C8709" s="14" t="s">
        <v>13031</v>
      </c>
      <c r="D8709" s="15">
        <v>14.54</v>
      </c>
      <c r="E8709" s="16" t="s">
        <v>30</v>
      </c>
    </row>
    <row r="8710" spans="1:5" x14ac:dyDescent="0.25">
      <c r="A8710" s="14">
        <v>998013</v>
      </c>
      <c r="B8710" s="14" t="s">
        <v>8820</v>
      </c>
      <c r="C8710" s="14" t="s">
        <v>13030</v>
      </c>
      <c r="D8710" s="15">
        <v>95.04</v>
      </c>
      <c r="E8710" s="16" t="s">
        <v>20</v>
      </c>
    </row>
    <row r="8711" spans="1:5" x14ac:dyDescent="0.25">
      <c r="A8711" s="14">
        <v>991761</v>
      </c>
      <c r="B8711" s="14" t="s">
        <v>8821</v>
      </c>
      <c r="C8711" s="14" t="s">
        <v>13031</v>
      </c>
      <c r="D8711" s="15">
        <v>11.54</v>
      </c>
      <c r="E8711" s="16" t="s">
        <v>20</v>
      </c>
    </row>
    <row r="8712" spans="1:5" x14ac:dyDescent="0.25">
      <c r="A8712" s="14">
        <v>1014170</v>
      </c>
      <c r="B8712" s="14" t="s">
        <v>8822</v>
      </c>
      <c r="C8712" s="14" t="s">
        <v>13031</v>
      </c>
      <c r="D8712" s="15">
        <v>14.54</v>
      </c>
      <c r="E8712" s="16" t="s">
        <v>30</v>
      </c>
    </row>
    <row r="8713" spans="1:5" x14ac:dyDescent="0.25">
      <c r="A8713" s="14">
        <v>992015</v>
      </c>
      <c r="B8713" s="14" t="s">
        <v>8823</v>
      </c>
      <c r="C8713" s="14" t="s">
        <v>13031</v>
      </c>
      <c r="D8713" s="15">
        <v>5.3</v>
      </c>
      <c r="E8713" s="14" t="s">
        <v>20</v>
      </c>
    </row>
    <row r="8714" spans="1:5" x14ac:dyDescent="0.25">
      <c r="A8714" s="14">
        <v>1014187</v>
      </c>
      <c r="B8714" s="14" t="s">
        <v>8824</v>
      </c>
      <c r="C8714" s="14" t="s">
        <v>13030</v>
      </c>
      <c r="D8714" s="15">
        <v>105.7</v>
      </c>
      <c r="E8714" s="16" t="s">
        <v>30</v>
      </c>
    </row>
    <row r="8715" spans="1:5" x14ac:dyDescent="0.25">
      <c r="A8715" s="14">
        <v>1014188</v>
      </c>
      <c r="B8715" s="14" t="s">
        <v>8825</v>
      </c>
      <c r="C8715" s="14" t="s">
        <v>13030</v>
      </c>
      <c r="D8715" s="15">
        <v>47.39</v>
      </c>
      <c r="E8715" s="16" t="s">
        <v>30</v>
      </c>
    </row>
    <row r="8716" spans="1:5" x14ac:dyDescent="0.25">
      <c r="A8716" s="14">
        <v>1014189</v>
      </c>
      <c r="B8716" s="14" t="s">
        <v>8826</v>
      </c>
      <c r="C8716" s="14" t="s">
        <v>13030</v>
      </c>
      <c r="D8716" s="15">
        <v>41.63</v>
      </c>
      <c r="E8716" s="16" t="s">
        <v>30</v>
      </c>
    </row>
    <row r="8717" spans="1:5" x14ac:dyDescent="0.25">
      <c r="A8717" s="14">
        <v>1014190</v>
      </c>
      <c r="B8717" s="14" t="s">
        <v>8827</v>
      </c>
      <c r="C8717" s="14" t="s">
        <v>13030</v>
      </c>
      <c r="D8717" s="15">
        <v>41.63</v>
      </c>
      <c r="E8717" s="16" t="s">
        <v>30</v>
      </c>
    </row>
    <row r="8718" spans="1:5" x14ac:dyDescent="0.25">
      <c r="A8718" s="14">
        <v>1014191</v>
      </c>
      <c r="B8718" s="14" t="s">
        <v>8828</v>
      </c>
      <c r="C8718" s="14" t="s">
        <v>13030</v>
      </c>
      <c r="D8718" s="15">
        <v>41.63</v>
      </c>
      <c r="E8718" s="16" t="s">
        <v>30</v>
      </c>
    </row>
    <row r="8719" spans="1:5" x14ac:dyDescent="0.25">
      <c r="A8719" s="14">
        <v>1014192</v>
      </c>
      <c r="B8719" s="14" t="s">
        <v>8829</v>
      </c>
      <c r="C8719" s="14" t="s">
        <v>13030</v>
      </c>
      <c r="D8719" s="15">
        <v>41.63</v>
      </c>
      <c r="E8719" s="16" t="s">
        <v>30</v>
      </c>
    </row>
    <row r="8720" spans="1:5" x14ac:dyDescent="0.25">
      <c r="A8720" s="14">
        <v>1014193</v>
      </c>
      <c r="B8720" s="14" t="s">
        <v>8830</v>
      </c>
      <c r="C8720" s="14" t="s">
        <v>13030</v>
      </c>
      <c r="D8720" s="15">
        <v>45.1</v>
      </c>
      <c r="E8720" s="16" t="s">
        <v>30</v>
      </c>
    </row>
    <row r="8721" spans="1:5" x14ac:dyDescent="0.25">
      <c r="A8721" s="14">
        <v>1014194</v>
      </c>
      <c r="B8721" s="14" t="s">
        <v>8831</v>
      </c>
      <c r="C8721" s="14" t="s">
        <v>13030</v>
      </c>
      <c r="D8721" s="15">
        <v>45.1</v>
      </c>
      <c r="E8721" s="16" t="s">
        <v>30</v>
      </c>
    </row>
    <row r="8722" spans="1:5" x14ac:dyDescent="0.25">
      <c r="A8722" s="14">
        <v>1005840</v>
      </c>
      <c r="B8722" s="14" t="s">
        <v>8832</v>
      </c>
      <c r="C8722" s="14" t="s">
        <v>13029</v>
      </c>
      <c r="D8722" s="15">
        <v>12.68</v>
      </c>
      <c r="E8722" s="16" t="s">
        <v>30</v>
      </c>
    </row>
    <row r="8723" spans="1:5" x14ac:dyDescent="0.25">
      <c r="A8723" s="14">
        <v>1014195</v>
      </c>
      <c r="B8723" s="14" t="s">
        <v>8833</v>
      </c>
      <c r="C8723" s="14" t="s">
        <v>13030</v>
      </c>
      <c r="D8723" s="15">
        <v>62.24</v>
      </c>
      <c r="E8723" s="16" t="s">
        <v>30</v>
      </c>
    </row>
    <row r="8724" spans="1:5" x14ac:dyDescent="0.25">
      <c r="A8724" s="14">
        <v>1014196</v>
      </c>
      <c r="B8724" s="14" t="s">
        <v>8834</v>
      </c>
      <c r="C8724" s="14" t="s">
        <v>13030</v>
      </c>
      <c r="D8724" s="15">
        <v>62.24</v>
      </c>
      <c r="E8724" s="16" t="s">
        <v>30</v>
      </c>
    </row>
    <row r="8725" spans="1:5" x14ac:dyDescent="0.25">
      <c r="A8725" s="14">
        <v>1014197</v>
      </c>
      <c r="B8725" s="14" t="s">
        <v>8835</v>
      </c>
      <c r="C8725" s="14" t="s">
        <v>13030</v>
      </c>
      <c r="D8725" s="15">
        <v>40.21</v>
      </c>
      <c r="E8725" s="16" t="s">
        <v>30</v>
      </c>
    </row>
    <row r="8726" spans="1:5" x14ac:dyDescent="0.25">
      <c r="A8726" s="14">
        <v>1014198</v>
      </c>
      <c r="B8726" s="14" t="s">
        <v>8836</v>
      </c>
      <c r="C8726" s="14" t="s">
        <v>13030</v>
      </c>
      <c r="D8726" s="15">
        <v>55.11</v>
      </c>
      <c r="E8726" s="16" t="s">
        <v>30</v>
      </c>
    </row>
    <row r="8727" spans="1:5" x14ac:dyDescent="0.25">
      <c r="A8727" s="14">
        <v>1014199</v>
      </c>
      <c r="B8727" s="14" t="s">
        <v>8837</v>
      </c>
      <c r="C8727" s="14" t="s">
        <v>13030</v>
      </c>
      <c r="D8727" s="15">
        <v>55.06</v>
      </c>
      <c r="E8727" s="16" t="s">
        <v>30</v>
      </c>
    </row>
    <row r="8728" spans="1:5" x14ac:dyDescent="0.25">
      <c r="A8728" s="14">
        <v>1014200</v>
      </c>
      <c r="B8728" s="14" t="s">
        <v>8838</v>
      </c>
      <c r="C8728" s="14" t="s">
        <v>13030</v>
      </c>
      <c r="D8728" s="15">
        <v>68.61</v>
      </c>
      <c r="E8728" s="16" t="s">
        <v>30</v>
      </c>
    </row>
    <row r="8729" spans="1:5" x14ac:dyDescent="0.25">
      <c r="A8729" s="14">
        <v>992584</v>
      </c>
      <c r="B8729" s="14" t="s">
        <v>8839</v>
      </c>
      <c r="C8729" s="14" t="s">
        <v>13031</v>
      </c>
      <c r="D8729" s="15">
        <v>64.37</v>
      </c>
      <c r="E8729" s="16" t="s">
        <v>20</v>
      </c>
    </row>
    <row r="8730" spans="1:5" x14ac:dyDescent="0.25">
      <c r="A8730" s="14">
        <v>1014201</v>
      </c>
      <c r="B8730" s="14" t="s">
        <v>8840</v>
      </c>
      <c r="C8730" s="14" t="s">
        <v>13030</v>
      </c>
      <c r="D8730" s="15">
        <v>37.409999999999997</v>
      </c>
      <c r="E8730" s="16" t="s">
        <v>30</v>
      </c>
    </row>
    <row r="8731" spans="1:5" x14ac:dyDescent="0.25">
      <c r="A8731" s="14">
        <v>1014229</v>
      </c>
      <c r="B8731" s="14" t="s">
        <v>8841</v>
      </c>
      <c r="C8731" s="14" t="s">
        <v>13031</v>
      </c>
      <c r="D8731" s="15">
        <v>11.78</v>
      </c>
      <c r="E8731" s="16" t="s">
        <v>30</v>
      </c>
    </row>
    <row r="8732" spans="1:5" x14ac:dyDescent="0.25">
      <c r="A8732" s="14">
        <v>1014230</v>
      </c>
      <c r="B8732" s="14" t="s">
        <v>8842</v>
      </c>
      <c r="C8732" s="14" t="s">
        <v>13031</v>
      </c>
      <c r="D8732" s="15">
        <v>11.78</v>
      </c>
      <c r="E8732" s="16" t="s">
        <v>30</v>
      </c>
    </row>
    <row r="8733" spans="1:5" x14ac:dyDescent="0.25">
      <c r="A8733" s="14">
        <v>1014231</v>
      </c>
      <c r="B8733" s="14" t="s">
        <v>8843</v>
      </c>
      <c r="C8733" s="14" t="s">
        <v>13029</v>
      </c>
      <c r="D8733" s="15">
        <v>100.25</v>
      </c>
      <c r="E8733" s="16" t="s">
        <v>30</v>
      </c>
    </row>
    <row r="8734" spans="1:5" x14ac:dyDescent="0.25">
      <c r="A8734" s="14">
        <v>992688</v>
      </c>
      <c r="B8734" s="14" t="s">
        <v>8844</v>
      </c>
      <c r="C8734" s="14" t="s">
        <v>13031</v>
      </c>
      <c r="D8734" s="15">
        <v>6.67</v>
      </c>
      <c r="E8734" s="16" t="s">
        <v>20</v>
      </c>
    </row>
    <row r="8735" spans="1:5" x14ac:dyDescent="0.25">
      <c r="A8735" s="14">
        <v>998266</v>
      </c>
      <c r="B8735" s="14" t="s">
        <v>8845</v>
      </c>
      <c r="C8735" s="14" t="s">
        <v>13031</v>
      </c>
      <c r="D8735" s="15">
        <v>7</v>
      </c>
      <c r="E8735" s="16" t="s">
        <v>20</v>
      </c>
    </row>
    <row r="8736" spans="1:5" x14ac:dyDescent="0.25">
      <c r="A8736" s="14">
        <v>1014232</v>
      </c>
      <c r="B8736" s="14" t="s">
        <v>8846</v>
      </c>
      <c r="C8736" s="14" t="s">
        <v>13029</v>
      </c>
      <c r="D8736" s="15">
        <v>45.25</v>
      </c>
      <c r="E8736" s="16" t="s">
        <v>30</v>
      </c>
    </row>
    <row r="8737" spans="1:5" x14ac:dyDescent="0.25">
      <c r="A8737" s="14">
        <v>1014233</v>
      </c>
      <c r="B8737" s="14" t="s">
        <v>8847</v>
      </c>
      <c r="C8737" s="14" t="s">
        <v>13029</v>
      </c>
      <c r="D8737" s="15">
        <v>27.27</v>
      </c>
      <c r="E8737" s="16" t="s">
        <v>30</v>
      </c>
    </row>
    <row r="8738" spans="1:5" x14ac:dyDescent="0.25">
      <c r="A8738" s="14">
        <v>1014235</v>
      </c>
      <c r="B8738" s="14" t="s">
        <v>8848</v>
      </c>
      <c r="C8738" s="14" t="s">
        <v>13029</v>
      </c>
      <c r="D8738" s="15">
        <v>27.27</v>
      </c>
      <c r="E8738" s="16" t="s">
        <v>30</v>
      </c>
    </row>
    <row r="8739" spans="1:5" x14ac:dyDescent="0.25">
      <c r="A8739" s="14">
        <v>1014236</v>
      </c>
      <c r="B8739" s="14" t="s">
        <v>8849</v>
      </c>
      <c r="C8739" s="14" t="s">
        <v>13029</v>
      </c>
      <c r="D8739" s="15">
        <v>27.27</v>
      </c>
      <c r="E8739" s="16" t="s">
        <v>30</v>
      </c>
    </row>
    <row r="8740" spans="1:5" x14ac:dyDescent="0.25">
      <c r="A8740" s="14">
        <v>1014237</v>
      </c>
      <c r="B8740" s="14" t="s">
        <v>8850</v>
      </c>
      <c r="C8740" s="14" t="s">
        <v>13029</v>
      </c>
      <c r="D8740" s="15">
        <v>27.27</v>
      </c>
      <c r="E8740" s="16" t="s">
        <v>30</v>
      </c>
    </row>
    <row r="8741" spans="1:5" x14ac:dyDescent="0.25">
      <c r="A8741" s="14">
        <v>1014238</v>
      </c>
      <c r="B8741" s="14" t="s">
        <v>8851</v>
      </c>
      <c r="C8741" s="14" t="s">
        <v>13029</v>
      </c>
      <c r="D8741" s="15">
        <v>29.81</v>
      </c>
      <c r="E8741" s="16" t="s">
        <v>30</v>
      </c>
    </row>
    <row r="8742" spans="1:5" x14ac:dyDescent="0.25">
      <c r="A8742" s="14">
        <v>1014239</v>
      </c>
      <c r="B8742" s="14" t="s">
        <v>8852</v>
      </c>
      <c r="C8742" s="14" t="s">
        <v>13029</v>
      </c>
      <c r="D8742" s="15">
        <v>29.81</v>
      </c>
      <c r="E8742" s="16" t="s">
        <v>30</v>
      </c>
    </row>
    <row r="8743" spans="1:5" x14ac:dyDescent="0.25">
      <c r="A8743" s="14">
        <v>1014240</v>
      </c>
      <c r="B8743" s="14" t="s">
        <v>8853</v>
      </c>
      <c r="C8743" s="14" t="s">
        <v>13029</v>
      </c>
      <c r="D8743" s="15">
        <v>29.81</v>
      </c>
      <c r="E8743" s="16" t="s">
        <v>30</v>
      </c>
    </row>
    <row r="8744" spans="1:5" x14ac:dyDescent="0.25">
      <c r="A8744" s="14">
        <v>1014241</v>
      </c>
      <c r="B8744" s="14" t="s">
        <v>8854</v>
      </c>
      <c r="C8744" s="14" t="s">
        <v>13029</v>
      </c>
      <c r="D8744" s="15">
        <v>29.81</v>
      </c>
      <c r="E8744" s="16" t="s">
        <v>30</v>
      </c>
    </row>
    <row r="8745" spans="1:5" x14ac:dyDescent="0.25">
      <c r="A8745" s="14">
        <v>1014243</v>
      </c>
      <c r="B8745" s="14" t="s">
        <v>8855</v>
      </c>
      <c r="C8745" s="14" t="s">
        <v>13029</v>
      </c>
      <c r="D8745" s="15">
        <v>7.87</v>
      </c>
      <c r="E8745" s="16" t="s">
        <v>30</v>
      </c>
    </row>
    <row r="8746" spans="1:5" x14ac:dyDescent="0.25">
      <c r="A8746" s="14">
        <v>998267</v>
      </c>
      <c r="B8746" s="14" t="s">
        <v>8856</v>
      </c>
      <c r="C8746" s="14" t="s">
        <v>13031</v>
      </c>
      <c r="D8746" s="15">
        <v>8.5</v>
      </c>
      <c r="E8746" s="16" t="s">
        <v>20</v>
      </c>
    </row>
    <row r="8747" spans="1:5" x14ac:dyDescent="0.25">
      <c r="A8747" s="14">
        <v>998268</v>
      </c>
      <c r="B8747" s="14" t="s">
        <v>8857</v>
      </c>
      <c r="C8747" s="14" t="s">
        <v>13031</v>
      </c>
      <c r="D8747" s="15">
        <v>6</v>
      </c>
      <c r="E8747" s="16" t="s">
        <v>20</v>
      </c>
    </row>
    <row r="8748" spans="1:5" x14ac:dyDescent="0.25">
      <c r="A8748" s="14">
        <v>998408</v>
      </c>
      <c r="B8748" s="14" t="s">
        <v>8858</v>
      </c>
      <c r="C8748" s="14" t="s">
        <v>13031</v>
      </c>
      <c r="D8748" s="15">
        <v>17.73</v>
      </c>
      <c r="E8748" s="16" t="s">
        <v>20</v>
      </c>
    </row>
    <row r="8749" spans="1:5" x14ac:dyDescent="0.25">
      <c r="A8749" s="14">
        <v>998409</v>
      </c>
      <c r="B8749" s="14" t="s">
        <v>8859</v>
      </c>
      <c r="C8749" s="14" t="s">
        <v>13031</v>
      </c>
      <c r="D8749" s="15">
        <v>17.739999999999998</v>
      </c>
      <c r="E8749" s="16" t="s">
        <v>20</v>
      </c>
    </row>
    <row r="8750" spans="1:5" x14ac:dyDescent="0.25">
      <c r="A8750" s="14">
        <v>1014249</v>
      </c>
      <c r="B8750" s="14" t="s">
        <v>8860</v>
      </c>
      <c r="C8750" s="14" t="s">
        <v>13033</v>
      </c>
      <c r="D8750" s="15">
        <v>21.36</v>
      </c>
      <c r="E8750" s="16" t="s">
        <v>30</v>
      </c>
    </row>
    <row r="8751" spans="1:5" x14ac:dyDescent="0.25">
      <c r="A8751" s="14">
        <v>1014250</v>
      </c>
      <c r="B8751" s="14" t="s">
        <v>8861</v>
      </c>
      <c r="C8751" s="14" t="s">
        <v>13033</v>
      </c>
      <c r="D8751" s="15">
        <v>21.36</v>
      </c>
      <c r="E8751" s="16" t="s">
        <v>30</v>
      </c>
    </row>
    <row r="8752" spans="1:5" x14ac:dyDescent="0.25">
      <c r="A8752" s="14">
        <v>1014251</v>
      </c>
      <c r="B8752" s="14" t="s">
        <v>8862</v>
      </c>
      <c r="C8752" s="14" t="s">
        <v>13033</v>
      </c>
      <c r="D8752" s="15">
        <v>8.84</v>
      </c>
      <c r="E8752" s="16" t="s">
        <v>30</v>
      </c>
    </row>
    <row r="8753" spans="1:5" x14ac:dyDescent="0.25">
      <c r="A8753" s="14">
        <v>1014252</v>
      </c>
      <c r="B8753" s="14" t="s">
        <v>8863</v>
      </c>
      <c r="C8753" s="14" t="s">
        <v>13033</v>
      </c>
      <c r="D8753" s="15">
        <v>12</v>
      </c>
      <c r="E8753" s="16" t="s">
        <v>30</v>
      </c>
    </row>
    <row r="8754" spans="1:5" x14ac:dyDescent="0.25">
      <c r="A8754" s="14">
        <v>1014406</v>
      </c>
      <c r="B8754" s="14" t="s">
        <v>8864</v>
      </c>
      <c r="C8754" s="14" t="s">
        <v>13033</v>
      </c>
      <c r="D8754" s="15">
        <v>24.62</v>
      </c>
      <c r="E8754" s="16" t="s">
        <v>30</v>
      </c>
    </row>
    <row r="8755" spans="1:5" x14ac:dyDescent="0.25">
      <c r="A8755" s="14">
        <v>1014463</v>
      </c>
      <c r="B8755" s="14" t="s">
        <v>8865</v>
      </c>
      <c r="C8755" s="14" t="s">
        <v>13031</v>
      </c>
      <c r="D8755" s="15">
        <v>4.7</v>
      </c>
      <c r="E8755" s="16" t="s">
        <v>30</v>
      </c>
    </row>
    <row r="8756" spans="1:5" x14ac:dyDescent="0.25">
      <c r="A8756" s="14">
        <v>1014464</v>
      </c>
      <c r="B8756" s="14" t="s">
        <v>8866</v>
      </c>
      <c r="C8756" s="14" t="s">
        <v>13031</v>
      </c>
      <c r="D8756" s="15">
        <v>3.65</v>
      </c>
      <c r="E8756" s="16" t="s">
        <v>30</v>
      </c>
    </row>
    <row r="8757" spans="1:5" x14ac:dyDescent="0.25">
      <c r="A8757" s="14">
        <v>1014465</v>
      </c>
      <c r="B8757" s="14" t="s">
        <v>8867</v>
      </c>
      <c r="C8757" s="14" t="s">
        <v>13031</v>
      </c>
      <c r="D8757" s="15">
        <v>5.4</v>
      </c>
      <c r="E8757" s="16" t="s">
        <v>30</v>
      </c>
    </row>
    <row r="8758" spans="1:5" x14ac:dyDescent="0.25">
      <c r="A8758" s="14">
        <v>1014487</v>
      </c>
      <c r="B8758" s="14" t="s">
        <v>8868</v>
      </c>
      <c r="C8758" s="14" t="s">
        <v>13031</v>
      </c>
      <c r="D8758" s="15">
        <v>8.0500000000000007</v>
      </c>
      <c r="E8758" s="16" t="s">
        <v>30</v>
      </c>
    </row>
    <row r="8759" spans="1:5" x14ac:dyDescent="0.25">
      <c r="A8759" s="14">
        <v>1014490</v>
      </c>
      <c r="B8759" s="14" t="s">
        <v>8869</v>
      </c>
      <c r="C8759" s="14" t="s">
        <v>13030</v>
      </c>
      <c r="D8759" s="15">
        <v>45.07</v>
      </c>
      <c r="E8759" s="16" t="s">
        <v>30</v>
      </c>
    </row>
    <row r="8760" spans="1:5" x14ac:dyDescent="0.25">
      <c r="A8760" s="14">
        <v>1014491</v>
      </c>
      <c r="B8760" s="14" t="s">
        <v>8870</v>
      </c>
      <c r="C8760" s="14" t="s">
        <v>13030</v>
      </c>
      <c r="D8760" s="15">
        <v>45.07</v>
      </c>
      <c r="E8760" s="16" t="s">
        <v>30</v>
      </c>
    </row>
    <row r="8761" spans="1:5" x14ac:dyDescent="0.25">
      <c r="A8761" s="14">
        <v>998410</v>
      </c>
      <c r="B8761" s="14" t="s">
        <v>8871</v>
      </c>
      <c r="C8761" s="14" t="s">
        <v>13031</v>
      </c>
      <c r="D8761" s="15">
        <v>17.77</v>
      </c>
      <c r="E8761" s="16" t="s">
        <v>20</v>
      </c>
    </row>
    <row r="8762" spans="1:5" x14ac:dyDescent="0.25">
      <c r="A8762" s="14">
        <v>1001155</v>
      </c>
      <c r="B8762" s="14" t="s">
        <v>8872</v>
      </c>
      <c r="C8762" s="14" t="s">
        <v>13031</v>
      </c>
      <c r="D8762" s="15">
        <v>7.5</v>
      </c>
      <c r="E8762" s="14" t="s">
        <v>20</v>
      </c>
    </row>
    <row r="8763" spans="1:5" x14ac:dyDescent="0.25">
      <c r="A8763" s="14">
        <v>1009785</v>
      </c>
      <c r="B8763" s="14" t="s">
        <v>8873</v>
      </c>
      <c r="C8763" s="14" t="s">
        <v>13029</v>
      </c>
      <c r="D8763" s="15">
        <v>15.61</v>
      </c>
      <c r="E8763" s="16" t="s">
        <v>20</v>
      </c>
    </row>
    <row r="8764" spans="1:5" x14ac:dyDescent="0.25">
      <c r="A8764" s="14">
        <v>1002203</v>
      </c>
      <c r="B8764" s="14" t="s">
        <v>8874</v>
      </c>
      <c r="C8764" s="14" t="s">
        <v>13030</v>
      </c>
      <c r="D8764" s="15">
        <v>47.55</v>
      </c>
      <c r="E8764" s="14" t="s">
        <v>20</v>
      </c>
    </row>
    <row r="8765" spans="1:5" x14ac:dyDescent="0.25">
      <c r="A8765" s="14">
        <v>1011364</v>
      </c>
      <c r="B8765" s="14" t="s">
        <v>8875</v>
      </c>
      <c r="C8765" s="14" t="s">
        <v>13030</v>
      </c>
      <c r="D8765" s="15">
        <v>55.37</v>
      </c>
      <c r="E8765" s="16" t="s">
        <v>20</v>
      </c>
    </row>
    <row r="8766" spans="1:5" x14ac:dyDescent="0.25">
      <c r="A8766" s="14">
        <v>1011365</v>
      </c>
      <c r="B8766" s="14" t="s">
        <v>8876</v>
      </c>
      <c r="C8766" s="14" t="s">
        <v>13030</v>
      </c>
      <c r="D8766" s="15">
        <v>55.37</v>
      </c>
      <c r="E8766" s="16" t="s">
        <v>20</v>
      </c>
    </row>
    <row r="8767" spans="1:5" x14ac:dyDescent="0.25">
      <c r="A8767" s="14">
        <v>1011366</v>
      </c>
      <c r="B8767" s="14" t="s">
        <v>8877</v>
      </c>
      <c r="C8767" s="14" t="s">
        <v>13030</v>
      </c>
      <c r="D8767" s="15">
        <v>53.88</v>
      </c>
      <c r="E8767" s="16" t="s">
        <v>20</v>
      </c>
    </row>
    <row r="8768" spans="1:5" x14ac:dyDescent="0.25">
      <c r="A8768" s="14">
        <v>1014501</v>
      </c>
      <c r="B8768" s="14" t="s">
        <v>8878</v>
      </c>
      <c r="C8768" s="14" t="s">
        <v>13030</v>
      </c>
      <c r="D8768" s="15">
        <v>16.100000000000001</v>
      </c>
      <c r="E8768" s="16" t="s">
        <v>20</v>
      </c>
    </row>
    <row r="8769" spans="1:5" x14ac:dyDescent="0.25">
      <c r="A8769" s="14">
        <v>1014502</v>
      </c>
      <c r="B8769" s="14" t="s">
        <v>8879</v>
      </c>
      <c r="C8769" s="14" t="s">
        <v>13030</v>
      </c>
      <c r="D8769" s="15">
        <v>16.100000000000001</v>
      </c>
      <c r="E8769" s="16" t="s">
        <v>20</v>
      </c>
    </row>
    <row r="8770" spans="1:5" x14ac:dyDescent="0.25">
      <c r="A8770" s="14">
        <v>1014503</v>
      </c>
      <c r="B8770" s="14" t="s">
        <v>8880</v>
      </c>
      <c r="C8770" s="14" t="s">
        <v>13030</v>
      </c>
      <c r="D8770" s="15">
        <v>29.66</v>
      </c>
      <c r="E8770" s="16" t="s">
        <v>20</v>
      </c>
    </row>
    <row r="8771" spans="1:5" x14ac:dyDescent="0.25">
      <c r="A8771" s="14">
        <v>1014504</v>
      </c>
      <c r="B8771" s="14" t="s">
        <v>8881</v>
      </c>
      <c r="C8771" s="14" t="s">
        <v>13030</v>
      </c>
      <c r="D8771" s="15">
        <v>29.66</v>
      </c>
      <c r="E8771" s="16" t="s">
        <v>20</v>
      </c>
    </row>
    <row r="8772" spans="1:5" x14ac:dyDescent="0.25">
      <c r="A8772" s="14">
        <v>1005320</v>
      </c>
      <c r="B8772" s="14" t="s">
        <v>8882</v>
      </c>
      <c r="C8772" s="14" t="s">
        <v>13031</v>
      </c>
      <c r="D8772" s="15">
        <v>9.7100000000000009</v>
      </c>
      <c r="E8772" s="16" t="s">
        <v>20</v>
      </c>
    </row>
    <row r="8773" spans="1:5" x14ac:dyDescent="0.25">
      <c r="A8773" s="14">
        <v>1005321</v>
      </c>
      <c r="B8773" s="14" t="s">
        <v>8883</v>
      </c>
      <c r="C8773" s="14" t="s">
        <v>13031</v>
      </c>
      <c r="D8773" s="15">
        <v>9.11</v>
      </c>
      <c r="E8773" s="16" t="s">
        <v>20</v>
      </c>
    </row>
    <row r="8774" spans="1:5" x14ac:dyDescent="0.25">
      <c r="A8774" s="14">
        <v>1014496</v>
      </c>
      <c r="B8774" s="14" t="s">
        <v>8884</v>
      </c>
      <c r="C8774" s="14" t="s">
        <v>13030</v>
      </c>
      <c r="D8774" s="15">
        <v>144.91</v>
      </c>
      <c r="E8774" s="16" t="s">
        <v>30</v>
      </c>
    </row>
    <row r="8775" spans="1:5" x14ac:dyDescent="0.25">
      <c r="A8775" s="14">
        <v>1014499</v>
      </c>
      <c r="B8775" s="14" t="s">
        <v>8885</v>
      </c>
      <c r="C8775" s="14" t="s">
        <v>13030</v>
      </c>
      <c r="D8775" s="15">
        <v>35.54</v>
      </c>
      <c r="E8775" s="16" t="s">
        <v>30</v>
      </c>
    </row>
    <row r="8776" spans="1:5" x14ac:dyDescent="0.25">
      <c r="A8776" s="14">
        <v>1014505</v>
      </c>
      <c r="B8776" s="14" t="s">
        <v>8886</v>
      </c>
      <c r="C8776" s="14" t="s">
        <v>13030</v>
      </c>
      <c r="D8776" s="15">
        <v>27.74</v>
      </c>
      <c r="E8776" s="16" t="s">
        <v>30</v>
      </c>
    </row>
    <row r="8777" spans="1:5" x14ac:dyDescent="0.25">
      <c r="A8777" s="14">
        <v>1014506</v>
      </c>
      <c r="B8777" s="14" t="s">
        <v>8887</v>
      </c>
      <c r="C8777" s="14" t="s">
        <v>13030</v>
      </c>
      <c r="D8777" s="15">
        <v>27.74</v>
      </c>
      <c r="E8777" s="16" t="s">
        <v>30</v>
      </c>
    </row>
    <row r="8778" spans="1:5" x14ac:dyDescent="0.25">
      <c r="A8778" s="14">
        <v>1014507</v>
      </c>
      <c r="B8778" s="14" t="s">
        <v>8888</v>
      </c>
      <c r="C8778" s="14" t="s">
        <v>13030</v>
      </c>
      <c r="D8778" s="15">
        <v>34.79</v>
      </c>
      <c r="E8778" s="16" t="s">
        <v>30</v>
      </c>
    </row>
    <row r="8779" spans="1:5" x14ac:dyDescent="0.25">
      <c r="A8779" s="14">
        <v>1014508</v>
      </c>
      <c r="B8779" s="14" t="s">
        <v>8889</v>
      </c>
      <c r="C8779" s="14" t="s">
        <v>13030</v>
      </c>
      <c r="D8779" s="15">
        <v>34.79</v>
      </c>
      <c r="E8779" s="16" t="s">
        <v>30</v>
      </c>
    </row>
    <row r="8780" spans="1:5" x14ac:dyDescent="0.25">
      <c r="A8780" s="14">
        <v>1014497</v>
      </c>
      <c r="B8780" s="14" t="s">
        <v>8890</v>
      </c>
      <c r="C8780" s="14" t="s">
        <v>13030</v>
      </c>
      <c r="D8780" s="15">
        <v>44.89</v>
      </c>
      <c r="E8780" s="16" t="s">
        <v>20</v>
      </c>
    </row>
    <row r="8781" spans="1:5" x14ac:dyDescent="0.25">
      <c r="A8781" s="14">
        <v>1014509</v>
      </c>
      <c r="B8781" s="14" t="s">
        <v>8891</v>
      </c>
      <c r="C8781" s="14" t="s">
        <v>13030</v>
      </c>
      <c r="D8781" s="15">
        <v>34.79</v>
      </c>
      <c r="E8781" s="16" t="s">
        <v>30</v>
      </c>
    </row>
    <row r="8782" spans="1:5" x14ac:dyDescent="0.25">
      <c r="A8782" s="14">
        <v>1014510</v>
      </c>
      <c r="B8782" s="14" t="s">
        <v>8892</v>
      </c>
      <c r="C8782" s="14" t="s">
        <v>13030</v>
      </c>
      <c r="D8782" s="15">
        <v>34.79</v>
      </c>
      <c r="E8782" s="16" t="s">
        <v>30</v>
      </c>
    </row>
    <row r="8783" spans="1:5" x14ac:dyDescent="0.25">
      <c r="A8783" s="14">
        <v>1014511</v>
      </c>
      <c r="B8783" s="14" t="s">
        <v>8893</v>
      </c>
      <c r="C8783" s="14" t="s">
        <v>13030</v>
      </c>
      <c r="D8783" s="15">
        <v>49.92</v>
      </c>
      <c r="E8783" s="16" t="s">
        <v>30</v>
      </c>
    </row>
    <row r="8784" spans="1:5" x14ac:dyDescent="0.25">
      <c r="A8784" s="14">
        <v>1014512</v>
      </c>
      <c r="B8784" s="14" t="s">
        <v>8894</v>
      </c>
      <c r="C8784" s="14" t="s">
        <v>13030</v>
      </c>
      <c r="D8784" s="15">
        <v>49.92</v>
      </c>
      <c r="E8784" s="16" t="s">
        <v>30</v>
      </c>
    </row>
    <row r="8785" spans="1:5" x14ac:dyDescent="0.25">
      <c r="A8785" s="14">
        <v>1014498</v>
      </c>
      <c r="B8785" s="14" t="s">
        <v>8895</v>
      </c>
      <c r="C8785" s="14" t="s">
        <v>13030</v>
      </c>
      <c r="D8785" s="15">
        <v>104.96</v>
      </c>
      <c r="E8785" s="16" t="s">
        <v>20</v>
      </c>
    </row>
    <row r="8786" spans="1:5" x14ac:dyDescent="0.25">
      <c r="A8786" s="14">
        <v>1015686</v>
      </c>
      <c r="B8786" s="14" t="s">
        <v>8896</v>
      </c>
      <c r="C8786" s="14" t="s">
        <v>13031</v>
      </c>
      <c r="D8786" s="15">
        <v>3.83</v>
      </c>
      <c r="E8786" s="16" t="s">
        <v>20</v>
      </c>
    </row>
    <row r="8787" spans="1:5" x14ac:dyDescent="0.25">
      <c r="A8787" s="14">
        <v>1016132</v>
      </c>
      <c r="B8787" s="14" t="s">
        <v>8897</v>
      </c>
      <c r="C8787" s="14" t="s">
        <v>13031</v>
      </c>
      <c r="D8787" s="15">
        <v>8.84</v>
      </c>
      <c r="E8787" s="16" t="s">
        <v>20</v>
      </c>
    </row>
    <row r="8788" spans="1:5" x14ac:dyDescent="0.25">
      <c r="A8788" s="14">
        <v>1016133</v>
      </c>
      <c r="B8788" s="14" t="s">
        <v>8898</v>
      </c>
      <c r="C8788" s="14" t="s">
        <v>13031</v>
      </c>
      <c r="D8788" s="15">
        <v>7.65</v>
      </c>
      <c r="E8788" s="16" t="s">
        <v>20</v>
      </c>
    </row>
    <row r="8789" spans="1:5" x14ac:dyDescent="0.25">
      <c r="A8789" s="14">
        <v>1016134</v>
      </c>
      <c r="B8789" s="14" t="s">
        <v>8899</v>
      </c>
      <c r="C8789" s="14" t="s">
        <v>13031</v>
      </c>
      <c r="D8789" s="15">
        <v>8.84</v>
      </c>
      <c r="E8789" s="16" t="s">
        <v>20</v>
      </c>
    </row>
    <row r="8790" spans="1:5" x14ac:dyDescent="0.25">
      <c r="A8790" s="14">
        <v>1016135</v>
      </c>
      <c r="B8790" s="14" t="s">
        <v>8900</v>
      </c>
      <c r="C8790" s="14" t="s">
        <v>13031</v>
      </c>
      <c r="D8790" s="15">
        <v>8.84</v>
      </c>
      <c r="E8790" s="16" t="s">
        <v>20</v>
      </c>
    </row>
    <row r="8791" spans="1:5" x14ac:dyDescent="0.25">
      <c r="A8791" s="14">
        <v>1014513</v>
      </c>
      <c r="B8791" s="14" t="s">
        <v>8901</v>
      </c>
      <c r="C8791" s="14" t="s">
        <v>13030</v>
      </c>
      <c r="D8791" s="15">
        <v>49.92</v>
      </c>
      <c r="E8791" s="16" t="s">
        <v>30</v>
      </c>
    </row>
    <row r="8792" spans="1:5" x14ac:dyDescent="0.25">
      <c r="A8792" s="14">
        <v>1014514</v>
      </c>
      <c r="B8792" s="14" t="s">
        <v>8902</v>
      </c>
      <c r="C8792" s="14" t="s">
        <v>13030</v>
      </c>
      <c r="D8792" s="15">
        <v>75.13</v>
      </c>
      <c r="E8792" s="16" t="s">
        <v>30</v>
      </c>
    </row>
    <row r="8793" spans="1:5" x14ac:dyDescent="0.25">
      <c r="A8793" s="14">
        <v>1014518</v>
      </c>
      <c r="B8793" s="14" t="s">
        <v>8903</v>
      </c>
      <c r="C8793" s="14" t="s">
        <v>13029</v>
      </c>
      <c r="D8793" s="15">
        <v>14.9</v>
      </c>
      <c r="E8793" s="16" t="s">
        <v>30</v>
      </c>
    </row>
    <row r="8794" spans="1:5" x14ac:dyDescent="0.25">
      <c r="A8794" s="14">
        <v>1014519</v>
      </c>
      <c r="B8794" s="14" t="s">
        <v>8904</v>
      </c>
      <c r="C8794" s="14" t="s">
        <v>13029</v>
      </c>
      <c r="D8794" s="15">
        <v>14.9</v>
      </c>
      <c r="E8794" s="16" t="s">
        <v>30</v>
      </c>
    </row>
    <row r="8795" spans="1:5" x14ac:dyDescent="0.25">
      <c r="A8795" s="14">
        <v>1014564</v>
      </c>
      <c r="B8795" s="14" t="s">
        <v>8905</v>
      </c>
      <c r="C8795" s="14" t="s">
        <v>13029</v>
      </c>
      <c r="D8795" s="15">
        <v>99.75</v>
      </c>
      <c r="E8795" s="16" t="s">
        <v>30</v>
      </c>
    </row>
    <row r="8796" spans="1:5" x14ac:dyDescent="0.25">
      <c r="A8796" s="14">
        <v>1014899</v>
      </c>
      <c r="B8796" s="14" t="s">
        <v>8906</v>
      </c>
      <c r="C8796" s="14" t="s">
        <v>13030</v>
      </c>
      <c r="D8796" s="15">
        <v>64.47</v>
      </c>
      <c r="E8796" s="16" t="s">
        <v>30</v>
      </c>
    </row>
    <row r="8797" spans="1:5" x14ac:dyDescent="0.25">
      <c r="A8797" s="14">
        <v>1014980</v>
      </c>
      <c r="B8797" s="14" t="s">
        <v>8907</v>
      </c>
      <c r="C8797" s="14" t="s">
        <v>13029</v>
      </c>
      <c r="D8797" s="15">
        <v>14.83</v>
      </c>
      <c r="E8797" s="16" t="s">
        <v>30</v>
      </c>
    </row>
    <row r="8798" spans="1:5" x14ac:dyDescent="0.25">
      <c r="A8798" s="14">
        <v>1014981</v>
      </c>
      <c r="B8798" s="14" t="s">
        <v>8908</v>
      </c>
      <c r="C8798" s="14" t="s">
        <v>13029</v>
      </c>
      <c r="D8798" s="15">
        <v>11.81</v>
      </c>
      <c r="E8798" s="16" t="s">
        <v>30</v>
      </c>
    </row>
    <row r="8799" spans="1:5" x14ac:dyDescent="0.25">
      <c r="A8799" s="14">
        <v>1014982</v>
      </c>
      <c r="B8799" s="14" t="s">
        <v>8909</v>
      </c>
      <c r="C8799" s="14" t="s">
        <v>13029</v>
      </c>
      <c r="D8799" s="15">
        <v>14.77</v>
      </c>
      <c r="E8799" s="16" t="s">
        <v>30</v>
      </c>
    </row>
    <row r="8800" spans="1:5" x14ac:dyDescent="0.25">
      <c r="A8800" s="14">
        <v>1014983</v>
      </c>
      <c r="B8800" s="14" t="s">
        <v>8910</v>
      </c>
      <c r="C8800" s="14" t="s">
        <v>13029</v>
      </c>
      <c r="D8800" s="15">
        <v>20.7</v>
      </c>
      <c r="E8800" s="16" t="s">
        <v>30</v>
      </c>
    </row>
    <row r="8801" spans="1:5" x14ac:dyDescent="0.25">
      <c r="A8801" s="14">
        <v>1014984</v>
      </c>
      <c r="B8801" s="14" t="s">
        <v>8911</v>
      </c>
      <c r="C8801" s="14" t="s">
        <v>13029</v>
      </c>
      <c r="D8801" s="15">
        <v>11.81</v>
      </c>
      <c r="E8801" s="16" t="s">
        <v>30</v>
      </c>
    </row>
    <row r="8802" spans="1:5" x14ac:dyDescent="0.25">
      <c r="A8802" s="14">
        <v>1014985</v>
      </c>
      <c r="B8802" s="14" t="s">
        <v>8912</v>
      </c>
      <c r="C8802" s="14" t="s">
        <v>13029</v>
      </c>
      <c r="D8802" s="15">
        <v>14.77</v>
      </c>
      <c r="E8802" s="16" t="s">
        <v>30</v>
      </c>
    </row>
    <row r="8803" spans="1:5" x14ac:dyDescent="0.25">
      <c r="A8803" s="14">
        <v>1015071</v>
      </c>
      <c r="B8803" s="14" t="s">
        <v>8913</v>
      </c>
      <c r="C8803" s="14" t="s">
        <v>13029</v>
      </c>
      <c r="D8803" s="15">
        <v>16.5</v>
      </c>
      <c r="E8803" s="16" t="s">
        <v>30</v>
      </c>
    </row>
    <row r="8804" spans="1:5" x14ac:dyDescent="0.25">
      <c r="A8804" s="14">
        <v>1015072</v>
      </c>
      <c r="B8804" s="14" t="s">
        <v>8914</v>
      </c>
      <c r="C8804" s="14" t="s">
        <v>13029</v>
      </c>
      <c r="D8804" s="15">
        <v>16.5</v>
      </c>
      <c r="E8804" s="16" t="s">
        <v>30</v>
      </c>
    </row>
    <row r="8805" spans="1:5" x14ac:dyDescent="0.25">
      <c r="A8805" s="14">
        <v>1015158</v>
      </c>
      <c r="B8805" s="14" t="s">
        <v>8915</v>
      </c>
      <c r="C8805" s="14" t="s">
        <v>13029</v>
      </c>
      <c r="D8805" s="15">
        <v>36.049999999999997</v>
      </c>
      <c r="E8805" s="16" t="s">
        <v>30</v>
      </c>
    </row>
    <row r="8806" spans="1:5" x14ac:dyDescent="0.25">
      <c r="A8806" s="14">
        <v>1015365</v>
      </c>
      <c r="B8806" s="14" t="s">
        <v>8916</v>
      </c>
      <c r="C8806" s="14" t="s">
        <v>13031</v>
      </c>
      <c r="D8806" s="15">
        <v>5.91</v>
      </c>
      <c r="E8806" s="16" t="s">
        <v>30</v>
      </c>
    </row>
    <row r="8807" spans="1:5" x14ac:dyDescent="0.25">
      <c r="A8807" s="14">
        <v>1015366</v>
      </c>
      <c r="B8807" s="14" t="s">
        <v>8917</v>
      </c>
      <c r="C8807" s="14" t="s">
        <v>13031</v>
      </c>
      <c r="D8807" s="15">
        <v>5.88</v>
      </c>
      <c r="E8807" s="16" t="s">
        <v>30</v>
      </c>
    </row>
    <row r="8808" spans="1:5" x14ac:dyDescent="0.25">
      <c r="A8808" s="14">
        <v>1015367</v>
      </c>
      <c r="B8808" s="14" t="s">
        <v>8918</v>
      </c>
      <c r="C8808" s="14" t="s">
        <v>13031</v>
      </c>
      <c r="D8808" s="15">
        <v>20.7</v>
      </c>
      <c r="E8808" s="16" t="s">
        <v>30</v>
      </c>
    </row>
    <row r="8809" spans="1:5" x14ac:dyDescent="0.25">
      <c r="A8809" s="14">
        <v>1015374</v>
      </c>
      <c r="B8809" s="14" t="s">
        <v>8919</v>
      </c>
      <c r="C8809" s="14" t="s">
        <v>13031</v>
      </c>
      <c r="D8809" s="15">
        <v>7.84</v>
      </c>
      <c r="E8809" s="16" t="s">
        <v>30</v>
      </c>
    </row>
    <row r="8810" spans="1:5" x14ac:dyDescent="0.25">
      <c r="A8810" s="14">
        <v>1015378</v>
      </c>
      <c r="B8810" s="14" t="s">
        <v>8920</v>
      </c>
      <c r="C8810" s="14" t="s">
        <v>13031</v>
      </c>
      <c r="D8810" s="15">
        <v>0.89</v>
      </c>
      <c r="E8810" s="16" t="s">
        <v>30</v>
      </c>
    </row>
    <row r="8811" spans="1:5" x14ac:dyDescent="0.25">
      <c r="A8811" s="14">
        <v>1015380</v>
      </c>
      <c r="B8811" s="14" t="s">
        <v>8921</v>
      </c>
      <c r="C8811" s="14" t="s">
        <v>13031</v>
      </c>
      <c r="D8811" s="15">
        <v>6.23</v>
      </c>
      <c r="E8811" s="16" t="s">
        <v>30</v>
      </c>
    </row>
    <row r="8812" spans="1:5" x14ac:dyDescent="0.25">
      <c r="A8812" s="14">
        <v>1015381</v>
      </c>
      <c r="B8812" s="14" t="s">
        <v>8922</v>
      </c>
      <c r="C8812" s="14" t="s">
        <v>13031</v>
      </c>
      <c r="D8812" s="15">
        <v>3.92</v>
      </c>
      <c r="E8812" s="16" t="s">
        <v>30</v>
      </c>
    </row>
    <row r="8813" spans="1:5" x14ac:dyDescent="0.25">
      <c r="A8813" s="14">
        <v>1015382</v>
      </c>
      <c r="B8813" s="14" t="s">
        <v>8923</v>
      </c>
      <c r="C8813" s="14" t="s">
        <v>13031</v>
      </c>
      <c r="D8813" s="15">
        <v>3.92</v>
      </c>
      <c r="E8813" s="16" t="s">
        <v>30</v>
      </c>
    </row>
    <row r="8814" spans="1:5" x14ac:dyDescent="0.25">
      <c r="A8814" s="14">
        <v>1015383</v>
      </c>
      <c r="B8814" s="14" t="s">
        <v>8924</v>
      </c>
      <c r="C8814" s="14" t="s">
        <v>13031</v>
      </c>
      <c r="D8814" s="15">
        <v>9.75</v>
      </c>
      <c r="E8814" s="16" t="s">
        <v>30</v>
      </c>
    </row>
    <row r="8815" spans="1:5" x14ac:dyDescent="0.25">
      <c r="A8815" s="14">
        <v>1015384</v>
      </c>
      <c r="B8815" s="14" t="s">
        <v>8925</v>
      </c>
      <c r="C8815" s="14" t="s">
        <v>13031</v>
      </c>
      <c r="D8815" s="15">
        <v>9.75</v>
      </c>
      <c r="E8815" s="16" t="s">
        <v>30</v>
      </c>
    </row>
    <row r="8816" spans="1:5" x14ac:dyDescent="0.25">
      <c r="A8816" s="14">
        <v>1015385</v>
      </c>
      <c r="B8816" s="14" t="s">
        <v>8926</v>
      </c>
      <c r="C8816" s="14" t="s">
        <v>13031</v>
      </c>
      <c r="D8816" s="15">
        <v>9.75</v>
      </c>
      <c r="E8816" s="16" t="s">
        <v>30</v>
      </c>
    </row>
    <row r="8817" spans="1:5" x14ac:dyDescent="0.25">
      <c r="A8817" s="14">
        <v>1015393</v>
      </c>
      <c r="B8817" s="14" t="s">
        <v>8927</v>
      </c>
      <c r="C8817" s="14" t="s">
        <v>13031</v>
      </c>
      <c r="D8817" s="15">
        <v>2.5299999999999998</v>
      </c>
      <c r="E8817" s="16" t="s">
        <v>30</v>
      </c>
    </row>
    <row r="8818" spans="1:5" x14ac:dyDescent="0.25">
      <c r="A8818" s="14">
        <v>1015394</v>
      </c>
      <c r="B8818" s="14" t="s">
        <v>8928</v>
      </c>
      <c r="C8818" s="14" t="s">
        <v>13031</v>
      </c>
      <c r="D8818" s="15">
        <v>2.5299999999999998</v>
      </c>
      <c r="E8818" s="16" t="s">
        <v>30</v>
      </c>
    </row>
    <row r="8819" spans="1:5" x14ac:dyDescent="0.25">
      <c r="A8819" s="14">
        <v>1015453</v>
      </c>
      <c r="B8819" s="14" t="s">
        <v>8929</v>
      </c>
      <c r="C8819" s="14" t="s">
        <v>13030</v>
      </c>
      <c r="D8819" s="15">
        <v>22.44</v>
      </c>
      <c r="E8819" s="16" t="s">
        <v>30</v>
      </c>
    </row>
    <row r="8820" spans="1:5" x14ac:dyDescent="0.25">
      <c r="A8820" s="14">
        <v>1015501</v>
      </c>
      <c r="B8820" s="14" t="s">
        <v>8930</v>
      </c>
      <c r="C8820" s="14" t="s">
        <v>13031</v>
      </c>
      <c r="D8820" s="15">
        <v>15.36</v>
      </c>
      <c r="E8820" s="16" t="s">
        <v>30</v>
      </c>
    </row>
    <row r="8821" spans="1:5" x14ac:dyDescent="0.25">
      <c r="A8821" s="14">
        <v>1015502</v>
      </c>
      <c r="B8821" s="14" t="s">
        <v>8931</v>
      </c>
      <c r="C8821" s="14" t="s">
        <v>13031</v>
      </c>
      <c r="D8821" s="15">
        <v>15.36</v>
      </c>
      <c r="E8821" s="16" t="s">
        <v>30</v>
      </c>
    </row>
    <row r="8822" spans="1:5" x14ac:dyDescent="0.25">
      <c r="A8822" s="14">
        <v>1015503</v>
      </c>
      <c r="B8822" s="14" t="s">
        <v>8932</v>
      </c>
      <c r="C8822" s="14" t="s">
        <v>13031</v>
      </c>
      <c r="D8822" s="15">
        <v>15.36</v>
      </c>
      <c r="E8822" s="16" t="s">
        <v>30</v>
      </c>
    </row>
    <row r="8823" spans="1:5" x14ac:dyDescent="0.25">
      <c r="A8823" s="14">
        <v>1015506</v>
      </c>
      <c r="B8823" s="14" t="s">
        <v>8933</v>
      </c>
      <c r="C8823" s="14" t="s">
        <v>13029</v>
      </c>
      <c r="D8823" s="15">
        <v>17.739999999999998</v>
      </c>
      <c r="E8823" s="16" t="s">
        <v>30</v>
      </c>
    </row>
    <row r="8824" spans="1:5" x14ac:dyDescent="0.25">
      <c r="A8824" s="14">
        <v>1015677</v>
      </c>
      <c r="B8824" s="14" t="s">
        <v>8934</v>
      </c>
      <c r="C8824" s="14" t="s">
        <v>13030</v>
      </c>
      <c r="D8824" s="15">
        <v>5.4</v>
      </c>
      <c r="E8824" s="16" t="s">
        <v>30</v>
      </c>
    </row>
    <row r="8825" spans="1:5" x14ac:dyDescent="0.25">
      <c r="A8825" s="14">
        <v>1015680</v>
      </c>
      <c r="B8825" s="14" t="s">
        <v>8935</v>
      </c>
      <c r="C8825" s="14" t="s">
        <v>13030</v>
      </c>
      <c r="D8825" s="15">
        <v>14.35</v>
      </c>
      <c r="E8825" s="16" t="s">
        <v>30</v>
      </c>
    </row>
    <row r="8826" spans="1:5" x14ac:dyDescent="0.25">
      <c r="A8826" s="14">
        <v>1015681</v>
      </c>
      <c r="B8826" s="14" t="s">
        <v>8936</v>
      </c>
      <c r="C8826" s="14" t="s">
        <v>13030</v>
      </c>
      <c r="D8826" s="15">
        <v>35.950000000000003</v>
      </c>
      <c r="E8826" s="16" t="s">
        <v>30</v>
      </c>
    </row>
    <row r="8827" spans="1:5" x14ac:dyDescent="0.25">
      <c r="A8827" s="14">
        <v>1015682</v>
      </c>
      <c r="B8827" s="14" t="s">
        <v>8937</v>
      </c>
      <c r="C8827" s="14" t="s">
        <v>13030</v>
      </c>
      <c r="D8827" s="15">
        <v>35.950000000000003</v>
      </c>
      <c r="E8827" s="16" t="s">
        <v>30</v>
      </c>
    </row>
    <row r="8828" spans="1:5" x14ac:dyDescent="0.25">
      <c r="A8828" s="14">
        <v>1015683</v>
      </c>
      <c r="B8828" s="14" t="s">
        <v>8938</v>
      </c>
      <c r="C8828" s="14" t="s">
        <v>13030</v>
      </c>
      <c r="D8828" s="15">
        <v>35.950000000000003</v>
      </c>
      <c r="E8828" s="16" t="s">
        <v>30</v>
      </c>
    </row>
    <row r="8829" spans="1:5" x14ac:dyDescent="0.25">
      <c r="A8829" s="14">
        <v>1015704</v>
      </c>
      <c r="B8829" s="14" t="s">
        <v>8939</v>
      </c>
      <c r="C8829" s="14" t="s">
        <v>13031</v>
      </c>
      <c r="D8829" s="15">
        <v>13.87</v>
      </c>
      <c r="E8829" s="16" t="s">
        <v>30</v>
      </c>
    </row>
    <row r="8830" spans="1:5" x14ac:dyDescent="0.25">
      <c r="A8830" s="14">
        <v>1015706</v>
      </c>
      <c r="B8830" s="14" t="s">
        <v>8940</v>
      </c>
      <c r="C8830" s="14" t="s">
        <v>13029</v>
      </c>
      <c r="D8830" s="15">
        <v>18.86</v>
      </c>
      <c r="E8830" s="16" t="s">
        <v>30</v>
      </c>
    </row>
    <row r="8831" spans="1:5" x14ac:dyDescent="0.25">
      <c r="A8831" s="14">
        <v>1016063</v>
      </c>
      <c r="B8831" s="14" t="s">
        <v>8941</v>
      </c>
      <c r="C8831" s="14" t="s">
        <v>13030</v>
      </c>
      <c r="D8831" s="15">
        <v>6.37</v>
      </c>
      <c r="E8831" s="16" t="s">
        <v>30</v>
      </c>
    </row>
    <row r="8832" spans="1:5" x14ac:dyDescent="0.25">
      <c r="A8832" s="14">
        <v>1016092</v>
      </c>
      <c r="B8832" s="14" t="s">
        <v>8942</v>
      </c>
      <c r="C8832" s="14" t="s">
        <v>13031</v>
      </c>
      <c r="D8832" s="15">
        <v>6.26</v>
      </c>
      <c r="E8832" s="16" t="s">
        <v>30</v>
      </c>
    </row>
    <row r="8833" spans="1:5" x14ac:dyDescent="0.25">
      <c r="A8833" s="14">
        <v>1016164</v>
      </c>
      <c r="B8833" s="14" t="s">
        <v>8943</v>
      </c>
      <c r="C8833" s="14" t="s">
        <v>13029</v>
      </c>
      <c r="D8833" s="15">
        <v>14.9</v>
      </c>
      <c r="E8833" s="16" t="s">
        <v>30</v>
      </c>
    </row>
    <row r="8834" spans="1:5" x14ac:dyDescent="0.25">
      <c r="A8834" s="14">
        <v>1016359</v>
      </c>
      <c r="B8834" s="14" t="s">
        <v>8944</v>
      </c>
      <c r="C8834" s="14" t="s">
        <v>13029</v>
      </c>
      <c r="D8834" s="15">
        <v>17.739999999999998</v>
      </c>
      <c r="E8834" s="16" t="s">
        <v>30</v>
      </c>
    </row>
    <row r="8835" spans="1:5" x14ac:dyDescent="0.25">
      <c r="A8835" s="14">
        <v>1016360</v>
      </c>
      <c r="B8835" s="14" t="s">
        <v>8945</v>
      </c>
      <c r="C8835" s="14" t="s">
        <v>13029</v>
      </c>
      <c r="D8835" s="15">
        <v>17.739999999999998</v>
      </c>
      <c r="E8835" s="16" t="s">
        <v>30</v>
      </c>
    </row>
    <row r="8836" spans="1:5" x14ac:dyDescent="0.25">
      <c r="A8836" s="14">
        <v>1016361</v>
      </c>
      <c r="B8836" s="14" t="s">
        <v>8946</v>
      </c>
      <c r="C8836" s="14" t="s">
        <v>13029</v>
      </c>
      <c r="D8836" s="15">
        <v>17.739999999999998</v>
      </c>
      <c r="E8836" s="16" t="s">
        <v>30</v>
      </c>
    </row>
    <row r="8837" spans="1:5" x14ac:dyDescent="0.25">
      <c r="A8837" s="14">
        <v>1016364</v>
      </c>
      <c r="B8837" s="14" t="s">
        <v>8947</v>
      </c>
      <c r="C8837" s="14" t="s">
        <v>13029</v>
      </c>
      <c r="D8837" s="15">
        <v>17.739999999999998</v>
      </c>
      <c r="E8837" s="16" t="s">
        <v>30</v>
      </c>
    </row>
    <row r="8838" spans="1:5" x14ac:dyDescent="0.25">
      <c r="A8838" s="14">
        <v>1016366</v>
      </c>
      <c r="B8838" s="14" t="s">
        <v>8948</v>
      </c>
      <c r="C8838" s="14" t="s">
        <v>13029</v>
      </c>
      <c r="D8838" s="15">
        <v>17.739999999999998</v>
      </c>
      <c r="E8838" s="16" t="s">
        <v>30</v>
      </c>
    </row>
    <row r="8839" spans="1:5" x14ac:dyDescent="0.25">
      <c r="A8839" s="14">
        <v>1016672</v>
      </c>
      <c r="B8839" s="14" t="s">
        <v>8949</v>
      </c>
      <c r="C8839" s="14" t="s">
        <v>13031</v>
      </c>
      <c r="D8839" s="15">
        <v>2.5299999999999998</v>
      </c>
      <c r="E8839" s="16" t="s">
        <v>30</v>
      </c>
    </row>
    <row r="8840" spans="1:5" x14ac:dyDescent="0.25">
      <c r="A8840" s="14">
        <v>1016686</v>
      </c>
      <c r="B8840" s="14" t="s">
        <v>8950</v>
      </c>
      <c r="C8840" s="14" t="s">
        <v>13029</v>
      </c>
      <c r="D8840" s="15">
        <v>25.63</v>
      </c>
      <c r="E8840" s="16" t="s">
        <v>30</v>
      </c>
    </row>
    <row r="8841" spans="1:5" x14ac:dyDescent="0.25">
      <c r="A8841" s="14">
        <v>3774001</v>
      </c>
      <c r="B8841" s="14" t="s">
        <v>8951</v>
      </c>
      <c r="C8841" s="14" t="s">
        <v>13030</v>
      </c>
      <c r="D8841" s="15">
        <v>12.9</v>
      </c>
      <c r="E8841" s="14" t="s">
        <v>30</v>
      </c>
    </row>
    <row r="8842" spans="1:5" x14ac:dyDescent="0.25">
      <c r="A8842" s="14">
        <v>3863001</v>
      </c>
      <c r="B8842" s="14" t="s">
        <v>62</v>
      </c>
      <c r="C8842" s="14" t="s">
        <v>13030</v>
      </c>
      <c r="D8842" s="15">
        <v>12.9</v>
      </c>
      <c r="E8842" s="14" t="s">
        <v>30</v>
      </c>
    </row>
    <row r="8843" spans="1:5" x14ac:dyDescent="0.25">
      <c r="A8843" s="14">
        <v>48291002</v>
      </c>
      <c r="B8843" s="14" t="s">
        <v>8952</v>
      </c>
      <c r="C8843" s="14" t="s">
        <v>13030</v>
      </c>
      <c r="D8843" s="15">
        <v>25.01</v>
      </c>
      <c r="E8843" s="16" t="s">
        <v>30</v>
      </c>
    </row>
    <row r="8844" spans="1:5" x14ac:dyDescent="0.25">
      <c r="A8844" s="14">
        <v>48340001</v>
      </c>
      <c r="B8844" s="14" t="s">
        <v>8953</v>
      </c>
      <c r="C8844" s="14" t="s">
        <v>13031</v>
      </c>
      <c r="D8844" s="15">
        <v>5.54</v>
      </c>
      <c r="E8844" s="16" t="s">
        <v>30</v>
      </c>
    </row>
    <row r="8845" spans="1:5" x14ac:dyDescent="0.25">
      <c r="A8845" s="14">
        <v>48340002</v>
      </c>
      <c r="B8845" s="14" t="s">
        <v>8954</v>
      </c>
      <c r="C8845" s="14" t="s">
        <v>13031</v>
      </c>
      <c r="D8845" s="15">
        <v>5.54</v>
      </c>
      <c r="E8845" s="16" t="s">
        <v>30</v>
      </c>
    </row>
    <row r="8846" spans="1:5" x14ac:dyDescent="0.25">
      <c r="A8846" s="14">
        <v>48342001</v>
      </c>
      <c r="B8846" s="14" t="s">
        <v>8955</v>
      </c>
      <c r="C8846" s="14" t="s">
        <v>13031</v>
      </c>
      <c r="D8846" s="15">
        <v>30.91</v>
      </c>
      <c r="E8846" s="16" t="s">
        <v>30</v>
      </c>
    </row>
    <row r="8847" spans="1:5" x14ac:dyDescent="0.25">
      <c r="A8847" s="14">
        <v>48342002</v>
      </c>
      <c r="B8847" s="14" t="s">
        <v>8956</v>
      </c>
      <c r="C8847" s="14" t="s">
        <v>13031</v>
      </c>
      <c r="D8847" s="15">
        <v>30.91</v>
      </c>
      <c r="E8847" s="16" t="s">
        <v>30</v>
      </c>
    </row>
    <row r="8848" spans="1:5" x14ac:dyDescent="0.25">
      <c r="A8848" s="14">
        <v>48349001</v>
      </c>
      <c r="B8848" s="14" t="s">
        <v>8957</v>
      </c>
      <c r="C8848" s="14" t="s">
        <v>13031</v>
      </c>
      <c r="D8848" s="15">
        <v>2.75</v>
      </c>
      <c r="E8848" s="16" t="s">
        <v>30</v>
      </c>
    </row>
    <row r="8849" spans="1:5" x14ac:dyDescent="0.25">
      <c r="A8849" s="14">
        <v>48349002</v>
      </c>
      <c r="B8849" s="14" t="s">
        <v>8958</v>
      </c>
      <c r="C8849" s="14" t="s">
        <v>13031</v>
      </c>
      <c r="D8849" s="15">
        <v>2.75</v>
      </c>
      <c r="E8849" s="16" t="s">
        <v>30</v>
      </c>
    </row>
    <row r="8850" spans="1:5" x14ac:dyDescent="0.25">
      <c r="A8850" s="14">
        <v>48349003</v>
      </c>
      <c r="B8850" s="14" t="s">
        <v>8959</v>
      </c>
      <c r="C8850" s="14" t="s">
        <v>13031</v>
      </c>
      <c r="D8850" s="15">
        <v>2.75</v>
      </c>
      <c r="E8850" s="16" t="s">
        <v>30</v>
      </c>
    </row>
    <row r="8851" spans="1:5" x14ac:dyDescent="0.25">
      <c r="A8851" s="14">
        <v>1016137</v>
      </c>
      <c r="B8851" s="14" t="s">
        <v>8960</v>
      </c>
      <c r="C8851" s="14" t="s">
        <v>13031</v>
      </c>
      <c r="D8851" s="15">
        <v>10.029999999999999</v>
      </c>
      <c r="E8851" s="16" t="s">
        <v>20</v>
      </c>
    </row>
    <row r="8852" spans="1:5" x14ac:dyDescent="0.25">
      <c r="A8852" s="14">
        <v>48218001</v>
      </c>
      <c r="B8852" s="14" t="s">
        <v>8961</v>
      </c>
      <c r="C8852" s="14" t="s">
        <v>13031</v>
      </c>
      <c r="D8852" s="15">
        <v>5</v>
      </c>
      <c r="E8852" s="16" t="s">
        <v>20</v>
      </c>
    </row>
    <row r="8853" spans="1:5" x14ac:dyDescent="0.25">
      <c r="A8853" s="14">
        <v>48218002</v>
      </c>
      <c r="B8853" s="14" t="s">
        <v>8962</v>
      </c>
      <c r="C8853" s="14" t="s">
        <v>13031</v>
      </c>
      <c r="D8853" s="15">
        <v>5</v>
      </c>
      <c r="E8853" s="16" t="s">
        <v>20</v>
      </c>
    </row>
    <row r="8854" spans="1:5" x14ac:dyDescent="0.25">
      <c r="A8854" s="14">
        <v>48223001</v>
      </c>
      <c r="B8854" s="14" t="s">
        <v>8963</v>
      </c>
      <c r="C8854" s="14" t="s">
        <v>13031</v>
      </c>
      <c r="D8854" s="15">
        <v>10.36</v>
      </c>
      <c r="E8854" s="16" t="s">
        <v>20</v>
      </c>
    </row>
    <row r="8855" spans="1:5" x14ac:dyDescent="0.25">
      <c r="A8855" s="14">
        <v>48406005</v>
      </c>
      <c r="B8855" s="14" t="s">
        <v>8964</v>
      </c>
      <c r="C8855" s="14" t="s">
        <v>13031</v>
      </c>
      <c r="D8855" s="15">
        <v>2.0099999999999998</v>
      </c>
      <c r="E8855" s="16" t="s">
        <v>30</v>
      </c>
    </row>
    <row r="8856" spans="1:5" x14ac:dyDescent="0.25">
      <c r="A8856" s="14">
        <v>48419001</v>
      </c>
      <c r="B8856" s="14" t="s">
        <v>8965</v>
      </c>
      <c r="C8856" s="14" t="s">
        <v>13031</v>
      </c>
      <c r="D8856" s="15">
        <v>1.42</v>
      </c>
      <c r="E8856" s="16" t="s">
        <v>30</v>
      </c>
    </row>
    <row r="8857" spans="1:5" x14ac:dyDescent="0.25">
      <c r="A8857" s="14">
        <v>48419003</v>
      </c>
      <c r="B8857" s="14" t="s">
        <v>8966</v>
      </c>
      <c r="C8857" s="14" t="s">
        <v>13031</v>
      </c>
      <c r="D8857" s="15">
        <v>1.42</v>
      </c>
      <c r="E8857" s="16" t="s">
        <v>30</v>
      </c>
    </row>
    <row r="8858" spans="1:5" x14ac:dyDescent="0.25">
      <c r="A8858" s="14">
        <v>48419005</v>
      </c>
      <c r="B8858" s="14" t="s">
        <v>8967</v>
      </c>
      <c r="C8858" s="14" t="s">
        <v>13031</v>
      </c>
      <c r="D8858" s="15">
        <v>1.42</v>
      </c>
      <c r="E8858" s="16" t="s">
        <v>30</v>
      </c>
    </row>
    <row r="8859" spans="1:5" x14ac:dyDescent="0.25">
      <c r="A8859" s="14">
        <v>48492001</v>
      </c>
      <c r="B8859" s="14" t="s">
        <v>8968</v>
      </c>
      <c r="C8859" s="14" t="s">
        <v>13031</v>
      </c>
      <c r="D8859" s="15">
        <v>3.08</v>
      </c>
      <c r="E8859" s="16" t="s">
        <v>30</v>
      </c>
    </row>
    <row r="8860" spans="1:5" x14ac:dyDescent="0.25">
      <c r="A8860" s="14">
        <v>48501001</v>
      </c>
      <c r="B8860" s="14" t="s">
        <v>8969</v>
      </c>
      <c r="C8860" s="14" t="s">
        <v>13031</v>
      </c>
      <c r="D8860" s="15">
        <v>3.44</v>
      </c>
      <c r="E8860" s="16" t="s">
        <v>30</v>
      </c>
    </row>
    <row r="8861" spans="1:5" x14ac:dyDescent="0.25">
      <c r="A8861" s="14">
        <v>48501002</v>
      </c>
      <c r="B8861" s="14" t="s">
        <v>8970</v>
      </c>
      <c r="C8861" s="14" t="s">
        <v>13031</v>
      </c>
      <c r="D8861" s="15">
        <v>3.44</v>
      </c>
      <c r="E8861" s="16" t="s">
        <v>30</v>
      </c>
    </row>
    <row r="8862" spans="1:5" x14ac:dyDescent="0.25">
      <c r="A8862" s="14">
        <v>48512001</v>
      </c>
      <c r="B8862" s="14" t="s">
        <v>8971</v>
      </c>
      <c r="C8862" s="14" t="s">
        <v>13031</v>
      </c>
      <c r="D8862" s="15">
        <v>17.8</v>
      </c>
      <c r="E8862" s="16" t="s">
        <v>30</v>
      </c>
    </row>
    <row r="8863" spans="1:5" x14ac:dyDescent="0.25">
      <c r="A8863" s="14">
        <v>48223002</v>
      </c>
      <c r="B8863" s="14" t="s">
        <v>8972</v>
      </c>
      <c r="C8863" s="14" t="s">
        <v>13031</v>
      </c>
      <c r="D8863" s="15">
        <v>10.36</v>
      </c>
      <c r="E8863" s="16" t="s">
        <v>20</v>
      </c>
    </row>
    <row r="8864" spans="1:5" x14ac:dyDescent="0.25">
      <c r="A8864" s="14">
        <v>48512002</v>
      </c>
      <c r="B8864" s="14" t="s">
        <v>8973</v>
      </c>
      <c r="C8864" s="14" t="s">
        <v>13031</v>
      </c>
      <c r="D8864" s="15">
        <v>17.8</v>
      </c>
      <c r="E8864" s="16" t="s">
        <v>30</v>
      </c>
    </row>
    <row r="8865" spans="1:5" x14ac:dyDescent="0.25">
      <c r="A8865" s="14">
        <v>48524001</v>
      </c>
      <c r="B8865" s="14" t="s">
        <v>8974</v>
      </c>
      <c r="C8865" s="14" t="s">
        <v>13031</v>
      </c>
      <c r="D8865" s="15">
        <v>7.06</v>
      </c>
      <c r="E8865" s="16" t="s">
        <v>30</v>
      </c>
    </row>
    <row r="8866" spans="1:5" x14ac:dyDescent="0.25">
      <c r="A8866" s="14">
        <v>48536001</v>
      </c>
      <c r="B8866" s="14" t="s">
        <v>8975</v>
      </c>
      <c r="C8866" s="14" t="s">
        <v>13029</v>
      </c>
      <c r="D8866" s="15">
        <v>2.23</v>
      </c>
      <c r="E8866" s="16" t="s">
        <v>30</v>
      </c>
    </row>
    <row r="8867" spans="1:5" x14ac:dyDescent="0.25">
      <c r="A8867" s="14">
        <v>48536003</v>
      </c>
      <c r="B8867" s="14" t="s">
        <v>8976</v>
      </c>
      <c r="C8867" s="14" t="s">
        <v>13029</v>
      </c>
      <c r="D8867" s="15">
        <v>2.2400000000000002</v>
      </c>
      <c r="E8867" s="16" t="s">
        <v>30</v>
      </c>
    </row>
    <row r="8868" spans="1:5" x14ac:dyDescent="0.25">
      <c r="A8868" s="14">
        <v>48551001</v>
      </c>
      <c r="B8868" s="14" t="s">
        <v>8977</v>
      </c>
      <c r="C8868" s="14" t="s">
        <v>13029</v>
      </c>
      <c r="D8868" s="15">
        <v>9.06</v>
      </c>
      <c r="E8868" s="16" t="s">
        <v>30</v>
      </c>
    </row>
    <row r="8869" spans="1:5" x14ac:dyDescent="0.25">
      <c r="A8869" s="14">
        <v>48551002</v>
      </c>
      <c r="B8869" s="14" t="s">
        <v>8978</v>
      </c>
      <c r="C8869" s="14" t="s">
        <v>13029</v>
      </c>
      <c r="D8869" s="15">
        <v>9.06</v>
      </c>
      <c r="E8869" s="16" t="s">
        <v>30</v>
      </c>
    </row>
    <row r="8870" spans="1:5" x14ac:dyDescent="0.25">
      <c r="A8870" s="14">
        <v>48562001</v>
      </c>
      <c r="B8870" s="14" t="s">
        <v>8979</v>
      </c>
      <c r="C8870" s="14" t="s">
        <v>13029</v>
      </c>
      <c r="D8870" s="15">
        <v>5</v>
      </c>
      <c r="E8870" s="16" t="s">
        <v>30</v>
      </c>
    </row>
    <row r="8871" spans="1:5" x14ac:dyDescent="0.25">
      <c r="A8871" s="14">
        <v>48562002</v>
      </c>
      <c r="B8871" s="14" t="s">
        <v>8980</v>
      </c>
      <c r="C8871" s="14" t="s">
        <v>13029</v>
      </c>
      <c r="D8871" s="15">
        <v>5</v>
      </c>
      <c r="E8871" s="16" t="s">
        <v>30</v>
      </c>
    </row>
    <row r="8872" spans="1:5" x14ac:dyDescent="0.25">
      <c r="A8872" s="14">
        <v>48562003</v>
      </c>
      <c r="B8872" s="14" t="s">
        <v>8981</v>
      </c>
      <c r="C8872" s="14" t="s">
        <v>13029</v>
      </c>
      <c r="D8872" s="15">
        <v>5</v>
      </c>
      <c r="E8872" s="16" t="s">
        <v>30</v>
      </c>
    </row>
    <row r="8873" spans="1:5" x14ac:dyDescent="0.25">
      <c r="A8873" s="14">
        <v>48565001</v>
      </c>
      <c r="B8873" s="14" t="s">
        <v>8982</v>
      </c>
      <c r="C8873" s="14" t="s">
        <v>13029</v>
      </c>
      <c r="D8873" s="15">
        <v>5.61</v>
      </c>
      <c r="E8873" s="16" t="s">
        <v>30</v>
      </c>
    </row>
    <row r="8874" spans="1:5" x14ac:dyDescent="0.25">
      <c r="A8874" s="14">
        <v>48565002</v>
      </c>
      <c r="B8874" s="14" t="s">
        <v>8983</v>
      </c>
      <c r="C8874" s="14" t="s">
        <v>13029</v>
      </c>
      <c r="D8874" s="15">
        <v>6.4</v>
      </c>
      <c r="E8874" s="16" t="s">
        <v>30</v>
      </c>
    </row>
    <row r="8875" spans="1:5" x14ac:dyDescent="0.25">
      <c r="A8875" s="14">
        <v>48565003</v>
      </c>
      <c r="B8875" s="14" t="s">
        <v>8984</v>
      </c>
      <c r="C8875" s="14" t="s">
        <v>13029</v>
      </c>
      <c r="D8875" s="15">
        <v>6.4</v>
      </c>
      <c r="E8875" s="16" t="s">
        <v>30</v>
      </c>
    </row>
    <row r="8876" spans="1:5" x14ac:dyDescent="0.25">
      <c r="A8876" s="14">
        <v>48565004</v>
      </c>
      <c r="B8876" s="14" t="s">
        <v>8985</v>
      </c>
      <c r="C8876" s="14" t="s">
        <v>13029</v>
      </c>
      <c r="D8876" s="15">
        <v>6.4</v>
      </c>
      <c r="E8876" s="16" t="s">
        <v>30</v>
      </c>
    </row>
    <row r="8877" spans="1:5" x14ac:dyDescent="0.25">
      <c r="A8877" s="14">
        <v>48565005</v>
      </c>
      <c r="B8877" s="14" t="s">
        <v>8986</v>
      </c>
      <c r="C8877" s="14" t="s">
        <v>13029</v>
      </c>
      <c r="D8877" s="15">
        <v>6.4</v>
      </c>
      <c r="E8877" s="16" t="s">
        <v>30</v>
      </c>
    </row>
    <row r="8878" spans="1:5" x14ac:dyDescent="0.25">
      <c r="A8878" s="14">
        <v>48579001</v>
      </c>
      <c r="B8878" s="14" t="s">
        <v>8987</v>
      </c>
      <c r="C8878" s="14" t="s">
        <v>13029</v>
      </c>
      <c r="D8878" s="15">
        <v>4.41</v>
      </c>
      <c r="E8878" s="16" t="s">
        <v>30</v>
      </c>
    </row>
    <row r="8879" spans="1:5" x14ac:dyDescent="0.25">
      <c r="A8879" s="14">
        <v>48580002</v>
      </c>
      <c r="B8879" s="14" t="s">
        <v>8988</v>
      </c>
      <c r="C8879" s="14" t="s">
        <v>13029</v>
      </c>
      <c r="D8879" s="15">
        <v>6.03</v>
      </c>
      <c r="E8879" s="16" t="s">
        <v>30</v>
      </c>
    </row>
    <row r="8880" spans="1:5" x14ac:dyDescent="0.25">
      <c r="A8880" s="14">
        <v>48581002</v>
      </c>
      <c r="B8880" s="14" t="s">
        <v>8989</v>
      </c>
      <c r="C8880" s="14" t="s">
        <v>13029</v>
      </c>
      <c r="D8880" s="15">
        <v>13.04</v>
      </c>
      <c r="E8880" s="16" t="s">
        <v>30</v>
      </c>
    </row>
    <row r="8881" spans="1:5" x14ac:dyDescent="0.25">
      <c r="A8881" s="14">
        <v>48600001</v>
      </c>
      <c r="B8881" s="14" t="s">
        <v>8990</v>
      </c>
      <c r="C8881" s="14" t="s">
        <v>13029</v>
      </c>
      <c r="D8881" s="15">
        <v>21.75</v>
      </c>
      <c r="E8881" s="16" t="s">
        <v>30</v>
      </c>
    </row>
    <row r="8882" spans="1:5" x14ac:dyDescent="0.25">
      <c r="A8882" s="14">
        <v>48600002</v>
      </c>
      <c r="B8882" s="14" t="s">
        <v>8991</v>
      </c>
      <c r="C8882" s="14" t="s">
        <v>13029</v>
      </c>
      <c r="D8882" s="15">
        <v>21.75</v>
      </c>
      <c r="E8882" s="16" t="s">
        <v>30</v>
      </c>
    </row>
    <row r="8883" spans="1:5" x14ac:dyDescent="0.25">
      <c r="A8883" s="14">
        <v>48600003</v>
      </c>
      <c r="B8883" s="14" t="s">
        <v>8992</v>
      </c>
      <c r="C8883" s="14" t="s">
        <v>13029</v>
      </c>
      <c r="D8883" s="15">
        <v>16.260000000000002</v>
      </c>
      <c r="E8883" s="16" t="s">
        <v>30</v>
      </c>
    </row>
    <row r="8884" spans="1:5" x14ac:dyDescent="0.25">
      <c r="A8884" s="14">
        <v>48607001</v>
      </c>
      <c r="B8884" s="14" t="s">
        <v>8993</v>
      </c>
      <c r="C8884" s="14" t="s">
        <v>13029</v>
      </c>
      <c r="D8884" s="15">
        <v>26.02</v>
      </c>
      <c r="E8884" s="16" t="s">
        <v>30</v>
      </c>
    </row>
    <row r="8885" spans="1:5" x14ac:dyDescent="0.25">
      <c r="A8885" s="14">
        <v>48661001</v>
      </c>
      <c r="B8885" s="14" t="s">
        <v>8994</v>
      </c>
      <c r="C8885" s="14" t="s">
        <v>13029</v>
      </c>
      <c r="D8885" s="15">
        <v>12.45</v>
      </c>
      <c r="E8885" s="16" t="s">
        <v>30</v>
      </c>
    </row>
    <row r="8886" spans="1:5" x14ac:dyDescent="0.25">
      <c r="A8886" s="14">
        <v>48661002</v>
      </c>
      <c r="B8886" s="14" t="s">
        <v>8995</v>
      </c>
      <c r="C8886" s="14" t="s">
        <v>13029</v>
      </c>
      <c r="D8886" s="15">
        <v>12.45</v>
      </c>
      <c r="E8886" s="16" t="s">
        <v>30</v>
      </c>
    </row>
    <row r="8887" spans="1:5" x14ac:dyDescent="0.25">
      <c r="A8887" s="14">
        <v>48711002</v>
      </c>
      <c r="B8887" s="14" t="s">
        <v>8996</v>
      </c>
      <c r="C8887" s="14" t="s">
        <v>13029</v>
      </c>
      <c r="D8887" s="15">
        <v>11.49</v>
      </c>
      <c r="E8887" s="16" t="s">
        <v>30</v>
      </c>
    </row>
    <row r="8888" spans="1:5" x14ac:dyDescent="0.25">
      <c r="A8888" s="14">
        <v>48711005</v>
      </c>
      <c r="B8888" s="14" t="s">
        <v>8997</v>
      </c>
      <c r="C8888" s="14" t="s">
        <v>13029</v>
      </c>
      <c r="D8888" s="15">
        <v>12.48</v>
      </c>
      <c r="E8888" s="16" t="s">
        <v>30</v>
      </c>
    </row>
    <row r="8889" spans="1:5" x14ac:dyDescent="0.25">
      <c r="A8889" s="14">
        <v>48770001</v>
      </c>
      <c r="B8889" s="14" t="s">
        <v>8998</v>
      </c>
      <c r="C8889" s="14" t="s">
        <v>13030</v>
      </c>
      <c r="D8889" s="15">
        <v>13.2</v>
      </c>
      <c r="E8889" s="16" t="s">
        <v>30</v>
      </c>
    </row>
    <row r="8890" spans="1:5" x14ac:dyDescent="0.25">
      <c r="A8890" s="14">
        <v>48770002</v>
      </c>
      <c r="B8890" s="14" t="s">
        <v>8999</v>
      </c>
      <c r="C8890" s="14" t="s">
        <v>13030</v>
      </c>
      <c r="D8890" s="15">
        <v>13.2</v>
      </c>
      <c r="E8890" s="16" t="s">
        <v>30</v>
      </c>
    </row>
    <row r="8891" spans="1:5" x14ac:dyDescent="0.25">
      <c r="A8891" s="14">
        <v>48771001</v>
      </c>
      <c r="B8891" s="14" t="s">
        <v>9000</v>
      </c>
      <c r="C8891" s="14" t="s">
        <v>13030</v>
      </c>
      <c r="D8891" s="15">
        <v>10.34</v>
      </c>
      <c r="E8891" s="16" t="s">
        <v>30</v>
      </c>
    </row>
    <row r="8892" spans="1:5" x14ac:dyDescent="0.25">
      <c r="A8892" s="14">
        <v>48856001</v>
      </c>
      <c r="B8892" s="14" t="s">
        <v>9001</v>
      </c>
      <c r="C8892" s="14" t="s">
        <v>13029</v>
      </c>
      <c r="D8892" s="15">
        <v>7.26</v>
      </c>
      <c r="E8892" s="16" t="s">
        <v>30</v>
      </c>
    </row>
    <row r="8893" spans="1:5" x14ac:dyDescent="0.25">
      <c r="A8893" s="14">
        <v>48856002</v>
      </c>
      <c r="B8893" s="14" t="s">
        <v>9002</v>
      </c>
      <c r="C8893" s="14" t="s">
        <v>13029</v>
      </c>
      <c r="D8893" s="15">
        <v>7.26</v>
      </c>
      <c r="E8893" s="16" t="s">
        <v>30</v>
      </c>
    </row>
    <row r="8894" spans="1:5" x14ac:dyDescent="0.25">
      <c r="A8894" s="14">
        <v>49004001</v>
      </c>
      <c r="B8894" s="14" t="s">
        <v>9003</v>
      </c>
      <c r="C8894" s="14" t="s">
        <v>13029</v>
      </c>
      <c r="D8894" s="15">
        <v>12.63</v>
      </c>
      <c r="E8894" s="16" t="s">
        <v>30</v>
      </c>
    </row>
    <row r="8895" spans="1:5" x14ac:dyDescent="0.25">
      <c r="A8895" s="14">
        <v>49005001</v>
      </c>
      <c r="B8895" s="14" t="s">
        <v>9004</v>
      </c>
      <c r="C8895" s="14" t="s">
        <v>13029</v>
      </c>
      <c r="D8895" s="15">
        <v>17.37</v>
      </c>
      <c r="E8895" s="16" t="s">
        <v>30</v>
      </c>
    </row>
    <row r="8896" spans="1:5" x14ac:dyDescent="0.25">
      <c r="A8896" s="14">
        <v>49005004</v>
      </c>
      <c r="B8896" s="14" t="s">
        <v>9005</v>
      </c>
      <c r="C8896" s="14" t="s">
        <v>13029</v>
      </c>
      <c r="D8896" s="15">
        <v>11.74</v>
      </c>
      <c r="E8896" s="16" t="s">
        <v>30</v>
      </c>
    </row>
    <row r="8897" spans="1:5" x14ac:dyDescent="0.25">
      <c r="A8897" s="14">
        <v>49006001</v>
      </c>
      <c r="B8897" s="14" t="s">
        <v>9006</v>
      </c>
      <c r="C8897" s="14" t="s">
        <v>13029</v>
      </c>
      <c r="D8897" s="15">
        <v>22.88</v>
      </c>
      <c r="E8897" s="16" t="s">
        <v>30</v>
      </c>
    </row>
    <row r="8898" spans="1:5" x14ac:dyDescent="0.25">
      <c r="A8898" s="14">
        <v>49007001</v>
      </c>
      <c r="B8898" s="14" t="s">
        <v>9007</v>
      </c>
      <c r="C8898" s="14" t="s">
        <v>13029</v>
      </c>
      <c r="D8898" s="15">
        <v>14.85</v>
      </c>
      <c r="E8898" s="16" t="s">
        <v>30</v>
      </c>
    </row>
    <row r="8899" spans="1:5" x14ac:dyDescent="0.25">
      <c r="A8899" s="14">
        <v>49031002</v>
      </c>
      <c r="B8899" s="14" t="s">
        <v>9008</v>
      </c>
      <c r="C8899" s="14" t="s">
        <v>13029</v>
      </c>
      <c r="D8899" s="15">
        <v>14.95</v>
      </c>
      <c r="E8899" s="16" t="s">
        <v>30</v>
      </c>
    </row>
    <row r="8900" spans="1:5" x14ac:dyDescent="0.25">
      <c r="A8900" s="14">
        <v>49031004</v>
      </c>
      <c r="B8900" s="14" t="s">
        <v>9009</v>
      </c>
      <c r="C8900" s="14" t="s">
        <v>13029</v>
      </c>
      <c r="D8900" s="15">
        <v>14.95</v>
      </c>
      <c r="E8900" s="16" t="s">
        <v>30</v>
      </c>
    </row>
    <row r="8901" spans="1:5" x14ac:dyDescent="0.25">
      <c r="A8901" s="14">
        <v>49031005</v>
      </c>
      <c r="B8901" s="14" t="s">
        <v>9010</v>
      </c>
      <c r="C8901" s="14" t="s">
        <v>13029</v>
      </c>
      <c r="D8901" s="15">
        <v>11.18</v>
      </c>
      <c r="E8901" s="16" t="s">
        <v>30</v>
      </c>
    </row>
    <row r="8902" spans="1:5" x14ac:dyDescent="0.25">
      <c r="A8902" s="14">
        <v>49031006</v>
      </c>
      <c r="B8902" s="14" t="s">
        <v>9011</v>
      </c>
      <c r="C8902" s="14" t="s">
        <v>13029</v>
      </c>
      <c r="D8902" s="15">
        <v>11.3</v>
      </c>
      <c r="E8902" s="16" t="s">
        <v>30</v>
      </c>
    </row>
    <row r="8903" spans="1:5" x14ac:dyDescent="0.25">
      <c r="A8903" s="14">
        <v>48373001</v>
      </c>
      <c r="B8903" s="14" t="s">
        <v>9012</v>
      </c>
      <c r="C8903" s="14" t="s">
        <v>13031</v>
      </c>
      <c r="D8903" s="15">
        <v>12.78</v>
      </c>
      <c r="E8903" s="16" t="s">
        <v>20</v>
      </c>
    </row>
    <row r="8904" spans="1:5" x14ac:dyDescent="0.25">
      <c r="A8904" s="14">
        <v>48373002</v>
      </c>
      <c r="B8904" s="14" t="s">
        <v>9013</v>
      </c>
      <c r="C8904" s="14" t="s">
        <v>13031</v>
      </c>
      <c r="D8904" s="15">
        <v>12.97</v>
      </c>
      <c r="E8904" s="16" t="s">
        <v>20</v>
      </c>
    </row>
    <row r="8905" spans="1:5" x14ac:dyDescent="0.25">
      <c r="A8905" s="14">
        <v>48373007</v>
      </c>
      <c r="B8905" s="14" t="s">
        <v>9014</v>
      </c>
      <c r="C8905" s="14" t="s">
        <v>13031</v>
      </c>
      <c r="D8905" s="15">
        <v>12.71</v>
      </c>
      <c r="E8905" s="16" t="s">
        <v>20</v>
      </c>
    </row>
    <row r="8906" spans="1:5" x14ac:dyDescent="0.25">
      <c r="A8906" s="14">
        <v>49065001</v>
      </c>
      <c r="B8906" s="14" t="s">
        <v>9015</v>
      </c>
      <c r="C8906" s="14" t="s">
        <v>13030</v>
      </c>
      <c r="D8906" s="15">
        <v>90.96</v>
      </c>
      <c r="E8906" s="16" t="s">
        <v>30</v>
      </c>
    </row>
    <row r="8907" spans="1:5" x14ac:dyDescent="0.25">
      <c r="A8907" s="14">
        <v>49074001</v>
      </c>
      <c r="B8907" s="14" t="s">
        <v>9016</v>
      </c>
      <c r="C8907" s="14" t="s">
        <v>13030</v>
      </c>
      <c r="D8907" s="15">
        <v>32.82</v>
      </c>
      <c r="E8907" s="16" t="s">
        <v>30</v>
      </c>
    </row>
    <row r="8908" spans="1:5" x14ac:dyDescent="0.25">
      <c r="A8908" s="14">
        <v>49078001</v>
      </c>
      <c r="B8908" s="14" t="s">
        <v>9017</v>
      </c>
      <c r="C8908" s="14" t="s">
        <v>13030</v>
      </c>
      <c r="D8908" s="15">
        <v>70.400000000000006</v>
      </c>
      <c r="E8908" s="16" t="s">
        <v>30</v>
      </c>
    </row>
    <row r="8909" spans="1:5" x14ac:dyDescent="0.25">
      <c r="A8909" s="14">
        <v>49078002</v>
      </c>
      <c r="B8909" s="14" t="s">
        <v>9018</v>
      </c>
      <c r="C8909" s="14" t="s">
        <v>13030</v>
      </c>
      <c r="D8909" s="15">
        <v>70.39</v>
      </c>
      <c r="E8909" s="16" t="s">
        <v>30</v>
      </c>
    </row>
    <row r="8910" spans="1:5" x14ac:dyDescent="0.25">
      <c r="A8910" s="14">
        <v>49079001</v>
      </c>
      <c r="B8910" s="14" t="s">
        <v>9019</v>
      </c>
      <c r="C8910" s="14" t="s">
        <v>13030</v>
      </c>
      <c r="D8910" s="15">
        <v>125.55</v>
      </c>
      <c r="E8910" s="16" t="s">
        <v>30</v>
      </c>
    </row>
    <row r="8911" spans="1:5" x14ac:dyDescent="0.25">
      <c r="A8911" s="14">
        <v>49087002</v>
      </c>
      <c r="B8911" s="14" t="s">
        <v>9020</v>
      </c>
      <c r="C8911" s="14" t="s">
        <v>13030</v>
      </c>
      <c r="D8911" s="15">
        <v>48.94</v>
      </c>
      <c r="E8911" s="16" t="s">
        <v>30</v>
      </c>
    </row>
    <row r="8912" spans="1:5" x14ac:dyDescent="0.25">
      <c r="A8912" s="14">
        <v>48388001</v>
      </c>
      <c r="B8912" s="14" t="s">
        <v>9021</v>
      </c>
      <c r="C8912" s="14" t="s">
        <v>13031</v>
      </c>
      <c r="D8912" s="15">
        <v>1.96</v>
      </c>
      <c r="E8912" s="16" t="s">
        <v>20</v>
      </c>
    </row>
    <row r="8913" spans="1:5" x14ac:dyDescent="0.25">
      <c r="A8913" s="14">
        <v>48388002</v>
      </c>
      <c r="B8913" s="14" t="s">
        <v>9022</v>
      </c>
      <c r="C8913" s="14" t="s">
        <v>13031</v>
      </c>
      <c r="D8913" s="15">
        <v>1.96</v>
      </c>
      <c r="E8913" s="16" t="s">
        <v>20</v>
      </c>
    </row>
    <row r="8914" spans="1:5" x14ac:dyDescent="0.25">
      <c r="A8914" s="14">
        <v>48388003</v>
      </c>
      <c r="B8914" s="14" t="s">
        <v>9023</v>
      </c>
      <c r="C8914" s="14" t="s">
        <v>13031</v>
      </c>
      <c r="D8914" s="15">
        <v>1.96</v>
      </c>
      <c r="E8914" s="16" t="s">
        <v>20</v>
      </c>
    </row>
    <row r="8915" spans="1:5" x14ac:dyDescent="0.25">
      <c r="A8915" s="14">
        <v>48388004</v>
      </c>
      <c r="B8915" s="14" t="s">
        <v>9024</v>
      </c>
      <c r="C8915" s="14" t="s">
        <v>13031</v>
      </c>
      <c r="D8915" s="15">
        <v>1.96</v>
      </c>
      <c r="E8915" s="16" t="s">
        <v>20</v>
      </c>
    </row>
    <row r="8916" spans="1:5" x14ac:dyDescent="0.25">
      <c r="A8916" s="14">
        <v>48396001</v>
      </c>
      <c r="B8916" s="14" t="s">
        <v>9025</v>
      </c>
      <c r="C8916" s="14" t="s">
        <v>13031</v>
      </c>
      <c r="D8916" s="15">
        <v>6.82</v>
      </c>
      <c r="E8916" s="16" t="s">
        <v>20</v>
      </c>
    </row>
    <row r="8917" spans="1:5" x14ac:dyDescent="0.25">
      <c r="A8917" s="14">
        <v>49087004</v>
      </c>
      <c r="B8917" s="14" t="s">
        <v>9026</v>
      </c>
      <c r="C8917" s="14" t="s">
        <v>13030</v>
      </c>
      <c r="D8917" s="15">
        <v>48.94</v>
      </c>
      <c r="E8917" s="16" t="s">
        <v>30</v>
      </c>
    </row>
    <row r="8918" spans="1:5" x14ac:dyDescent="0.25">
      <c r="A8918" s="14">
        <v>49089001</v>
      </c>
      <c r="B8918" s="14" t="s">
        <v>9027</v>
      </c>
      <c r="C8918" s="14" t="s">
        <v>13030</v>
      </c>
      <c r="D8918" s="15">
        <v>26.86</v>
      </c>
      <c r="E8918" s="16" t="s">
        <v>30</v>
      </c>
    </row>
    <row r="8919" spans="1:5" x14ac:dyDescent="0.25">
      <c r="A8919" s="14">
        <v>49096001</v>
      </c>
      <c r="B8919" s="14" t="s">
        <v>9028</v>
      </c>
      <c r="C8919" s="14" t="s">
        <v>13030</v>
      </c>
      <c r="D8919" s="15">
        <v>12.52</v>
      </c>
      <c r="E8919" s="16" t="s">
        <v>30</v>
      </c>
    </row>
    <row r="8920" spans="1:5" x14ac:dyDescent="0.25">
      <c r="A8920" s="14">
        <v>49096002</v>
      </c>
      <c r="B8920" s="14" t="s">
        <v>9029</v>
      </c>
      <c r="C8920" s="14" t="s">
        <v>13030</v>
      </c>
      <c r="D8920" s="15">
        <v>11.93</v>
      </c>
      <c r="E8920" s="16" t="s">
        <v>30</v>
      </c>
    </row>
    <row r="8921" spans="1:5" x14ac:dyDescent="0.25">
      <c r="A8921" s="14">
        <v>49101001</v>
      </c>
      <c r="B8921" s="14" t="s">
        <v>9030</v>
      </c>
      <c r="C8921" s="14" t="s">
        <v>13029</v>
      </c>
      <c r="D8921" s="15">
        <v>5.55</v>
      </c>
      <c r="E8921" s="16" t="s">
        <v>30</v>
      </c>
    </row>
    <row r="8922" spans="1:5" x14ac:dyDescent="0.25">
      <c r="A8922" s="14">
        <v>49101002</v>
      </c>
      <c r="B8922" s="14" t="s">
        <v>9031</v>
      </c>
      <c r="C8922" s="14" t="s">
        <v>13029</v>
      </c>
      <c r="D8922" s="15">
        <v>5.55</v>
      </c>
      <c r="E8922" s="16" t="s">
        <v>30</v>
      </c>
    </row>
    <row r="8923" spans="1:5" x14ac:dyDescent="0.25">
      <c r="A8923" s="14">
        <v>49101003</v>
      </c>
      <c r="B8923" s="14" t="s">
        <v>9032</v>
      </c>
      <c r="C8923" s="14" t="s">
        <v>13029</v>
      </c>
      <c r="D8923" s="15">
        <v>5.55</v>
      </c>
      <c r="E8923" s="16" t="s">
        <v>30</v>
      </c>
    </row>
    <row r="8924" spans="1:5" x14ac:dyDescent="0.25">
      <c r="A8924" s="14">
        <v>49109001</v>
      </c>
      <c r="B8924" s="14" t="s">
        <v>9033</v>
      </c>
      <c r="C8924" s="14" t="s">
        <v>13029</v>
      </c>
      <c r="D8924" s="15">
        <v>7.4</v>
      </c>
      <c r="E8924" s="16" t="s">
        <v>30</v>
      </c>
    </row>
    <row r="8925" spans="1:5" x14ac:dyDescent="0.25">
      <c r="A8925" s="14">
        <v>49125001</v>
      </c>
      <c r="B8925" s="14" t="s">
        <v>9034</v>
      </c>
      <c r="C8925" s="14" t="s">
        <v>13031</v>
      </c>
      <c r="D8925" s="15">
        <v>2.2999999999999998</v>
      </c>
      <c r="E8925" s="16" t="s">
        <v>30</v>
      </c>
    </row>
    <row r="8926" spans="1:5" x14ac:dyDescent="0.25">
      <c r="A8926" s="14">
        <v>48406009</v>
      </c>
      <c r="B8926" s="14" t="s">
        <v>9035</v>
      </c>
      <c r="C8926" s="14" t="s">
        <v>13031</v>
      </c>
      <c r="D8926" s="15">
        <v>1.84</v>
      </c>
      <c r="E8926" s="16" t="s">
        <v>20</v>
      </c>
    </row>
    <row r="8927" spans="1:5" x14ac:dyDescent="0.25">
      <c r="A8927" s="14">
        <v>48406014</v>
      </c>
      <c r="B8927" s="14" t="s">
        <v>9036</v>
      </c>
      <c r="C8927" s="14" t="s">
        <v>13031</v>
      </c>
      <c r="D8927" s="15">
        <v>0</v>
      </c>
      <c r="E8927" s="16" t="s">
        <v>20</v>
      </c>
    </row>
    <row r="8928" spans="1:5" x14ac:dyDescent="0.25">
      <c r="A8928" s="14">
        <v>49125002</v>
      </c>
      <c r="B8928" s="14" t="s">
        <v>9037</v>
      </c>
      <c r="C8928" s="14" t="s">
        <v>13031</v>
      </c>
      <c r="D8928" s="15">
        <v>2.2999999999999998</v>
      </c>
      <c r="E8928" s="16" t="s">
        <v>30</v>
      </c>
    </row>
    <row r="8929" spans="1:5" x14ac:dyDescent="0.25">
      <c r="A8929" s="14">
        <v>49381001</v>
      </c>
      <c r="B8929" s="14" t="s">
        <v>9038</v>
      </c>
      <c r="C8929" s="14" t="s">
        <v>13030</v>
      </c>
      <c r="D8929" s="15">
        <v>40.61</v>
      </c>
      <c r="E8929" s="16" t="s">
        <v>30</v>
      </c>
    </row>
    <row r="8930" spans="1:5" x14ac:dyDescent="0.25">
      <c r="A8930" s="14">
        <v>49381002</v>
      </c>
      <c r="B8930" s="14" t="s">
        <v>9039</v>
      </c>
      <c r="C8930" s="14" t="s">
        <v>13030</v>
      </c>
      <c r="D8930" s="15">
        <v>40.61</v>
      </c>
      <c r="E8930" s="16" t="s">
        <v>30</v>
      </c>
    </row>
    <row r="8931" spans="1:5" x14ac:dyDescent="0.25">
      <c r="A8931" s="14">
        <v>49381003</v>
      </c>
      <c r="B8931" s="14" t="s">
        <v>9040</v>
      </c>
      <c r="C8931" s="14" t="s">
        <v>13030</v>
      </c>
      <c r="D8931" s="15">
        <v>40.61</v>
      </c>
      <c r="E8931" s="16" t="s">
        <v>30</v>
      </c>
    </row>
    <row r="8932" spans="1:5" x14ac:dyDescent="0.25">
      <c r="A8932" s="14">
        <v>49466004</v>
      </c>
      <c r="B8932" s="14" t="s">
        <v>9041</v>
      </c>
      <c r="C8932" s="14" t="s">
        <v>13029</v>
      </c>
      <c r="D8932" s="15">
        <v>3.03</v>
      </c>
      <c r="E8932" s="16" t="s">
        <v>30</v>
      </c>
    </row>
    <row r="8933" spans="1:5" x14ac:dyDescent="0.25">
      <c r="A8933" s="14">
        <v>49487004</v>
      </c>
      <c r="B8933" s="14" t="s">
        <v>9042</v>
      </c>
      <c r="C8933" s="14" t="s">
        <v>13031</v>
      </c>
      <c r="D8933" s="15">
        <v>10.98</v>
      </c>
      <c r="E8933" s="16" t="s">
        <v>30</v>
      </c>
    </row>
    <row r="8934" spans="1:5" x14ac:dyDescent="0.25">
      <c r="A8934" s="14">
        <v>49487005</v>
      </c>
      <c r="B8934" s="14" t="s">
        <v>9043</v>
      </c>
      <c r="C8934" s="14" t="s">
        <v>13031</v>
      </c>
      <c r="D8934" s="15">
        <v>11.99</v>
      </c>
      <c r="E8934" s="16" t="s">
        <v>30</v>
      </c>
    </row>
    <row r="8935" spans="1:5" x14ac:dyDescent="0.25">
      <c r="A8935" s="14">
        <v>49504001</v>
      </c>
      <c r="B8935" s="14" t="s">
        <v>9044</v>
      </c>
      <c r="C8935" s="14" t="s">
        <v>13031</v>
      </c>
      <c r="D8935" s="15">
        <v>16.53</v>
      </c>
      <c r="E8935" s="16" t="s">
        <v>30</v>
      </c>
    </row>
    <row r="8936" spans="1:5" x14ac:dyDescent="0.25">
      <c r="A8936" s="14">
        <v>49504003</v>
      </c>
      <c r="B8936" s="14" t="s">
        <v>9045</v>
      </c>
      <c r="C8936" s="14" t="s">
        <v>13031</v>
      </c>
      <c r="D8936" s="15">
        <v>16.53</v>
      </c>
      <c r="E8936" s="16" t="s">
        <v>30</v>
      </c>
    </row>
    <row r="8937" spans="1:5" x14ac:dyDescent="0.25">
      <c r="A8937" s="14">
        <v>49540001</v>
      </c>
      <c r="B8937" s="14" t="s">
        <v>9046</v>
      </c>
      <c r="C8937" s="14" t="s">
        <v>13029</v>
      </c>
      <c r="D8937" s="15">
        <v>10.76</v>
      </c>
      <c r="E8937" s="16" t="s">
        <v>30</v>
      </c>
    </row>
    <row r="8938" spans="1:5" x14ac:dyDescent="0.25">
      <c r="A8938" s="14">
        <v>49540002</v>
      </c>
      <c r="B8938" s="14" t="s">
        <v>9047</v>
      </c>
      <c r="C8938" s="14" t="s">
        <v>13029</v>
      </c>
      <c r="D8938" s="15">
        <v>10.76</v>
      </c>
      <c r="E8938" s="16" t="s">
        <v>30</v>
      </c>
    </row>
    <row r="8939" spans="1:5" x14ac:dyDescent="0.25">
      <c r="A8939" s="14">
        <v>49540004</v>
      </c>
      <c r="B8939" s="14" t="s">
        <v>9048</v>
      </c>
      <c r="C8939" s="14" t="s">
        <v>13029</v>
      </c>
      <c r="D8939" s="15">
        <v>10.76</v>
      </c>
      <c r="E8939" s="16" t="s">
        <v>30</v>
      </c>
    </row>
    <row r="8940" spans="1:5" x14ac:dyDescent="0.25">
      <c r="A8940" s="14">
        <v>49540005</v>
      </c>
      <c r="B8940" s="14" t="s">
        <v>9049</v>
      </c>
      <c r="C8940" s="14" t="s">
        <v>13029</v>
      </c>
      <c r="D8940" s="15">
        <v>10.77</v>
      </c>
      <c r="E8940" s="16" t="s">
        <v>30</v>
      </c>
    </row>
    <row r="8941" spans="1:5" x14ac:dyDescent="0.25">
      <c r="A8941" s="14">
        <v>49588001</v>
      </c>
      <c r="B8941" s="14" t="s">
        <v>9050</v>
      </c>
      <c r="C8941" s="14" t="s">
        <v>13030</v>
      </c>
      <c r="D8941" s="15">
        <v>33</v>
      </c>
      <c r="E8941" s="16" t="s">
        <v>30</v>
      </c>
    </row>
    <row r="8942" spans="1:5" x14ac:dyDescent="0.25">
      <c r="A8942" s="14">
        <v>49588002</v>
      </c>
      <c r="B8942" s="14" t="s">
        <v>9051</v>
      </c>
      <c r="C8942" s="14" t="s">
        <v>13030</v>
      </c>
      <c r="D8942" s="15">
        <v>44</v>
      </c>
      <c r="E8942" s="16" t="s">
        <v>30</v>
      </c>
    </row>
    <row r="8943" spans="1:5" x14ac:dyDescent="0.25">
      <c r="A8943" s="14">
        <v>49588003</v>
      </c>
      <c r="B8943" s="14" t="s">
        <v>9052</v>
      </c>
      <c r="C8943" s="14" t="s">
        <v>13030</v>
      </c>
      <c r="D8943" s="15">
        <v>44</v>
      </c>
      <c r="E8943" s="16" t="s">
        <v>30</v>
      </c>
    </row>
    <row r="8944" spans="1:5" x14ac:dyDescent="0.25">
      <c r="A8944" s="14">
        <v>49588004</v>
      </c>
      <c r="B8944" s="14" t="s">
        <v>9053</v>
      </c>
      <c r="C8944" s="14" t="s">
        <v>13030</v>
      </c>
      <c r="D8944" s="15">
        <v>44</v>
      </c>
      <c r="E8944" s="16" t="s">
        <v>30</v>
      </c>
    </row>
    <row r="8945" spans="1:5" x14ac:dyDescent="0.25">
      <c r="A8945" s="14">
        <v>49588005</v>
      </c>
      <c r="B8945" s="14" t="s">
        <v>9054</v>
      </c>
      <c r="C8945" s="14" t="s">
        <v>13030</v>
      </c>
      <c r="D8945" s="15">
        <v>44</v>
      </c>
      <c r="E8945" s="16" t="s">
        <v>30</v>
      </c>
    </row>
    <row r="8946" spans="1:5" x14ac:dyDescent="0.25">
      <c r="A8946" s="14">
        <v>49588006</v>
      </c>
      <c r="B8946" s="14" t="s">
        <v>9055</v>
      </c>
      <c r="C8946" s="14" t="s">
        <v>13030</v>
      </c>
      <c r="D8946" s="15">
        <v>44</v>
      </c>
      <c r="E8946" s="16" t="s">
        <v>30</v>
      </c>
    </row>
    <row r="8947" spans="1:5" x14ac:dyDescent="0.25">
      <c r="A8947" s="14">
        <v>49588007</v>
      </c>
      <c r="B8947" s="14" t="s">
        <v>9056</v>
      </c>
      <c r="C8947" s="14" t="s">
        <v>13030</v>
      </c>
      <c r="D8947" s="15">
        <v>33.44</v>
      </c>
      <c r="E8947" s="16" t="s">
        <v>30</v>
      </c>
    </row>
    <row r="8948" spans="1:5" x14ac:dyDescent="0.25">
      <c r="A8948" s="14">
        <v>49807001</v>
      </c>
      <c r="B8948" s="14" t="s">
        <v>9057</v>
      </c>
      <c r="C8948" s="14" t="s">
        <v>13031</v>
      </c>
      <c r="D8948" s="15">
        <v>1.76</v>
      </c>
      <c r="E8948" s="16" t="s">
        <v>30</v>
      </c>
    </row>
    <row r="8949" spans="1:5" x14ac:dyDescent="0.25">
      <c r="A8949" s="14">
        <v>49807004</v>
      </c>
      <c r="B8949" s="14" t="s">
        <v>9058</v>
      </c>
      <c r="C8949" s="14" t="s">
        <v>13031</v>
      </c>
      <c r="D8949" s="15">
        <v>1.76</v>
      </c>
      <c r="E8949" s="16" t="s">
        <v>30</v>
      </c>
    </row>
    <row r="8950" spans="1:5" x14ac:dyDescent="0.25">
      <c r="A8950" s="14">
        <v>48407004</v>
      </c>
      <c r="B8950" s="14" t="s">
        <v>9059</v>
      </c>
      <c r="C8950" s="14" t="s">
        <v>13031</v>
      </c>
      <c r="D8950" s="15">
        <v>0</v>
      </c>
      <c r="E8950" s="16" t="s">
        <v>20</v>
      </c>
    </row>
    <row r="8951" spans="1:5" x14ac:dyDescent="0.25">
      <c r="A8951" s="14">
        <v>48418001</v>
      </c>
      <c r="B8951" s="14" t="s">
        <v>9060</v>
      </c>
      <c r="C8951" s="14" t="s">
        <v>13031</v>
      </c>
      <c r="D8951" s="15">
        <v>3.5</v>
      </c>
      <c r="E8951" s="16" t="s">
        <v>20</v>
      </c>
    </row>
    <row r="8952" spans="1:5" x14ac:dyDescent="0.25">
      <c r="A8952" s="14">
        <v>48418002</v>
      </c>
      <c r="B8952" s="14" t="s">
        <v>9061</v>
      </c>
      <c r="C8952" s="14" t="s">
        <v>13031</v>
      </c>
      <c r="D8952" s="15">
        <v>3.5</v>
      </c>
      <c r="E8952" s="16" t="s">
        <v>20</v>
      </c>
    </row>
    <row r="8953" spans="1:5" x14ac:dyDescent="0.25">
      <c r="A8953" s="14">
        <v>48418016</v>
      </c>
      <c r="B8953" s="14" t="s">
        <v>9062</v>
      </c>
      <c r="C8953" s="14" t="s">
        <v>13031</v>
      </c>
      <c r="D8953" s="15">
        <v>3.5</v>
      </c>
      <c r="E8953" s="16" t="s">
        <v>20</v>
      </c>
    </row>
    <row r="8954" spans="1:5" x14ac:dyDescent="0.25">
      <c r="A8954" s="14">
        <v>49849001</v>
      </c>
      <c r="B8954" s="14" t="s">
        <v>9063</v>
      </c>
      <c r="C8954" s="14" t="s">
        <v>13031</v>
      </c>
      <c r="D8954" s="15">
        <v>6.95</v>
      </c>
      <c r="E8954" s="16" t="s">
        <v>30</v>
      </c>
    </row>
    <row r="8955" spans="1:5" x14ac:dyDescent="0.25">
      <c r="A8955" s="14">
        <v>50149001</v>
      </c>
      <c r="B8955" s="14" t="s">
        <v>9064</v>
      </c>
      <c r="C8955" s="14" t="s">
        <v>13031</v>
      </c>
      <c r="D8955" s="15">
        <v>8.23</v>
      </c>
      <c r="E8955" s="16" t="s">
        <v>30</v>
      </c>
    </row>
    <row r="8956" spans="1:5" x14ac:dyDescent="0.25">
      <c r="A8956" s="14">
        <v>50264001</v>
      </c>
      <c r="B8956" s="14" t="s">
        <v>9065</v>
      </c>
      <c r="C8956" s="14" t="s">
        <v>13031</v>
      </c>
      <c r="D8956" s="15">
        <v>1.37</v>
      </c>
      <c r="E8956" s="16" t="s">
        <v>30</v>
      </c>
    </row>
    <row r="8957" spans="1:5" x14ac:dyDescent="0.25">
      <c r="A8957" s="14">
        <v>50264002</v>
      </c>
      <c r="B8957" s="14" t="s">
        <v>9066</v>
      </c>
      <c r="C8957" s="14" t="s">
        <v>13031</v>
      </c>
      <c r="D8957" s="15">
        <v>1.37</v>
      </c>
      <c r="E8957" s="16" t="s">
        <v>30</v>
      </c>
    </row>
    <row r="8958" spans="1:5" x14ac:dyDescent="0.25">
      <c r="A8958" s="14">
        <v>50264013</v>
      </c>
      <c r="B8958" s="14" t="s">
        <v>9067</v>
      </c>
      <c r="C8958" s="14" t="s">
        <v>13031</v>
      </c>
      <c r="D8958" s="15">
        <v>1.37</v>
      </c>
      <c r="E8958" s="16" t="s">
        <v>30</v>
      </c>
    </row>
    <row r="8959" spans="1:5" x14ac:dyDescent="0.25">
      <c r="A8959" s="14">
        <v>50890003</v>
      </c>
      <c r="B8959" s="14" t="s">
        <v>9068</v>
      </c>
      <c r="C8959" s="14" t="s">
        <v>13029</v>
      </c>
      <c r="D8959" s="15">
        <v>10.039999999999999</v>
      </c>
      <c r="E8959" s="16" t="s">
        <v>30</v>
      </c>
    </row>
    <row r="8960" spans="1:5" x14ac:dyDescent="0.25">
      <c r="A8960" s="14">
        <v>51143002</v>
      </c>
      <c r="B8960" s="14" t="s">
        <v>9069</v>
      </c>
      <c r="C8960" s="14" t="s">
        <v>13029</v>
      </c>
      <c r="D8960" s="15">
        <v>41.35</v>
      </c>
      <c r="E8960" s="14" t="s">
        <v>30</v>
      </c>
    </row>
    <row r="8961" spans="1:5" x14ac:dyDescent="0.25">
      <c r="A8961" s="14">
        <v>51269001</v>
      </c>
      <c r="B8961" s="14" t="s">
        <v>9070</v>
      </c>
      <c r="C8961" s="14" t="s">
        <v>13029</v>
      </c>
      <c r="D8961" s="15">
        <v>19.059999999999999</v>
      </c>
      <c r="E8961" s="14" t="s">
        <v>30</v>
      </c>
    </row>
    <row r="8962" spans="1:5" x14ac:dyDescent="0.25">
      <c r="A8962" s="14">
        <v>51269002</v>
      </c>
      <c r="B8962" s="14" t="s">
        <v>9071</v>
      </c>
      <c r="C8962" s="14" t="s">
        <v>13029</v>
      </c>
      <c r="D8962" s="15">
        <v>19.059999999999999</v>
      </c>
      <c r="E8962" s="14" t="s">
        <v>30</v>
      </c>
    </row>
    <row r="8963" spans="1:5" x14ac:dyDescent="0.25">
      <c r="A8963" s="14">
        <v>48420001</v>
      </c>
      <c r="B8963" s="14" t="s">
        <v>9072</v>
      </c>
      <c r="C8963" s="14" t="s">
        <v>13031</v>
      </c>
      <c r="D8963" s="15">
        <v>4.2300000000000004</v>
      </c>
      <c r="E8963" s="16" t="s">
        <v>20</v>
      </c>
    </row>
    <row r="8964" spans="1:5" x14ac:dyDescent="0.25">
      <c r="A8964" s="14">
        <v>48423001</v>
      </c>
      <c r="B8964" s="14" t="s">
        <v>9073</v>
      </c>
      <c r="C8964" s="14" t="s">
        <v>13031</v>
      </c>
      <c r="D8964" s="15">
        <v>5.93</v>
      </c>
      <c r="E8964" s="16" t="s">
        <v>20</v>
      </c>
    </row>
    <row r="8965" spans="1:5" x14ac:dyDescent="0.25">
      <c r="A8965" s="14">
        <v>51270001</v>
      </c>
      <c r="B8965" s="14" t="s">
        <v>9074</v>
      </c>
      <c r="C8965" s="14" t="s">
        <v>13029</v>
      </c>
      <c r="D8965" s="15">
        <v>25.57</v>
      </c>
      <c r="E8965" s="14" t="s">
        <v>30</v>
      </c>
    </row>
    <row r="8966" spans="1:5" x14ac:dyDescent="0.25">
      <c r="A8966" s="14">
        <v>51270002</v>
      </c>
      <c r="B8966" s="14" t="s">
        <v>9075</v>
      </c>
      <c r="C8966" s="14" t="s">
        <v>13029</v>
      </c>
      <c r="D8966" s="15">
        <v>25.57</v>
      </c>
      <c r="E8966" s="14" t="s">
        <v>30</v>
      </c>
    </row>
    <row r="8967" spans="1:5" x14ac:dyDescent="0.25">
      <c r="A8967" s="14">
        <v>51496004</v>
      </c>
      <c r="B8967" s="14" t="s">
        <v>9076</v>
      </c>
      <c r="C8967" s="14" t="s">
        <v>13034</v>
      </c>
      <c r="D8967" s="15">
        <v>5.52</v>
      </c>
      <c r="E8967" s="16" t="s">
        <v>30</v>
      </c>
    </row>
    <row r="8968" spans="1:5" x14ac:dyDescent="0.25">
      <c r="A8968" s="14">
        <v>51501001</v>
      </c>
      <c r="B8968" s="14" t="s">
        <v>9077</v>
      </c>
      <c r="C8968" s="14" t="s">
        <v>13033</v>
      </c>
      <c r="D8968" s="15">
        <v>6.82</v>
      </c>
      <c r="E8968" s="16" t="s">
        <v>30</v>
      </c>
    </row>
    <row r="8969" spans="1:5" x14ac:dyDescent="0.25">
      <c r="A8969" s="14">
        <v>51501002</v>
      </c>
      <c r="B8969" s="14" t="s">
        <v>9078</v>
      </c>
      <c r="C8969" s="14" t="s">
        <v>13033</v>
      </c>
      <c r="D8969" s="15">
        <v>6.82</v>
      </c>
      <c r="E8969" s="16" t="s">
        <v>30</v>
      </c>
    </row>
    <row r="8970" spans="1:5" x14ac:dyDescent="0.25">
      <c r="A8970" s="14">
        <v>51501003</v>
      </c>
      <c r="B8970" s="14" t="s">
        <v>9079</v>
      </c>
      <c r="C8970" s="14" t="s">
        <v>13033</v>
      </c>
      <c r="D8970" s="15">
        <v>6.82</v>
      </c>
      <c r="E8970" s="16" t="s">
        <v>30</v>
      </c>
    </row>
    <row r="8971" spans="1:5" x14ac:dyDescent="0.25">
      <c r="A8971" s="14">
        <v>51501004</v>
      </c>
      <c r="B8971" s="14" t="s">
        <v>9080</v>
      </c>
      <c r="C8971" s="14" t="s">
        <v>13033</v>
      </c>
      <c r="D8971" s="15">
        <v>6.82</v>
      </c>
      <c r="E8971" s="16" t="s">
        <v>30</v>
      </c>
    </row>
    <row r="8972" spans="1:5" x14ac:dyDescent="0.25">
      <c r="A8972" s="14">
        <v>51501005</v>
      </c>
      <c r="B8972" s="14" t="s">
        <v>9081</v>
      </c>
      <c r="C8972" s="14" t="s">
        <v>13033</v>
      </c>
      <c r="D8972" s="15">
        <v>6.82</v>
      </c>
      <c r="E8972" s="16" t="s">
        <v>30</v>
      </c>
    </row>
    <row r="8973" spans="1:5" x14ac:dyDescent="0.25">
      <c r="A8973" s="14">
        <v>51502001</v>
      </c>
      <c r="B8973" s="14" t="s">
        <v>9082</v>
      </c>
      <c r="C8973" s="14" t="s">
        <v>13033</v>
      </c>
      <c r="D8973" s="15">
        <v>7.35</v>
      </c>
      <c r="E8973" s="16" t="s">
        <v>30</v>
      </c>
    </row>
    <row r="8974" spans="1:5" x14ac:dyDescent="0.25">
      <c r="A8974" s="14">
        <v>51502002</v>
      </c>
      <c r="B8974" s="14" t="s">
        <v>9083</v>
      </c>
      <c r="C8974" s="14" t="s">
        <v>13033</v>
      </c>
      <c r="D8974" s="15">
        <v>7.35</v>
      </c>
      <c r="E8974" s="16" t="s">
        <v>30</v>
      </c>
    </row>
    <row r="8975" spans="1:5" x14ac:dyDescent="0.25">
      <c r="A8975" s="14">
        <v>48423002</v>
      </c>
      <c r="B8975" s="14" t="s">
        <v>9084</v>
      </c>
      <c r="C8975" s="14" t="s">
        <v>13031</v>
      </c>
      <c r="D8975" s="15">
        <v>5.93</v>
      </c>
      <c r="E8975" s="16" t="s">
        <v>20</v>
      </c>
    </row>
    <row r="8976" spans="1:5" x14ac:dyDescent="0.25">
      <c r="A8976" s="14">
        <v>49463001</v>
      </c>
      <c r="B8976" s="14" t="s">
        <v>9085</v>
      </c>
      <c r="C8976" s="14" t="s">
        <v>13031</v>
      </c>
      <c r="D8976" s="15">
        <v>12.4</v>
      </c>
      <c r="E8976" s="16" t="s">
        <v>20</v>
      </c>
    </row>
    <row r="8977" spans="1:5" x14ac:dyDescent="0.25">
      <c r="A8977" s="14">
        <v>51502003</v>
      </c>
      <c r="B8977" s="14" t="s">
        <v>9086</v>
      </c>
      <c r="C8977" s="14" t="s">
        <v>13033</v>
      </c>
      <c r="D8977" s="15">
        <v>7.35</v>
      </c>
      <c r="E8977" s="16" t="s">
        <v>30</v>
      </c>
    </row>
    <row r="8978" spans="1:5" x14ac:dyDescent="0.25">
      <c r="A8978" s="14">
        <v>51502004</v>
      </c>
      <c r="B8978" s="14" t="s">
        <v>9087</v>
      </c>
      <c r="C8978" s="14" t="s">
        <v>13033</v>
      </c>
      <c r="D8978" s="15">
        <v>7.35</v>
      </c>
      <c r="E8978" s="16" t="s">
        <v>30</v>
      </c>
    </row>
    <row r="8979" spans="1:5" x14ac:dyDescent="0.25">
      <c r="A8979" s="14">
        <v>51502005</v>
      </c>
      <c r="B8979" s="14" t="s">
        <v>9088</v>
      </c>
      <c r="C8979" s="14" t="s">
        <v>13033</v>
      </c>
      <c r="D8979" s="15">
        <v>7.35</v>
      </c>
      <c r="E8979" s="16" t="s">
        <v>30</v>
      </c>
    </row>
    <row r="8980" spans="1:5" x14ac:dyDescent="0.25">
      <c r="A8980" s="14">
        <v>51685003</v>
      </c>
      <c r="B8980" s="14" t="s">
        <v>9089</v>
      </c>
      <c r="C8980" s="14" t="s">
        <v>13029</v>
      </c>
      <c r="D8980" s="15">
        <v>21.78</v>
      </c>
      <c r="E8980" s="16" t="s">
        <v>30</v>
      </c>
    </row>
    <row r="8981" spans="1:5" x14ac:dyDescent="0.25">
      <c r="A8981" s="14">
        <v>49463003</v>
      </c>
      <c r="B8981" s="14" t="s">
        <v>9090</v>
      </c>
      <c r="C8981" s="14" t="s">
        <v>13031</v>
      </c>
      <c r="D8981" s="15">
        <v>12.4</v>
      </c>
      <c r="E8981" s="16" t="s">
        <v>20</v>
      </c>
    </row>
    <row r="8982" spans="1:5" x14ac:dyDescent="0.25">
      <c r="A8982" s="14">
        <v>49463004</v>
      </c>
      <c r="B8982" s="14" t="s">
        <v>9091</v>
      </c>
      <c r="C8982" s="14" t="s">
        <v>13031</v>
      </c>
      <c r="D8982" s="15">
        <v>12.4</v>
      </c>
      <c r="E8982" s="16" t="s">
        <v>20</v>
      </c>
    </row>
    <row r="8983" spans="1:5" x14ac:dyDescent="0.25">
      <c r="A8983" s="14">
        <v>49463005</v>
      </c>
      <c r="B8983" s="14" t="s">
        <v>9092</v>
      </c>
      <c r="C8983" s="14" t="s">
        <v>13031</v>
      </c>
      <c r="D8983" s="15">
        <v>12.4</v>
      </c>
      <c r="E8983" s="16" t="s">
        <v>20</v>
      </c>
    </row>
    <row r="8984" spans="1:5" x14ac:dyDescent="0.25">
      <c r="A8984" s="14">
        <v>51689001</v>
      </c>
      <c r="B8984" s="14" t="s">
        <v>9093</v>
      </c>
      <c r="C8984" s="14" t="s">
        <v>13029</v>
      </c>
      <c r="D8984" s="15">
        <v>24.11</v>
      </c>
      <c r="E8984" s="14" t="s">
        <v>30</v>
      </c>
    </row>
    <row r="8985" spans="1:5" x14ac:dyDescent="0.25">
      <c r="A8985" s="14">
        <v>51798003</v>
      </c>
      <c r="B8985" s="14" t="s">
        <v>9094</v>
      </c>
      <c r="C8985" s="14" t="s">
        <v>13029</v>
      </c>
      <c r="D8985" s="15">
        <v>41.35</v>
      </c>
      <c r="E8985" s="14" t="s">
        <v>30</v>
      </c>
    </row>
    <row r="8986" spans="1:5" x14ac:dyDescent="0.25">
      <c r="A8986" s="14">
        <v>51881001</v>
      </c>
      <c r="B8986" s="14" t="s">
        <v>9095</v>
      </c>
      <c r="C8986" s="14" t="s">
        <v>13031</v>
      </c>
      <c r="D8986" s="15">
        <v>35.119999999999997</v>
      </c>
      <c r="E8986" s="16" t="s">
        <v>30</v>
      </c>
    </row>
    <row r="8987" spans="1:5" x14ac:dyDescent="0.25">
      <c r="A8987" s="14">
        <v>51881003</v>
      </c>
      <c r="B8987" s="14" t="s">
        <v>9096</v>
      </c>
      <c r="C8987" s="14" t="s">
        <v>13031</v>
      </c>
      <c r="D8987" s="15">
        <v>35.340000000000003</v>
      </c>
      <c r="E8987" s="16" t="s">
        <v>30</v>
      </c>
    </row>
    <row r="8988" spans="1:5" x14ac:dyDescent="0.25">
      <c r="A8988" s="14">
        <v>52214001</v>
      </c>
      <c r="B8988" s="14" t="s">
        <v>9097</v>
      </c>
      <c r="C8988" s="14" t="s">
        <v>13030</v>
      </c>
      <c r="D8988" s="15">
        <v>40.450000000000003</v>
      </c>
      <c r="E8988" s="16" t="s">
        <v>30</v>
      </c>
    </row>
    <row r="8989" spans="1:5" x14ac:dyDescent="0.25">
      <c r="A8989" s="14">
        <v>52214002</v>
      </c>
      <c r="B8989" s="14" t="s">
        <v>9098</v>
      </c>
      <c r="C8989" s="14" t="s">
        <v>13030</v>
      </c>
      <c r="D8989" s="15">
        <v>40.44</v>
      </c>
      <c r="E8989" s="16" t="s">
        <v>30</v>
      </c>
    </row>
    <row r="8990" spans="1:5" x14ac:dyDescent="0.25">
      <c r="A8990" s="14">
        <v>52214003</v>
      </c>
      <c r="B8990" s="14" t="s">
        <v>9099</v>
      </c>
      <c r="C8990" s="14" t="s">
        <v>13030</v>
      </c>
      <c r="D8990" s="15">
        <v>40.44</v>
      </c>
      <c r="E8990" s="16" t="s">
        <v>30</v>
      </c>
    </row>
    <row r="8991" spans="1:5" x14ac:dyDescent="0.25">
      <c r="A8991" s="14">
        <v>52214004</v>
      </c>
      <c r="B8991" s="14" t="s">
        <v>9100</v>
      </c>
      <c r="C8991" s="14" t="s">
        <v>13030</v>
      </c>
      <c r="D8991" s="15">
        <v>41.59</v>
      </c>
      <c r="E8991" s="16" t="s">
        <v>30</v>
      </c>
    </row>
    <row r="8992" spans="1:5" x14ac:dyDescent="0.25">
      <c r="A8992" s="14">
        <v>52304002</v>
      </c>
      <c r="B8992" s="14" t="s">
        <v>9101</v>
      </c>
      <c r="C8992" s="14" t="s">
        <v>13029</v>
      </c>
      <c r="D8992" s="15">
        <v>2.5</v>
      </c>
      <c r="E8992" s="16" t="s">
        <v>30</v>
      </c>
    </row>
    <row r="8993" spans="1:5" x14ac:dyDescent="0.25">
      <c r="A8993" s="14">
        <v>52359005</v>
      </c>
      <c r="B8993" s="14" t="s">
        <v>9102</v>
      </c>
      <c r="C8993" s="14" t="s">
        <v>13029</v>
      </c>
      <c r="D8993" s="15">
        <v>1.7</v>
      </c>
      <c r="E8993" s="16" t="s">
        <v>30</v>
      </c>
    </row>
    <row r="8994" spans="1:5" x14ac:dyDescent="0.25">
      <c r="A8994" s="14">
        <v>52759001</v>
      </c>
      <c r="B8994" s="14" t="s">
        <v>9103</v>
      </c>
      <c r="C8994" s="14" t="s">
        <v>13029</v>
      </c>
      <c r="D8994" s="15">
        <v>5.78</v>
      </c>
      <c r="E8994" s="16" t="s">
        <v>30</v>
      </c>
    </row>
    <row r="8995" spans="1:5" x14ac:dyDescent="0.25">
      <c r="A8995" s="14">
        <v>52759002</v>
      </c>
      <c r="B8995" s="14" t="s">
        <v>9104</v>
      </c>
      <c r="C8995" s="14" t="s">
        <v>13029</v>
      </c>
      <c r="D8995" s="15">
        <v>5.78</v>
      </c>
      <c r="E8995" s="16" t="s">
        <v>30</v>
      </c>
    </row>
    <row r="8996" spans="1:5" x14ac:dyDescent="0.25">
      <c r="A8996" s="14">
        <v>52759003</v>
      </c>
      <c r="B8996" s="14" t="s">
        <v>9105</v>
      </c>
      <c r="C8996" s="14" t="s">
        <v>13029</v>
      </c>
      <c r="D8996" s="15">
        <v>5.78</v>
      </c>
      <c r="E8996" s="16" t="s">
        <v>30</v>
      </c>
    </row>
    <row r="8997" spans="1:5" x14ac:dyDescent="0.25">
      <c r="A8997" s="14">
        <v>52760001</v>
      </c>
      <c r="B8997" s="14" t="s">
        <v>9106</v>
      </c>
      <c r="C8997" s="14" t="s">
        <v>13029</v>
      </c>
      <c r="D8997" s="15">
        <v>6.18</v>
      </c>
      <c r="E8997" s="16" t="s">
        <v>30</v>
      </c>
    </row>
    <row r="8998" spans="1:5" x14ac:dyDescent="0.25">
      <c r="A8998" s="14">
        <v>52760002</v>
      </c>
      <c r="B8998" s="14" t="s">
        <v>9107</v>
      </c>
      <c r="C8998" s="14" t="s">
        <v>13029</v>
      </c>
      <c r="D8998" s="15">
        <v>6.18</v>
      </c>
      <c r="E8998" s="16" t="s">
        <v>30</v>
      </c>
    </row>
    <row r="8999" spans="1:5" x14ac:dyDescent="0.25">
      <c r="A8999" s="14">
        <v>52760003</v>
      </c>
      <c r="B8999" s="14" t="s">
        <v>9108</v>
      </c>
      <c r="C8999" s="14" t="s">
        <v>13029</v>
      </c>
      <c r="D8999" s="15">
        <v>6.18</v>
      </c>
      <c r="E8999" s="16" t="s">
        <v>30</v>
      </c>
    </row>
    <row r="9000" spans="1:5" x14ac:dyDescent="0.25">
      <c r="A9000" s="14">
        <v>52761001</v>
      </c>
      <c r="B9000" s="14" t="s">
        <v>9109</v>
      </c>
      <c r="C9000" s="14" t="s">
        <v>13029</v>
      </c>
      <c r="D9000" s="15">
        <v>5.64</v>
      </c>
      <c r="E9000" s="16" t="s">
        <v>30</v>
      </c>
    </row>
    <row r="9001" spans="1:5" x14ac:dyDescent="0.25">
      <c r="A9001" s="14">
        <v>52761002</v>
      </c>
      <c r="B9001" s="14" t="s">
        <v>9110</v>
      </c>
      <c r="C9001" s="14" t="s">
        <v>13029</v>
      </c>
      <c r="D9001" s="15">
        <v>4.3600000000000003</v>
      </c>
      <c r="E9001" s="16" t="s">
        <v>30</v>
      </c>
    </row>
    <row r="9002" spans="1:5" x14ac:dyDescent="0.25">
      <c r="A9002" s="14">
        <v>52761003</v>
      </c>
      <c r="B9002" s="14" t="s">
        <v>9111</v>
      </c>
      <c r="C9002" s="14" t="s">
        <v>13029</v>
      </c>
      <c r="D9002" s="15">
        <v>5.64</v>
      </c>
      <c r="E9002" s="16" t="s">
        <v>30</v>
      </c>
    </row>
    <row r="9003" spans="1:5" x14ac:dyDescent="0.25">
      <c r="A9003" s="14">
        <v>53660002</v>
      </c>
      <c r="B9003" s="14" t="s">
        <v>9112</v>
      </c>
      <c r="C9003" s="14" t="s">
        <v>13029</v>
      </c>
      <c r="D9003" s="15">
        <v>11.1</v>
      </c>
      <c r="E9003" s="16" t="s">
        <v>30</v>
      </c>
    </row>
    <row r="9004" spans="1:5" x14ac:dyDescent="0.25">
      <c r="A9004" s="14">
        <v>54397001</v>
      </c>
      <c r="B9004" s="14" t="s">
        <v>9113</v>
      </c>
      <c r="C9004" s="14" t="s">
        <v>13030</v>
      </c>
      <c r="D9004" s="15">
        <v>13.15</v>
      </c>
      <c r="E9004" s="16" t="s">
        <v>30</v>
      </c>
    </row>
    <row r="9005" spans="1:5" x14ac:dyDescent="0.25">
      <c r="A9005" s="14">
        <v>54397002</v>
      </c>
      <c r="B9005" s="14" t="s">
        <v>9114</v>
      </c>
      <c r="C9005" s="14" t="s">
        <v>13030</v>
      </c>
      <c r="D9005" s="15">
        <v>13.15</v>
      </c>
      <c r="E9005" s="16" t="s">
        <v>30</v>
      </c>
    </row>
    <row r="9006" spans="1:5" x14ac:dyDescent="0.25">
      <c r="A9006" s="14">
        <v>54603001</v>
      </c>
      <c r="B9006" s="14" t="s">
        <v>9115</v>
      </c>
      <c r="C9006" s="14" t="s">
        <v>13029</v>
      </c>
      <c r="D9006" s="15">
        <v>16.88</v>
      </c>
      <c r="E9006" s="16" t="s">
        <v>30</v>
      </c>
    </row>
    <row r="9007" spans="1:5" x14ac:dyDescent="0.25">
      <c r="A9007" s="14">
        <v>54603002</v>
      </c>
      <c r="B9007" s="14" t="s">
        <v>9116</v>
      </c>
      <c r="C9007" s="14" t="s">
        <v>13029</v>
      </c>
      <c r="D9007" s="15">
        <v>16.88</v>
      </c>
      <c r="E9007" s="16" t="s">
        <v>30</v>
      </c>
    </row>
    <row r="9008" spans="1:5" x14ac:dyDescent="0.25">
      <c r="A9008" s="14">
        <v>54620001</v>
      </c>
      <c r="B9008" s="14" t="s">
        <v>9117</v>
      </c>
      <c r="C9008" s="14" t="s">
        <v>13029</v>
      </c>
      <c r="D9008" s="15">
        <v>15.7</v>
      </c>
      <c r="E9008" s="14" t="s">
        <v>30</v>
      </c>
    </row>
    <row r="9009" spans="1:5" x14ac:dyDescent="0.25">
      <c r="A9009" s="14">
        <v>54620002</v>
      </c>
      <c r="B9009" s="14" t="s">
        <v>9118</v>
      </c>
      <c r="C9009" s="14" t="s">
        <v>13029</v>
      </c>
      <c r="D9009" s="15">
        <v>15.7</v>
      </c>
      <c r="E9009" s="14" t="s">
        <v>30</v>
      </c>
    </row>
    <row r="9010" spans="1:5" x14ac:dyDescent="0.25">
      <c r="A9010" s="14">
        <v>54620004</v>
      </c>
      <c r="B9010" s="14" t="s">
        <v>9119</v>
      </c>
      <c r="C9010" s="14" t="s">
        <v>13029</v>
      </c>
      <c r="D9010" s="15">
        <v>15.7</v>
      </c>
      <c r="E9010" s="14" t="s">
        <v>30</v>
      </c>
    </row>
    <row r="9011" spans="1:5" x14ac:dyDescent="0.25">
      <c r="A9011" s="14">
        <v>54620005</v>
      </c>
      <c r="B9011" s="14" t="s">
        <v>9120</v>
      </c>
      <c r="C9011" s="14" t="s">
        <v>13029</v>
      </c>
      <c r="D9011" s="15">
        <v>15.7</v>
      </c>
      <c r="E9011" s="14" t="s">
        <v>30</v>
      </c>
    </row>
    <row r="9012" spans="1:5" x14ac:dyDescent="0.25">
      <c r="A9012" s="14">
        <v>54620006</v>
      </c>
      <c r="B9012" s="14" t="s">
        <v>9121</v>
      </c>
      <c r="C9012" s="14" t="s">
        <v>13029</v>
      </c>
      <c r="D9012" s="15">
        <v>15.7</v>
      </c>
      <c r="E9012" s="14" t="s">
        <v>30</v>
      </c>
    </row>
    <row r="9013" spans="1:5" x14ac:dyDescent="0.25">
      <c r="A9013" s="14">
        <v>54620009</v>
      </c>
      <c r="B9013" s="14" t="s">
        <v>9122</v>
      </c>
      <c r="C9013" s="14" t="s">
        <v>13029</v>
      </c>
      <c r="D9013" s="15">
        <v>15.7</v>
      </c>
      <c r="E9013" s="14" t="s">
        <v>30</v>
      </c>
    </row>
    <row r="9014" spans="1:5" x14ac:dyDescent="0.25">
      <c r="A9014" s="14">
        <v>54620010</v>
      </c>
      <c r="B9014" s="14" t="s">
        <v>9123</v>
      </c>
      <c r="C9014" s="14" t="s">
        <v>13029</v>
      </c>
      <c r="D9014" s="15">
        <v>15.7</v>
      </c>
      <c r="E9014" s="14" t="s">
        <v>30</v>
      </c>
    </row>
    <row r="9015" spans="1:5" x14ac:dyDescent="0.25">
      <c r="A9015" s="14">
        <v>54620015</v>
      </c>
      <c r="B9015" s="14" t="s">
        <v>9124</v>
      </c>
      <c r="C9015" s="14" t="s">
        <v>13029</v>
      </c>
      <c r="D9015" s="15">
        <v>15.7</v>
      </c>
      <c r="E9015" s="14" t="s">
        <v>30</v>
      </c>
    </row>
    <row r="9016" spans="1:5" x14ac:dyDescent="0.25">
      <c r="A9016" s="14">
        <v>54620025</v>
      </c>
      <c r="B9016" s="14" t="s">
        <v>9125</v>
      </c>
      <c r="C9016" s="14" t="s">
        <v>13029</v>
      </c>
      <c r="D9016" s="15">
        <v>15.7</v>
      </c>
      <c r="E9016" s="14" t="s">
        <v>30</v>
      </c>
    </row>
    <row r="9017" spans="1:5" x14ac:dyDescent="0.25">
      <c r="A9017" s="14">
        <v>54620026</v>
      </c>
      <c r="B9017" s="14" t="s">
        <v>9126</v>
      </c>
      <c r="C9017" s="14" t="s">
        <v>13029</v>
      </c>
      <c r="D9017" s="15">
        <v>15.7</v>
      </c>
      <c r="E9017" s="14" t="s">
        <v>30</v>
      </c>
    </row>
    <row r="9018" spans="1:5" x14ac:dyDescent="0.25">
      <c r="A9018" s="14">
        <v>54620030</v>
      </c>
      <c r="B9018" s="14" t="s">
        <v>9127</v>
      </c>
      <c r="C9018" s="14" t="s">
        <v>13029</v>
      </c>
      <c r="D9018" s="15">
        <v>15.7</v>
      </c>
      <c r="E9018" s="14" t="s">
        <v>30</v>
      </c>
    </row>
    <row r="9019" spans="1:5" x14ac:dyDescent="0.25">
      <c r="A9019" s="14">
        <v>54620039</v>
      </c>
      <c r="B9019" s="14" t="s">
        <v>9128</v>
      </c>
      <c r="C9019" s="14" t="s">
        <v>13029</v>
      </c>
      <c r="D9019" s="15">
        <v>15.7</v>
      </c>
      <c r="E9019" s="14" t="s">
        <v>30</v>
      </c>
    </row>
    <row r="9020" spans="1:5" x14ac:dyDescent="0.25">
      <c r="A9020" s="14">
        <v>54620041</v>
      </c>
      <c r="B9020" s="14" t="s">
        <v>9129</v>
      </c>
      <c r="C9020" s="14" t="s">
        <v>13029</v>
      </c>
      <c r="D9020" s="15">
        <v>15.7</v>
      </c>
      <c r="E9020" s="14" t="s">
        <v>30</v>
      </c>
    </row>
    <row r="9021" spans="1:5" x14ac:dyDescent="0.25">
      <c r="A9021" s="14">
        <v>54749001</v>
      </c>
      <c r="B9021" s="14" t="s">
        <v>9130</v>
      </c>
      <c r="C9021" s="14" t="s">
        <v>13029</v>
      </c>
      <c r="D9021" s="15">
        <v>8.2100000000000009</v>
      </c>
      <c r="E9021" s="16" t="s">
        <v>30</v>
      </c>
    </row>
    <row r="9022" spans="1:5" x14ac:dyDescent="0.25">
      <c r="A9022" s="14">
        <v>54749002</v>
      </c>
      <c r="B9022" s="14" t="s">
        <v>9131</v>
      </c>
      <c r="C9022" s="14" t="s">
        <v>13029</v>
      </c>
      <c r="D9022" s="15">
        <v>5.68</v>
      </c>
      <c r="E9022" s="16" t="s">
        <v>30</v>
      </c>
    </row>
    <row r="9023" spans="1:5" x14ac:dyDescent="0.25">
      <c r="A9023" s="14">
        <v>54749003</v>
      </c>
      <c r="B9023" s="14" t="s">
        <v>9132</v>
      </c>
      <c r="C9023" s="14" t="s">
        <v>13029</v>
      </c>
      <c r="D9023" s="15">
        <v>8.2100000000000009</v>
      </c>
      <c r="E9023" s="16" t="s">
        <v>30</v>
      </c>
    </row>
    <row r="9024" spans="1:5" x14ac:dyDescent="0.25">
      <c r="A9024" s="14">
        <v>54751001</v>
      </c>
      <c r="B9024" s="14" t="s">
        <v>9133</v>
      </c>
      <c r="C9024" s="14" t="s">
        <v>13029</v>
      </c>
      <c r="D9024" s="15">
        <v>5.62</v>
      </c>
      <c r="E9024" s="16" t="s">
        <v>30</v>
      </c>
    </row>
    <row r="9025" spans="1:5" x14ac:dyDescent="0.25">
      <c r="A9025" s="14">
        <v>54751002</v>
      </c>
      <c r="B9025" s="14" t="s">
        <v>9134</v>
      </c>
      <c r="C9025" s="14" t="s">
        <v>13029</v>
      </c>
      <c r="D9025" s="15">
        <v>3.95</v>
      </c>
      <c r="E9025" s="16" t="s">
        <v>30</v>
      </c>
    </row>
    <row r="9026" spans="1:5" x14ac:dyDescent="0.25">
      <c r="A9026" s="14">
        <v>54751003</v>
      </c>
      <c r="B9026" s="14" t="s">
        <v>9135</v>
      </c>
      <c r="C9026" s="14" t="s">
        <v>13029</v>
      </c>
      <c r="D9026" s="15">
        <v>5.62</v>
      </c>
      <c r="E9026" s="16" t="s">
        <v>30</v>
      </c>
    </row>
    <row r="9027" spans="1:5" x14ac:dyDescent="0.25">
      <c r="A9027" s="14">
        <v>54977001</v>
      </c>
      <c r="B9027" s="14" t="s">
        <v>9136</v>
      </c>
      <c r="C9027" s="14" t="s">
        <v>13029</v>
      </c>
      <c r="D9027" s="15">
        <v>5.04</v>
      </c>
      <c r="E9027" s="16" t="s">
        <v>30</v>
      </c>
    </row>
    <row r="9028" spans="1:5" x14ac:dyDescent="0.25">
      <c r="A9028" s="14">
        <v>49463006</v>
      </c>
      <c r="B9028" s="14" t="s">
        <v>9137</v>
      </c>
      <c r="C9028" s="14" t="s">
        <v>13031</v>
      </c>
      <c r="D9028" s="15">
        <v>12.4</v>
      </c>
      <c r="E9028" s="16" t="s">
        <v>20</v>
      </c>
    </row>
    <row r="9029" spans="1:5" x14ac:dyDescent="0.25">
      <c r="A9029" s="14">
        <v>49463010</v>
      </c>
      <c r="B9029" s="14" t="s">
        <v>9138</v>
      </c>
      <c r="C9029" s="14" t="s">
        <v>13031</v>
      </c>
      <c r="D9029" s="15">
        <v>12.4</v>
      </c>
      <c r="E9029" s="16" t="s">
        <v>20</v>
      </c>
    </row>
    <row r="9030" spans="1:5" x14ac:dyDescent="0.25">
      <c r="A9030" s="14">
        <v>54977002</v>
      </c>
      <c r="B9030" s="14" t="s">
        <v>9139</v>
      </c>
      <c r="C9030" s="14" t="s">
        <v>13029</v>
      </c>
      <c r="D9030" s="15">
        <v>5.04</v>
      </c>
      <c r="E9030" s="16" t="s">
        <v>30</v>
      </c>
    </row>
    <row r="9031" spans="1:5" x14ac:dyDescent="0.25">
      <c r="A9031" s="14">
        <v>54977003</v>
      </c>
      <c r="B9031" s="14" t="s">
        <v>9140</v>
      </c>
      <c r="C9031" s="14" t="s">
        <v>13029</v>
      </c>
      <c r="D9031" s="15">
        <v>5.04</v>
      </c>
      <c r="E9031" s="16" t="s">
        <v>30</v>
      </c>
    </row>
    <row r="9032" spans="1:5" x14ac:dyDescent="0.25">
      <c r="A9032" s="14">
        <v>55831001</v>
      </c>
      <c r="B9032" s="14" t="s">
        <v>9141</v>
      </c>
      <c r="C9032" s="14" t="s">
        <v>13031</v>
      </c>
      <c r="D9032" s="15">
        <v>17.55</v>
      </c>
      <c r="E9032" s="16" t="s">
        <v>30</v>
      </c>
    </row>
    <row r="9033" spans="1:5" x14ac:dyDescent="0.25">
      <c r="A9033" s="14">
        <v>55831002</v>
      </c>
      <c r="B9033" s="14" t="s">
        <v>9142</v>
      </c>
      <c r="C9033" s="14" t="s">
        <v>13031</v>
      </c>
      <c r="D9033" s="15">
        <v>17.55</v>
      </c>
      <c r="E9033" s="16" t="s">
        <v>30</v>
      </c>
    </row>
    <row r="9034" spans="1:5" x14ac:dyDescent="0.25">
      <c r="A9034" s="14">
        <v>55831003</v>
      </c>
      <c r="B9034" s="14" t="s">
        <v>9143</v>
      </c>
      <c r="C9034" s="14" t="s">
        <v>13031</v>
      </c>
      <c r="D9034" s="15">
        <v>17.55</v>
      </c>
      <c r="E9034" s="16" t="s">
        <v>30</v>
      </c>
    </row>
    <row r="9035" spans="1:5" x14ac:dyDescent="0.25">
      <c r="A9035" s="14">
        <v>56442001</v>
      </c>
      <c r="B9035" s="14" t="s">
        <v>9144</v>
      </c>
      <c r="C9035" s="14" t="s">
        <v>13031</v>
      </c>
      <c r="D9035" s="15">
        <v>4.6100000000000003</v>
      </c>
      <c r="E9035" s="16" t="s">
        <v>30</v>
      </c>
    </row>
    <row r="9036" spans="1:5" x14ac:dyDescent="0.25">
      <c r="A9036" s="14">
        <v>56442002</v>
      </c>
      <c r="B9036" s="14" t="s">
        <v>9145</v>
      </c>
      <c r="C9036" s="14" t="s">
        <v>13031</v>
      </c>
      <c r="D9036" s="15">
        <v>6.8</v>
      </c>
      <c r="E9036" s="16" t="s">
        <v>30</v>
      </c>
    </row>
    <row r="9037" spans="1:5" x14ac:dyDescent="0.25">
      <c r="A9037" s="14">
        <v>56442004</v>
      </c>
      <c r="B9037" s="14" t="s">
        <v>9146</v>
      </c>
      <c r="C9037" s="14" t="s">
        <v>13031</v>
      </c>
      <c r="D9037" s="15">
        <v>6.8</v>
      </c>
      <c r="E9037" s="16" t="s">
        <v>30</v>
      </c>
    </row>
    <row r="9038" spans="1:5" x14ac:dyDescent="0.25">
      <c r="A9038" s="14">
        <v>56905001</v>
      </c>
      <c r="B9038" s="14" t="s">
        <v>9147</v>
      </c>
      <c r="C9038" s="14" t="s">
        <v>13031</v>
      </c>
      <c r="D9038" s="15">
        <v>1.86</v>
      </c>
      <c r="E9038" s="16" t="s">
        <v>30</v>
      </c>
    </row>
    <row r="9039" spans="1:5" x14ac:dyDescent="0.25">
      <c r="A9039" s="14">
        <v>56905002</v>
      </c>
      <c r="B9039" s="14" t="s">
        <v>9148</v>
      </c>
      <c r="C9039" s="14" t="s">
        <v>13031</v>
      </c>
      <c r="D9039" s="15">
        <v>1.86</v>
      </c>
      <c r="E9039" s="16" t="s">
        <v>30</v>
      </c>
    </row>
    <row r="9040" spans="1:5" x14ac:dyDescent="0.25">
      <c r="A9040" s="14">
        <v>59393001</v>
      </c>
      <c r="B9040" s="14" t="s">
        <v>9149</v>
      </c>
      <c r="C9040" s="14" t="s">
        <v>13031</v>
      </c>
      <c r="D9040" s="15">
        <v>2.1</v>
      </c>
      <c r="E9040" s="16" t="s">
        <v>30</v>
      </c>
    </row>
    <row r="9041" spans="1:5" x14ac:dyDescent="0.25">
      <c r="A9041" s="14">
        <v>59393002</v>
      </c>
      <c r="B9041" s="14" t="s">
        <v>9150</v>
      </c>
      <c r="C9041" s="14" t="s">
        <v>13031</v>
      </c>
      <c r="D9041" s="15">
        <v>2.1</v>
      </c>
      <c r="E9041" s="16" t="s">
        <v>30</v>
      </c>
    </row>
    <row r="9042" spans="1:5" x14ac:dyDescent="0.25">
      <c r="A9042" s="14">
        <v>59404001</v>
      </c>
      <c r="B9042" s="14" t="s">
        <v>9151</v>
      </c>
      <c r="C9042" s="14" t="s">
        <v>13031</v>
      </c>
      <c r="D9042" s="15">
        <v>3.36</v>
      </c>
      <c r="E9042" s="16" t="s">
        <v>30</v>
      </c>
    </row>
    <row r="9043" spans="1:5" x14ac:dyDescent="0.25">
      <c r="A9043" s="14">
        <v>59419001</v>
      </c>
      <c r="B9043" s="14" t="s">
        <v>9152</v>
      </c>
      <c r="C9043" s="14" t="s">
        <v>13031</v>
      </c>
      <c r="D9043" s="15">
        <v>5.94</v>
      </c>
      <c r="E9043" s="16" t="s">
        <v>30</v>
      </c>
    </row>
    <row r="9044" spans="1:5" x14ac:dyDescent="0.25">
      <c r="A9044" s="14">
        <v>59419002</v>
      </c>
      <c r="B9044" s="14" t="s">
        <v>9153</v>
      </c>
      <c r="C9044" s="14" t="s">
        <v>13031</v>
      </c>
      <c r="D9044" s="15">
        <v>5.94</v>
      </c>
      <c r="E9044" s="16" t="s">
        <v>30</v>
      </c>
    </row>
    <row r="9045" spans="1:5" x14ac:dyDescent="0.25">
      <c r="A9045" s="14">
        <v>59421001</v>
      </c>
      <c r="B9045" s="14" t="s">
        <v>9154</v>
      </c>
      <c r="C9045" s="14" t="s">
        <v>13031</v>
      </c>
      <c r="D9045" s="15">
        <v>2.5299999999999998</v>
      </c>
      <c r="E9045" s="16" t="s">
        <v>30</v>
      </c>
    </row>
    <row r="9046" spans="1:5" x14ac:dyDescent="0.25">
      <c r="A9046" s="14">
        <v>49628001</v>
      </c>
      <c r="B9046" s="14" t="s">
        <v>9155</v>
      </c>
      <c r="C9046" s="14" t="s">
        <v>13031</v>
      </c>
      <c r="D9046" s="15">
        <v>12.43</v>
      </c>
      <c r="E9046" s="16" t="s">
        <v>20</v>
      </c>
    </row>
    <row r="9047" spans="1:5" x14ac:dyDescent="0.25">
      <c r="A9047" s="14">
        <v>51929001</v>
      </c>
      <c r="B9047" s="14" t="s">
        <v>9156</v>
      </c>
      <c r="C9047" s="14" t="s">
        <v>13031</v>
      </c>
      <c r="D9047" s="15">
        <v>12.97</v>
      </c>
      <c r="E9047" s="16" t="s">
        <v>20</v>
      </c>
    </row>
    <row r="9048" spans="1:5" x14ac:dyDescent="0.25">
      <c r="A9048" s="14">
        <v>52476001</v>
      </c>
      <c r="B9048" s="14" t="s">
        <v>9157</v>
      </c>
      <c r="C9048" s="14" t="s">
        <v>13031</v>
      </c>
      <c r="D9048" s="15">
        <v>13.05</v>
      </c>
      <c r="E9048" s="16" t="s">
        <v>20</v>
      </c>
    </row>
    <row r="9049" spans="1:5" x14ac:dyDescent="0.25">
      <c r="A9049" s="14">
        <v>52476005</v>
      </c>
      <c r="B9049" s="14" t="s">
        <v>9158</v>
      </c>
      <c r="C9049" s="14" t="s">
        <v>13031</v>
      </c>
      <c r="D9049" s="15">
        <v>13.05</v>
      </c>
      <c r="E9049" s="16" t="s">
        <v>20</v>
      </c>
    </row>
    <row r="9050" spans="1:5" x14ac:dyDescent="0.25">
      <c r="A9050" s="14">
        <v>59429002</v>
      </c>
      <c r="B9050" s="14" t="s">
        <v>9159</v>
      </c>
      <c r="C9050" s="14" t="s">
        <v>13031</v>
      </c>
      <c r="D9050" s="15">
        <v>6.07</v>
      </c>
      <c r="E9050" s="16" t="s">
        <v>30</v>
      </c>
    </row>
    <row r="9051" spans="1:5" x14ac:dyDescent="0.25">
      <c r="A9051" s="14">
        <v>59429003</v>
      </c>
      <c r="B9051" s="14" t="s">
        <v>9160</v>
      </c>
      <c r="C9051" s="14" t="s">
        <v>13031</v>
      </c>
      <c r="D9051" s="15">
        <v>6.07</v>
      </c>
      <c r="E9051" s="16" t="s">
        <v>30</v>
      </c>
    </row>
    <row r="9052" spans="1:5" x14ac:dyDescent="0.25">
      <c r="A9052" s="14">
        <v>59481001</v>
      </c>
      <c r="B9052" s="14" t="s">
        <v>9161</v>
      </c>
      <c r="C9052" s="14" t="s">
        <v>13031</v>
      </c>
      <c r="D9052" s="15">
        <v>47.6</v>
      </c>
      <c r="E9052" s="16" t="s">
        <v>30</v>
      </c>
    </row>
    <row r="9053" spans="1:5" x14ac:dyDescent="0.25">
      <c r="A9053" s="14">
        <v>59490001</v>
      </c>
      <c r="B9053" s="14" t="s">
        <v>9162</v>
      </c>
      <c r="C9053" s="14" t="s">
        <v>13031</v>
      </c>
      <c r="D9053" s="15">
        <v>8.81</v>
      </c>
      <c r="E9053" s="16" t="s">
        <v>30</v>
      </c>
    </row>
    <row r="9054" spans="1:5" x14ac:dyDescent="0.25">
      <c r="A9054" s="14">
        <v>59490002</v>
      </c>
      <c r="B9054" s="14" t="s">
        <v>9163</v>
      </c>
      <c r="C9054" s="14" t="s">
        <v>13031</v>
      </c>
      <c r="D9054" s="15">
        <v>8.81</v>
      </c>
      <c r="E9054" s="16" t="s">
        <v>30</v>
      </c>
    </row>
    <row r="9055" spans="1:5" x14ac:dyDescent="0.25">
      <c r="A9055" s="14">
        <v>52476006</v>
      </c>
      <c r="B9055" s="14" t="s">
        <v>9164</v>
      </c>
      <c r="C9055" s="14" t="s">
        <v>13031</v>
      </c>
      <c r="D9055" s="15">
        <v>13.05</v>
      </c>
      <c r="E9055" s="16" t="s">
        <v>20</v>
      </c>
    </row>
    <row r="9056" spans="1:5" x14ac:dyDescent="0.25">
      <c r="A9056" s="14">
        <v>59490003</v>
      </c>
      <c r="B9056" s="14" t="s">
        <v>9165</v>
      </c>
      <c r="C9056" s="14" t="s">
        <v>13031</v>
      </c>
      <c r="D9056" s="15">
        <v>8.81</v>
      </c>
      <c r="E9056" s="16" t="s">
        <v>30</v>
      </c>
    </row>
    <row r="9057" spans="1:5" x14ac:dyDescent="0.25">
      <c r="A9057" s="14">
        <v>52476007</v>
      </c>
      <c r="B9057" s="14" t="s">
        <v>9166</v>
      </c>
      <c r="C9057" s="14" t="s">
        <v>13031</v>
      </c>
      <c r="D9057" s="15">
        <v>13.05</v>
      </c>
      <c r="E9057" s="16" t="s">
        <v>20</v>
      </c>
    </row>
    <row r="9058" spans="1:5" x14ac:dyDescent="0.25">
      <c r="A9058" s="14">
        <v>52878001</v>
      </c>
      <c r="B9058" s="14" t="s">
        <v>9167</v>
      </c>
      <c r="C9058" s="14" t="s">
        <v>13031</v>
      </c>
      <c r="D9058" s="15">
        <v>5.65</v>
      </c>
      <c r="E9058" s="16" t="s">
        <v>20</v>
      </c>
    </row>
    <row r="9059" spans="1:5" x14ac:dyDescent="0.25">
      <c r="A9059" s="14">
        <v>59507002</v>
      </c>
      <c r="B9059" s="14" t="s">
        <v>9168</v>
      </c>
      <c r="C9059" s="14" t="s">
        <v>13031</v>
      </c>
      <c r="D9059" s="15">
        <v>20.25</v>
      </c>
      <c r="E9059" s="16" t="s">
        <v>30</v>
      </c>
    </row>
    <row r="9060" spans="1:5" x14ac:dyDescent="0.25">
      <c r="A9060" s="14">
        <v>59507003</v>
      </c>
      <c r="B9060" s="14" t="s">
        <v>9169</v>
      </c>
      <c r="C9060" s="14" t="s">
        <v>13031</v>
      </c>
      <c r="D9060" s="15">
        <v>20.25</v>
      </c>
      <c r="E9060" s="16" t="s">
        <v>30</v>
      </c>
    </row>
    <row r="9061" spans="1:5" x14ac:dyDescent="0.25">
      <c r="A9061" s="14">
        <v>59508001</v>
      </c>
      <c r="B9061" s="14" t="s">
        <v>9170</v>
      </c>
      <c r="C9061" s="14" t="s">
        <v>13031</v>
      </c>
      <c r="D9061" s="15">
        <v>16.61</v>
      </c>
      <c r="E9061" s="16" t="s">
        <v>30</v>
      </c>
    </row>
    <row r="9062" spans="1:5" x14ac:dyDescent="0.25">
      <c r="A9062" s="14">
        <v>59509001</v>
      </c>
      <c r="B9062" s="14" t="s">
        <v>9171</v>
      </c>
      <c r="C9062" s="14" t="s">
        <v>13031</v>
      </c>
      <c r="D9062" s="15">
        <v>8.98</v>
      </c>
      <c r="E9062" s="16" t="s">
        <v>30</v>
      </c>
    </row>
    <row r="9063" spans="1:5" x14ac:dyDescent="0.25">
      <c r="A9063" s="14">
        <v>59509002</v>
      </c>
      <c r="B9063" s="14" t="s">
        <v>9172</v>
      </c>
      <c r="C9063" s="14" t="s">
        <v>13031</v>
      </c>
      <c r="D9063" s="15">
        <v>8.98</v>
      </c>
      <c r="E9063" s="16" t="s">
        <v>30</v>
      </c>
    </row>
    <row r="9064" spans="1:5" x14ac:dyDescent="0.25">
      <c r="A9064" s="14">
        <v>59553001</v>
      </c>
      <c r="B9064" s="14" t="s">
        <v>9173</v>
      </c>
      <c r="C9064" s="14" t="s">
        <v>13030</v>
      </c>
      <c r="D9064" s="15">
        <v>27.23</v>
      </c>
      <c r="E9064" s="16" t="s">
        <v>30</v>
      </c>
    </row>
    <row r="9065" spans="1:5" x14ac:dyDescent="0.25">
      <c r="A9065" s="14">
        <v>59553002</v>
      </c>
      <c r="B9065" s="14" t="s">
        <v>9174</v>
      </c>
      <c r="C9065" s="14" t="s">
        <v>13030</v>
      </c>
      <c r="D9065" s="15">
        <v>27.23</v>
      </c>
      <c r="E9065" s="16" t="s">
        <v>30</v>
      </c>
    </row>
    <row r="9066" spans="1:5" x14ac:dyDescent="0.25">
      <c r="A9066" s="14">
        <v>59559001</v>
      </c>
      <c r="B9066" s="14" t="s">
        <v>9175</v>
      </c>
      <c r="C9066" s="14" t="s">
        <v>13030</v>
      </c>
      <c r="D9066" s="15">
        <v>27.95</v>
      </c>
      <c r="E9066" s="16" t="s">
        <v>30</v>
      </c>
    </row>
    <row r="9067" spans="1:5" x14ac:dyDescent="0.25">
      <c r="A9067" s="14">
        <v>59559002</v>
      </c>
      <c r="B9067" s="14" t="s">
        <v>9176</v>
      </c>
      <c r="C9067" s="14" t="s">
        <v>13030</v>
      </c>
      <c r="D9067" s="15">
        <v>27.95</v>
      </c>
      <c r="E9067" s="16" t="s">
        <v>30</v>
      </c>
    </row>
    <row r="9068" spans="1:5" x14ac:dyDescent="0.25">
      <c r="A9068" s="14">
        <v>59560001</v>
      </c>
      <c r="B9068" s="14" t="s">
        <v>9177</v>
      </c>
      <c r="C9068" s="14" t="s">
        <v>13030</v>
      </c>
      <c r="D9068" s="15">
        <v>39.549999999999997</v>
      </c>
      <c r="E9068" s="16" t="s">
        <v>30</v>
      </c>
    </row>
    <row r="9069" spans="1:5" x14ac:dyDescent="0.25">
      <c r="A9069" s="14">
        <v>59560002</v>
      </c>
      <c r="B9069" s="14" t="s">
        <v>9178</v>
      </c>
      <c r="C9069" s="14" t="s">
        <v>13030</v>
      </c>
      <c r="D9069" s="15">
        <v>39.549999999999997</v>
      </c>
      <c r="E9069" s="16" t="s">
        <v>30</v>
      </c>
    </row>
    <row r="9070" spans="1:5" x14ac:dyDescent="0.25">
      <c r="A9070" s="14">
        <v>59565001</v>
      </c>
      <c r="B9070" s="14" t="s">
        <v>9179</v>
      </c>
      <c r="C9070" s="14" t="s">
        <v>13030</v>
      </c>
      <c r="D9070" s="15">
        <v>72.900000000000006</v>
      </c>
      <c r="E9070" s="16" t="s">
        <v>30</v>
      </c>
    </row>
    <row r="9071" spans="1:5" x14ac:dyDescent="0.25">
      <c r="A9071" s="14">
        <v>59565002</v>
      </c>
      <c r="B9071" s="14" t="s">
        <v>9180</v>
      </c>
      <c r="C9071" s="14" t="s">
        <v>13030</v>
      </c>
      <c r="D9071" s="15">
        <v>72.900000000000006</v>
      </c>
      <c r="E9071" s="16" t="s">
        <v>30</v>
      </c>
    </row>
    <row r="9072" spans="1:5" x14ac:dyDescent="0.25">
      <c r="A9072" s="14">
        <v>59569001</v>
      </c>
      <c r="B9072" s="14" t="s">
        <v>9181</v>
      </c>
      <c r="C9072" s="14" t="s">
        <v>13030</v>
      </c>
      <c r="D9072" s="15">
        <v>35.94</v>
      </c>
      <c r="E9072" s="16" t="s">
        <v>30</v>
      </c>
    </row>
    <row r="9073" spans="1:5" x14ac:dyDescent="0.25">
      <c r="A9073" s="14">
        <v>59569002</v>
      </c>
      <c r="B9073" s="14" t="s">
        <v>9182</v>
      </c>
      <c r="C9073" s="14" t="s">
        <v>13030</v>
      </c>
      <c r="D9073" s="15">
        <v>35.94</v>
      </c>
      <c r="E9073" s="16" t="s">
        <v>30</v>
      </c>
    </row>
    <row r="9074" spans="1:5" x14ac:dyDescent="0.25">
      <c r="A9074" s="14">
        <v>59569003</v>
      </c>
      <c r="B9074" s="14" t="s">
        <v>9183</v>
      </c>
      <c r="C9074" s="14" t="s">
        <v>13030</v>
      </c>
      <c r="D9074" s="15">
        <v>35.94</v>
      </c>
      <c r="E9074" s="16" t="s">
        <v>30</v>
      </c>
    </row>
    <row r="9075" spans="1:5" x14ac:dyDescent="0.25">
      <c r="A9075" s="14">
        <v>59569004</v>
      </c>
      <c r="B9075" s="14" t="s">
        <v>9184</v>
      </c>
      <c r="C9075" s="14" t="s">
        <v>13030</v>
      </c>
      <c r="D9075" s="15">
        <v>35.94</v>
      </c>
      <c r="E9075" s="16" t="s">
        <v>30</v>
      </c>
    </row>
    <row r="9076" spans="1:5" x14ac:dyDescent="0.25">
      <c r="A9076" s="14">
        <v>52878002</v>
      </c>
      <c r="B9076" s="14" t="s">
        <v>9185</v>
      </c>
      <c r="C9076" s="14" t="s">
        <v>13031</v>
      </c>
      <c r="D9076" s="15">
        <v>5.65</v>
      </c>
      <c r="E9076" s="16" t="s">
        <v>20</v>
      </c>
    </row>
    <row r="9077" spans="1:5" x14ac:dyDescent="0.25">
      <c r="A9077" s="14">
        <v>54975004</v>
      </c>
      <c r="B9077" s="14" t="s">
        <v>9186</v>
      </c>
      <c r="C9077" s="14" t="s">
        <v>13031</v>
      </c>
      <c r="D9077" s="15">
        <v>7.33</v>
      </c>
      <c r="E9077" s="16" t="s">
        <v>20</v>
      </c>
    </row>
    <row r="9078" spans="1:5" x14ac:dyDescent="0.25">
      <c r="A9078" s="14">
        <v>54975005</v>
      </c>
      <c r="B9078" s="14" t="s">
        <v>9187</v>
      </c>
      <c r="C9078" s="14" t="s">
        <v>13031</v>
      </c>
      <c r="D9078" s="15">
        <v>7.33</v>
      </c>
      <c r="E9078" s="16" t="s">
        <v>20</v>
      </c>
    </row>
    <row r="9079" spans="1:5" x14ac:dyDescent="0.25">
      <c r="A9079" s="14">
        <v>59573001</v>
      </c>
      <c r="B9079" s="14" t="s">
        <v>9188</v>
      </c>
      <c r="C9079" s="14" t="s">
        <v>13030</v>
      </c>
      <c r="D9079" s="15">
        <v>32.36</v>
      </c>
      <c r="E9079" s="16" t="s">
        <v>30</v>
      </c>
    </row>
    <row r="9080" spans="1:5" x14ac:dyDescent="0.25">
      <c r="A9080" s="14">
        <v>59573003</v>
      </c>
      <c r="B9080" s="14" t="s">
        <v>9189</v>
      </c>
      <c r="C9080" s="14" t="s">
        <v>13030</v>
      </c>
      <c r="D9080" s="15">
        <v>30.92</v>
      </c>
      <c r="E9080" s="16" t="s">
        <v>30</v>
      </c>
    </row>
    <row r="9081" spans="1:5" x14ac:dyDescent="0.25">
      <c r="A9081" s="14">
        <v>59574001</v>
      </c>
      <c r="B9081" s="14" t="s">
        <v>9190</v>
      </c>
      <c r="C9081" s="14" t="s">
        <v>13030</v>
      </c>
      <c r="D9081" s="15">
        <v>22.23</v>
      </c>
      <c r="E9081" s="16" t="s">
        <v>30</v>
      </c>
    </row>
    <row r="9082" spans="1:5" x14ac:dyDescent="0.25">
      <c r="A9082" s="14">
        <v>59574002</v>
      </c>
      <c r="B9082" s="14" t="s">
        <v>9191</v>
      </c>
      <c r="C9082" s="14" t="s">
        <v>13030</v>
      </c>
      <c r="D9082" s="15">
        <v>22.19</v>
      </c>
      <c r="E9082" s="16" t="s">
        <v>30</v>
      </c>
    </row>
    <row r="9083" spans="1:5" x14ac:dyDescent="0.25">
      <c r="A9083" s="14">
        <v>59578001</v>
      </c>
      <c r="B9083" s="14" t="s">
        <v>86</v>
      </c>
      <c r="C9083" s="14" t="s">
        <v>13030</v>
      </c>
      <c r="D9083" s="15">
        <v>44.18</v>
      </c>
      <c r="E9083" s="16" t="s">
        <v>30</v>
      </c>
    </row>
    <row r="9084" spans="1:5" x14ac:dyDescent="0.25">
      <c r="A9084" s="14">
        <v>59579002</v>
      </c>
      <c r="B9084" s="14" t="s">
        <v>9192</v>
      </c>
      <c r="C9084" s="14" t="s">
        <v>13030</v>
      </c>
      <c r="D9084" s="15">
        <v>41.73</v>
      </c>
      <c r="E9084" s="16" t="s">
        <v>30</v>
      </c>
    </row>
    <row r="9085" spans="1:5" x14ac:dyDescent="0.25">
      <c r="A9085" s="14">
        <v>59579003</v>
      </c>
      <c r="B9085" s="14" t="s">
        <v>9193</v>
      </c>
      <c r="C9085" s="14" t="s">
        <v>13030</v>
      </c>
      <c r="D9085" s="15">
        <v>41.72</v>
      </c>
      <c r="E9085" s="16" t="s">
        <v>30</v>
      </c>
    </row>
    <row r="9086" spans="1:5" x14ac:dyDescent="0.25">
      <c r="A9086" s="14">
        <v>59579004</v>
      </c>
      <c r="B9086" s="14" t="s">
        <v>9194</v>
      </c>
      <c r="C9086" s="14" t="s">
        <v>13030</v>
      </c>
      <c r="D9086" s="15">
        <v>41.87</v>
      </c>
      <c r="E9086" s="16" t="s">
        <v>30</v>
      </c>
    </row>
    <row r="9087" spans="1:5" x14ac:dyDescent="0.25">
      <c r="A9087" s="14">
        <v>59580001</v>
      </c>
      <c r="B9087" s="14" t="s">
        <v>9195</v>
      </c>
      <c r="C9087" s="14" t="s">
        <v>13030</v>
      </c>
      <c r="D9087" s="15">
        <v>32.39</v>
      </c>
      <c r="E9087" s="16" t="s">
        <v>30</v>
      </c>
    </row>
    <row r="9088" spans="1:5" x14ac:dyDescent="0.25">
      <c r="A9088" s="14">
        <v>59583001</v>
      </c>
      <c r="B9088" s="14" t="s">
        <v>9196</v>
      </c>
      <c r="C9088" s="14" t="s">
        <v>13030</v>
      </c>
      <c r="D9088" s="15">
        <v>21.54</v>
      </c>
      <c r="E9088" s="16" t="s">
        <v>30</v>
      </c>
    </row>
    <row r="9089" spans="1:5" x14ac:dyDescent="0.25">
      <c r="A9089" s="14">
        <v>59583002</v>
      </c>
      <c r="B9089" s="14" t="s">
        <v>9197</v>
      </c>
      <c r="C9089" s="14" t="s">
        <v>13030</v>
      </c>
      <c r="D9089" s="15">
        <v>21.55</v>
      </c>
      <c r="E9089" s="16" t="s">
        <v>30</v>
      </c>
    </row>
    <row r="9090" spans="1:5" x14ac:dyDescent="0.25">
      <c r="A9090" s="14">
        <v>59585001</v>
      </c>
      <c r="B9090" s="14" t="s">
        <v>9198</v>
      </c>
      <c r="C9090" s="14" t="s">
        <v>13030</v>
      </c>
      <c r="D9090" s="15">
        <v>38.090000000000003</v>
      </c>
      <c r="E9090" s="16" t="s">
        <v>30</v>
      </c>
    </row>
    <row r="9091" spans="1:5" x14ac:dyDescent="0.25">
      <c r="A9091" s="14">
        <v>59585002</v>
      </c>
      <c r="B9091" s="14" t="s">
        <v>9199</v>
      </c>
      <c r="C9091" s="14" t="s">
        <v>13030</v>
      </c>
      <c r="D9091" s="15">
        <v>34.700000000000003</v>
      </c>
      <c r="E9091" s="16" t="s">
        <v>30</v>
      </c>
    </row>
    <row r="9092" spans="1:5" x14ac:dyDescent="0.25">
      <c r="A9092" s="14">
        <v>59591001</v>
      </c>
      <c r="B9092" s="14" t="s">
        <v>9200</v>
      </c>
      <c r="C9092" s="14" t="s">
        <v>13030</v>
      </c>
      <c r="D9092" s="15">
        <v>27.54</v>
      </c>
      <c r="E9092" s="16" t="s">
        <v>30</v>
      </c>
    </row>
    <row r="9093" spans="1:5" x14ac:dyDescent="0.25">
      <c r="A9093" s="14">
        <v>59591002</v>
      </c>
      <c r="B9093" s="14" t="s">
        <v>9201</v>
      </c>
      <c r="C9093" s="14" t="s">
        <v>13030</v>
      </c>
      <c r="D9093" s="15">
        <v>27.54</v>
      </c>
      <c r="E9093" s="16" t="s">
        <v>30</v>
      </c>
    </row>
    <row r="9094" spans="1:5" x14ac:dyDescent="0.25">
      <c r="A9094" s="14">
        <v>59597001</v>
      </c>
      <c r="B9094" s="14" t="s">
        <v>9202</v>
      </c>
      <c r="C9094" s="14" t="s">
        <v>13029</v>
      </c>
      <c r="D9094" s="15">
        <v>11.06</v>
      </c>
      <c r="E9094" s="16" t="s">
        <v>30</v>
      </c>
    </row>
    <row r="9095" spans="1:5" x14ac:dyDescent="0.25">
      <c r="A9095" s="14">
        <v>59597002</v>
      </c>
      <c r="B9095" s="14" t="s">
        <v>9203</v>
      </c>
      <c r="C9095" s="14" t="s">
        <v>13029</v>
      </c>
      <c r="D9095" s="15">
        <v>11.06</v>
      </c>
      <c r="E9095" s="16" t="s">
        <v>30</v>
      </c>
    </row>
    <row r="9096" spans="1:5" x14ac:dyDescent="0.25">
      <c r="A9096" s="14">
        <v>59597003</v>
      </c>
      <c r="B9096" s="14" t="s">
        <v>9204</v>
      </c>
      <c r="C9096" s="14" t="s">
        <v>13029</v>
      </c>
      <c r="D9096" s="15">
        <v>11.06</v>
      </c>
      <c r="E9096" s="16" t="s">
        <v>30</v>
      </c>
    </row>
    <row r="9097" spans="1:5" x14ac:dyDescent="0.25">
      <c r="A9097" s="14">
        <v>59599002</v>
      </c>
      <c r="B9097" s="14" t="s">
        <v>9205</v>
      </c>
      <c r="C9097" s="14" t="s">
        <v>13029</v>
      </c>
      <c r="D9097" s="15">
        <v>14.74</v>
      </c>
      <c r="E9097" s="16" t="s">
        <v>30</v>
      </c>
    </row>
    <row r="9098" spans="1:5" x14ac:dyDescent="0.25">
      <c r="A9098" s="14">
        <v>59607001</v>
      </c>
      <c r="B9098" s="14" t="s">
        <v>9206</v>
      </c>
      <c r="C9098" s="14" t="s">
        <v>13029</v>
      </c>
      <c r="D9098" s="15">
        <v>9.01</v>
      </c>
      <c r="E9098" s="16" t="s">
        <v>30</v>
      </c>
    </row>
    <row r="9099" spans="1:5" x14ac:dyDescent="0.25">
      <c r="A9099" s="14">
        <v>59607002</v>
      </c>
      <c r="B9099" s="14" t="s">
        <v>9207</v>
      </c>
      <c r="C9099" s="14" t="s">
        <v>13029</v>
      </c>
      <c r="D9099" s="15">
        <v>9.01</v>
      </c>
      <c r="E9099" s="16" t="s">
        <v>30</v>
      </c>
    </row>
    <row r="9100" spans="1:5" x14ac:dyDescent="0.25">
      <c r="A9100" s="14">
        <v>59609001</v>
      </c>
      <c r="B9100" s="14" t="s">
        <v>9208</v>
      </c>
      <c r="C9100" s="14" t="s">
        <v>13029</v>
      </c>
      <c r="D9100" s="15">
        <v>20.52</v>
      </c>
      <c r="E9100" s="16" t="s">
        <v>30</v>
      </c>
    </row>
    <row r="9101" spans="1:5" x14ac:dyDescent="0.25">
      <c r="A9101" s="14">
        <v>59609002</v>
      </c>
      <c r="B9101" s="14" t="s">
        <v>9209</v>
      </c>
      <c r="C9101" s="14" t="s">
        <v>13029</v>
      </c>
      <c r="D9101" s="15">
        <v>20.52</v>
      </c>
      <c r="E9101" s="16" t="s">
        <v>30</v>
      </c>
    </row>
    <row r="9102" spans="1:5" x14ac:dyDescent="0.25">
      <c r="A9102" s="14">
        <v>59610001</v>
      </c>
      <c r="B9102" s="14" t="s">
        <v>9210</v>
      </c>
      <c r="C9102" s="14" t="s">
        <v>13029</v>
      </c>
      <c r="D9102" s="15">
        <v>13.95</v>
      </c>
      <c r="E9102" s="16" t="s">
        <v>30</v>
      </c>
    </row>
    <row r="9103" spans="1:5" x14ac:dyDescent="0.25">
      <c r="A9103" s="14">
        <v>59610003</v>
      </c>
      <c r="B9103" s="14" t="s">
        <v>9211</v>
      </c>
      <c r="C9103" s="14" t="s">
        <v>13029</v>
      </c>
      <c r="D9103" s="15">
        <v>13.95</v>
      </c>
      <c r="E9103" s="16" t="s">
        <v>30</v>
      </c>
    </row>
    <row r="9104" spans="1:5" x14ac:dyDescent="0.25">
      <c r="A9104" s="14">
        <v>59623001</v>
      </c>
      <c r="B9104" s="14" t="s">
        <v>9212</v>
      </c>
      <c r="C9104" s="14" t="s">
        <v>13029</v>
      </c>
      <c r="D9104" s="15">
        <v>10.220000000000001</v>
      </c>
      <c r="E9104" s="16" t="s">
        <v>30</v>
      </c>
    </row>
    <row r="9105" spans="1:5" x14ac:dyDescent="0.25">
      <c r="A9105" s="14">
        <v>59623002</v>
      </c>
      <c r="B9105" s="14" t="s">
        <v>9213</v>
      </c>
      <c r="C9105" s="14" t="s">
        <v>13029</v>
      </c>
      <c r="D9105" s="15">
        <v>9.2899999999999991</v>
      </c>
      <c r="E9105" s="16" t="s">
        <v>30</v>
      </c>
    </row>
    <row r="9106" spans="1:5" x14ac:dyDescent="0.25">
      <c r="A9106" s="14">
        <v>59623004</v>
      </c>
      <c r="B9106" s="14" t="s">
        <v>9214</v>
      </c>
      <c r="C9106" s="14" t="s">
        <v>13029</v>
      </c>
      <c r="D9106" s="15">
        <v>9.2899999999999991</v>
      </c>
      <c r="E9106" s="16" t="s">
        <v>30</v>
      </c>
    </row>
    <row r="9107" spans="1:5" x14ac:dyDescent="0.25">
      <c r="A9107" s="14">
        <v>59624001</v>
      </c>
      <c r="B9107" s="14" t="s">
        <v>9215</v>
      </c>
      <c r="C9107" s="14" t="s">
        <v>13029</v>
      </c>
      <c r="D9107" s="15">
        <v>21.03</v>
      </c>
      <c r="E9107" s="16" t="s">
        <v>30</v>
      </c>
    </row>
    <row r="9108" spans="1:5" x14ac:dyDescent="0.25">
      <c r="A9108" s="14">
        <v>59660001</v>
      </c>
      <c r="B9108" s="14" t="s">
        <v>9216</v>
      </c>
      <c r="C9108" s="14" t="s">
        <v>13029</v>
      </c>
      <c r="D9108" s="15">
        <v>2.71</v>
      </c>
      <c r="E9108" s="16" t="s">
        <v>30</v>
      </c>
    </row>
    <row r="9109" spans="1:5" x14ac:dyDescent="0.25">
      <c r="A9109" s="14">
        <v>59660002</v>
      </c>
      <c r="B9109" s="14" t="s">
        <v>9217</v>
      </c>
      <c r="C9109" s="14" t="s">
        <v>13029</v>
      </c>
      <c r="D9109" s="15">
        <v>5.35</v>
      </c>
      <c r="E9109" s="16" t="s">
        <v>30</v>
      </c>
    </row>
    <row r="9110" spans="1:5" x14ac:dyDescent="0.25">
      <c r="A9110" s="14">
        <v>59660003</v>
      </c>
      <c r="B9110" s="14" t="s">
        <v>9218</v>
      </c>
      <c r="C9110" s="14" t="s">
        <v>13029</v>
      </c>
      <c r="D9110" s="15">
        <v>5.35</v>
      </c>
      <c r="E9110" s="16" t="s">
        <v>30</v>
      </c>
    </row>
    <row r="9111" spans="1:5" x14ac:dyDescent="0.25">
      <c r="A9111" s="14">
        <v>60444001</v>
      </c>
      <c r="B9111" s="14" t="s">
        <v>9219</v>
      </c>
      <c r="C9111" s="14" t="s">
        <v>13030</v>
      </c>
      <c r="D9111" s="15">
        <v>16.91</v>
      </c>
      <c r="E9111" s="16" t="s">
        <v>30</v>
      </c>
    </row>
    <row r="9112" spans="1:5" x14ac:dyDescent="0.25">
      <c r="A9112" s="14">
        <v>60444002</v>
      </c>
      <c r="B9112" s="14" t="s">
        <v>9220</v>
      </c>
      <c r="C9112" s="14" t="s">
        <v>13030</v>
      </c>
      <c r="D9112" s="15">
        <v>14.41</v>
      </c>
      <c r="E9112" s="16" t="s">
        <v>30</v>
      </c>
    </row>
    <row r="9113" spans="1:5" x14ac:dyDescent="0.25">
      <c r="A9113" s="14">
        <v>61068001</v>
      </c>
      <c r="B9113" s="14" t="s">
        <v>9221</v>
      </c>
      <c r="C9113" s="14" t="s">
        <v>13031</v>
      </c>
      <c r="D9113" s="15">
        <v>22.78</v>
      </c>
      <c r="E9113" s="16" t="s">
        <v>30</v>
      </c>
    </row>
    <row r="9114" spans="1:5" x14ac:dyDescent="0.25">
      <c r="A9114" s="14">
        <v>61068002</v>
      </c>
      <c r="B9114" s="14" t="s">
        <v>9222</v>
      </c>
      <c r="C9114" s="14" t="s">
        <v>13031</v>
      </c>
      <c r="D9114" s="15">
        <v>22.77</v>
      </c>
      <c r="E9114" s="16" t="s">
        <v>30</v>
      </c>
    </row>
    <row r="9115" spans="1:5" x14ac:dyDescent="0.25">
      <c r="A9115" s="14">
        <v>61069001</v>
      </c>
      <c r="B9115" s="14" t="s">
        <v>9223</v>
      </c>
      <c r="C9115" s="14" t="s">
        <v>13031</v>
      </c>
      <c r="D9115" s="15">
        <v>24.82</v>
      </c>
      <c r="E9115" s="16" t="s">
        <v>30</v>
      </c>
    </row>
    <row r="9116" spans="1:5" x14ac:dyDescent="0.25">
      <c r="A9116" s="14">
        <v>61069002</v>
      </c>
      <c r="B9116" s="14" t="s">
        <v>9224</v>
      </c>
      <c r="C9116" s="14" t="s">
        <v>13031</v>
      </c>
      <c r="D9116" s="15">
        <v>24.8</v>
      </c>
      <c r="E9116" s="16" t="s">
        <v>30</v>
      </c>
    </row>
    <row r="9117" spans="1:5" x14ac:dyDescent="0.25">
      <c r="A9117" s="14">
        <v>61069003</v>
      </c>
      <c r="B9117" s="14" t="s">
        <v>9225</v>
      </c>
      <c r="C9117" s="14" t="s">
        <v>13031</v>
      </c>
      <c r="D9117" s="15">
        <v>20.62</v>
      </c>
      <c r="E9117" s="16" t="s">
        <v>30</v>
      </c>
    </row>
    <row r="9118" spans="1:5" x14ac:dyDescent="0.25">
      <c r="A9118" s="14">
        <v>63203001</v>
      </c>
      <c r="B9118" s="14" t="s">
        <v>9226</v>
      </c>
      <c r="C9118" s="14" t="s">
        <v>13031</v>
      </c>
      <c r="D9118" s="15">
        <v>8.0399999999999991</v>
      </c>
      <c r="E9118" s="16" t="s">
        <v>30</v>
      </c>
    </row>
    <row r="9119" spans="1:5" x14ac:dyDescent="0.25">
      <c r="A9119" s="14">
        <v>63203002</v>
      </c>
      <c r="B9119" s="14" t="s">
        <v>9227</v>
      </c>
      <c r="C9119" s="14" t="s">
        <v>13031</v>
      </c>
      <c r="D9119" s="15">
        <v>8.16</v>
      </c>
      <c r="E9119" s="16" t="s">
        <v>30</v>
      </c>
    </row>
    <row r="9120" spans="1:5" x14ac:dyDescent="0.25">
      <c r="A9120" s="14">
        <v>63203003</v>
      </c>
      <c r="B9120" s="14" t="s">
        <v>9228</v>
      </c>
      <c r="C9120" s="14" t="s">
        <v>13031</v>
      </c>
      <c r="D9120" s="15">
        <v>8.17</v>
      </c>
      <c r="E9120" s="16" t="s">
        <v>30</v>
      </c>
    </row>
    <row r="9121" spans="1:5" x14ac:dyDescent="0.25">
      <c r="A9121" s="14">
        <v>63203004</v>
      </c>
      <c r="B9121" s="14" t="s">
        <v>9229</v>
      </c>
      <c r="C9121" s="14" t="s">
        <v>13031</v>
      </c>
      <c r="D9121" s="15">
        <v>8.0299999999999994</v>
      </c>
      <c r="E9121" s="16" t="s">
        <v>30</v>
      </c>
    </row>
    <row r="9122" spans="1:5" x14ac:dyDescent="0.25">
      <c r="A9122" s="14">
        <v>63452001</v>
      </c>
      <c r="B9122" s="14" t="s">
        <v>9230</v>
      </c>
      <c r="C9122" s="14" t="s">
        <v>13031</v>
      </c>
      <c r="D9122" s="15">
        <v>11.47</v>
      </c>
      <c r="E9122" s="16" t="s">
        <v>30</v>
      </c>
    </row>
    <row r="9123" spans="1:5" x14ac:dyDescent="0.25">
      <c r="A9123" s="14">
        <v>63452002</v>
      </c>
      <c r="B9123" s="14" t="s">
        <v>9231</v>
      </c>
      <c r="C9123" s="14" t="s">
        <v>13031</v>
      </c>
      <c r="D9123" s="15">
        <v>11.47</v>
      </c>
      <c r="E9123" s="16" t="s">
        <v>30</v>
      </c>
    </row>
    <row r="9124" spans="1:5" x14ac:dyDescent="0.25">
      <c r="A9124" s="14">
        <v>63452003</v>
      </c>
      <c r="B9124" s="14" t="s">
        <v>9232</v>
      </c>
      <c r="C9124" s="14" t="s">
        <v>13031</v>
      </c>
      <c r="D9124" s="15">
        <v>11.47</v>
      </c>
      <c r="E9124" s="16" t="s">
        <v>30</v>
      </c>
    </row>
    <row r="9125" spans="1:5" x14ac:dyDescent="0.25">
      <c r="A9125" s="14">
        <v>63452004</v>
      </c>
      <c r="B9125" s="14" t="s">
        <v>9233</v>
      </c>
      <c r="C9125" s="14" t="s">
        <v>13031</v>
      </c>
      <c r="D9125" s="15">
        <v>11.47</v>
      </c>
      <c r="E9125" s="16" t="s">
        <v>30</v>
      </c>
    </row>
    <row r="9126" spans="1:5" x14ac:dyDescent="0.25">
      <c r="A9126" s="14">
        <v>63452005</v>
      </c>
      <c r="B9126" s="14" t="s">
        <v>9234</v>
      </c>
      <c r="C9126" s="14" t="s">
        <v>13031</v>
      </c>
      <c r="D9126" s="15">
        <v>11.47</v>
      </c>
      <c r="E9126" s="16" t="s">
        <v>30</v>
      </c>
    </row>
    <row r="9127" spans="1:5" x14ac:dyDescent="0.25">
      <c r="A9127" s="14">
        <v>63452008</v>
      </c>
      <c r="B9127" s="14" t="s">
        <v>9235</v>
      </c>
      <c r="C9127" s="14" t="s">
        <v>13031</v>
      </c>
      <c r="D9127" s="15">
        <v>11.47</v>
      </c>
      <c r="E9127" s="16" t="s">
        <v>30</v>
      </c>
    </row>
    <row r="9128" spans="1:5" x14ac:dyDescent="0.25">
      <c r="A9128" s="14">
        <v>65213001</v>
      </c>
      <c r="B9128" s="14" t="s">
        <v>9236</v>
      </c>
      <c r="C9128" s="14" t="s">
        <v>13030</v>
      </c>
      <c r="D9128" s="15">
        <v>15.37</v>
      </c>
      <c r="E9128" s="16" t="s">
        <v>30</v>
      </c>
    </row>
    <row r="9129" spans="1:5" x14ac:dyDescent="0.25">
      <c r="A9129" s="14">
        <v>65213003</v>
      </c>
      <c r="B9129" s="14" t="s">
        <v>9237</v>
      </c>
      <c r="C9129" s="14" t="s">
        <v>13030</v>
      </c>
      <c r="D9129" s="15">
        <v>13.28</v>
      </c>
      <c r="E9129" s="16" t="s">
        <v>30</v>
      </c>
    </row>
    <row r="9130" spans="1:5" x14ac:dyDescent="0.25">
      <c r="A9130" s="14">
        <v>66200001</v>
      </c>
      <c r="B9130" s="14" t="s">
        <v>9238</v>
      </c>
      <c r="C9130" s="14" t="s">
        <v>13030</v>
      </c>
      <c r="D9130" s="15">
        <v>10.42</v>
      </c>
      <c r="E9130" s="16" t="s">
        <v>30</v>
      </c>
    </row>
    <row r="9131" spans="1:5" x14ac:dyDescent="0.25">
      <c r="A9131" s="14">
        <v>66200002</v>
      </c>
      <c r="B9131" s="14" t="s">
        <v>9239</v>
      </c>
      <c r="C9131" s="14" t="s">
        <v>13030</v>
      </c>
      <c r="D9131" s="15">
        <v>10.42</v>
      </c>
      <c r="E9131" s="16" t="s">
        <v>30</v>
      </c>
    </row>
    <row r="9132" spans="1:5" x14ac:dyDescent="0.25">
      <c r="A9132" s="14">
        <v>69126001</v>
      </c>
      <c r="B9132" s="14" t="s">
        <v>9240</v>
      </c>
      <c r="C9132" s="14" t="s">
        <v>13029</v>
      </c>
      <c r="D9132" s="15">
        <v>3.75</v>
      </c>
      <c r="E9132" s="16" t="s">
        <v>30</v>
      </c>
    </row>
    <row r="9133" spans="1:5" x14ac:dyDescent="0.25">
      <c r="A9133" s="14">
        <v>69126002</v>
      </c>
      <c r="B9133" s="14" t="s">
        <v>9241</v>
      </c>
      <c r="C9133" s="14" t="s">
        <v>13029</v>
      </c>
      <c r="D9133" s="15">
        <v>4.0999999999999996</v>
      </c>
      <c r="E9133" s="16" t="s">
        <v>30</v>
      </c>
    </row>
    <row r="9134" spans="1:5" x14ac:dyDescent="0.25">
      <c r="A9134" s="14">
        <v>69126003</v>
      </c>
      <c r="B9134" s="14" t="s">
        <v>9242</v>
      </c>
      <c r="C9134" s="14" t="s">
        <v>13029</v>
      </c>
      <c r="D9134" s="15">
        <v>4.0999999999999996</v>
      </c>
      <c r="E9134" s="16" t="s">
        <v>30</v>
      </c>
    </row>
    <row r="9135" spans="1:5" x14ac:dyDescent="0.25">
      <c r="A9135" s="14">
        <v>69126004</v>
      </c>
      <c r="B9135" s="14" t="s">
        <v>9243</v>
      </c>
      <c r="C9135" s="14" t="s">
        <v>13029</v>
      </c>
      <c r="D9135" s="15">
        <v>4.0999999999999996</v>
      </c>
      <c r="E9135" s="16" t="s">
        <v>30</v>
      </c>
    </row>
    <row r="9136" spans="1:5" x14ac:dyDescent="0.25">
      <c r="A9136" s="14">
        <v>69656001</v>
      </c>
      <c r="B9136" s="14" t="s">
        <v>9244</v>
      </c>
      <c r="C9136" s="14" t="s">
        <v>13030</v>
      </c>
      <c r="D9136" s="15">
        <v>41.38</v>
      </c>
      <c r="E9136" s="16" t="s">
        <v>30</v>
      </c>
    </row>
    <row r="9137" spans="1:5" x14ac:dyDescent="0.25">
      <c r="A9137" s="14">
        <v>69656003</v>
      </c>
      <c r="B9137" s="14" t="s">
        <v>9245</v>
      </c>
      <c r="C9137" s="14" t="s">
        <v>13030</v>
      </c>
      <c r="D9137" s="15">
        <v>41.38</v>
      </c>
      <c r="E9137" s="16" t="s">
        <v>30</v>
      </c>
    </row>
    <row r="9138" spans="1:5" x14ac:dyDescent="0.25">
      <c r="A9138" s="14">
        <v>70676001</v>
      </c>
      <c r="B9138" s="14" t="s">
        <v>9246</v>
      </c>
      <c r="C9138" s="14" t="s">
        <v>13031</v>
      </c>
      <c r="D9138" s="15">
        <v>4.45</v>
      </c>
      <c r="E9138" s="16" t="s">
        <v>30</v>
      </c>
    </row>
    <row r="9139" spans="1:5" x14ac:dyDescent="0.25">
      <c r="A9139" s="14">
        <v>70676002</v>
      </c>
      <c r="B9139" s="14" t="s">
        <v>9247</v>
      </c>
      <c r="C9139" s="14" t="s">
        <v>13031</v>
      </c>
      <c r="D9139" s="15">
        <v>4.45</v>
      </c>
      <c r="E9139" s="16" t="s">
        <v>30</v>
      </c>
    </row>
    <row r="9140" spans="1:5" x14ac:dyDescent="0.25">
      <c r="A9140" s="14">
        <v>70676005</v>
      </c>
      <c r="B9140" s="14" t="s">
        <v>9248</v>
      </c>
      <c r="C9140" s="14" t="s">
        <v>13031</v>
      </c>
      <c r="D9140" s="15">
        <v>4.45</v>
      </c>
      <c r="E9140" s="16" t="s">
        <v>30</v>
      </c>
    </row>
    <row r="9141" spans="1:5" x14ac:dyDescent="0.25">
      <c r="A9141" s="14">
        <v>70676007</v>
      </c>
      <c r="B9141" s="14" t="s">
        <v>9249</v>
      </c>
      <c r="C9141" s="14" t="s">
        <v>13031</v>
      </c>
      <c r="D9141" s="15">
        <v>4.45</v>
      </c>
      <c r="E9141" s="16" t="s">
        <v>30</v>
      </c>
    </row>
    <row r="9142" spans="1:5" x14ac:dyDescent="0.25">
      <c r="A9142" s="14">
        <v>70676008</v>
      </c>
      <c r="B9142" s="14" t="s">
        <v>9250</v>
      </c>
      <c r="C9142" s="14" t="s">
        <v>13031</v>
      </c>
      <c r="D9142" s="15">
        <v>4.45</v>
      </c>
      <c r="E9142" s="16" t="s">
        <v>30</v>
      </c>
    </row>
    <row r="9143" spans="1:5" x14ac:dyDescent="0.25">
      <c r="A9143" s="14">
        <v>70676009</v>
      </c>
      <c r="B9143" s="14" t="s">
        <v>9251</v>
      </c>
      <c r="C9143" s="14" t="s">
        <v>13031</v>
      </c>
      <c r="D9143" s="15">
        <v>4.45</v>
      </c>
      <c r="E9143" s="16" t="s">
        <v>30</v>
      </c>
    </row>
    <row r="9144" spans="1:5" x14ac:dyDescent="0.25">
      <c r="A9144" s="14">
        <v>70676010</v>
      </c>
      <c r="B9144" s="14" t="s">
        <v>9252</v>
      </c>
      <c r="C9144" s="14" t="s">
        <v>13031</v>
      </c>
      <c r="D9144" s="15">
        <v>4.45</v>
      </c>
      <c r="E9144" s="16" t="s">
        <v>30</v>
      </c>
    </row>
    <row r="9145" spans="1:5" x14ac:dyDescent="0.25">
      <c r="A9145" s="14">
        <v>78996004</v>
      </c>
      <c r="B9145" s="14" t="s">
        <v>9253</v>
      </c>
      <c r="C9145" s="14" t="s">
        <v>13029</v>
      </c>
      <c r="D9145" s="15">
        <v>21.48</v>
      </c>
      <c r="E9145" s="16" t="s">
        <v>30</v>
      </c>
    </row>
    <row r="9146" spans="1:5" x14ac:dyDescent="0.25">
      <c r="A9146" s="14">
        <v>78996005</v>
      </c>
      <c r="B9146" s="14" t="s">
        <v>9254</v>
      </c>
      <c r="C9146" s="14" t="s">
        <v>13029</v>
      </c>
      <c r="D9146" s="15">
        <v>21.48</v>
      </c>
      <c r="E9146" s="16" t="s">
        <v>30</v>
      </c>
    </row>
    <row r="9147" spans="1:5" x14ac:dyDescent="0.25">
      <c r="A9147" s="14">
        <v>78996006</v>
      </c>
      <c r="B9147" s="14" t="s">
        <v>9255</v>
      </c>
      <c r="C9147" s="14" t="s">
        <v>13029</v>
      </c>
      <c r="D9147" s="15">
        <v>22.23</v>
      </c>
      <c r="E9147" s="16" t="s">
        <v>30</v>
      </c>
    </row>
    <row r="9148" spans="1:5" x14ac:dyDescent="0.25">
      <c r="A9148" s="14">
        <v>78996007</v>
      </c>
      <c r="B9148" s="14" t="s">
        <v>9256</v>
      </c>
      <c r="C9148" s="14" t="s">
        <v>13029</v>
      </c>
      <c r="D9148" s="15">
        <v>21.48</v>
      </c>
      <c r="E9148" s="16" t="s">
        <v>30</v>
      </c>
    </row>
    <row r="9149" spans="1:5" x14ac:dyDescent="0.25">
      <c r="A9149" s="14">
        <v>78996010</v>
      </c>
      <c r="B9149" s="14" t="s">
        <v>9257</v>
      </c>
      <c r="C9149" s="14" t="s">
        <v>13029</v>
      </c>
      <c r="D9149" s="15">
        <v>14.38</v>
      </c>
      <c r="E9149" s="16" t="s">
        <v>30</v>
      </c>
    </row>
    <row r="9150" spans="1:5" x14ac:dyDescent="0.25">
      <c r="A9150" s="14">
        <v>78996011</v>
      </c>
      <c r="B9150" s="14" t="s">
        <v>9258</v>
      </c>
      <c r="C9150" s="14" t="s">
        <v>13029</v>
      </c>
      <c r="D9150" s="15">
        <v>21.48</v>
      </c>
      <c r="E9150" s="16" t="s">
        <v>30</v>
      </c>
    </row>
    <row r="9151" spans="1:5" x14ac:dyDescent="0.25">
      <c r="A9151" s="14">
        <v>78996012</v>
      </c>
      <c r="B9151" s="14" t="s">
        <v>9259</v>
      </c>
      <c r="C9151" s="14" t="s">
        <v>13029</v>
      </c>
      <c r="D9151" s="15">
        <v>14.38</v>
      </c>
      <c r="E9151" s="16" t="s">
        <v>30</v>
      </c>
    </row>
    <row r="9152" spans="1:5" x14ac:dyDescent="0.25">
      <c r="A9152" s="14">
        <v>78996015</v>
      </c>
      <c r="B9152" s="14" t="s">
        <v>9260</v>
      </c>
      <c r="C9152" s="14" t="s">
        <v>13029</v>
      </c>
      <c r="D9152" s="15">
        <v>21.48</v>
      </c>
      <c r="E9152" s="16" t="s">
        <v>30</v>
      </c>
    </row>
    <row r="9153" spans="1:5" x14ac:dyDescent="0.25">
      <c r="A9153" s="14">
        <v>78996041</v>
      </c>
      <c r="B9153" s="14" t="s">
        <v>9261</v>
      </c>
      <c r="C9153" s="14" t="s">
        <v>13029</v>
      </c>
      <c r="D9153" s="15">
        <v>14.38</v>
      </c>
      <c r="E9153" s="16" t="s">
        <v>30</v>
      </c>
    </row>
    <row r="9154" spans="1:5" x14ac:dyDescent="0.25">
      <c r="A9154" s="14">
        <v>78996043</v>
      </c>
      <c r="B9154" s="14" t="s">
        <v>9262</v>
      </c>
      <c r="C9154" s="14" t="s">
        <v>13029</v>
      </c>
      <c r="D9154" s="15">
        <v>14.38</v>
      </c>
      <c r="E9154" s="16" t="s">
        <v>30</v>
      </c>
    </row>
    <row r="9155" spans="1:5" x14ac:dyDescent="0.25">
      <c r="A9155" s="14">
        <v>79490005</v>
      </c>
      <c r="B9155" s="14" t="s">
        <v>9263</v>
      </c>
      <c r="C9155" s="14" t="s">
        <v>13029</v>
      </c>
      <c r="D9155" s="15">
        <v>18.34</v>
      </c>
      <c r="E9155" s="16" t="s">
        <v>30</v>
      </c>
    </row>
    <row r="9156" spans="1:5" x14ac:dyDescent="0.25">
      <c r="A9156" s="14">
        <v>79490006</v>
      </c>
      <c r="B9156" s="14" t="s">
        <v>9264</v>
      </c>
      <c r="C9156" s="14" t="s">
        <v>13029</v>
      </c>
      <c r="D9156" s="15">
        <v>18.34</v>
      </c>
      <c r="E9156" s="16" t="s">
        <v>30</v>
      </c>
    </row>
    <row r="9157" spans="1:5" x14ac:dyDescent="0.25">
      <c r="A9157" s="14">
        <v>79490007</v>
      </c>
      <c r="B9157" s="14" t="s">
        <v>9265</v>
      </c>
      <c r="C9157" s="14" t="s">
        <v>13029</v>
      </c>
      <c r="D9157" s="15">
        <v>18.34</v>
      </c>
      <c r="E9157" s="16" t="s">
        <v>30</v>
      </c>
    </row>
    <row r="9158" spans="1:5" x14ac:dyDescent="0.25">
      <c r="A9158" s="14">
        <v>79490008</v>
      </c>
      <c r="B9158" s="14" t="s">
        <v>9266</v>
      </c>
      <c r="C9158" s="14" t="s">
        <v>13029</v>
      </c>
      <c r="D9158" s="15">
        <v>18.34</v>
      </c>
      <c r="E9158" s="16" t="s">
        <v>30</v>
      </c>
    </row>
    <row r="9159" spans="1:5" x14ac:dyDescent="0.25">
      <c r="A9159" s="14">
        <v>79490009</v>
      </c>
      <c r="B9159" s="14" t="s">
        <v>9267</v>
      </c>
      <c r="C9159" s="14" t="s">
        <v>13029</v>
      </c>
      <c r="D9159" s="15">
        <v>18.34</v>
      </c>
      <c r="E9159" s="16" t="s">
        <v>30</v>
      </c>
    </row>
    <row r="9160" spans="1:5" x14ac:dyDescent="0.25">
      <c r="A9160" s="14">
        <v>79490019</v>
      </c>
      <c r="B9160" s="14" t="s">
        <v>9268</v>
      </c>
      <c r="C9160" s="14" t="s">
        <v>13029</v>
      </c>
      <c r="D9160" s="15">
        <v>18.34</v>
      </c>
      <c r="E9160" s="16" t="s">
        <v>30</v>
      </c>
    </row>
    <row r="9161" spans="1:5" x14ac:dyDescent="0.25">
      <c r="A9161" s="14">
        <v>79490039</v>
      </c>
      <c r="B9161" s="14" t="s">
        <v>9269</v>
      </c>
      <c r="C9161" s="14" t="s">
        <v>13029</v>
      </c>
      <c r="D9161" s="15">
        <v>18.34</v>
      </c>
      <c r="E9161" s="16" t="s">
        <v>30</v>
      </c>
    </row>
    <row r="9162" spans="1:5" x14ac:dyDescent="0.25">
      <c r="A9162" s="14">
        <v>79490040</v>
      </c>
      <c r="B9162" s="14" t="s">
        <v>9270</v>
      </c>
      <c r="C9162" s="14" t="s">
        <v>13029</v>
      </c>
      <c r="D9162" s="15">
        <v>18.34</v>
      </c>
      <c r="E9162" s="16" t="s">
        <v>30</v>
      </c>
    </row>
    <row r="9163" spans="1:5" x14ac:dyDescent="0.25">
      <c r="A9163" s="14">
        <v>79490041</v>
      </c>
      <c r="B9163" s="14" t="s">
        <v>9271</v>
      </c>
      <c r="C9163" s="14" t="s">
        <v>13029</v>
      </c>
      <c r="D9163" s="15">
        <v>18.34</v>
      </c>
      <c r="E9163" s="16" t="s">
        <v>30</v>
      </c>
    </row>
    <row r="9164" spans="1:5" x14ac:dyDescent="0.25">
      <c r="A9164" s="14">
        <v>79490042</v>
      </c>
      <c r="B9164" s="14" t="s">
        <v>9272</v>
      </c>
      <c r="C9164" s="14" t="s">
        <v>13029</v>
      </c>
      <c r="D9164" s="15">
        <v>18.34</v>
      </c>
      <c r="E9164" s="16" t="s">
        <v>30</v>
      </c>
    </row>
    <row r="9165" spans="1:5" x14ac:dyDescent="0.25">
      <c r="A9165" s="14">
        <v>80466001</v>
      </c>
      <c r="B9165" s="14" t="s">
        <v>9273</v>
      </c>
      <c r="C9165" s="14" t="s">
        <v>13029</v>
      </c>
      <c r="D9165" s="15">
        <v>14.59</v>
      </c>
      <c r="E9165" s="14" t="s">
        <v>30</v>
      </c>
    </row>
    <row r="9166" spans="1:5" x14ac:dyDescent="0.25">
      <c r="A9166" s="14">
        <v>101459001</v>
      </c>
      <c r="B9166" s="14" t="s">
        <v>9274</v>
      </c>
      <c r="C9166" s="14" t="s">
        <v>13030</v>
      </c>
      <c r="D9166" s="15">
        <v>26.64</v>
      </c>
      <c r="E9166" s="16" t="s">
        <v>30</v>
      </c>
    </row>
    <row r="9167" spans="1:5" x14ac:dyDescent="0.25">
      <c r="A9167" s="14">
        <v>54975008</v>
      </c>
      <c r="B9167" s="14" t="s">
        <v>9275</v>
      </c>
      <c r="C9167" s="14" t="s">
        <v>13031</v>
      </c>
      <c r="D9167" s="15">
        <v>7.33</v>
      </c>
      <c r="E9167" s="16" t="s">
        <v>20</v>
      </c>
    </row>
    <row r="9168" spans="1:5" x14ac:dyDescent="0.25">
      <c r="A9168" s="14">
        <v>54975009</v>
      </c>
      <c r="B9168" s="14" t="s">
        <v>9276</v>
      </c>
      <c r="C9168" s="14" t="s">
        <v>13031</v>
      </c>
      <c r="D9168" s="15">
        <v>7.33</v>
      </c>
      <c r="E9168" s="16" t="s">
        <v>20</v>
      </c>
    </row>
    <row r="9169" spans="1:5" x14ac:dyDescent="0.25">
      <c r="A9169" s="14">
        <v>54975010</v>
      </c>
      <c r="B9169" s="14" t="s">
        <v>9277</v>
      </c>
      <c r="C9169" s="14" t="s">
        <v>13031</v>
      </c>
      <c r="D9169" s="15">
        <v>7.33</v>
      </c>
      <c r="E9169" s="16" t="s">
        <v>20</v>
      </c>
    </row>
    <row r="9170" spans="1:5" x14ac:dyDescent="0.25">
      <c r="A9170" s="14">
        <v>54975014</v>
      </c>
      <c r="B9170" s="14" t="s">
        <v>9278</v>
      </c>
      <c r="C9170" s="14" t="s">
        <v>13031</v>
      </c>
      <c r="D9170" s="15">
        <v>7.33</v>
      </c>
      <c r="E9170" s="16" t="s">
        <v>20</v>
      </c>
    </row>
    <row r="9171" spans="1:5" x14ac:dyDescent="0.25">
      <c r="A9171" s="14">
        <v>101459002</v>
      </c>
      <c r="B9171" s="14" t="s">
        <v>9279</v>
      </c>
      <c r="C9171" s="14" t="s">
        <v>13030</v>
      </c>
      <c r="D9171" s="15">
        <v>26.65</v>
      </c>
      <c r="E9171" s="16" t="s">
        <v>30</v>
      </c>
    </row>
    <row r="9172" spans="1:5" x14ac:dyDescent="0.25">
      <c r="A9172" s="14">
        <v>101459004</v>
      </c>
      <c r="B9172" s="14" t="s">
        <v>9280</v>
      </c>
      <c r="C9172" s="14" t="s">
        <v>13030</v>
      </c>
      <c r="D9172" s="15">
        <v>26.65</v>
      </c>
      <c r="E9172" s="16" t="s">
        <v>30</v>
      </c>
    </row>
    <row r="9173" spans="1:5" x14ac:dyDescent="0.25">
      <c r="A9173" s="14">
        <v>56462001</v>
      </c>
      <c r="B9173" s="14" t="s">
        <v>9281</v>
      </c>
      <c r="C9173" s="14" t="s">
        <v>13031</v>
      </c>
      <c r="D9173" s="15">
        <v>3</v>
      </c>
      <c r="E9173" s="16" t="s">
        <v>20</v>
      </c>
    </row>
    <row r="9174" spans="1:5" x14ac:dyDescent="0.25">
      <c r="A9174" s="14">
        <v>101459006</v>
      </c>
      <c r="B9174" s="14" t="s">
        <v>9282</v>
      </c>
      <c r="C9174" s="14" t="s">
        <v>13030</v>
      </c>
      <c r="D9174" s="15">
        <v>26.65</v>
      </c>
      <c r="E9174" s="16" t="s">
        <v>30</v>
      </c>
    </row>
    <row r="9175" spans="1:5" x14ac:dyDescent="0.25">
      <c r="A9175" s="14">
        <v>105176003</v>
      </c>
      <c r="B9175" s="14" t="s">
        <v>9283</v>
      </c>
      <c r="C9175" s="14" t="s">
        <v>13029</v>
      </c>
      <c r="D9175" s="15">
        <v>11.49</v>
      </c>
      <c r="E9175" s="16" t="s">
        <v>30</v>
      </c>
    </row>
    <row r="9176" spans="1:5" x14ac:dyDescent="0.25">
      <c r="A9176" s="14">
        <v>107078001</v>
      </c>
      <c r="B9176" s="14" t="s">
        <v>9284</v>
      </c>
      <c r="C9176" s="14" t="s">
        <v>13030</v>
      </c>
      <c r="D9176" s="15">
        <v>44.89</v>
      </c>
      <c r="E9176" s="16" t="s">
        <v>30</v>
      </c>
    </row>
    <row r="9177" spans="1:5" x14ac:dyDescent="0.25">
      <c r="A9177" s="14">
        <v>113219001</v>
      </c>
      <c r="B9177" s="14" t="s">
        <v>9285</v>
      </c>
      <c r="C9177" s="14" t="s">
        <v>13029</v>
      </c>
      <c r="D9177" s="15">
        <v>25.64</v>
      </c>
      <c r="E9177" s="14" t="s">
        <v>30</v>
      </c>
    </row>
    <row r="9178" spans="1:5" x14ac:dyDescent="0.25">
      <c r="A9178" s="14">
        <v>59568002</v>
      </c>
      <c r="B9178" s="14" t="s">
        <v>9286</v>
      </c>
      <c r="C9178" s="14" t="s">
        <v>13030</v>
      </c>
      <c r="D9178" s="15">
        <v>59.06</v>
      </c>
      <c r="E9178" s="16" t="s">
        <v>20</v>
      </c>
    </row>
    <row r="9179" spans="1:5" x14ac:dyDescent="0.25">
      <c r="A9179" s="14">
        <v>59568004</v>
      </c>
      <c r="B9179" s="14" t="s">
        <v>9287</v>
      </c>
      <c r="C9179" s="14" t="s">
        <v>13030</v>
      </c>
      <c r="D9179" s="15">
        <v>59.06</v>
      </c>
      <c r="E9179" s="16" t="s">
        <v>20</v>
      </c>
    </row>
    <row r="9180" spans="1:5" x14ac:dyDescent="0.25">
      <c r="A9180" s="14">
        <v>113219002</v>
      </c>
      <c r="B9180" s="14" t="s">
        <v>9288</v>
      </c>
      <c r="C9180" s="14" t="s">
        <v>13029</v>
      </c>
      <c r="D9180" s="15">
        <v>25.64</v>
      </c>
      <c r="E9180" s="14" t="s">
        <v>30</v>
      </c>
    </row>
    <row r="9181" spans="1:5" x14ac:dyDescent="0.25">
      <c r="A9181" s="14">
        <v>113219003</v>
      </c>
      <c r="B9181" s="14" t="s">
        <v>9289</v>
      </c>
      <c r="C9181" s="14" t="s">
        <v>13029</v>
      </c>
      <c r="D9181" s="15">
        <v>25.64</v>
      </c>
      <c r="E9181" s="14" t="s">
        <v>30</v>
      </c>
    </row>
    <row r="9182" spans="1:5" x14ac:dyDescent="0.25">
      <c r="A9182" s="14">
        <v>113219004</v>
      </c>
      <c r="B9182" s="14" t="s">
        <v>9290</v>
      </c>
      <c r="C9182" s="14" t="s">
        <v>13029</v>
      </c>
      <c r="D9182" s="15">
        <v>25.64</v>
      </c>
      <c r="E9182" s="14" t="s">
        <v>30</v>
      </c>
    </row>
    <row r="9183" spans="1:5" x14ac:dyDescent="0.25">
      <c r="A9183" s="14">
        <v>113219005</v>
      </c>
      <c r="B9183" s="14" t="s">
        <v>9291</v>
      </c>
      <c r="C9183" s="14" t="s">
        <v>13029</v>
      </c>
      <c r="D9183" s="15">
        <v>25.64</v>
      </c>
      <c r="E9183" s="14" t="s">
        <v>30</v>
      </c>
    </row>
    <row r="9184" spans="1:5" x14ac:dyDescent="0.25">
      <c r="A9184" s="14">
        <v>113219006</v>
      </c>
      <c r="B9184" s="14" t="s">
        <v>9292</v>
      </c>
      <c r="C9184" s="14" t="s">
        <v>13029</v>
      </c>
      <c r="D9184" s="15">
        <v>25.64</v>
      </c>
      <c r="E9184" s="14" t="s">
        <v>30</v>
      </c>
    </row>
    <row r="9185" spans="1:5" x14ac:dyDescent="0.25">
      <c r="A9185" s="14">
        <v>113219007</v>
      </c>
      <c r="B9185" s="14" t="s">
        <v>9293</v>
      </c>
      <c r="C9185" s="14" t="s">
        <v>13029</v>
      </c>
      <c r="D9185" s="15">
        <v>25.64</v>
      </c>
      <c r="E9185" s="14" t="s">
        <v>30</v>
      </c>
    </row>
    <row r="9186" spans="1:5" x14ac:dyDescent="0.25">
      <c r="A9186" s="14">
        <v>113219008</v>
      </c>
      <c r="B9186" s="14" t="s">
        <v>9294</v>
      </c>
      <c r="C9186" s="14" t="s">
        <v>13029</v>
      </c>
      <c r="D9186" s="15">
        <v>25.64</v>
      </c>
      <c r="E9186" s="14" t="s">
        <v>30</v>
      </c>
    </row>
    <row r="9187" spans="1:5" x14ac:dyDescent="0.25">
      <c r="A9187" s="14">
        <v>113219012</v>
      </c>
      <c r="B9187" s="14" t="s">
        <v>9295</v>
      </c>
      <c r="C9187" s="14" t="s">
        <v>13029</v>
      </c>
      <c r="D9187" s="15">
        <v>25.64</v>
      </c>
      <c r="E9187" s="14" t="s">
        <v>30</v>
      </c>
    </row>
    <row r="9188" spans="1:5" x14ac:dyDescent="0.25">
      <c r="A9188" s="14">
        <v>113219014</v>
      </c>
      <c r="B9188" s="14" t="s">
        <v>9296</v>
      </c>
      <c r="C9188" s="14" t="s">
        <v>13029</v>
      </c>
      <c r="D9188" s="15">
        <v>25.64</v>
      </c>
      <c r="E9188" s="14" t="s">
        <v>30</v>
      </c>
    </row>
    <row r="9189" spans="1:5" x14ac:dyDescent="0.25">
      <c r="A9189" s="14">
        <v>113219018</v>
      </c>
      <c r="B9189" s="14" t="s">
        <v>9297</v>
      </c>
      <c r="C9189" s="14" t="s">
        <v>13029</v>
      </c>
      <c r="D9189" s="15">
        <v>25.64</v>
      </c>
      <c r="E9189" s="14" t="s">
        <v>30</v>
      </c>
    </row>
    <row r="9190" spans="1:5" x14ac:dyDescent="0.25">
      <c r="A9190" s="14">
        <v>113219019</v>
      </c>
      <c r="B9190" s="14" t="s">
        <v>9298</v>
      </c>
      <c r="C9190" s="14" t="s">
        <v>13029</v>
      </c>
      <c r="D9190" s="15">
        <v>25.64</v>
      </c>
      <c r="E9190" s="14" t="s">
        <v>30</v>
      </c>
    </row>
    <row r="9191" spans="1:5" x14ac:dyDescent="0.25">
      <c r="A9191" s="14">
        <v>113219022</v>
      </c>
      <c r="B9191" s="14" t="s">
        <v>9299</v>
      </c>
      <c r="C9191" s="14" t="s">
        <v>13029</v>
      </c>
      <c r="D9191" s="15">
        <v>25.64</v>
      </c>
      <c r="E9191" s="14" t="s">
        <v>30</v>
      </c>
    </row>
    <row r="9192" spans="1:5" x14ac:dyDescent="0.25">
      <c r="A9192" s="14">
        <v>56462002</v>
      </c>
      <c r="B9192" s="14" t="s">
        <v>9300</v>
      </c>
      <c r="C9192" s="14" t="s">
        <v>13031</v>
      </c>
      <c r="D9192" s="15">
        <v>3</v>
      </c>
      <c r="E9192" s="16" t="s">
        <v>20</v>
      </c>
    </row>
    <row r="9193" spans="1:5" x14ac:dyDescent="0.25">
      <c r="A9193" s="14">
        <v>113219028</v>
      </c>
      <c r="B9193" s="14" t="s">
        <v>9301</v>
      </c>
      <c r="C9193" s="14" t="s">
        <v>13029</v>
      </c>
      <c r="D9193" s="15">
        <v>25.64</v>
      </c>
      <c r="E9193" s="14" t="s">
        <v>30</v>
      </c>
    </row>
    <row r="9194" spans="1:5" x14ac:dyDescent="0.25">
      <c r="A9194" s="14">
        <v>113219035</v>
      </c>
      <c r="B9194" s="14" t="s">
        <v>9302</v>
      </c>
      <c r="C9194" s="14" t="s">
        <v>13029</v>
      </c>
      <c r="D9194" s="15">
        <v>25.64</v>
      </c>
      <c r="E9194" s="14" t="s">
        <v>30</v>
      </c>
    </row>
    <row r="9195" spans="1:5" x14ac:dyDescent="0.25">
      <c r="A9195" s="14">
        <v>113219045</v>
      </c>
      <c r="B9195" s="14" t="s">
        <v>9303</v>
      </c>
      <c r="C9195" s="14" t="s">
        <v>13029</v>
      </c>
      <c r="D9195" s="15">
        <v>25.64</v>
      </c>
      <c r="E9195" s="14" t="s">
        <v>30</v>
      </c>
    </row>
    <row r="9196" spans="1:5" x14ac:dyDescent="0.25">
      <c r="A9196" s="14">
        <v>113219046</v>
      </c>
      <c r="B9196" s="14" t="s">
        <v>9304</v>
      </c>
      <c r="C9196" s="14" t="s">
        <v>13029</v>
      </c>
      <c r="D9196" s="15">
        <v>24.88</v>
      </c>
      <c r="E9196" s="14" t="s">
        <v>30</v>
      </c>
    </row>
    <row r="9197" spans="1:5" x14ac:dyDescent="0.25">
      <c r="A9197" s="14">
        <v>113219053</v>
      </c>
      <c r="B9197" s="14" t="s">
        <v>9305</v>
      </c>
      <c r="C9197" s="14" t="s">
        <v>13029</v>
      </c>
      <c r="D9197" s="15">
        <v>25.64</v>
      </c>
      <c r="E9197" s="14" t="s">
        <v>30</v>
      </c>
    </row>
    <row r="9198" spans="1:5" x14ac:dyDescent="0.25">
      <c r="A9198" s="14">
        <v>113219054</v>
      </c>
      <c r="B9198" s="14" t="s">
        <v>9306</v>
      </c>
      <c r="C9198" s="14" t="s">
        <v>13029</v>
      </c>
      <c r="D9198" s="15">
        <v>25.64</v>
      </c>
      <c r="E9198" s="14" t="s">
        <v>30</v>
      </c>
    </row>
    <row r="9199" spans="1:5" x14ac:dyDescent="0.25">
      <c r="A9199" s="14">
        <v>113219055</v>
      </c>
      <c r="B9199" s="14" t="s">
        <v>9307</v>
      </c>
      <c r="C9199" s="14" t="s">
        <v>13029</v>
      </c>
      <c r="D9199" s="15">
        <v>25.64</v>
      </c>
      <c r="E9199" s="14" t="s">
        <v>30</v>
      </c>
    </row>
    <row r="9200" spans="1:5" x14ac:dyDescent="0.25">
      <c r="A9200" s="14">
        <v>113219056</v>
      </c>
      <c r="B9200" s="14" t="s">
        <v>9308</v>
      </c>
      <c r="C9200" s="14" t="s">
        <v>13029</v>
      </c>
      <c r="D9200" s="15">
        <v>24.88</v>
      </c>
      <c r="E9200" s="14" t="s">
        <v>30</v>
      </c>
    </row>
    <row r="9201" spans="1:5" x14ac:dyDescent="0.25">
      <c r="A9201" s="14">
        <v>114813003</v>
      </c>
      <c r="B9201" s="14" t="s">
        <v>9309</v>
      </c>
      <c r="C9201" s="14" t="s">
        <v>13030</v>
      </c>
      <c r="D9201" s="15">
        <v>27.73</v>
      </c>
      <c r="E9201" s="16" t="s">
        <v>30</v>
      </c>
    </row>
    <row r="9202" spans="1:5" x14ac:dyDescent="0.25">
      <c r="A9202" s="14">
        <v>114920002</v>
      </c>
      <c r="B9202" s="14" t="s">
        <v>9310</v>
      </c>
      <c r="C9202" s="14" t="s">
        <v>13031</v>
      </c>
      <c r="D9202" s="15">
        <v>8.8000000000000007</v>
      </c>
      <c r="E9202" s="16" t="s">
        <v>30</v>
      </c>
    </row>
    <row r="9203" spans="1:5" x14ac:dyDescent="0.25">
      <c r="A9203" s="14">
        <v>114920003</v>
      </c>
      <c r="B9203" s="14" t="s">
        <v>9311</v>
      </c>
      <c r="C9203" s="14" t="s">
        <v>13031</v>
      </c>
      <c r="D9203" s="15">
        <v>8.8000000000000007</v>
      </c>
      <c r="E9203" s="16" t="s">
        <v>30</v>
      </c>
    </row>
    <row r="9204" spans="1:5" x14ac:dyDescent="0.25">
      <c r="A9204" s="14">
        <v>114921002</v>
      </c>
      <c r="B9204" s="14" t="s">
        <v>9312</v>
      </c>
      <c r="C9204" s="14" t="s">
        <v>13031</v>
      </c>
      <c r="D9204" s="15">
        <v>7.1</v>
      </c>
      <c r="E9204" s="16" t="s">
        <v>30</v>
      </c>
    </row>
    <row r="9205" spans="1:5" x14ac:dyDescent="0.25">
      <c r="A9205" s="14">
        <v>114921003</v>
      </c>
      <c r="B9205" s="14" t="s">
        <v>9313</v>
      </c>
      <c r="C9205" s="14" t="s">
        <v>13031</v>
      </c>
      <c r="D9205" s="15">
        <v>4.08</v>
      </c>
      <c r="E9205" s="16" t="s">
        <v>30</v>
      </c>
    </row>
    <row r="9206" spans="1:5" x14ac:dyDescent="0.25">
      <c r="A9206" s="14">
        <v>115540001</v>
      </c>
      <c r="B9206" s="14" t="s">
        <v>9314</v>
      </c>
      <c r="C9206" s="14" t="s">
        <v>13030</v>
      </c>
      <c r="D9206" s="15">
        <v>12.91</v>
      </c>
      <c r="E9206" s="16" t="s">
        <v>30</v>
      </c>
    </row>
    <row r="9207" spans="1:5" x14ac:dyDescent="0.25">
      <c r="A9207" s="14">
        <v>115540002</v>
      </c>
      <c r="B9207" s="14" t="s">
        <v>9315</v>
      </c>
      <c r="C9207" s="14" t="s">
        <v>13030</v>
      </c>
      <c r="D9207" s="15">
        <v>12.91</v>
      </c>
      <c r="E9207" s="16" t="s">
        <v>30</v>
      </c>
    </row>
    <row r="9208" spans="1:5" x14ac:dyDescent="0.25">
      <c r="A9208" s="14">
        <v>118061001</v>
      </c>
      <c r="B9208" s="14" t="s">
        <v>9316</v>
      </c>
      <c r="C9208" s="14" t="s">
        <v>13031</v>
      </c>
      <c r="D9208" s="15">
        <v>3.11</v>
      </c>
      <c r="E9208" s="16" t="s">
        <v>30</v>
      </c>
    </row>
    <row r="9209" spans="1:5" x14ac:dyDescent="0.25">
      <c r="A9209" s="14">
        <v>118061002</v>
      </c>
      <c r="B9209" s="14" t="s">
        <v>9317</v>
      </c>
      <c r="C9209" s="14" t="s">
        <v>13031</v>
      </c>
      <c r="D9209" s="15">
        <v>5.7</v>
      </c>
      <c r="E9209" s="16" t="s">
        <v>30</v>
      </c>
    </row>
    <row r="9210" spans="1:5" x14ac:dyDescent="0.25">
      <c r="A9210" s="14">
        <v>118645001</v>
      </c>
      <c r="B9210" s="14" t="s">
        <v>9318</v>
      </c>
      <c r="C9210" s="14" t="s">
        <v>13030</v>
      </c>
      <c r="D9210" s="15">
        <v>18.670000000000002</v>
      </c>
      <c r="E9210" s="14" t="s">
        <v>30</v>
      </c>
    </row>
    <row r="9211" spans="1:5" x14ac:dyDescent="0.25">
      <c r="A9211" s="14">
        <v>118645002</v>
      </c>
      <c r="B9211" s="14" t="s">
        <v>9319</v>
      </c>
      <c r="C9211" s="14" t="s">
        <v>13030</v>
      </c>
      <c r="D9211" s="15">
        <v>18.670000000000002</v>
      </c>
      <c r="E9211" s="14" t="s">
        <v>30</v>
      </c>
    </row>
    <row r="9212" spans="1:5" x14ac:dyDescent="0.25">
      <c r="A9212" s="14">
        <v>118738001</v>
      </c>
      <c r="B9212" s="14" t="s">
        <v>9320</v>
      </c>
      <c r="C9212" s="14" t="s">
        <v>13030</v>
      </c>
      <c r="D9212" s="15">
        <v>36.950000000000003</v>
      </c>
      <c r="E9212" s="16" t="s">
        <v>30</v>
      </c>
    </row>
    <row r="9213" spans="1:5" x14ac:dyDescent="0.25">
      <c r="A9213" s="14">
        <v>118738002</v>
      </c>
      <c r="B9213" s="14" t="s">
        <v>9321</v>
      </c>
      <c r="C9213" s="14" t="s">
        <v>13030</v>
      </c>
      <c r="D9213" s="15">
        <v>38.049999999999997</v>
      </c>
      <c r="E9213" s="16" t="s">
        <v>30</v>
      </c>
    </row>
    <row r="9214" spans="1:5" x14ac:dyDescent="0.25">
      <c r="A9214" s="14">
        <v>130674001</v>
      </c>
      <c r="B9214" s="14" t="s">
        <v>103</v>
      </c>
      <c r="C9214" s="14" t="s">
        <v>13030</v>
      </c>
      <c r="D9214" s="15">
        <v>19.329999999999998</v>
      </c>
      <c r="E9214" s="16" t="s">
        <v>30</v>
      </c>
    </row>
    <row r="9215" spans="1:5" x14ac:dyDescent="0.25">
      <c r="A9215" s="14">
        <v>130674002</v>
      </c>
      <c r="B9215" s="14" t="s">
        <v>9322</v>
      </c>
      <c r="C9215" s="14" t="s">
        <v>13030</v>
      </c>
      <c r="D9215" s="15">
        <v>19.329999999999998</v>
      </c>
      <c r="E9215" s="16" t="s">
        <v>30</v>
      </c>
    </row>
    <row r="9216" spans="1:5" x14ac:dyDescent="0.25">
      <c r="A9216" s="14">
        <v>130674003</v>
      </c>
      <c r="B9216" s="14" t="s">
        <v>9323</v>
      </c>
      <c r="C9216" s="14" t="s">
        <v>13030</v>
      </c>
      <c r="D9216" s="15">
        <v>19.329999999999998</v>
      </c>
      <c r="E9216" s="16" t="s">
        <v>30</v>
      </c>
    </row>
    <row r="9217" spans="1:5" x14ac:dyDescent="0.25">
      <c r="A9217" s="14">
        <v>130674004</v>
      </c>
      <c r="B9217" s="14" t="s">
        <v>9324</v>
      </c>
      <c r="C9217" s="14" t="s">
        <v>13030</v>
      </c>
      <c r="D9217" s="15">
        <v>19.329999999999998</v>
      </c>
      <c r="E9217" s="16" t="s">
        <v>30</v>
      </c>
    </row>
    <row r="9218" spans="1:5" x14ac:dyDescent="0.25">
      <c r="A9218" s="14">
        <v>131712001</v>
      </c>
      <c r="B9218" s="14" t="s">
        <v>9325</v>
      </c>
      <c r="C9218" s="14" t="s">
        <v>13031</v>
      </c>
      <c r="D9218" s="15">
        <v>7.65</v>
      </c>
      <c r="E9218" s="16" t="s">
        <v>30</v>
      </c>
    </row>
    <row r="9219" spans="1:5" x14ac:dyDescent="0.25">
      <c r="A9219" s="14">
        <v>131712002</v>
      </c>
      <c r="B9219" s="14" t="s">
        <v>9326</v>
      </c>
      <c r="C9219" s="14" t="s">
        <v>13031</v>
      </c>
      <c r="D9219" s="15">
        <v>7.65</v>
      </c>
      <c r="E9219" s="16" t="s">
        <v>30</v>
      </c>
    </row>
    <row r="9220" spans="1:5" x14ac:dyDescent="0.25">
      <c r="A9220" s="14">
        <v>133095001</v>
      </c>
      <c r="B9220" s="14" t="s">
        <v>9327</v>
      </c>
      <c r="C9220" s="14" t="s">
        <v>13031</v>
      </c>
      <c r="D9220" s="15">
        <v>23.67</v>
      </c>
      <c r="E9220" s="16" t="s">
        <v>30</v>
      </c>
    </row>
    <row r="9221" spans="1:5" x14ac:dyDescent="0.25">
      <c r="A9221" s="14">
        <v>133095002</v>
      </c>
      <c r="B9221" s="14" t="s">
        <v>9328</v>
      </c>
      <c r="C9221" s="14" t="s">
        <v>13031</v>
      </c>
      <c r="D9221" s="15">
        <v>23.67</v>
      </c>
      <c r="E9221" s="16" t="s">
        <v>30</v>
      </c>
    </row>
    <row r="9222" spans="1:5" x14ac:dyDescent="0.25">
      <c r="A9222" s="14">
        <v>133095003</v>
      </c>
      <c r="B9222" s="14" t="s">
        <v>9329</v>
      </c>
      <c r="C9222" s="14" t="s">
        <v>13031</v>
      </c>
      <c r="D9222" s="15">
        <v>23.67</v>
      </c>
      <c r="E9222" s="16" t="s">
        <v>30</v>
      </c>
    </row>
    <row r="9223" spans="1:5" x14ac:dyDescent="0.25">
      <c r="A9223" s="14">
        <v>133095004</v>
      </c>
      <c r="B9223" s="14" t="s">
        <v>9330</v>
      </c>
      <c r="C9223" s="14" t="s">
        <v>13031</v>
      </c>
      <c r="D9223" s="15">
        <v>23.67</v>
      </c>
      <c r="E9223" s="16" t="s">
        <v>30</v>
      </c>
    </row>
    <row r="9224" spans="1:5" x14ac:dyDescent="0.25">
      <c r="A9224" s="14">
        <v>133095005</v>
      </c>
      <c r="B9224" s="14" t="s">
        <v>9331</v>
      </c>
      <c r="C9224" s="14" t="s">
        <v>13031</v>
      </c>
      <c r="D9224" s="15">
        <v>26.29</v>
      </c>
      <c r="E9224" s="16" t="s">
        <v>30</v>
      </c>
    </row>
    <row r="9225" spans="1:5" x14ac:dyDescent="0.25">
      <c r="A9225" s="14">
        <v>133095006</v>
      </c>
      <c r="B9225" s="14" t="s">
        <v>9332</v>
      </c>
      <c r="C9225" s="14" t="s">
        <v>13031</v>
      </c>
      <c r="D9225" s="15">
        <v>26.3</v>
      </c>
      <c r="E9225" s="16" t="s">
        <v>30</v>
      </c>
    </row>
    <row r="9226" spans="1:5" x14ac:dyDescent="0.25">
      <c r="A9226" s="14">
        <v>133095007</v>
      </c>
      <c r="B9226" s="14" t="s">
        <v>9333</v>
      </c>
      <c r="C9226" s="14" t="s">
        <v>13031</v>
      </c>
      <c r="D9226" s="15">
        <v>26.3</v>
      </c>
      <c r="E9226" s="16" t="s">
        <v>30</v>
      </c>
    </row>
    <row r="9227" spans="1:5" x14ac:dyDescent="0.25">
      <c r="A9227" s="14">
        <v>134301002</v>
      </c>
      <c r="B9227" s="14" t="s">
        <v>9334</v>
      </c>
      <c r="C9227" s="14" t="s">
        <v>13031</v>
      </c>
      <c r="D9227" s="15">
        <v>14.54</v>
      </c>
      <c r="E9227" s="14" t="s">
        <v>30</v>
      </c>
    </row>
    <row r="9228" spans="1:5" x14ac:dyDescent="0.25">
      <c r="A9228" s="14">
        <v>134301003</v>
      </c>
      <c r="B9228" s="14" t="s">
        <v>9335</v>
      </c>
      <c r="C9228" s="14" t="s">
        <v>13031</v>
      </c>
      <c r="D9228" s="15">
        <v>14.54</v>
      </c>
      <c r="E9228" s="14" t="s">
        <v>30</v>
      </c>
    </row>
    <row r="9229" spans="1:5" x14ac:dyDescent="0.25">
      <c r="A9229" s="14">
        <v>135380001</v>
      </c>
      <c r="B9229" s="14" t="s">
        <v>9336</v>
      </c>
      <c r="C9229" s="14" t="s">
        <v>13030</v>
      </c>
      <c r="D9229" s="15">
        <v>30.15</v>
      </c>
      <c r="E9229" s="16" t="s">
        <v>30</v>
      </c>
    </row>
    <row r="9230" spans="1:5" x14ac:dyDescent="0.25">
      <c r="A9230" s="14">
        <v>135380002</v>
      </c>
      <c r="B9230" s="14" t="s">
        <v>9337</v>
      </c>
      <c r="C9230" s="14" t="s">
        <v>13030</v>
      </c>
      <c r="D9230" s="15">
        <v>30.3</v>
      </c>
      <c r="E9230" s="16" t="s">
        <v>30</v>
      </c>
    </row>
    <row r="9231" spans="1:5" x14ac:dyDescent="0.25">
      <c r="A9231" s="14">
        <v>135380003</v>
      </c>
      <c r="B9231" s="14" t="s">
        <v>9338</v>
      </c>
      <c r="C9231" s="14" t="s">
        <v>13030</v>
      </c>
      <c r="D9231" s="15">
        <v>29.86</v>
      </c>
      <c r="E9231" s="16" t="s">
        <v>30</v>
      </c>
    </row>
    <row r="9232" spans="1:5" x14ac:dyDescent="0.25">
      <c r="A9232" s="14">
        <v>135380004</v>
      </c>
      <c r="B9232" s="14" t="s">
        <v>9339</v>
      </c>
      <c r="C9232" s="14" t="s">
        <v>13030</v>
      </c>
      <c r="D9232" s="15">
        <v>30.18</v>
      </c>
      <c r="E9232" s="16" t="s">
        <v>30</v>
      </c>
    </row>
    <row r="9233" spans="1:5" x14ac:dyDescent="0.25">
      <c r="A9233" s="14">
        <v>135380005</v>
      </c>
      <c r="B9233" s="14" t="s">
        <v>9340</v>
      </c>
      <c r="C9233" s="14" t="s">
        <v>13030</v>
      </c>
      <c r="D9233" s="15">
        <v>30.19</v>
      </c>
      <c r="E9233" s="16" t="s">
        <v>30</v>
      </c>
    </row>
    <row r="9234" spans="1:5" x14ac:dyDescent="0.25">
      <c r="A9234" s="14">
        <v>137400001</v>
      </c>
      <c r="B9234" s="14" t="s">
        <v>9341</v>
      </c>
      <c r="C9234" s="14" t="s">
        <v>13031</v>
      </c>
      <c r="D9234" s="15">
        <v>1.95</v>
      </c>
      <c r="E9234" s="16" t="s">
        <v>30</v>
      </c>
    </row>
    <row r="9235" spans="1:5" x14ac:dyDescent="0.25">
      <c r="A9235" s="14">
        <v>137400002</v>
      </c>
      <c r="B9235" s="14" t="s">
        <v>9342</v>
      </c>
      <c r="C9235" s="14" t="s">
        <v>13031</v>
      </c>
      <c r="D9235" s="15">
        <v>1.85</v>
      </c>
      <c r="E9235" s="16" t="s">
        <v>30</v>
      </c>
    </row>
    <row r="9236" spans="1:5" x14ac:dyDescent="0.25">
      <c r="A9236" s="14">
        <v>137400003</v>
      </c>
      <c r="B9236" s="14" t="s">
        <v>9343</v>
      </c>
      <c r="C9236" s="14" t="s">
        <v>13031</v>
      </c>
      <c r="D9236" s="15">
        <v>1.85</v>
      </c>
      <c r="E9236" s="16" t="s">
        <v>30</v>
      </c>
    </row>
    <row r="9237" spans="1:5" x14ac:dyDescent="0.25">
      <c r="A9237" s="14">
        <v>137400004</v>
      </c>
      <c r="B9237" s="14" t="s">
        <v>9344</v>
      </c>
      <c r="C9237" s="14" t="s">
        <v>13031</v>
      </c>
      <c r="D9237" s="15">
        <v>1.85</v>
      </c>
      <c r="E9237" s="16" t="s">
        <v>30</v>
      </c>
    </row>
    <row r="9238" spans="1:5" x14ac:dyDescent="0.25">
      <c r="A9238" s="14">
        <v>141285003</v>
      </c>
      <c r="B9238" s="14" t="s">
        <v>9345</v>
      </c>
      <c r="C9238" s="14" t="s">
        <v>13030</v>
      </c>
      <c r="D9238" s="15">
        <v>14.52</v>
      </c>
      <c r="E9238" s="16" t="s">
        <v>30</v>
      </c>
    </row>
    <row r="9239" spans="1:5" x14ac:dyDescent="0.25">
      <c r="A9239" s="14">
        <v>147769001</v>
      </c>
      <c r="B9239" s="14" t="s">
        <v>9346</v>
      </c>
      <c r="C9239" s="14" t="s">
        <v>13029</v>
      </c>
      <c r="D9239" s="15">
        <v>9</v>
      </c>
      <c r="E9239" s="16" t="s">
        <v>30</v>
      </c>
    </row>
    <row r="9240" spans="1:5" x14ac:dyDescent="0.25">
      <c r="A9240" s="14">
        <v>147769008</v>
      </c>
      <c r="B9240" s="14" t="s">
        <v>9347</v>
      </c>
      <c r="C9240" s="14" t="s">
        <v>13029</v>
      </c>
      <c r="D9240" s="15">
        <v>9</v>
      </c>
      <c r="E9240" s="16" t="s">
        <v>30</v>
      </c>
    </row>
    <row r="9241" spans="1:5" x14ac:dyDescent="0.25">
      <c r="A9241" s="14">
        <v>147769009</v>
      </c>
      <c r="B9241" s="14" t="s">
        <v>9348</v>
      </c>
      <c r="C9241" s="14" t="s">
        <v>13029</v>
      </c>
      <c r="D9241" s="15">
        <v>9</v>
      </c>
      <c r="E9241" s="16" t="s">
        <v>30</v>
      </c>
    </row>
    <row r="9242" spans="1:5" x14ac:dyDescent="0.25">
      <c r="A9242" s="14">
        <v>147769011</v>
      </c>
      <c r="B9242" s="14" t="s">
        <v>9349</v>
      </c>
      <c r="C9242" s="14" t="s">
        <v>13029</v>
      </c>
      <c r="D9242" s="15">
        <v>9</v>
      </c>
      <c r="E9242" s="16" t="s">
        <v>30</v>
      </c>
    </row>
    <row r="9243" spans="1:5" x14ac:dyDescent="0.25">
      <c r="A9243" s="14">
        <v>150755004</v>
      </c>
      <c r="B9243" s="14" t="s">
        <v>9350</v>
      </c>
      <c r="C9243" s="14" t="s">
        <v>13029</v>
      </c>
      <c r="D9243" s="15">
        <v>13.61</v>
      </c>
      <c r="E9243" s="16" t="s">
        <v>30</v>
      </c>
    </row>
    <row r="9244" spans="1:5" x14ac:dyDescent="0.25">
      <c r="A9244" s="14">
        <v>150755006</v>
      </c>
      <c r="B9244" s="14" t="s">
        <v>9351</v>
      </c>
      <c r="C9244" s="14" t="s">
        <v>13029</v>
      </c>
      <c r="D9244" s="15">
        <v>13.61</v>
      </c>
      <c r="E9244" s="16" t="s">
        <v>30</v>
      </c>
    </row>
    <row r="9245" spans="1:5" x14ac:dyDescent="0.25">
      <c r="A9245" s="14">
        <v>150755007</v>
      </c>
      <c r="B9245" s="14" t="s">
        <v>9352</v>
      </c>
      <c r="C9245" s="14" t="s">
        <v>13029</v>
      </c>
      <c r="D9245" s="15">
        <v>13.61</v>
      </c>
      <c r="E9245" s="16" t="s">
        <v>30</v>
      </c>
    </row>
    <row r="9246" spans="1:5" x14ac:dyDescent="0.25">
      <c r="A9246" s="14">
        <v>150755008</v>
      </c>
      <c r="B9246" s="14" t="s">
        <v>9353</v>
      </c>
      <c r="C9246" s="14" t="s">
        <v>13029</v>
      </c>
      <c r="D9246" s="15">
        <v>13.61</v>
      </c>
      <c r="E9246" s="16" t="s">
        <v>30</v>
      </c>
    </row>
    <row r="9247" spans="1:5" x14ac:dyDescent="0.25">
      <c r="A9247" s="14">
        <v>150755012</v>
      </c>
      <c r="B9247" s="14" t="s">
        <v>9354</v>
      </c>
      <c r="C9247" s="14" t="s">
        <v>13029</v>
      </c>
      <c r="D9247" s="15">
        <v>13.61</v>
      </c>
      <c r="E9247" s="16" t="s">
        <v>30</v>
      </c>
    </row>
    <row r="9248" spans="1:5" x14ac:dyDescent="0.25">
      <c r="A9248" s="14">
        <v>150755017</v>
      </c>
      <c r="B9248" s="14" t="s">
        <v>9355</v>
      </c>
      <c r="C9248" s="14" t="s">
        <v>13029</v>
      </c>
      <c r="D9248" s="15">
        <v>13.61</v>
      </c>
      <c r="E9248" s="16" t="s">
        <v>30</v>
      </c>
    </row>
    <row r="9249" spans="1:5" x14ac:dyDescent="0.25">
      <c r="A9249" s="14">
        <v>150755020</v>
      </c>
      <c r="B9249" s="14" t="s">
        <v>9356</v>
      </c>
      <c r="C9249" s="14" t="s">
        <v>13029</v>
      </c>
      <c r="D9249" s="15">
        <v>13.61</v>
      </c>
      <c r="E9249" s="16" t="s">
        <v>30</v>
      </c>
    </row>
    <row r="9250" spans="1:5" x14ac:dyDescent="0.25">
      <c r="A9250" s="14">
        <v>150755021</v>
      </c>
      <c r="B9250" s="14" t="s">
        <v>9357</v>
      </c>
      <c r="C9250" s="14" t="s">
        <v>13029</v>
      </c>
      <c r="D9250" s="15">
        <v>13.61</v>
      </c>
      <c r="E9250" s="16" t="s">
        <v>30</v>
      </c>
    </row>
    <row r="9251" spans="1:5" x14ac:dyDescent="0.25">
      <c r="A9251" s="14">
        <v>150755024</v>
      </c>
      <c r="B9251" s="14" t="s">
        <v>9358</v>
      </c>
      <c r="C9251" s="14" t="s">
        <v>13029</v>
      </c>
      <c r="D9251" s="15">
        <v>13.61</v>
      </c>
      <c r="E9251" s="16" t="s">
        <v>30</v>
      </c>
    </row>
    <row r="9252" spans="1:5" x14ac:dyDescent="0.25">
      <c r="A9252" s="14">
        <v>150755025</v>
      </c>
      <c r="B9252" s="14" t="s">
        <v>9359</v>
      </c>
      <c r="C9252" s="14" t="s">
        <v>13029</v>
      </c>
      <c r="D9252" s="15">
        <v>13.61</v>
      </c>
      <c r="E9252" s="16" t="s">
        <v>30</v>
      </c>
    </row>
    <row r="9253" spans="1:5" x14ac:dyDescent="0.25">
      <c r="A9253" s="14">
        <v>150755029</v>
      </c>
      <c r="B9253" s="14" t="s">
        <v>9360</v>
      </c>
      <c r="C9253" s="14" t="s">
        <v>13029</v>
      </c>
      <c r="D9253" s="15">
        <v>13.61</v>
      </c>
      <c r="E9253" s="16" t="s">
        <v>30</v>
      </c>
    </row>
    <row r="9254" spans="1:5" x14ac:dyDescent="0.25">
      <c r="A9254" s="14">
        <v>56462003</v>
      </c>
      <c r="B9254" s="14" t="s">
        <v>9361</v>
      </c>
      <c r="C9254" s="14" t="s">
        <v>13031</v>
      </c>
      <c r="D9254" s="15">
        <v>3</v>
      </c>
      <c r="E9254" s="16" t="s">
        <v>20</v>
      </c>
    </row>
    <row r="9255" spans="1:5" x14ac:dyDescent="0.25">
      <c r="A9255" s="14">
        <v>59505001</v>
      </c>
      <c r="B9255" s="14" t="s">
        <v>9362</v>
      </c>
      <c r="C9255" s="14" t="s">
        <v>13031</v>
      </c>
      <c r="D9255" s="15">
        <v>7.04</v>
      </c>
      <c r="E9255" s="16" t="s">
        <v>20</v>
      </c>
    </row>
    <row r="9256" spans="1:5" x14ac:dyDescent="0.25">
      <c r="A9256" s="14">
        <v>150755030</v>
      </c>
      <c r="B9256" s="14" t="s">
        <v>9363</v>
      </c>
      <c r="C9256" s="14" t="s">
        <v>13029</v>
      </c>
      <c r="D9256" s="15">
        <v>13.61</v>
      </c>
      <c r="E9256" s="16" t="s">
        <v>30</v>
      </c>
    </row>
    <row r="9257" spans="1:5" x14ac:dyDescent="0.25">
      <c r="A9257" s="14">
        <v>160548001</v>
      </c>
      <c r="B9257" s="14" t="s">
        <v>9364</v>
      </c>
      <c r="C9257" s="14" t="s">
        <v>13030</v>
      </c>
      <c r="D9257" s="15">
        <v>20.079999999999998</v>
      </c>
      <c r="E9257" s="16" t="s">
        <v>30</v>
      </c>
    </row>
    <row r="9258" spans="1:5" x14ac:dyDescent="0.25">
      <c r="A9258" s="14">
        <v>160548002</v>
      </c>
      <c r="B9258" s="14" t="s">
        <v>9365</v>
      </c>
      <c r="C9258" s="14" t="s">
        <v>13030</v>
      </c>
      <c r="D9258" s="15">
        <v>20.079999999999998</v>
      </c>
      <c r="E9258" s="16" t="s">
        <v>30</v>
      </c>
    </row>
    <row r="9259" spans="1:5" x14ac:dyDescent="0.25">
      <c r="A9259" s="14">
        <v>160548003</v>
      </c>
      <c r="B9259" s="14" t="s">
        <v>9366</v>
      </c>
      <c r="C9259" s="14" t="s">
        <v>13030</v>
      </c>
      <c r="D9259" s="15">
        <v>20.079999999999998</v>
      </c>
      <c r="E9259" s="16" t="s">
        <v>30</v>
      </c>
    </row>
    <row r="9260" spans="1:5" x14ac:dyDescent="0.25">
      <c r="A9260" s="14">
        <v>160549001</v>
      </c>
      <c r="B9260" s="14" t="s">
        <v>9367</v>
      </c>
      <c r="C9260" s="14" t="s">
        <v>13030</v>
      </c>
      <c r="D9260" s="15">
        <v>31.2</v>
      </c>
      <c r="E9260" s="16" t="s">
        <v>30</v>
      </c>
    </row>
    <row r="9261" spans="1:5" x14ac:dyDescent="0.25">
      <c r="A9261" s="14">
        <v>160549002</v>
      </c>
      <c r="B9261" s="14" t="s">
        <v>9368</v>
      </c>
      <c r="C9261" s="14" t="s">
        <v>13030</v>
      </c>
      <c r="D9261" s="15">
        <v>31.2</v>
      </c>
      <c r="E9261" s="16" t="s">
        <v>30</v>
      </c>
    </row>
    <row r="9262" spans="1:5" x14ac:dyDescent="0.25">
      <c r="A9262" s="14">
        <v>160560001</v>
      </c>
      <c r="B9262" s="14" t="s">
        <v>9369</v>
      </c>
      <c r="C9262" s="14" t="s">
        <v>13030</v>
      </c>
      <c r="D9262" s="15">
        <v>53.61</v>
      </c>
      <c r="E9262" s="16" t="s">
        <v>30</v>
      </c>
    </row>
    <row r="9263" spans="1:5" x14ac:dyDescent="0.25">
      <c r="A9263" s="14">
        <v>160560002</v>
      </c>
      <c r="B9263" s="14" t="s">
        <v>9370</v>
      </c>
      <c r="C9263" s="14" t="s">
        <v>13030</v>
      </c>
      <c r="D9263" s="15">
        <v>53.61</v>
      </c>
      <c r="E9263" s="16" t="s">
        <v>30</v>
      </c>
    </row>
    <row r="9264" spans="1:5" x14ac:dyDescent="0.25">
      <c r="A9264" s="14">
        <v>160567001</v>
      </c>
      <c r="B9264" s="14" t="s">
        <v>9371</v>
      </c>
      <c r="C9264" s="14" t="s">
        <v>13030</v>
      </c>
      <c r="D9264" s="15">
        <v>27.8</v>
      </c>
      <c r="E9264" s="16" t="s">
        <v>30</v>
      </c>
    </row>
    <row r="9265" spans="1:5" x14ac:dyDescent="0.25">
      <c r="A9265" s="14">
        <v>160567002</v>
      </c>
      <c r="B9265" s="14" t="s">
        <v>9372</v>
      </c>
      <c r="C9265" s="14" t="s">
        <v>13030</v>
      </c>
      <c r="D9265" s="15">
        <v>27.8</v>
      </c>
      <c r="E9265" s="16" t="s">
        <v>30</v>
      </c>
    </row>
    <row r="9266" spans="1:5" x14ac:dyDescent="0.25">
      <c r="A9266" s="14">
        <v>160567003</v>
      </c>
      <c r="B9266" s="14" t="s">
        <v>9373</v>
      </c>
      <c r="C9266" s="14" t="s">
        <v>13030</v>
      </c>
      <c r="D9266" s="15">
        <v>27.8</v>
      </c>
      <c r="E9266" s="16" t="s">
        <v>30</v>
      </c>
    </row>
    <row r="9267" spans="1:5" x14ac:dyDescent="0.25">
      <c r="A9267" s="14">
        <v>160567004</v>
      </c>
      <c r="B9267" s="14" t="s">
        <v>9374</v>
      </c>
      <c r="C9267" s="14" t="s">
        <v>13030</v>
      </c>
      <c r="D9267" s="15">
        <v>27.8</v>
      </c>
      <c r="E9267" s="16" t="s">
        <v>30</v>
      </c>
    </row>
    <row r="9268" spans="1:5" x14ac:dyDescent="0.25">
      <c r="A9268" s="14">
        <v>160567005</v>
      </c>
      <c r="B9268" s="14" t="s">
        <v>9375</v>
      </c>
      <c r="C9268" s="14" t="s">
        <v>13030</v>
      </c>
      <c r="D9268" s="15">
        <v>27.8</v>
      </c>
      <c r="E9268" s="16" t="s">
        <v>30</v>
      </c>
    </row>
    <row r="9269" spans="1:5" x14ac:dyDescent="0.25">
      <c r="A9269" s="14">
        <v>160898001</v>
      </c>
      <c r="B9269" s="14" t="s">
        <v>9376</v>
      </c>
      <c r="C9269" s="14" t="s">
        <v>13030</v>
      </c>
      <c r="D9269" s="15">
        <v>40.99</v>
      </c>
      <c r="E9269" s="16" t="s">
        <v>30</v>
      </c>
    </row>
    <row r="9270" spans="1:5" x14ac:dyDescent="0.25">
      <c r="A9270" s="14">
        <v>160898002</v>
      </c>
      <c r="B9270" s="14" t="s">
        <v>9377</v>
      </c>
      <c r="C9270" s="14" t="s">
        <v>13030</v>
      </c>
      <c r="D9270" s="15">
        <v>40.99</v>
      </c>
      <c r="E9270" s="16" t="s">
        <v>30</v>
      </c>
    </row>
    <row r="9271" spans="1:5" x14ac:dyDescent="0.25">
      <c r="A9271" s="14">
        <v>163471001</v>
      </c>
      <c r="B9271" s="14" t="s">
        <v>9378</v>
      </c>
      <c r="C9271" s="14" t="s">
        <v>13029</v>
      </c>
      <c r="D9271" s="15">
        <v>19.89</v>
      </c>
      <c r="E9271" s="16" t="s">
        <v>30</v>
      </c>
    </row>
    <row r="9272" spans="1:5" x14ac:dyDescent="0.25">
      <c r="A9272" s="14">
        <v>163471002</v>
      </c>
      <c r="B9272" s="14" t="s">
        <v>9379</v>
      </c>
      <c r="C9272" s="14" t="s">
        <v>13029</v>
      </c>
      <c r="D9272" s="15">
        <v>19.89</v>
      </c>
      <c r="E9272" s="16" t="s">
        <v>30</v>
      </c>
    </row>
    <row r="9273" spans="1:5" x14ac:dyDescent="0.25">
      <c r="A9273" s="14">
        <v>170563003</v>
      </c>
      <c r="B9273" s="14" t="s">
        <v>9380</v>
      </c>
      <c r="C9273" s="14" t="s">
        <v>13031</v>
      </c>
      <c r="D9273" s="15">
        <v>9.66</v>
      </c>
      <c r="E9273" s="16" t="s">
        <v>30</v>
      </c>
    </row>
    <row r="9274" spans="1:5" x14ac:dyDescent="0.25">
      <c r="A9274" s="14">
        <v>170774001</v>
      </c>
      <c r="B9274" s="14" t="s">
        <v>9381</v>
      </c>
      <c r="C9274" s="14" t="s">
        <v>13031</v>
      </c>
      <c r="D9274" s="15">
        <v>0.95</v>
      </c>
      <c r="E9274" s="16" t="s">
        <v>30</v>
      </c>
    </row>
    <row r="9275" spans="1:5" x14ac:dyDescent="0.25">
      <c r="A9275" s="14">
        <v>170774002</v>
      </c>
      <c r="B9275" s="14" t="s">
        <v>9382</v>
      </c>
      <c r="C9275" s="14" t="s">
        <v>13031</v>
      </c>
      <c r="D9275" s="15">
        <v>1.86</v>
      </c>
      <c r="E9275" s="16" t="s">
        <v>30</v>
      </c>
    </row>
    <row r="9276" spans="1:5" x14ac:dyDescent="0.25">
      <c r="A9276" s="14">
        <v>170774003</v>
      </c>
      <c r="B9276" s="14" t="s">
        <v>9383</v>
      </c>
      <c r="C9276" s="14" t="s">
        <v>13031</v>
      </c>
      <c r="D9276" s="15">
        <v>1.86</v>
      </c>
      <c r="E9276" s="16" t="s">
        <v>30</v>
      </c>
    </row>
    <row r="9277" spans="1:5" x14ac:dyDescent="0.25">
      <c r="A9277" s="14">
        <v>170774004</v>
      </c>
      <c r="B9277" s="14" t="s">
        <v>9384</v>
      </c>
      <c r="C9277" s="14" t="s">
        <v>13031</v>
      </c>
      <c r="D9277" s="15">
        <v>1.86</v>
      </c>
      <c r="E9277" s="16" t="s">
        <v>30</v>
      </c>
    </row>
    <row r="9278" spans="1:5" x14ac:dyDescent="0.25">
      <c r="A9278" s="14">
        <v>170774005</v>
      </c>
      <c r="B9278" s="14" t="s">
        <v>9385</v>
      </c>
      <c r="C9278" s="14" t="s">
        <v>13031</v>
      </c>
      <c r="D9278" s="15">
        <v>1.86</v>
      </c>
      <c r="E9278" s="16" t="s">
        <v>30</v>
      </c>
    </row>
    <row r="9279" spans="1:5" x14ac:dyDescent="0.25">
      <c r="A9279" s="14">
        <v>178327001</v>
      </c>
      <c r="B9279" s="14" t="s">
        <v>9386</v>
      </c>
      <c r="C9279" s="14" t="s">
        <v>13031</v>
      </c>
      <c r="D9279" s="15">
        <v>11.24</v>
      </c>
      <c r="E9279" s="16" t="s">
        <v>30</v>
      </c>
    </row>
    <row r="9280" spans="1:5" x14ac:dyDescent="0.25">
      <c r="A9280" s="14">
        <v>178327003</v>
      </c>
      <c r="B9280" s="14" t="s">
        <v>9387</v>
      </c>
      <c r="C9280" s="14" t="s">
        <v>13031</v>
      </c>
      <c r="D9280" s="15">
        <v>11.24</v>
      </c>
      <c r="E9280" s="16" t="s">
        <v>30</v>
      </c>
    </row>
    <row r="9281" spans="1:5" x14ac:dyDescent="0.25">
      <c r="A9281" s="14">
        <v>178329002</v>
      </c>
      <c r="B9281" s="14" t="s">
        <v>9388</v>
      </c>
      <c r="C9281" s="14" t="s">
        <v>13031</v>
      </c>
      <c r="D9281" s="15">
        <v>11.24</v>
      </c>
      <c r="E9281" s="16" t="s">
        <v>30</v>
      </c>
    </row>
    <row r="9282" spans="1:5" x14ac:dyDescent="0.25">
      <c r="A9282" s="14">
        <v>179925001</v>
      </c>
      <c r="B9282" s="14" t="s">
        <v>9389</v>
      </c>
      <c r="C9282" s="14" t="s">
        <v>13031</v>
      </c>
      <c r="D9282" s="15">
        <v>16.37</v>
      </c>
      <c r="E9282" s="16" t="s">
        <v>30</v>
      </c>
    </row>
    <row r="9283" spans="1:5" x14ac:dyDescent="0.25">
      <c r="A9283" s="14">
        <v>179925002</v>
      </c>
      <c r="B9283" s="14" t="s">
        <v>9390</v>
      </c>
      <c r="C9283" s="14" t="s">
        <v>13031</v>
      </c>
      <c r="D9283" s="15">
        <v>16.37</v>
      </c>
      <c r="E9283" s="16" t="s">
        <v>30</v>
      </c>
    </row>
    <row r="9284" spans="1:5" x14ac:dyDescent="0.25">
      <c r="A9284" s="14">
        <v>181536001</v>
      </c>
      <c r="B9284" s="14" t="s">
        <v>9391</v>
      </c>
      <c r="C9284" s="14" t="s">
        <v>13031</v>
      </c>
      <c r="D9284" s="15">
        <v>8.3000000000000007</v>
      </c>
      <c r="E9284" s="16" t="s">
        <v>30</v>
      </c>
    </row>
    <row r="9285" spans="1:5" x14ac:dyDescent="0.25">
      <c r="A9285" s="14">
        <v>181536002</v>
      </c>
      <c r="B9285" s="14" t="s">
        <v>9392</v>
      </c>
      <c r="C9285" s="14" t="s">
        <v>13031</v>
      </c>
      <c r="D9285" s="15">
        <v>5.51</v>
      </c>
      <c r="E9285" s="16" t="s">
        <v>30</v>
      </c>
    </row>
    <row r="9286" spans="1:5" x14ac:dyDescent="0.25">
      <c r="A9286" s="14">
        <v>181536003</v>
      </c>
      <c r="B9286" s="14" t="s">
        <v>9393</v>
      </c>
      <c r="C9286" s="14" t="s">
        <v>13031</v>
      </c>
      <c r="D9286" s="15">
        <v>8.3000000000000007</v>
      </c>
      <c r="E9286" s="16" t="s">
        <v>30</v>
      </c>
    </row>
    <row r="9287" spans="1:5" x14ac:dyDescent="0.25">
      <c r="A9287" s="14">
        <v>181536004</v>
      </c>
      <c r="B9287" s="14" t="s">
        <v>9394</v>
      </c>
      <c r="C9287" s="14" t="s">
        <v>13031</v>
      </c>
      <c r="D9287" s="15">
        <v>8.3000000000000007</v>
      </c>
      <c r="E9287" s="16" t="s">
        <v>30</v>
      </c>
    </row>
    <row r="9288" spans="1:5" x14ac:dyDescent="0.25">
      <c r="A9288" s="14">
        <v>183197005</v>
      </c>
      <c r="B9288" s="14" t="s">
        <v>9395</v>
      </c>
      <c r="C9288" s="14" t="s">
        <v>13029</v>
      </c>
      <c r="D9288" s="15">
        <v>18.34</v>
      </c>
      <c r="E9288" s="16" t="s">
        <v>30</v>
      </c>
    </row>
    <row r="9289" spans="1:5" x14ac:dyDescent="0.25">
      <c r="A9289" s="14">
        <v>183197006</v>
      </c>
      <c r="B9289" s="14" t="s">
        <v>9396</v>
      </c>
      <c r="C9289" s="14" t="s">
        <v>13029</v>
      </c>
      <c r="D9289" s="15">
        <v>18.34</v>
      </c>
      <c r="E9289" s="16" t="s">
        <v>30</v>
      </c>
    </row>
    <row r="9290" spans="1:5" x14ac:dyDescent="0.25">
      <c r="A9290" s="14">
        <v>183197007</v>
      </c>
      <c r="B9290" s="14" t="s">
        <v>9397</v>
      </c>
      <c r="C9290" s="14" t="s">
        <v>13029</v>
      </c>
      <c r="D9290" s="15">
        <v>18.34</v>
      </c>
      <c r="E9290" s="16" t="s">
        <v>30</v>
      </c>
    </row>
    <row r="9291" spans="1:5" x14ac:dyDescent="0.25">
      <c r="A9291" s="14">
        <v>183197009</v>
      </c>
      <c r="B9291" s="14" t="s">
        <v>9398</v>
      </c>
      <c r="C9291" s="14" t="s">
        <v>13029</v>
      </c>
      <c r="D9291" s="15">
        <v>18.34</v>
      </c>
      <c r="E9291" s="16" t="s">
        <v>30</v>
      </c>
    </row>
    <row r="9292" spans="1:5" x14ac:dyDescent="0.25">
      <c r="A9292" s="14">
        <v>183197012</v>
      </c>
      <c r="B9292" s="14" t="s">
        <v>9399</v>
      </c>
      <c r="C9292" s="14" t="s">
        <v>13029</v>
      </c>
      <c r="D9292" s="15">
        <v>16.100000000000001</v>
      </c>
      <c r="E9292" s="16" t="s">
        <v>30</v>
      </c>
    </row>
    <row r="9293" spans="1:5" x14ac:dyDescent="0.25">
      <c r="A9293" s="14">
        <v>183197014</v>
      </c>
      <c r="B9293" s="14" t="s">
        <v>9400</v>
      </c>
      <c r="C9293" s="14" t="s">
        <v>13029</v>
      </c>
      <c r="D9293" s="15">
        <v>18.34</v>
      </c>
      <c r="E9293" s="16" t="s">
        <v>30</v>
      </c>
    </row>
    <row r="9294" spans="1:5" x14ac:dyDescent="0.25">
      <c r="A9294" s="14">
        <v>183197027</v>
      </c>
      <c r="B9294" s="14" t="s">
        <v>9401</v>
      </c>
      <c r="C9294" s="14" t="s">
        <v>13029</v>
      </c>
      <c r="D9294" s="15">
        <v>18.34</v>
      </c>
      <c r="E9294" s="16" t="s">
        <v>30</v>
      </c>
    </row>
    <row r="9295" spans="1:5" x14ac:dyDescent="0.25">
      <c r="A9295" s="14">
        <v>183324001</v>
      </c>
      <c r="B9295" s="14" t="s">
        <v>9402</v>
      </c>
      <c r="C9295" s="14" t="s">
        <v>13031</v>
      </c>
      <c r="D9295" s="15">
        <v>7.31</v>
      </c>
      <c r="E9295" s="16" t="s">
        <v>30</v>
      </c>
    </row>
    <row r="9296" spans="1:5" x14ac:dyDescent="0.25">
      <c r="A9296" s="14">
        <v>183324002</v>
      </c>
      <c r="B9296" s="14" t="s">
        <v>9403</v>
      </c>
      <c r="C9296" s="14" t="s">
        <v>13031</v>
      </c>
      <c r="D9296" s="15">
        <v>7.31</v>
      </c>
      <c r="E9296" s="16" t="s">
        <v>30</v>
      </c>
    </row>
    <row r="9297" spans="1:5" x14ac:dyDescent="0.25">
      <c r="A9297" s="14">
        <v>183325001</v>
      </c>
      <c r="B9297" s="14" t="s">
        <v>9404</v>
      </c>
      <c r="C9297" s="14" t="s">
        <v>13031</v>
      </c>
      <c r="D9297" s="15">
        <v>5.21</v>
      </c>
      <c r="E9297" s="16" t="s">
        <v>30</v>
      </c>
    </row>
    <row r="9298" spans="1:5" x14ac:dyDescent="0.25">
      <c r="A9298" s="14">
        <v>185925002</v>
      </c>
      <c r="B9298" s="14" t="s">
        <v>9405</v>
      </c>
      <c r="C9298" s="14" t="s">
        <v>13031</v>
      </c>
      <c r="D9298" s="15">
        <v>3.86</v>
      </c>
      <c r="E9298" s="16" t="s">
        <v>30</v>
      </c>
    </row>
    <row r="9299" spans="1:5" x14ac:dyDescent="0.25">
      <c r="A9299" s="14">
        <v>185925003</v>
      </c>
      <c r="B9299" s="14" t="s">
        <v>9406</v>
      </c>
      <c r="C9299" s="14" t="s">
        <v>13031</v>
      </c>
      <c r="D9299" s="15">
        <v>3.86</v>
      </c>
      <c r="E9299" s="16" t="s">
        <v>30</v>
      </c>
    </row>
    <row r="9300" spans="1:5" x14ac:dyDescent="0.25">
      <c r="A9300" s="14">
        <v>185925004</v>
      </c>
      <c r="B9300" s="14" t="s">
        <v>9407</v>
      </c>
      <c r="C9300" s="14" t="s">
        <v>13031</v>
      </c>
      <c r="D9300" s="15">
        <v>3.86</v>
      </c>
      <c r="E9300" s="16" t="s">
        <v>30</v>
      </c>
    </row>
    <row r="9301" spans="1:5" x14ac:dyDescent="0.25">
      <c r="A9301" s="14">
        <v>187598003</v>
      </c>
      <c r="B9301" s="14" t="s">
        <v>9408</v>
      </c>
      <c r="C9301" s="14" t="s">
        <v>13029</v>
      </c>
      <c r="D9301" s="15">
        <v>1.22</v>
      </c>
      <c r="E9301" s="16" t="s">
        <v>30</v>
      </c>
    </row>
    <row r="9302" spans="1:5" x14ac:dyDescent="0.25">
      <c r="A9302" s="14">
        <v>187632001</v>
      </c>
      <c r="B9302" s="14" t="s">
        <v>9409</v>
      </c>
      <c r="C9302" s="14" t="s">
        <v>13029</v>
      </c>
      <c r="D9302" s="15">
        <v>3.74</v>
      </c>
      <c r="E9302" s="16" t="s">
        <v>30</v>
      </c>
    </row>
    <row r="9303" spans="1:5" x14ac:dyDescent="0.25">
      <c r="A9303" s="14">
        <v>187632002</v>
      </c>
      <c r="B9303" s="14" t="s">
        <v>9410</v>
      </c>
      <c r="C9303" s="14" t="s">
        <v>13029</v>
      </c>
      <c r="D9303" s="15">
        <v>3.74</v>
      </c>
      <c r="E9303" s="16" t="s">
        <v>30</v>
      </c>
    </row>
    <row r="9304" spans="1:5" x14ac:dyDescent="0.25">
      <c r="A9304" s="14">
        <v>187632003</v>
      </c>
      <c r="B9304" s="14" t="s">
        <v>9411</v>
      </c>
      <c r="C9304" s="14" t="s">
        <v>13029</v>
      </c>
      <c r="D9304" s="15">
        <v>3.74</v>
      </c>
      <c r="E9304" s="16" t="s">
        <v>30</v>
      </c>
    </row>
    <row r="9305" spans="1:5" x14ac:dyDescent="0.25">
      <c r="A9305" s="14">
        <v>187632004</v>
      </c>
      <c r="B9305" s="14" t="s">
        <v>9412</v>
      </c>
      <c r="C9305" s="14" t="s">
        <v>13029</v>
      </c>
      <c r="D9305" s="15">
        <v>2.58</v>
      </c>
      <c r="E9305" s="16" t="s">
        <v>30</v>
      </c>
    </row>
    <row r="9306" spans="1:5" x14ac:dyDescent="0.25">
      <c r="A9306" s="14">
        <v>187632005</v>
      </c>
      <c r="B9306" s="14" t="s">
        <v>9413</v>
      </c>
      <c r="C9306" s="14" t="s">
        <v>13029</v>
      </c>
      <c r="D9306" s="15">
        <v>2.58</v>
      </c>
      <c r="E9306" s="16" t="s">
        <v>30</v>
      </c>
    </row>
    <row r="9307" spans="1:5" x14ac:dyDescent="0.25">
      <c r="A9307" s="14">
        <v>187632006</v>
      </c>
      <c r="B9307" s="14" t="s">
        <v>9414</v>
      </c>
      <c r="C9307" s="14" t="s">
        <v>13029</v>
      </c>
      <c r="D9307" s="15">
        <v>2.58</v>
      </c>
      <c r="E9307" s="16" t="s">
        <v>30</v>
      </c>
    </row>
    <row r="9308" spans="1:5" x14ac:dyDescent="0.25">
      <c r="A9308" s="14">
        <v>187650001</v>
      </c>
      <c r="B9308" s="14" t="s">
        <v>9415</v>
      </c>
      <c r="C9308" s="14" t="s">
        <v>13029</v>
      </c>
      <c r="D9308" s="15">
        <v>8.3699999999999992</v>
      </c>
      <c r="E9308" s="16" t="s">
        <v>30</v>
      </c>
    </row>
    <row r="9309" spans="1:5" x14ac:dyDescent="0.25">
      <c r="A9309" s="14">
        <v>187650002</v>
      </c>
      <c r="B9309" s="14" t="s">
        <v>9416</v>
      </c>
      <c r="C9309" s="14" t="s">
        <v>13029</v>
      </c>
      <c r="D9309" s="15">
        <v>8.3699999999999992</v>
      </c>
      <c r="E9309" s="16" t="s">
        <v>30</v>
      </c>
    </row>
    <row r="9310" spans="1:5" x14ac:dyDescent="0.25">
      <c r="A9310" s="14">
        <v>192841001</v>
      </c>
      <c r="B9310" s="14" t="s">
        <v>9417</v>
      </c>
      <c r="C9310" s="14" t="s">
        <v>13030</v>
      </c>
      <c r="D9310" s="15">
        <v>14.87</v>
      </c>
      <c r="E9310" s="16" t="s">
        <v>30</v>
      </c>
    </row>
    <row r="9311" spans="1:5" x14ac:dyDescent="0.25">
      <c r="A9311" s="14">
        <v>194901003</v>
      </c>
      <c r="B9311" s="14" t="s">
        <v>9418</v>
      </c>
      <c r="C9311" s="14" t="s">
        <v>13029</v>
      </c>
      <c r="D9311" s="15">
        <v>1.32</v>
      </c>
      <c r="E9311" s="16" t="s">
        <v>30</v>
      </c>
    </row>
    <row r="9312" spans="1:5" x14ac:dyDescent="0.25">
      <c r="A9312" s="14">
        <v>194901005</v>
      </c>
      <c r="B9312" s="14" t="s">
        <v>9419</v>
      </c>
      <c r="C9312" s="14" t="s">
        <v>13029</v>
      </c>
      <c r="D9312" s="15">
        <v>1.32</v>
      </c>
      <c r="E9312" s="16" t="s">
        <v>30</v>
      </c>
    </row>
    <row r="9313" spans="1:5" x14ac:dyDescent="0.25">
      <c r="A9313" s="14">
        <v>195207001</v>
      </c>
      <c r="B9313" s="14" t="s">
        <v>9420</v>
      </c>
      <c r="C9313" s="14" t="s">
        <v>13031</v>
      </c>
      <c r="D9313" s="15">
        <v>9.1300000000000008</v>
      </c>
      <c r="E9313" s="16" t="s">
        <v>30</v>
      </c>
    </row>
    <row r="9314" spans="1:5" x14ac:dyDescent="0.25">
      <c r="A9314" s="14">
        <v>59505002</v>
      </c>
      <c r="B9314" s="14" t="s">
        <v>9421</v>
      </c>
      <c r="C9314" s="14" t="s">
        <v>13031</v>
      </c>
      <c r="D9314" s="15">
        <v>7.02</v>
      </c>
      <c r="E9314" s="16" t="s">
        <v>20</v>
      </c>
    </row>
    <row r="9315" spans="1:5" x14ac:dyDescent="0.25">
      <c r="A9315" s="14">
        <v>195207003</v>
      </c>
      <c r="B9315" s="14" t="s">
        <v>9422</v>
      </c>
      <c r="C9315" s="14" t="s">
        <v>13031</v>
      </c>
      <c r="D9315" s="15">
        <v>9.1300000000000008</v>
      </c>
      <c r="E9315" s="16" t="s">
        <v>30</v>
      </c>
    </row>
    <row r="9316" spans="1:5" x14ac:dyDescent="0.25">
      <c r="A9316" s="14">
        <v>195207007</v>
      </c>
      <c r="B9316" s="14" t="s">
        <v>9423</v>
      </c>
      <c r="C9316" s="14" t="s">
        <v>13031</v>
      </c>
      <c r="D9316" s="15">
        <v>9.1300000000000008</v>
      </c>
      <c r="E9316" s="16" t="s">
        <v>30</v>
      </c>
    </row>
    <row r="9317" spans="1:5" x14ac:dyDescent="0.25">
      <c r="A9317" s="14">
        <v>195213001</v>
      </c>
      <c r="B9317" s="14" t="s">
        <v>9424</v>
      </c>
      <c r="C9317" s="14" t="s">
        <v>13031</v>
      </c>
      <c r="D9317" s="15">
        <v>1.51</v>
      </c>
      <c r="E9317" s="16" t="s">
        <v>30</v>
      </c>
    </row>
    <row r="9318" spans="1:5" x14ac:dyDescent="0.25">
      <c r="A9318" s="14">
        <v>197610001</v>
      </c>
      <c r="B9318" s="14" t="s">
        <v>9425</v>
      </c>
      <c r="C9318" s="14" t="s">
        <v>13030</v>
      </c>
      <c r="D9318" s="15">
        <v>48.94</v>
      </c>
      <c r="E9318" s="16" t="s">
        <v>30</v>
      </c>
    </row>
    <row r="9319" spans="1:5" x14ac:dyDescent="0.25">
      <c r="A9319" s="14">
        <v>198252001</v>
      </c>
      <c r="B9319" s="14" t="s">
        <v>9426</v>
      </c>
      <c r="C9319" s="14" t="s">
        <v>13034</v>
      </c>
      <c r="D9319" s="15">
        <v>2.25</v>
      </c>
      <c r="E9319" s="16" t="s">
        <v>30</v>
      </c>
    </row>
    <row r="9320" spans="1:5" x14ac:dyDescent="0.25">
      <c r="A9320" s="14">
        <v>198253001</v>
      </c>
      <c r="B9320" s="14" t="s">
        <v>9427</v>
      </c>
      <c r="C9320" s="14" t="s">
        <v>13034</v>
      </c>
      <c r="D9320" s="15">
        <v>2.75</v>
      </c>
      <c r="E9320" s="16" t="s">
        <v>30</v>
      </c>
    </row>
    <row r="9321" spans="1:5" x14ac:dyDescent="0.25">
      <c r="A9321" s="14">
        <v>199233001</v>
      </c>
      <c r="B9321" s="14" t="s">
        <v>9428</v>
      </c>
      <c r="C9321" s="14" t="s">
        <v>13029</v>
      </c>
      <c r="D9321" s="15">
        <v>10.15</v>
      </c>
      <c r="E9321" s="14" t="s">
        <v>30</v>
      </c>
    </row>
    <row r="9322" spans="1:5" x14ac:dyDescent="0.25">
      <c r="A9322" s="14">
        <v>199514001</v>
      </c>
      <c r="B9322" s="14" t="s">
        <v>9429</v>
      </c>
      <c r="C9322" s="14" t="s">
        <v>13031</v>
      </c>
      <c r="D9322" s="15">
        <v>6.2</v>
      </c>
      <c r="E9322" s="16" t="s">
        <v>30</v>
      </c>
    </row>
    <row r="9323" spans="1:5" x14ac:dyDescent="0.25">
      <c r="A9323" s="14">
        <v>199514002</v>
      </c>
      <c r="B9323" s="14" t="s">
        <v>9430</v>
      </c>
      <c r="C9323" s="14" t="s">
        <v>13031</v>
      </c>
      <c r="D9323" s="15">
        <v>6.2</v>
      </c>
      <c r="E9323" s="16" t="s">
        <v>30</v>
      </c>
    </row>
    <row r="9324" spans="1:5" x14ac:dyDescent="0.25">
      <c r="A9324" s="14">
        <v>199514003</v>
      </c>
      <c r="B9324" s="14" t="s">
        <v>9431</v>
      </c>
      <c r="C9324" s="14" t="s">
        <v>13031</v>
      </c>
      <c r="D9324" s="15">
        <v>6.2</v>
      </c>
      <c r="E9324" s="16" t="s">
        <v>30</v>
      </c>
    </row>
    <row r="9325" spans="1:5" x14ac:dyDescent="0.25">
      <c r="A9325" s="14">
        <v>200499001</v>
      </c>
      <c r="B9325" s="14" t="s">
        <v>9432</v>
      </c>
      <c r="C9325" s="14" t="s">
        <v>13029</v>
      </c>
      <c r="D9325" s="15">
        <v>5.84</v>
      </c>
      <c r="E9325" s="16" t="s">
        <v>30</v>
      </c>
    </row>
    <row r="9326" spans="1:5" x14ac:dyDescent="0.25">
      <c r="A9326" s="14">
        <v>200499002</v>
      </c>
      <c r="B9326" s="14" t="s">
        <v>9433</v>
      </c>
      <c r="C9326" s="14" t="s">
        <v>13029</v>
      </c>
      <c r="D9326" s="15">
        <v>5.84</v>
      </c>
      <c r="E9326" s="16" t="s">
        <v>30</v>
      </c>
    </row>
    <row r="9327" spans="1:5" x14ac:dyDescent="0.25">
      <c r="A9327" s="14">
        <v>200499003</v>
      </c>
      <c r="B9327" s="14" t="s">
        <v>9434</v>
      </c>
      <c r="C9327" s="14" t="s">
        <v>13029</v>
      </c>
      <c r="D9327" s="15">
        <v>5.84</v>
      </c>
      <c r="E9327" s="16" t="s">
        <v>30</v>
      </c>
    </row>
    <row r="9328" spans="1:5" x14ac:dyDescent="0.25">
      <c r="A9328" s="14">
        <v>201683002</v>
      </c>
      <c r="B9328" s="14" t="s">
        <v>9435</v>
      </c>
      <c r="C9328" s="14" t="s">
        <v>13029</v>
      </c>
      <c r="D9328" s="15">
        <v>22.18</v>
      </c>
      <c r="E9328" s="16" t="s">
        <v>30</v>
      </c>
    </row>
    <row r="9329" spans="1:5" x14ac:dyDescent="0.25">
      <c r="A9329" s="14">
        <v>210623001</v>
      </c>
      <c r="B9329" s="14" t="s">
        <v>9436</v>
      </c>
      <c r="C9329" s="14" t="s">
        <v>13029</v>
      </c>
      <c r="D9329" s="15">
        <v>5.78</v>
      </c>
      <c r="E9329" s="16" t="s">
        <v>30</v>
      </c>
    </row>
    <row r="9330" spans="1:5" x14ac:dyDescent="0.25">
      <c r="A9330" s="14">
        <v>212637001</v>
      </c>
      <c r="B9330" s="14" t="s">
        <v>9437</v>
      </c>
      <c r="C9330" s="14" t="s">
        <v>13029</v>
      </c>
      <c r="D9330" s="15">
        <v>9.16</v>
      </c>
      <c r="E9330" s="16" t="s">
        <v>30</v>
      </c>
    </row>
    <row r="9331" spans="1:5" x14ac:dyDescent="0.25">
      <c r="A9331" s="14">
        <v>212637003</v>
      </c>
      <c r="B9331" s="14" t="s">
        <v>9438</v>
      </c>
      <c r="C9331" s="14" t="s">
        <v>13029</v>
      </c>
      <c r="D9331" s="15">
        <v>9.16</v>
      </c>
      <c r="E9331" s="16" t="s">
        <v>30</v>
      </c>
    </row>
    <row r="9332" spans="1:5" x14ac:dyDescent="0.25">
      <c r="A9332" s="14">
        <v>212637009</v>
      </c>
      <c r="B9332" s="14" t="s">
        <v>9439</v>
      </c>
      <c r="C9332" s="14" t="s">
        <v>13029</v>
      </c>
      <c r="D9332" s="15">
        <v>9.16</v>
      </c>
      <c r="E9332" s="16" t="s">
        <v>30</v>
      </c>
    </row>
    <row r="9333" spans="1:5" x14ac:dyDescent="0.25">
      <c r="A9333" s="14">
        <v>212637016</v>
      </c>
      <c r="B9333" s="14" t="s">
        <v>9440</v>
      </c>
      <c r="C9333" s="14" t="s">
        <v>13029</v>
      </c>
      <c r="D9333" s="15">
        <v>9.16</v>
      </c>
      <c r="E9333" s="16" t="s">
        <v>30</v>
      </c>
    </row>
    <row r="9334" spans="1:5" x14ac:dyDescent="0.25">
      <c r="A9334" s="14">
        <v>212637018</v>
      </c>
      <c r="B9334" s="14" t="s">
        <v>9441</v>
      </c>
      <c r="C9334" s="14" t="s">
        <v>13029</v>
      </c>
      <c r="D9334" s="15">
        <v>9.16</v>
      </c>
      <c r="E9334" s="16" t="s">
        <v>30</v>
      </c>
    </row>
    <row r="9335" spans="1:5" x14ac:dyDescent="0.25">
      <c r="A9335" s="14">
        <v>212637020</v>
      </c>
      <c r="B9335" s="14" t="s">
        <v>9442</v>
      </c>
      <c r="C9335" s="14" t="s">
        <v>13029</v>
      </c>
      <c r="D9335" s="15">
        <v>9.16</v>
      </c>
      <c r="E9335" s="16" t="s">
        <v>30</v>
      </c>
    </row>
    <row r="9336" spans="1:5" x14ac:dyDescent="0.25">
      <c r="A9336" s="14">
        <v>212637024</v>
      </c>
      <c r="B9336" s="14" t="s">
        <v>9443</v>
      </c>
      <c r="C9336" s="14" t="s">
        <v>13029</v>
      </c>
      <c r="D9336" s="15">
        <v>9.16</v>
      </c>
      <c r="E9336" s="16" t="s">
        <v>30</v>
      </c>
    </row>
    <row r="9337" spans="1:5" x14ac:dyDescent="0.25">
      <c r="A9337" s="14">
        <v>212637027</v>
      </c>
      <c r="B9337" s="14" t="s">
        <v>9444</v>
      </c>
      <c r="C9337" s="14" t="s">
        <v>13029</v>
      </c>
      <c r="D9337" s="15">
        <v>9.16</v>
      </c>
      <c r="E9337" s="16" t="s">
        <v>30</v>
      </c>
    </row>
    <row r="9338" spans="1:5" x14ac:dyDescent="0.25">
      <c r="A9338" s="14">
        <v>219434002</v>
      </c>
      <c r="B9338" s="14" t="s">
        <v>9445</v>
      </c>
      <c r="C9338" s="14" t="s">
        <v>13029</v>
      </c>
      <c r="D9338" s="15">
        <v>5.92</v>
      </c>
      <c r="E9338" s="16" t="s">
        <v>30</v>
      </c>
    </row>
    <row r="9339" spans="1:5" x14ac:dyDescent="0.25">
      <c r="A9339" s="14">
        <v>220647003</v>
      </c>
      <c r="B9339" s="14" t="s">
        <v>9446</v>
      </c>
      <c r="C9339" s="14" t="s">
        <v>13031</v>
      </c>
      <c r="D9339" s="15">
        <v>3.48</v>
      </c>
      <c r="E9339" s="16" t="s">
        <v>30</v>
      </c>
    </row>
    <row r="9340" spans="1:5" x14ac:dyDescent="0.25">
      <c r="A9340" s="14">
        <v>220647006</v>
      </c>
      <c r="B9340" s="14" t="s">
        <v>9447</v>
      </c>
      <c r="C9340" s="14" t="s">
        <v>13031</v>
      </c>
      <c r="D9340" s="15">
        <v>3.48</v>
      </c>
      <c r="E9340" s="16" t="s">
        <v>30</v>
      </c>
    </row>
    <row r="9341" spans="1:5" x14ac:dyDescent="0.25">
      <c r="A9341" s="14">
        <v>225377001</v>
      </c>
      <c r="B9341" s="14" t="s">
        <v>9448</v>
      </c>
      <c r="C9341" s="14" t="s">
        <v>13031</v>
      </c>
      <c r="D9341" s="15">
        <v>2.2999999999999998</v>
      </c>
      <c r="E9341" s="16" t="s">
        <v>30</v>
      </c>
    </row>
    <row r="9342" spans="1:5" x14ac:dyDescent="0.25">
      <c r="A9342" s="14">
        <v>230533002</v>
      </c>
      <c r="B9342" s="14" t="s">
        <v>9449</v>
      </c>
      <c r="C9342" s="14" t="s">
        <v>13029</v>
      </c>
      <c r="D9342" s="15">
        <v>10.78</v>
      </c>
      <c r="E9342" s="16" t="s">
        <v>30</v>
      </c>
    </row>
    <row r="9343" spans="1:5" x14ac:dyDescent="0.25">
      <c r="A9343" s="14">
        <v>230533003</v>
      </c>
      <c r="B9343" s="14" t="s">
        <v>9450</v>
      </c>
      <c r="C9343" s="14" t="s">
        <v>13029</v>
      </c>
      <c r="D9343" s="15">
        <v>10.78</v>
      </c>
      <c r="E9343" s="16" t="s">
        <v>30</v>
      </c>
    </row>
    <row r="9344" spans="1:5" x14ac:dyDescent="0.25">
      <c r="A9344" s="14">
        <v>230548002</v>
      </c>
      <c r="B9344" s="14" t="s">
        <v>9451</v>
      </c>
      <c r="C9344" s="14" t="s">
        <v>13029</v>
      </c>
      <c r="D9344" s="15">
        <v>7.69</v>
      </c>
      <c r="E9344" s="16" t="s">
        <v>30</v>
      </c>
    </row>
    <row r="9345" spans="1:5" x14ac:dyDescent="0.25">
      <c r="A9345" s="14">
        <v>230548003</v>
      </c>
      <c r="B9345" s="14" t="s">
        <v>9452</v>
      </c>
      <c r="C9345" s="14" t="s">
        <v>13029</v>
      </c>
      <c r="D9345" s="15">
        <v>7.69</v>
      </c>
      <c r="E9345" s="16" t="s">
        <v>30</v>
      </c>
    </row>
    <row r="9346" spans="1:5" x14ac:dyDescent="0.25">
      <c r="A9346" s="14">
        <v>249041001</v>
      </c>
      <c r="B9346" s="14" t="s">
        <v>9453</v>
      </c>
      <c r="C9346" s="14" t="s">
        <v>13030</v>
      </c>
      <c r="D9346" s="15">
        <v>5.01</v>
      </c>
      <c r="E9346" s="16" t="s">
        <v>30</v>
      </c>
    </row>
    <row r="9347" spans="1:5" x14ac:dyDescent="0.25">
      <c r="A9347" s="14">
        <v>249041002</v>
      </c>
      <c r="B9347" s="14" t="s">
        <v>9454</v>
      </c>
      <c r="C9347" s="14" t="s">
        <v>13030</v>
      </c>
      <c r="D9347" s="15">
        <v>5.01</v>
      </c>
      <c r="E9347" s="16" t="s">
        <v>30</v>
      </c>
    </row>
    <row r="9348" spans="1:5" x14ac:dyDescent="0.25">
      <c r="A9348" s="14">
        <v>253823004</v>
      </c>
      <c r="B9348" s="14" t="s">
        <v>9455</v>
      </c>
      <c r="C9348" s="14" t="s">
        <v>13031</v>
      </c>
      <c r="D9348" s="15">
        <v>17.100000000000001</v>
      </c>
      <c r="E9348" s="16" t="s">
        <v>30</v>
      </c>
    </row>
    <row r="9349" spans="1:5" x14ac:dyDescent="0.25">
      <c r="A9349" s="14">
        <v>256327001</v>
      </c>
      <c r="B9349" s="14" t="s">
        <v>9456</v>
      </c>
      <c r="C9349" s="14" t="s">
        <v>13029</v>
      </c>
      <c r="D9349" s="15">
        <v>1.35</v>
      </c>
      <c r="E9349" s="16" t="s">
        <v>30</v>
      </c>
    </row>
    <row r="9350" spans="1:5" x14ac:dyDescent="0.25">
      <c r="A9350" s="14">
        <v>256327004</v>
      </c>
      <c r="B9350" s="14" t="s">
        <v>9457</v>
      </c>
      <c r="C9350" s="14" t="s">
        <v>13029</v>
      </c>
      <c r="D9350" s="15">
        <v>1.35</v>
      </c>
      <c r="E9350" s="16" t="s">
        <v>30</v>
      </c>
    </row>
    <row r="9351" spans="1:5" x14ac:dyDescent="0.25">
      <c r="A9351" s="14">
        <v>263861001</v>
      </c>
      <c r="B9351" s="14" t="s">
        <v>9458</v>
      </c>
      <c r="C9351" s="14" t="s">
        <v>13031</v>
      </c>
      <c r="D9351" s="15">
        <v>5.62</v>
      </c>
      <c r="E9351" s="16" t="s">
        <v>30</v>
      </c>
    </row>
    <row r="9352" spans="1:5" x14ac:dyDescent="0.25">
      <c r="A9352" s="14">
        <v>63237001</v>
      </c>
      <c r="B9352" s="14" t="s">
        <v>9459</v>
      </c>
      <c r="C9352" s="14" t="s">
        <v>13031</v>
      </c>
      <c r="D9352" s="15">
        <v>2.69</v>
      </c>
      <c r="E9352" s="16" t="s">
        <v>20</v>
      </c>
    </row>
    <row r="9353" spans="1:5" x14ac:dyDescent="0.25">
      <c r="A9353" s="14">
        <v>263861002</v>
      </c>
      <c r="B9353" s="14" t="s">
        <v>9460</v>
      </c>
      <c r="C9353" s="14" t="s">
        <v>13031</v>
      </c>
      <c r="D9353" s="15">
        <v>5.62</v>
      </c>
      <c r="E9353" s="16" t="s">
        <v>30</v>
      </c>
    </row>
    <row r="9354" spans="1:5" x14ac:dyDescent="0.25">
      <c r="A9354" s="14">
        <v>263861004</v>
      </c>
      <c r="B9354" s="14" t="s">
        <v>9461</v>
      </c>
      <c r="C9354" s="14" t="s">
        <v>13031</v>
      </c>
      <c r="D9354" s="15">
        <v>3.57</v>
      </c>
      <c r="E9354" s="16" t="s">
        <v>30</v>
      </c>
    </row>
    <row r="9355" spans="1:5" x14ac:dyDescent="0.25">
      <c r="A9355" s="14">
        <v>272077001</v>
      </c>
      <c r="B9355" s="14" t="s">
        <v>9462</v>
      </c>
      <c r="C9355" s="14" t="s">
        <v>13031</v>
      </c>
      <c r="D9355" s="15">
        <v>5.73</v>
      </c>
      <c r="E9355" s="16" t="s">
        <v>30</v>
      </c>
    </row>
    <row r="9356" spans="1:5" x14ac:dyDescent="0.25">
      <c r="A9356" s="14">
        <v>272077002</v>
      </c>
      <c r="B9356" s="14" t="s">
        <v>9463</v>
      </c>
      <c r="C9356" s="14" t="s">
        <v>13031</v>
      </c>
      <c r="D9356" s="15">
        <v>5.73</v>
      </c>
      <c r="E9356" s="16" t="s">
        <v>30</v>
      </c>
    </row>
    <row r="9357" spans="1:5" x14ac:dyDescent="0.25">
      <c r="A9357" s="14">
        <v>272077003</v>
      </c>
      <c r="B9357" s="14" t="s">
        <v>9464</v>
      </c>
      <c r="C9357" s="14" t="s">
        <v>13031</v>
      </c>
      <c r="D9357" s="15">
        <v>5.73</v>
      </c>
      <c r="E9357" s="16" t="s">
        <v>30</v>
      </c>
    </row>
    <row r="9358" spans="1:5" x14ac:dyDescent="0.25">
      <c r="A9358" s="14">
        <v>272450001</v>
      </c>
      <c r="B9358" s="14" t="s">
        <v>9465</v>
      </c>
      <c r="C9358" s="14" t="s">
        <v>13031</v>
      </c>
      <c r="D9358" s="15">
        <v>3.56</v>
      </c>
      <c r="E9358" s="16" t="s">
        <v>30</v>
      </c>
    </row>
    <row r="9359" spans="1:5" x14ac:dyDescent="0.25">
      <c r="A9359" s="14">
        <v>272450002</v>
      </c>
      <c r="B9359" s="14" t="s">
        <v>9466</v>
      </c>
      <c r="C9359" s="14" t="s">
        <v>13031</v>
      </c>
      <c r="D9359" s="15">
        <v>3.56</v>
      </c>
      <c r="E9359" s="16" t="s">
        <v>30</v>
      </c>
    </row>
    <row r="9360" spans="1:5" x14ac:dyDescent="0.25">
      <c r="A9360" s="14">
        <v>272450003</v>
      </c>
      <c r="B9360" s="14" t="s">
        <v>9467</v>
      </c>
      <c r="C9360" s="14" t="s">
        <v>13031</v>
      </c>
      <c r="D9360" s="15">
        <v>3.56</v>
      </c>
      <c r="E9360" s="16" t="s">
        <v>30</v>
      </c>
    </row>
    <row r="9361" spans="1:5" x14ac:dyDescent="0.25">
      <c r="A9361" s="14">
        <v>272450004</v>
      </c>
      <c r="B9361" s="14" t="s">
        <v>9468</v>
      </c>
      <c r="C9361" s="14" t="s">
        <v>13031</v>
      </c>
      <c r="D9361" s="15">
        <v>3.56</v>
      </c>
      <c r="E9361" s="16" t="s">
        <v>30</v>
      </c>
    </row>
    <row r="9362" spans="1:5" x14ac:dyDescent="0.25">
      <c r="A9362" s="14">
        <v>272450005</v>
      </c>
      <c r="B9362" s="14" t="s">
        <v>9469</v>
      </c>
      <c r="C9362" s="14" t="s">
        <v>13031</v>
      </c>
      <c r="D9362" s="15">
        <v>3.56</v>
      </c>
      <c r="E9362" s="16" t="s">
        <v>30</v>
      </c>
    </row>
    <row r="9363" spans="1:5" x14ac:dyDescent="0.25">
      <c r="A9363" s="14">
        <v>278339001</v>
      </c>
      <c r="B9363" s="14" t="s">
        <v>9470</v>
      </c>
      <c r="C9363" s="14" t="s">
        <v>13030</v>
      </c>
      <c r="D9363" s="15">
        <v>40.44</v>
      </c>
      <c r="E9363" s="16" t="s">
        <v>30</v>
      </c>
    </row>
    <row r="9364" spans="1:5" x14ac:dyDescent="0.25">
      <c r="A9364" s="14">
        <v>278339002</v>
      </c>
      <c r="B9364" s="14" t="s">
        <v>9471</v>
      </c>
      <c r="C9364" s="14" t="s">
        <v>13030</v>
      </c>
      <c r="D9364" s="15">
        <v>41.13</v>
      </c>
      <c r="E9364" s="16" t="s">
        <v>30</v>
      </c>
    </row>
    <row r="9365" spans="1:5" x14ac:dyDescent="0.25">
      <c r="A9365" s="14">
        <v>278339003</v>
      </c>
      <c r="B9365" s="14" t="s">
        <v>9472</v>
      </c>
      <c r="C9365" s="14" t="s">
        <v>13030</v>
      </c>
      <c r="D9365" s="15">
        <v>40.44</v>
      </c>
      <c r="E9365" s="16" t="s">
        <v>30</v>
      </c>
    </row>
    <row r="9366" spans="1:5" x14ac:dyDescent="0.25">
      <c r="A9366" s="14">
        <v>294596005</v>
      </c>
      <c r="B9366" s="14" t="s">
        <v>9473</v>
      </c>
      <c r="C9366" s="14" t="s">
        <v>13029</v>
      </c>
      <c r="D9366" s="15">
        <v>25</v>
      </c>
      <c r="E9366" s="14" t="s">
        <v>30</v>
      </c>
    </row>
    <row r="9367" spans="1:5" x14ac:dyDescent="0.25">
      <c r="A9367" s="14">
        <v>294596006</v>
      </c>
      <c r="B9367" s="14" t="s">
        <v>9474</v>
      </c>
      <c r="C9367" s="14" t="s">
        <v>13029</v>
      </c>
      <c r="D9367" s="15">
        <v>25</v>
      </c>
      <c r="E9367" s="14" t="s">
        <v>30</v>
      </c>
    </row>
    <row r="9368" spans="1:5" x14ac:dyDescent="0.25">
      <c r="A9368" s="14">
        <v>294596007</v>
      </c>
      <c r="B9368" s="14" t="s">
        <v>9475</v>
      </c>
      <c r="C9368" s="14" t="s">
        <v>13029</v>
      </c>
      <c r="D9368" s="15">
        <v>25</v>
      </c>
      <c r="E9368" s="14" t="s">
        <v>30</v>
      </c>
    </row>
    <row r="9369" spans="1:5" x14ac:dyDescent="0.25">
      <c r="A9369" s="14">
        <v>294596008</v>
      </c>
      <c r="B9369" s="14" t="s">
        <v>9476</v>
      </c>
      <c r="C9369" s="14" t="s">
        <v>13029</v>
      </c>
      <c r="D9369" s="15">
        <v>25</v>
      </c>
      <c r="E9369" s="14" t="s">
        <v>30</v>
      </c>
    </row>
    <row r="9370" spans="1:5" x14ac:dyDescent="0.25">
      <c r="A9370" s="14">
        <v>294596009</v>
      </c>
      <c r="B9370" s="14" t="s">
        <v>9477</v>
      </c>
      <c r="C9370" s="14" t="s">
        <v>13029</v>
      </c>
      <c r="D9370" s="15">
        <v>25</v>
      </c>
      <c r="E9370" s="14" t="s">
        <v>30</v>
      </c>
    </row>
    <row r="9371" spans="1:5" x14ac:dyDescent="0.25">
      <c r="A9371" s="14">
        <v>294596015</v>
      </c>
      <c r="B9371" s="14" t="s">
        <v>9478</v>
      </c>
      <c r="C9371" s="14" t="s">
        <v>13029</v>
      </c>
      <c r="D9371" s="15">
        <v>25</v>
      </c>
      <c r="E9371" s="14" t="s">
        <v>30</v>
      </c>
    </row>
    <row r="9372" spans="1:5" x14ac:dyDescent="0.25">
      <c r="A9372" s="14">
        <v>294596016</v>
      </c>
      <c r="B9372" s="14" t="s">
        <v>9479</v>
      </c>
      <c r="C9372" s="14" t="s">
        <v>13029</v>
      </c>
      <c r="D9372" s="15">
        <v>25</v>
      </c>
      <c r="E9372" s="14" t="s">
        <v>30</v>
      </c>
    </row>
    <row r="9373" spans="1:5" x14ac:dyDescent="0.25">
      <c r="A9373" s="14">
        <v>294596017</v>
      </c>
      <c r="B9373" s="14" t="s">
        <v>9480</v>
      </c>
      <c r="C9373" s="14" t="s">
        <v>13029</v>
      </c>
      <c r="D9373" s="15">
        <v>25</v>
      </c>
      <c r="E9373" s="14" t="s">
        <v>30</v>
      </c>
    </row>
    <row r="9374" spans="1:5" x14ac:dyDescent="0.25">
      <c r="A9374" s="14">
        <v>294596018</v>
      </c>
      <c r="B9374" s="14" t="s">
        <v>9481</v>
      </c>
      <c r="C9374" s="14" t="s">
        <v>13029</v>
      </c>
      <c r="D9374" s="15">
        <v>25</v>
      </c>
      <c r="E9374" s="14" t="s">
        <v>30</v>
      </c>
    </row>
    <row r="9375" spans="1:5" x14ac:dyDescent="0.25">
      <c r="A9375" s="14">
        <v>294596019</v>
      </c>
      <c r="B9375" s="14" t="s">
        <v>9482</v>
      </c>
      <c r="C9375" s="14" t="s">
        <v>13029</v>
      </c>
      <c r="D9375" s="15">
        <v>25</v>
      </c>
      <c r="E9375" s="14" t="s">
        <v>30</v>
      </c>
    </row>
    <row r="9376" spans="1:5" x14ac:dyDescent="0.25">
      <c r="A9376" s="14">
        <v>294596029</v>
      </c>
      <c r="B9376" s="14" t="s">
        <v>9483</v>
      </c>
      <c r="C9376" s="14" t="s">
        <v>13029</v>
      </c>
      <c r="D9376" s="15">
        <v>25</v>
      </c>
      <c r="E9376" s="14" t="s">
        <v>30</v>
      </c>
    </row>
    <row r="9377" spans="1:5" x14ac:dyDescent="0.25">
      <c r="A9377" s="14">
        <v>294596030</v>
      </c>
      <c r="B9377" s="14" t="s">
        <v>9484</v>
      </c>
      <c r="C9377" s="14" t="s">
        <v>13029</v>
      </c>
      <c r="D9377" s="15">
        <v>25</v>
      </c>
      <c r="E9377" s="14" t="s">
        <v>30</v>
      </c>
    </row>
    <row r="9378" spans="1:5" x14ac:dyDescent="0.25">
      <c r="A9378" s="14">
        <v>294729001</v>
      </c>
      <c r="B9378" s="14" t="s">
        <v>9485</v>
      </c>
      <c r="C9378" s="14" t="s">
        <v>13030</v>
      </c>
      <c r="D9378" s="15">
        <v>1.42</v>
      </c>
      <c r="E9378" s="16" t="s">
        <v>30</v>
      </c>
    </row>
    <row r="9379" spans="1:5" x14ac:dyDescent="0.25">
      <c r="A9379" s="14">
        <v>294729003</v>
      </c>
      <c r="B9379" s="14" t="s">
        <v>9486</v>
      </c>
      <c r="C9379" s="14" t="s">
        <v>13030</v>
      </c>
      <c r="D9379" s="15">
        <v>1.42</v>
      </c>
      <c r="E9379" s="16" t="s">
        <v>30</v>
      </c>
    </row>
    <row r="9380" spans="1:5" x14ac:dyDescent="0.25">
      <c r="A9380" s="14">
        <v>294729006</v>
      </c>
      <c r="B9380" s="14" t="s">
        <v>9487</v>
      </c>
      <c r="C9380" s="14" t="s">
        <v>13030</v>
      </c>
      <c r="D9380" s="15">
        <v>1.42</v>
      </c>
      <c r="E9380" s="16" t="s">
        <v>30</v>
      </c>
    </row>
    <row r="9381" spans="1:5" x14ac:dyDescent="0.25">
      <c r="A9381" s="14">
        <v>294729007</v>
      </c>
      <c r="B9381" s="14" t="s">
        <v>9488</v>
      </c>
      <c r="C9381" s="14" t="s">
        <v>13030</v>
      </c>
      <c r="D9381" s="15">
        <v>1.42</v>
      </c>
      <c r="E9381" s="16" t="s">
        <v>30</v>
      </c>
    </row>
    <row r="9382" spans="1:5" x14ac:dyDescent="0.25">
      <c r="A9382" s="14">
        <v>295202001</v>
      </c>
      <c r="B9382" s="14" t="s">
        <v>9489</v>
      </c>
      <c r="C9382" s="14" t="s">
        <v>13031</v>
      </c>
      <c r="D9382" s="15">
        <v>6.97</v>
      </c>
      <c r="E9382" s="16" t="s">
        <v>30</v>
      </c>
    </row>
    <row r="9383" spans="1:5" x14ac:dyDescent="0.25">
      <c r="A9383" s="14">
        <v>295202002</v>
      </c>
      <c r="B9383" s="14" t="s">
        <v>9490</v>
      </c>
      <c r="C9383" s="14" t="s">
        <v>13031</v>
      </c>
      <c r="D9383" s="15">
        <v>4.05</v>
      </c>
      <c r="E9383" s="16" t="s">
        <v>30</v>
      </c>
    </row>
    <row r="9384" spans="1:5" x14ac:dyDescent="0.25">
      <c r="A9384" s="14">
        <v>295202003</v>
      </c>
      <c r="B9384" s="14" t="s">
        <v>9491</v>
      </c>
      <c r="C9384" s="14" t="s">
        <v>13031</v>
      </c>
      <c r="D9384" s="15">
        <v>6.97</v>
      </c>
      <c r="E9384" s="16" t="s">
        <v>30</v>
      </c>
    </row>
    <row r="9385" spans="1:5" x14ac:dyDescent="0.25">
      <c r="A9385" s="14">
        <v>295202004</v>
      </c>
      <c r="B9385" s="14" t="s">
        <v>9492</v>
      </c>
      <c r="C9385" s="14" t="s">
        <v>13031</v>
      </c>
      <c r="D9385" s="15">
        <v>6.97</v>
      </c>
      <c r="E9385" s="16" t="s">
        <v>30</v>
      </c>
    </row>
    <row r="9386" spans="1:5" x14ac:dyDescent="0.25">
      <c r="A9386" s="14">
        <v>296606001</v>
      </c>
      <c r="B9386" s="14" t="s">
        <v>9493</v>
      </c>
      <c r="C9386" s="14" t="s">
        <v>13029</v>
      </c>
      <c r="D9386" s="15">
        <v>12.46</v>
      </c>
      <c r="E9386" s="16" t="s">
        <v>30</v>
      </c>
    </row>
    <row r="9387" spans="1:5" x14ac:dyDescent="0.25">
      <c r="A9387" s="14">
        <v>296606002</v>
      </c>
      <c r="B9387" s="14" t="s">
        <v>9494</v>
      </c>
      <c r="C9387" s="14" t="s">
        <v>13029</v>
      </c>
      <c r="D9387" s="15">
        <v>11.68</v>
      </c>
      <c r="E9387" s="16" t="s">
        <v>30</v>
      </c>
    </row>
    <row r="9388" spans="1:5" x14ac:dyDescent="0.25">
      <c r="A9388" s="14">
        <v>302759001</v>
      </c>
      <c r="B9388" s="14" t="s">
        <v>9495</v>
      </c>
      <c r="C9388" s="14" t="s">
        <v>13031</v>
      </c>
      <c r="D9388" s="15">
        <v>7.44</v>
      </c>
      <c r="E9388" s="16" t="s">
        <v>30</v>
      </c>
    </row>
    <row r="9389" spans="1:5" x14ac:dyDescent="0.25">
      <c r="A9389" s="14">
        <v>302759002</v>
      </c>
      <c r="B9389" s="14" t="s">
        <v>9496</v>
      </c>
      <c r="C9389" s="14" t="s">
        <v>13031</v>
      </c>
      <c r="D9389" s="15">
        <v>7.44</v>
      </c>
      <c r="E9389" s="16" t="s">
        <v>30</v>
      </c>
    </row>
    <row r="9390" spans="1:5" x14ac:dyDescent="0.25">
      <c r="A9390" s="14">
        <v>315080001</v>
      </c>
      <c r="B9390" s="14" t="s">
        <v>9497</v>
      </c>
      <c r="C9390" s="14" t="s">
        <v>13029</v>
      </c>
      <c r="D9390" s="15">
        <v>4.8</v>
      </c>
      <c r="E9390" s="16" t="s">
        <v>30</v>
      </c>
    </row>
    <row r="9391" spans="1:5" x14ac:dyDescent="0.25">
      <c r="A9391" s="14">
        <v>63237002</v>
      </c>
      <c r="B9391" s="14" t="s">
        <v>9498</v>
      </c>
      <c r="C9391" s="14" t="s">
        <v>13031</v>
      </c>
      <c r="D9391" s="15">
        <v>2.69</v>
      </c>
      <c r="E9391" s="16" t="s">
        <v>20</v>
      </c>
    </row>
    <row r="9392" spans="1:5" x14ac:dyDescent="0.25">
      <c r="A9392" s="14">
        <v>63237003</v>
      </c>
      <c r="B9392" s="14" t="s">
        <v>9499</v>
      </c>
      <c r="C9392" s="14" t="s">
        <v>13031</v>
      </c>
      <c r="D9392" s="15">
        <v>2.36</v>
      </c>
      <c r="E9392" s="16" t="s">
        <v>20</v>
      </c>
    </row>
    <row r="9393" spans="1:5" x14ac:dyDescent="0.25">
      <c r="A9393" s="14">
        <v>335314002</v>
      </c>
      <c r="B9393" s="14" t="s">
        <v>9500</v>
      </c>
      <c r="C9393" s="14" t="s">
        <v>13031</v>
      </c>
      <c r="D9393" s="15">
        <v>6.97</v>
      </c>
      <c r="E9393" s="16" t="s">
        <v>30</v>
      </c>
    </row>
    <row r="9394" spans="1:5" x14ac:dyDescent="0.25">
      <c r="A9394" s="14">
        <v>338797001</v>
      </c>
      <c r="B9394" s="14" t="s">
        <v>9501</v>
      </c>
      <c r="C9394" s="14" t="s">
        <v>13029</v>
      </c>
      <c r="D9394" s="15">
        <v>4.8499999999999996</v>
      </c>
      <c r="E9394" s="16" t="s">
        <v>30</v>
      </c>
    </row>
    <row r="9395" spans="1:5" x14ac:dyDescent="0.25">
      <c r="A9395" s="14">
        <v>338797002</v>
      </c>
      <c r="B9395" s="14" t="s">
        <v>9502</v>
      </c>
      <c r="C9395" s="14" t="s">
        <v>13029</v>
      </c>
      <c r="D9395" s="15">
        <v>4.8499999999999996</v>
      </c>
      <c r="E9395" s="16" t="s">
        <v>30</v>
      </c>
    </row>
    <row r="9396" spans="1:5" x14ac:dyDescent="0.25">
      <c r="A9396" s="14">
        <v>338797003</v>
      </c>
      <c r="B9396" s="14" t="s">
        <v>9503</v>
      </c>
      <c r="C9396" s="14" t="s">
        <v>13029</v>
      </c>
      <c r="D9396" s="15">
        <v>3.62</v>
      </c>
      <c r="E9396" s="16" t="s">
        <v>30</v>
      </c>
    </row>
    <row r="9397" spans="1:5" x14ac:dyDescent="0.25">
      <c r="A9397" s="14">
        <v>338797004</v>
      </c>
      <c r="B9397" s="14" t="s">
        <v>9504</v>
      </c>
      <c r="C9397" s="14" t="s">
        <v>13029</v>
      </c>
      <c r="D9397" s="15">
        <v>4.8499999999999996</v>
      </c>
      <c r="E9397" s="16" t="s">
        <v>30</v>
      </c>
    </row>
    <row r="9398" spans="1:5" x14ac:dyDescent="0.25">
      <c r="A9398" s="14">
        <v>338797005</v>
      </c>
      <c r="B9398" s="14" t="s">
        <v>9505</v>
      </c>
      <c r="C9398" s="14" t="s">
        <v>13029</v>
      </c>
      <c r="D9398" s="15">
        <v>4.8499999999999996</v>
      </c>
      <c r="E9398" s="16" t="s">
        <v>30</v>
      </c>
    </row>
    <row r="9399" spans="1:5" x14ac:dyDescent="0.25">
      <c r="A9399" s="14">
        <v>338797006</v>
      </c>
      <c r="B9399" s="14" t="s">
        <v>9506</v>
      </c>
      <c r="C9399" s="14" t="s">
        <v>13029</v>
      </c>
      <c r="D9399" s="15">
        <v>4.8499999999999996</v>
      </c>
      <c r="E9399" s="16" t="s">
        <v>30</v>
      </c>
    </row>
    <row r="9400" spans="1:5" x14ac:dyDescent="0.25">
      <c r="A9400" s="14">
        <v>346229004</v>
      </c>
      <c r="B9400" s="14" t="s">
        <v>9507</v>
      </c>
      <c r="C9400" s="14" t="s">
        <v>13029</v>
      </c>
      <c r="D9400" s="15">
        <v>18.34</v>
      </c>
      <c r="E9400" s="16" t="s">
        <v>30</v>
      </c>
    </row>
    <row r="9401" spans="1:5" x14ac:dyDescent="0.25">
      <c r="A9401" s="14">
        <v>346514002</v>
      </c>
      <c r="B9401" s="14" t="s">
        <v>9508</v>
      </c>
      <c r="C9401" s="14" t="s">
        <v>13029</v>
      </c>
      <c r="D9401" s="15">
        <v>13.61</v>
      </c>
      <c r="E9401" s="16" t="s">
        <v>30</v>
      </c>
    </row>
    <row r="9402" spans="1:5" x14ac:dyDescent="0.25">
      <c r="A9402" s="14">
        <v>346848001</v>
      </c>
      <c r="B9402" s="14" t="s">
        <v>9509</v>
      </c>
      <c r="C9402" s="14" t="s">
        <v>13031</v>
      </c>
      <c r="D9402" s="15">
        <v>3.68</v>
      </c>
      <c r="E9402" s="16" t="s">
        <v>30</v>
      </c>
    </row>
    <row r="9403" spans="1:5" x14ac:dyDescent="0.25">
      <c r="A9403" s="14">
        <v>346848003</v>
      </c>
      <c r="B9403" s="14" t="s">
        <v>9510</v>
      </c>
      <c r="C9403" s="14" t="s">
        <v>13031</v>
      </c>
      <c r="D9403" s="15">
        <v>3.68</v>
      </c>
      <c r="E9403" s="16" t="s">
        <v>30</v>
      </c>
    </row>
    <row r="9404" spans="1:5" x14ac:dyDescent="0.25">
      <c r="A9404" s="14">
        <v>346848004</v>
      </c>
      <c r="B9404" s="14" t="s">
        <v>9511</v>
      </c>
      <c r="C9404" s="14" t="s">
        <v>13031</v>
      </c>
      <c r="D9404" s="15">
        <v>3.68</v>
      </c>
      <c r="E9404" s="16" t="s">
        <v>30</v>
      </c>
    </row>
    <row r="9405" spans="1:5" x14ac:dyDescent="0.25">
      <c r="A9405" s="14">
        <v>346849002</v>
      </c>
      <c r="B9405" s="14" t="s">
        <v>9512</v>
      </c>
      <c r="C9405" s="14" t="s">
        <v>13031</v>
      </c>
      <c r="D9405" s="15">
        <v>3.68</v>
      </c>
      <c r="E9405" s="16" t="s">
        <v>30</v>
      </c>
    </row>
    <row r="9406" spans="1:5" x14ac:dyDescent="0.25">
      <c r="A9406" s="14">
        <v>346849003</v>
      </c>
      <c r="B9406" s="14" t="s">
        <v>9513</v>
      </c>
      <c r="C9406" s="14" t="s">
        <v>13031</v>
      </c>
      <c r="D9406" s="15">
        <v>3.68</v>
      </c>
      <c r="E9406" s="16" t="s">
        <v>30</v>
      </c>
    </row>
    <row r="9407" spans="1:5" x14ac:dyDescent="0.25">
      <c r="A9407" s="14">
        <v>351708001</v>
      </c>
      <c r="B9407" s="14" t="s">
        <v>9514</v>
      </c>
      <c r="C9407" s="14" t="s">
        <v>13031</v>
      </c>
      <c r="D9407" s="15">
        <v>2.9</v>
      </c>
      <c r="E9407" s="16" t="s">
        <v>30</v>
      </c>
    </row>
    <row r="9408" spans="1:5" x14ac:dyDescent="0.25">
      <c r="A9408" s="14">
        <v>351708008</v>
      </c>
      <c r="B9408" s="14" t="s">
        <v>9515</v>
      </c>
      <c r="C9408" s="14" t="s">
        <v>13031</v>
      </c>
      <c r="D9408" s="15">
        <v>2.9</v>
      </c>
      <c r="E9408" s="16" t="s">
        <v>30</v>
      </c>
    </row>
    <row r="9409" spans="1:5" x14ac:dyDescent="0.25">
      <c r="A9409" s="14">
        <v>351708009</v>
      </c>
      <c r="B9409" s="14" t="s">
        <v>9516</v>
      </c>
      <c r="C9409" s="14" t="s">
        <v>13031</v>
      </c>
      <c r="D9409" s="15">
        <v>2.9</v>
      </c>
      <c r="E9409" s="16" t="s">
        <v>30</v>
      </c>
    </row>
    <row r="9410" spans="1:5" x14ac:dyDescent="0.25">
      <c r="A9410" s="14">
        <v>351854002</v>
      </c>
      <c r="B9410" s="14" t="s">
        <v>9517</v>
      </c>
      <c r="C9410" s="14" t="s">
        <v>13029</v>
      </c>
      <c r="D9410" s="15">
        <v>35.56</v>
      </c>
      <c r="E9410" s="16" t="s">
        <v>30</v>
      </c>
    </row>
    <row r="9411" spans="1:5" x14ac:dyDescent="0.25">
      <c r="A9411" s="14">
        <v>353260001</v>
      </c>
      <c r="B9411" s="14" t="s">
        <v>9518</v>
      </c>
      <c r="C9411" s="14" t="s">
        <v>13031</v>
      </c>
      <c r="D9411" s="15">
        <v>8.57</v>
      </c>
      <c r="E9411" s="16" t="s">
        <v>30</v>
      </c>
    </row>
    <row r="9412" spans="1:5" x14ac:dyDescent="0.25">
      <c r="A9412" s="14">
        <v>353260002</v>
      </c>
      <c r="B9412" s="14" t="s">
        <v>9519</v>
      </c>
      <c r="C9412" s="14" t="s">
        <v>13031</v>
      </c>
      <c r="D9412" s="15">
        <v>8.57</v>
      </c>
      <c r="E9412" s="16" t="s">
        <v>30</v>
      </c>
    </row>
    <row r="9413" spans="1:5" x14ac:dyDescent="0.25">
      <c r="A9413" s="14">
        <v>354700001</v>
      </c>
      <c r="B9413" s="14" t="s">
        <v>9520</v>
      </c>
      <c r="C9413" s="14" t="s">
        <v>13030</v>
      </c>
      <c r="D9413" s="15">
        <v>53.32</v>
      </c>
      <c r="E9413" s="16" t="s">
        <v>30</v>
      </c>
    </row>
    <row r="9414" spans="1:5" x14ac:dyDescent="0.25">
      <c r="A9414" s="14">
        <v>354700002</v>
      </c>
      <c r="B9414" s="14" t="s">
        <v>9521</v>
      </c>
      <c r="C9414" s="14" t="s">
        <v>13030</v>
      </c>
      <c r="D9414" s="15">
        <v>53.32</v>
      </c>
      <c r="E9414" s="16" t="s">
        <v>30</v>
      </c>
    </row>
    <row r="9415" spans="1:5" x14ac:dyDescent="0.25">
      <c r="A9415" s="14">
        <v>354700003</v>
      </c>
      <c r="B9415" s="14" t="s">
        <v>9522</v>
      </c>
      <c r="C9415" s="14" t="s">
        <v>13030</v>
      </c>
      <c r="D9415" s="15">
        <v>53.32</v>
      </c>
      <c r="E9415" s="16" t="s">
        <v>30</v>
      </c>
    </row>
    <row r="9416" spans="1:5" x14ac:dyDescent="0.25">
      <c r="A9416" s="14">
        <v>354700005</v>
      </c>
      <c r="B9416" s="14" t="s">
        <v>9523</v>
      </c>
      <c r="C9416" s="14" t="s">
        <v>13030</v>
      </c>
      <c r="D9416" s="15">
        <v>53.32</v>
      </c>
      <c r="E9416" s="16" t="s">
        <v>30</v>
      </c>
    </row>
    <row r="9417" spans="1:5" x14ac:dyDescent="0.25">
      <c r="A9417" s="14">
        <v>356544001</v>
      </c>
      <c r="B9417" s="14" t="s">
        <v>9524</v>
      </c>
      <c r="C9417" s="14" t="s">
        <v>13029</v>
      </c>
      <c r="D9417" s="15">
        <v>26.21</v>
      </c>
      <c r="E9417" s="16" t="s">
        <v>30</v>
      </c>
    </row>
    <row r="9418" spans="1:5" x14ac:dyDescent="0.25">
      <c r="A9418" s="14">
        <v>356544002</v>
      </c>
      <c r="B9418" s="14" t="s">
        <v>9525</v>
      </c>
      <c r="C9418" s="14" t="s">
        <v>13029</v>
      </c>
      <c r="D9418" s="15">
        <v>26.21</v>
      </c>
      <c r="E9418" s="16" t="s">
        <v>30</v>
      </c>
    </row>
    <row r="9419" spans="1:5" x14ac:dyDescent="0.25">
      <c r="A9419" s="14">
        <v>356544003</v>
      </c>
      <c r="B9419" s="14" t="s">
        <v>9526</v>
      </c>
      <c r="C9419" s="14" t="s">
        <v>13029</v>
      </c>
      <c r="D9419" s="15">
        <v>26.21</v>
      </c>
      <c r="E9419" s="16" t="s">
        <v>30</v>
      </c>
    </row>
    <row r="9420" spans="1:5" x14ac:dyDescent="0.25">
      <c r="A9420" s="14">
        <v>356868001</v>
      </c>
      <c r="B9420" s="14" t="s">
        <v>9527</v>
      </c>
      <c r="C9420" s="14" t="s">
        <v>13031</v>
      </c>
      <c r="D9420" s="15">
        <v>8.24</v>
      </c>
      <c r="E9420" s="16" t="s">
        <v>30</v>
      </c>
    </row>
    <row r="9421" spans="1:5" x14ac:dyDescent="0.25">
      <c r="A9421" s="14">
        <v>362238001</v>
      </c>
      <c r="B9421" s="14" t="s">
        <v>9528</v>
      </c>
      <c r="C9421" s="14" t="s">
        <v>13030</v>
      </c>
      <c r="D9421" s="15">
        <v>1.25</v>
      </c>
      <c r="E9421" s="16" t="s">
        <v>30</v>
      </c>
    </row>
    <row r="9422" spans="1:5" x14ac:dyDescent="0.25">
      <c r="A9422" s="14">
        <v>362238003</v>
      </c>
      <c r="B9422" s="14" t="s">
        <v>9529</v>
      </c>
      <c r="C9422" s="14" t="s">
        <v>13030</v>
      </c>
      <c r="D9422" s="15">
        <v>1.25</v>
      </c>
      <c r="E9422" s="16" t="s">
        <v>30</v>
      </c>
    </row>
    <row r="9423" spans="1:5" x14ac:dyDescent="0.25">
      <c r="A9423" s="14">
        <v>363836022</v>
      </c>
      <c r="B9423" s="14" t="s">
        <v>9530</v>
      </c>
      <c r="C9423" s="14" t="s">
        <v>13029</v>
      </c>
      <c r="D9423" s="15">
        <v>27.2</v>
      </c>
      <c r="E9423" s="16" t="s">
        <v>30</v>
      </c>
    </row>
    <row r="9424" spans="1:5" x14ac:dyDescent="0.25">
      <c r="A9424" s="14">
        <v>369059001</v>
      </c>
      <c r="B9424" s="14" t="s">
        <v>9531</v>
      </c>
      <c r="C9424" s="14" t="s">
        <v>13029</v>
      </c>
      <c r="D9424" s="15">
        <v>8.33</v>
      </c>
      <c r="E9424" s="16" t="s">
        <v>30</v>
      </c>
    </row>
    <row r="9425" spans="1:5" x14ac:dyDescent="0.25">
      <c r="A9425" s="14">
        <v>369059004</v>
      </c>
      <c r="B9425" s="14" t="s">
        <v>9532</v>
      </c>
      <c r="C9425" s="14" t="s">
        <v>13029</v>
      </c>
      <c r="D9425" s="15">
        <v>8.33</v>
      </c>
      <c r="E9425" s="16" t="s">
        <v>30</v>
      </c>
    </row>
    <row r="9426" spans="1:5" x14ac:dyDescent="0.25">
      <c r="A9426" s="14">
        <v>369059006</v>
      </c>
      <c r="B9426" s="14" t="s">
        <v>9533</v>
      </c>
      <c r="C9426" s="14" t="s">
        <v>13029</v>
      </c>
      <c r="D9426" s="15">
        <v>8.33</v>
      </c>
      <c r="E9426" s="16" t="s">
        <v>30</v>
      </c>
    </row>
    <row r="9427" spans="1:5" x14ac:dyDescent="0.25">
      <c r="A9427" s="14">
        <v>369059007</v>
      </c>
      <c r="B9427" s="14" t="s">
        <v>9534</v>
      </c>
      <c r="C9427" s="14" t="s">
        <v>13029</v>
      </c>
      <c r="D9427" s="15">
        <v>8.33</v>
      </c>
      <c r="E9427" s="16" t="s">
        <v>30</v>
      </c>
    </row>
    <row r="9428" spans="1:5" x14ac:dyDescent="0.25">
      <c r="A9428" s="14">
        <v>369061002</v>
      </c>
      <c r="B9428" s="14" t="s">
        <v>9535</v>
      </c>
      <c r="C9428" s="14" t="s">
        <v>13029</v>
      </c>
      <c r="D9428" s="15">
        <v>3.28</v>
      </c>
      <c r="E9428" s="16" t="s">
        <v>30</v>
      </c>
    </row>
    <row r="9429" spans="1:5" x14ac:dyDescent="0.25">
      <c r="A9429" s="14">
        <v>369192001</v>
      </c>
      <c r="B9429" s="14" t="s">
        <v>9536</v>
      </c>
      <c r="C9429" s="14" t="s">
        <v>13029</v>
      </c>
      <c r="D9429" s="15">
        <v>9.0399999999999991</v>
      </c>
      <c r="E9429" s="16" t="s">
        <v>30</v>
      </c>
    </row>
    <row r="9430" spans="1:5" x14ac:dyDescent="0.25">
      <c r="A9430" s="14">
        <v>369192002</v>
      </c>
      <c r="B9430" s="14" t="s">
        <v>9537</v>
      </c>
      <c r="C9430" s="14" t="s">
        <v>13029</v>
      </c>
      <c r="D9430" s="15">
        <v>9.0399999999999991</v>
      </c>
      <c r="E9430" s="16" t="s">
        <v>30</v>
      </c>
    </row>
    <row r="9431" spans="1:5" x14ac:dyDescent="0.25">
      <c r="A9431" s="14">
        <v>369192003</v>
      </c>
      <c r="B9431" s="14" t="s">
        <v>9538</v>
      </c>
      <c r="C9431" s="14" t="s">
        <v>13029</v>
      </c>
      <c r="D9431" s="15">
        <v>9.0399999999999991</v>
      </c>
      <c r="E9431" s="16" t="s">
        <v>30</v>
      </c>
    </row>
    <row r="9432" spans="1:5" x14ac:dyDescent="0.25">
      <c r="A9432" s="14">
        <v>369433001</v>
      </c>
      <c r="B9432" s="14" t="s">
        <v>9539</v>
      </c>
      <c r="C9432" s="14" t="s">
        <v>13029</v>
      </c>
      <c r="D9432" s="15">
        <v>14.05</v>
      </c>
      <c r="E9432" s="16" t="s">
        <v>30</v>
      </c>
    </row>
    <row r="9433" spans="1:5" x14ac:dyDescent="0.25">
      <c r="A9433" s="14">
        <v>369433003</v>
      </c>
      <c r="B9433" s="14" t="s">
        <v>9540</v>
      </c>
      <c r="C9433" s="14" t="s">
        <v>13029</v>
      </c>
      <c r="D9433" s="15">
        <v>24.47</v>
      </c>
      <c r="E9433" s="16" t="s">
        <v>30</v>
      </c>
    </row>
    <row r="9434" spans="1:5" x14ac:dyDescent="0.25">
      <c r="A9434" s="14">
        <v>373087002</v>
      </c>
      <c r="B9434" s="14" t="s">
        <v>9541</v>
      </c>
      <c r="C9434" s="14" t="s">
        <v>13030</v>
      </c>
      <c r="D9434" s="15">
        <v>9.07</v>
      </c>
      <c r="E9434" s="16" t="s">
        <v>30</v>
      </c>
    </row>
    <row r="9435" spans="1:5" x14ac:dyDescent="0.25">
      <c r="A9435" s="14">
        <v>375400001</v>
      </c>
      <c r="B9435" s="14" t="s">
        <v>9542</v>
      </c>
      <c r="C9435" s="14" t="s">
        <v>13030</v>
      </c>
      <c r="D9435" s="15">
        <v>32.340000000000003</v>
      </c>
      <c r="E9435" s="16" t="s">
        <v>30</v>
      </c>
    </row>
    <row r="9436" spans="1:5" x14ac:dyDescent="0.25">
      <c r="A9436" s="14">
        <v>375400002</v>
      </c>
      <c r="B9436" s="14" t="s">
        <v>9543</v>
      </c>
      <c r="C9436" s="14" t="s">
        <v>13030</v>
      </c>
      <c r="D9436" s="15">
        <v>32.340000000000003</v>
      </c>
      <c r="E9436" s="16" t="s">
        <v>30</v>
      </c>
    </row>
    <row r="9437" spans="1:5" x14ac:dyDescent="0.25">
      <c r="A9437" s="14">
        <v>375400003</v>
      </c>
      <c r="B9437" s="14" t="s">
        <v>9544</v>
      </c>
      <c r="C9437" s="14" t="s">
        <v>13030</v>
      </c>
      <c r="D9437" s="15">
        <v>32.340000000000003</v>
      </c>
      <c r="E9437" s="16" t="s">
        <v>30</v>
      </c>
    </row>
    <row r="9438" spans="1:5" x14ac:dyDescent="0.25">
      <c r="A9438" s="14">
        <v>376324003</v>
      </c>
      <c r="B9438" s="14" t="s">
        <v>9545</v>
      </c>
      <c r="C9438" s="14" t="s">
        <v>13031</v>
      </c>
      <c r="D9438" s="15">
        <v>2.06</v>
      </c>
      <c r="E9438" s="16" t="s">
        <v>30</v>
      </c>
    </row>
    <row r="9439" spans="1:5" x14ac:dyDescent="0.25">
      <c r="A9439" s="14">
        <v>376393002</v>
      </c>
      <c r="B9439" s="14" t="s">
        <v>9546</v>
      </c>
      <c r="C9439" s="14" t="s">
        <v>13031</v>
      </c>
      <c r="D9439" s="15">
        <v>18.829999999999998</v>
      </c>
      <c r="E9439" s="16" t="s">
        <v>30</v>
      </c>
    </row>
    <row r="9440" spans="1:5" x14ac:dyDescent="0.25">
      <c r="A9440" s="14">
        <v>63237004</v>
      </c>
      <c r="B9440" s="14" t="s">
        <v>9547</v>
      </c>
      <c r="C9440" s="14" t="s">
        <v>13031</v>
      </c>
      <c r="D9440" s="15">
        <v>2.69</v>
      </c>
      <c r="E9440" s="16" t="s">
        <v>20</v>
      </c>
    </row>
    <row r="9441" spans="1:5" x14ac:dyDescent="0.25">
      <c r="A9441" s="14">
        <v>63237006</v>
      </c>
      <c r="B9441" s="14" t="s">
        <v>9548</v>
      </c>
      <c r="C9441" s="14" t="s">
        <v>13031</v>
      </c>
      <c r="D9441" s="15">
        <v>2.69</v>
      </c>
      <c r="E9441" s="16" t="s">
        <v>20</v>
      </c>
    </row>
    <row r="9442" spans="1:5" x14ac:dyDescent="0.25">
      <c r="A9442" s="14">
        <v>376393003</v>
      </c>
      <c r="B9442" s="14" t="s">
        <v>9549</v>
      </c>
      <c r="C9442" s="14" t="s">
        <v>13031</v>
      </c>
      <c r="D9442" s="15">
        <v>18.829999999999998</v>
      </c>
      <c r="E9442" s="16" t="s">
        <v>30</v>
      </c>
    </row>
    <row r="9443" spans="1:5" x14ac:dyDescent="0.25">
      <c r="A9443" s="14">
        <v>376393004</v>
      </c>
      <c r="B9443" s="14" t="s">
        <v>9550</v>
      </c>
      <c r="C9443" s="14" t="s">
        <v>13031</v>
      </c>
      <c r="D9443" s="15">
        <v>18.829999999999998</v>
      </c>
      <c r="E9443" s="16" t="s">
        <v>30</v>
      </c>
    </row>
    <row r="9444" spans="1:5" x14ac:dyDescent="0.25">
      <c r="A9444" s="14">
        <v>376393005</v>
      </c>
      <c r="B9444" s="14" t="s">
        <v>9551</v>
      </c>
      <c r="C9444" s="14" t="s">
        <v>13031</v>
      </c>
      <c r="D9444" s="15">
        <v>18.829999999999998</v>
      </c>
      <c r="E9444" s="16" t="s">
        <v>30</v>
      </c>
    </row>
    <row r="9445" spans="1:5" x14ac:dyDescent="0.25">
      <c r="A9445" s="14">
        <v>376396002</v>
      </c>
      <c r="B9445" s="14" t="s">
        <v>9552</v>
      </c>
      <c r="C9445" s="14" t="s">
        <v>13031</v>
      </c>
      <c r="D9445" s="15">
        <v>15.96</v>
      </c>
      <c r="E9445" s="16" t="s">
        <v>30</v>
      </c>
    </row>
    <row r="9446" spans="1:5" x14ac:dyDescent="0.25">
      <c r="A9446" s="14">
        <v>379564001</v>
      </c>
      <c r="B9446" s="14" t="s">
        <v>9553</v>
      </c>
      <c r="C9446" s="14" t="s">
        <v>13029</v>
      </c>
      <c r="D9446" s="15">
        <v>17.45</v>
      </c>
      <c r="E9446" s="14" t="s">
        <v>30</v>
      </c>
    </row>
    <row r="9447" spans="1:5" x14ac:dyDescent="0.25">
      <c r="A9447" s="14">
        <v>63237007</v>
      </c>
      <c r="B9447" s="14" t="s">
        <v>9554</v>
      </c>
      <c r="C9447" s="14" t="s">
        <v>13031</v>
      </c>
      <c r="D9447" s="15">
        <v>2.69</v>
      </c>
      <c r="E9447" s="16" t="s">
        <v>20</v>
      </c>
    </row>
    <row r="9448" spans="1:5" x14ac:dyDescent="0.25">
      <c r="A9448" s="14">
        <v>118644001</v>
      </c>
      <c r="B9448" s="14" t="s">
        <v>9555</v>
      </c>
      <c r="C9448" s="14" t="s">
        <v>13030</v>
      </c>
      <c r="D9448" s="15">
        <v>38.42</v>
      </c>
      <c r="E9448" s="16" t="s">
        <v>20</v>
      </c>
    </row>
    <row r="9449" spans="1:5" x14ac:dyDescent="0.25">
      <c r="A9449" s="14">
        <v>379564002</v>
      </c>
      <c r="B9449" s="14" t="s">
        <v>9556</v>
      </c>
      <c r="C9449" s="14" t="s">
        <v>13029</v>
      </c>
      <c r="D9449" s="15">
        <v>17.45</v>
      </c>
      <c r="E9449" s="14" t="s">
        <v>30</v>
      </c>
    </row>
    <row r="9450" spans="1:5" x14ac:dyDescent="0.25">
      <c r="A9450" s="14">
        <v>118644002</v>
      </c>
      <c r="B9450" s="14" t="s">
        <v>9557</v>
      </c>
      <c r="C9450" s="14" t="s">
        <v>13030</v>
      </c>
      <c r="D9450" s="15">
        <v>36.19</v>
      </c>
      <c r="E9450" s="16" t="s">
        <v>20</v>
      </c>
    </row>
    <row r="9451" spans="1:5" x14ac:dyDescent="0.25">
      <c r="A9451" s="14">
        <v>118644003</v>
      </c>
      <c r="B9451" s="14" t="s">
        <v>9558</v>
      </c>
      <c r="C9451" s="14" t="s">
        <v>13030</v>
      </c>
      <c r="D9451" s="15">
        <v>38.700000000000003</v>
      </c>
      <c r="E9451" s="16" t="s">
        <v>20</v>
      </c>
    </row>
    <row r="9452" spans="1:5" x14ac:dyDescent="0.25">
      <c r="A9452" s="14">
        <v>118644004</v>
      </c>
      <c r="B9452" s="14" t="s">
        <v>9559</v>
      </c>
      <c r="C9452" s="14" t="s">
        <v>13030</v>
      </c>
      <c r="D9452" s="15">
        <v>38.479999999999997</v>
      </c>
      <c r="E9452" s="16" t="s">
        <v>20</v>
      </c>
    </row>
    <row r="9453" spans="1:5" x14ac:dyDescent="0.25">
      <c r="A9453" s="14">
        <v>385847001</v>
      </c>
      <c r="B9453" s="14" t="s">
        <v>9560</v>
      </c>
      <c r="C9453" s="14" t="s">
        <v>13029</v>
      </c>
      <c r="D9453" s="15">
        <v>23.1</v>
      </c>
      <c r="E9453" s="14" t="s">
        <v>30</v>
      </c>
    </row>
    <row r="9454" spans="1:5" x14ac:dyDescent="0.25">
      <c r="A9454" s="14">
        <v>385847002</v>
      </c>
      <c r="B9454" s="14" t="s">
        <v>9561</v>
      </c>
      <c r="C9454" s="14" t="s">
        <v>13029</v>
      </c>
      <c r="D9454" s="15">
        <v>23.1</v>
      </c>
      <c r="E9454" s="14" t="s">
        <v>30</v>
      </c>
    </row>
    <row r="9455" spans="1:5" x14ac:dyDescent="0.25">
      <c r="A9455" s="14">
        <v>385848002</v>
      </c>
      <c r="B9455" s="14" t="s">
        <v>9562</v>
      </c>
      <c r="C9455" s="14" t="s">
        <v>13029</v>
      </c>
      <c r="D9455" s="15">
        <v>23.1</v>
      </c>
      <c r="E9455" s="14" t="s">
        <v>30</v>
      </c>
    </row>
    <row r="9456" spans="1:5" x14ac:dyDescent="0.25">
      <c r="A9456" s="14">
        <v>391758002</v>
      </c>
      <c r="B9456" s="14" t="s">
        <v>9563</v>
      </c>
      <c r="C9456" s="14" t="s">
        <v>13029</v>
      </c>
      <c r="D9456" s="15">
        <v>35.56</v>
      </c>
      <c r="E9456" s="14" t="s">
        <v>30</v>
      </c>
    </row>
    <row r="9457" spans="1:5" x14ac:dyDescent="0.25">
      <c r="A9457" s="14">
        <v>391794001</v>
      </c>
      <c r="B9457" s="14" t="s">
        <v>9564</v>
      </c>
      <c r="C9457" s="14" t="s">
        <v>13031</v>
      </c>
      <c r="D9457" s="15">
        <v>1.7</v>
      </c>
      <c r="E9457" s="16" t="s">
        <v>30</v>
      </c>
    </row>
    <row r="9458" spans="1:5" x14ac:dyDescent="0.25">
      <c r="A9458" s="14">
        <v>391794002</v>
      </c>
      <c r="B9458" s="14" t="s">
        <v>9565</v>
      </c>
      <c r="C9458" s="14" t="s">
        <v>13031</v>
      </c>
      <c r="D9458" s="15">
        <v>1.7</v>
      </c>
      <c r="E9458" s="16" t="s">
        <v>30</v>
      </c>
    </row>
    <row r="9459" spans="1:5" x14ac:dyDescent="0.25">
      <c r="A9459" s="14">
        <v>394373001</v>
      </c>
      <c r="B9459" s="14" t="s">
        <v>9566</v>
      </c>
      <c r="C9459" s="14" t="s">
        <v>13031</v>
      </c>
      <c r="D9459" s="15">
        <v>17.11</v>
      </c>
      <c r="E9459" s="16" t="s">
        <v>30</v>
      </c>
    </row>
    <row r="9460" spans="1:5" x14ac:dyDescent="0.25">
      <c r="A9460" s="14">
        <v>394373002</v>
      </c>
      <c r="B9460" s="14" t="s">
        <v>9567</v>
      </c>
      <c r="C9460" s="14" t="s">
        <v>13031</v>
      </c>
      <c r="D9460" s="15">
        <v>17.11</v>
      </c>
      <c r="E9460" s="16" t="s">
        <v>30</v>
      </c>
    </row>
    <row r="9461" spans="1:5" x14ac:dyDescent="0.25">
      <c r="A9461" s="14">
        <v>394373004</v>
      </c>
      <c r="B9461" s="14" t="s">
        <v>9568</v>
      </c>
      <c r="C9461" s="14" t="s">
        <v>13031</v>
      </c>
      <c r="D9461" s="15">
        <v>17.11</v>
      </c>
      <c r="E9461" s="16" t="s">
        <v>30</v>
      </c>
    </row>
    <row r="9462" spans="1:5" x14ac:dyDescent="0.25">
      <c r="A9462" s="14">
        <v>403066001</v>
      </c>
      <c r="B9462" s="14" t="s">
        <v>9569</v>
      </c>
      <c r="C9462" s="14" t="s">
        <v>13031</v>
      </c>
      <c r="D9462" s="15">
        <v>6.18</v>
      </c>
      <c r="E9462" s="16" t="s">
        <v>30</v>
      </c>
    </row>
    <row r="9463" spans="1:5" x14ac:dyDescent="0.25">
      <c r="A9463" s="14">
        <v>70841001</v>
      </c>
      <c r="B9463" s="14" t="s">
        <v>9570</v>
      </c>
      <c r="C9463" s="14" t="s">
        <v>13031</v>
      </c>
      <c r="D9463" s="15">
        <v>2.56</v>
      </c>
      <c r="E9463" s="16" t="s">
        <v>20</v>
      </c>
    </row>
    <row r="9464" spans="1:5" x14ac:dyDescent="0.25">
      <c r="A9464" s="14">
        <v>403066002</v>
      </c>
      <c r="B9464" s="14" t="s">
        <v>9571</v>
      </c>
      <c r="C9464" s="14" t="s">
        <v>13031</v>
      </c>
      <c r="D9464" s="15">
        <v>6.18</v>
      </c>
      <c r="E9464" s="16" t="s">
        <v>30</v>
      </c>
    </row>
    <row r="9465" spans="1:5" x14ac:dyDescent="0.25">
      <c r="A9465" s="14">
        <v>405635001</v>
      </c>
      <c r="B9465" s="14" t="s">
        <v>9572</v>
      </c>
      <c r="C9465" s="14" t="s">
        <v>13029</v>
      </c>
      <c r="D9465" s="15">
        <v>5.54</v>
      </c>
      <c r="E9465" s="16" t="s">
        <v>30</v>
      </c>
    </row>
    <row r="9466" spans="1:5" x14ac:dyDescent="0.25">
      <c r="A9466" s="14">
        <v>405635002</v>
      </c>
      <c r="B9466" s="14" t="s">
        <v>9573</v>
      </c>
      <c r="C9466" s="14" t="s">
        <v>13029</v>
      </c>
      <c r="D9466" s="15">
        <v>5.54</v>
      </c>
      <c r="E9466" s="16" t="s">
        <v>30</v>
      </c>
    </row>
    <row r="9467" spans="1:5" x14ac:dyDescent="0.25">
      <c r="A9467" s="14">
        <v>405638001</v>
      </c>
      <c r="B9467" s="14" t="s">
        <v>9574</v>
      </c>
      <c r="C9467" s="14" t="s">
        <v>13029</v>
      </c>
      <c r="D9467" s="15">
        <v>7.38</v>
      </c>
      <c r="E9467" s="16" t="s">
        <v>30</v>
      </c>
    </row>
    <row r="9468" spans="1:5" x14ac:dyDescent="0.25">
      <c r="A9468" s="14">
        <v>407077001</v>
      </c>
      <c r="B9468" s="14" t="s">
        <v>9575</v>
      </c>
      <c r="C9468" s="14" t="s">
        <v>13029</v>
      </c>
      <c r="D9468" s="15">
        <v>9.66</v>
      </c>
      <c r="E9468" s="16" t="s">
        <v>30</v>
      </c>
    </row>
    <row r="9469" spans="1:5" x14ac:dyDescent="0.25">
      <c r="A9469" s="14">
        <v>407077003</v>
      </c>
      <c r="B9469" s="14" t="s">
        <v>9576</v>
      </c>
      <c r="C9469" s="14" t="s">
        <v>13029</v>
      </c>
      <c r="D9469" s="15">
        <v>9.66</v>
      </c>
      <c r="E9469" s="16" t="s">
        <v>30</v>
      </c>
    </row>
    <row r="9470" spans="1:5" x14ac:dyDescent="0.25">
      <c r="A9470" s="14">
        <v>407675001</v>
      </c>
      <c r="B9470" s="14" t="s">
        <v>9577</v>
      </c>
      <c r="C9470" s="14" t="s">
        <v>13031</v>
      </c>
      <c r="D9470" s="15">
        <v>6.6</v>
      </c>
      <c r="E9470" s="16" t="s">
        <v>30</v>
      </c>
    </row>
    <row r="9471" spans="1:5" x14ac:dyDescent="0.25">
      <c r="A9471" s="14">
        <v>407675002</v>
      </c>
      <c r="B9471" s="14" t="s">
        <v>9578</v>
      </c>
      <c r="C9471" s="14" t="s">
        <v>13031</v>
      </c>
      <c r="D9471" s="15">
        <v>6.6</v>
      </c>
      <c r="E9471" s="16" t="s">
        <v>30</v>
      </c>
    </row>
    <row r="9472" spans="1:5" x14ac:dyDescent="0.25">
      <c r="A9472" s="14">
        <v>408371001</v>
      </c>
      <c r="B9472" s="14" t="s">
        <v>9579</v>
      </c>
      <c r="C9472" s="14" t="s">
        <v>13029</v>
      </c>
      <c r="D9472" s="15">
        <v>11.8</v>
      </c>
      <c r="E9472" s="14" t="s">
        <v>30</v>
      </c>
    </row>
    <row r="9473" spans="1:5" x14ac:dyDescent="0.25">
      <c r="A9473" s="14">
        <v>408371002</v>
      </c>
      <c r="B9473" s="14" t="s">
        <v>9580</v>
      </c>
      <c r="C9473" s="14" t="s">
        <v>13029</v>
      </c>
      <c r="D9473" s="15">
        <v>11.8</v>
      </c>
      <c r="E9473" s="14" t="s">
        <v>30</v>
      </c>
    </row>
    <row r="9474" spans="1:5" x14ac:dyDescent="0.25">
      <c r="A9474" s="14">
        <v>414292001</v>
      </c>
      <c r="B9474" s="14" t="s">
        <v>9581</v>
      </c>
      <c r="C9474" s="14" t="s">
        <v>13031</v>
      </c>
      <c r="D9474" s="15">
        <v>9.07</v>
      </c>
      <c r="E9474" s="16" t="s">
        <v>30</v>
      </c>
    </row>
    <row r="9475" spans="1:5" x14ac:dyDescent="0.25">
      <c r="A9475" s="14">
        <v>414292002</v>
      </c>
      <c r="B9475" s="14" t="s">
        <v>9582</v>
      </c>
      <c r="C9475" s="14" t="s">
        <v>13031</v>
      </c>
      <c r="D9475" s="15">
        <v>9.07</v>
      </c>
      <c r="E9475" s="16" t="s">
        <v>30</v>
      </c>
    </row>
    <row r="9476" spans="1:5" x14ac:dyDescent="0.25">
      <c r="A9476" s="14">
        <v>414292003</v>
      </c>
      <c r="B9476" s="14" t="s">
        <v>9583</v>
      </c>
      <c r="C9476" s="14" t="s">
        <v>13031</v>
      </c>
      <c r="D9476" s="15">
        <v>9.07</v>
      </c>
      <c r="E9476" s="16" t="s">
        <v>30</v>
      </c>
    </row>
    <row r="9477" spans="1:5" x14ac:dyDescent="0.25">
      <c r="A9477" s="14">
        <v>415322001</v>
      </c>
      <c r="B9477" s="14" t="s">
        <v>9584</v>
      </c>
      <c r="C9477" s="14" t="s">
        <v>13031</v>
      </c>
      <c r="D9477" s="15">
        <v>6.96</v>
      </c>
      <c r="E9477" s="16" t="s">
        <v>30</v>
      </c>
    </row>
    <row r="9478" spans="1:5" x14ac:dyDescent="0.25">
      <c r="A9478" s="14">
        <v>415322003</v>
      </c>
      <c r="B9478" s="14" t="s">
        <v>9585</v>
      </c>
      <c r="C9478" s="14" t="s">
        <v>13031</v>
      </c>
      <c r="D9478" s="15">
        <v>6.96</v>
      </c>
      <c r="E9478" s="16" t="s">
        <v>30</v>
      </c>
    </row>
    <row r="9479" spans="1:5" x14ac:dyDescent="0.25">
      <c r="A9479" s="14">
        <v>415324001</v>
      </c>
      <c r="B9479" s="14" t="s">
        <v>9586</v>
      </c>
      <c r="C9479" s="14" t="s">
        <v>13031</v>
      </c>
      <c r="D9479" s="15">
        <v>11</v>
      </c>
      <c r="E9479" s="16" t="s">
        <v>30</v>
      </c>
    </row>
    <row r="9480" spans="1:5" x14ac:dyDescent="0.25">
      <c r="A9480" s="14">
        <v>415324003</v>
      </c>
      <c r="B9480" s="14" t="s">
        <v>9587</v>
      </c>
      <c r="C9480" s="14" t="s">
        <v>13031</v>
      </c>
      <c r="D9480" s="15">
        <v>11</v>
      </c>
      <c r="E9480" s="16" t="s">
        <v>30</v>
      </c>
    </row>
    <row r="9481" spans="1:5" x14ac:dyDescent="0.25">
      <c r="A9481" s="14">
        <v>418904002</v>
      </c>
      <c r="B9481" s="14" t="s">
        <v>9588</v>
      </c>
      <c r="C9481" s="14" t="s">
        <v>13031</v>
      </c>
      <c r="D9481" s="15">
        <v>15.37</v>
      </c>
      <c r="E9481" s="16" t="s">
        <v>30</v>
      </c>
    </row>
    <row r="9482" spans="1:5" x14ac:dyDescent="0.25">
      <c r="A9482" s="14">
        <v>419230004</v>
      </c>
      <c r="B9482" s="14" t="s">
        <v>9589</v>
      </c>
      <c r="C9482" s="14" t="s">
        <v>13029</v>
      </c>
      <c r="D9482" s="15">
        <v>20.61</v>
      </c>
      <c r="E9482" s="16" t="s">
        <v>30</v>
      </c>
    </row>
    <row r="9483" spans="1:5" x14ac:dyDescent="0.25">
      <c r="A9483" s="14">
        <v>420406003</v>
      </c>
      <c r="B9483" s="14" t="s">
        <v>9590</v>
      </c>
      <c r="C9483" s="14" t="s">
        <v>13029</v>
      </c>
      <c r="D9483" s="15">
        <v>13.61</v>
      </c>
      <c r="E9483" s="16" t="s">
        <v>30</v>
      </c>
    </row>
    <row r="9484" spans="1:5" x14ac:dyDescent="0.25">
      <c r="A9484" s="14">
        <v>422772001</v>
      </c>
      <c r="B9484" s="14" t="s">
        <v>9591</v>
      </c>
      <c r="C9484" s="14" t="s">
        <v>13031</v>
      </c>
      <c r="D9484" s="15">
        <v>16.14</v>
      </c>
      <c r="E9484" s="16" t="s">
        <v>30</v>
      </c>
    </row>
    <row r="9485" spans="1:5" x14ac:dyDescent="0.25">
      <c r="A9485" s="14">
        <v>422772002</v>
      </c>
      <c r="B9485" s="14" t="s">
        <v>9592</v>
      </c>
      <c r="C9485" s="14" t="s">
        <v>13031</v>
      </c>
      <c r="D9485" s="15">
        <v>16.14</v>
      </c>
      <c r="E9485" s="16" t="s">
        <v>30</v>
      </c>
    </row>
    <row r="9486" spans="1:5" x14ac:dyDescent="0.25">
      <c r="A9486" s="14">
        <v>422772003</v>
      </c>
      <c r="B9486" s="14" t="s">
        <v>9593</v>
      </c>
      <c r="C9486" s="14" t="s">
        <v>13031</v>
      </c>
      <c r="D9486" s="15">
        <v>16.14</v>
      </c>
      <c r="E9486" s="16" t="s">
        <v>30</v>
      </c>
    </row>
    <row r="9487" spans="1:5" x14ac:dyDescent="0.25">
      <c r="A9487" s="14">
        <v>422772005</v>
      </c>
      <c r="B9487" s="14" t="s">
        <v>9594</v>
      </c>
      <c r="C9487" s="14" t="s">
        <v>13031</v>
      </c>
      <c r="D9487" s="15">
        <v>16.14</v>
      </c>
      <c r="E9487" s="16" t="s">
        <v>30</v>
      </c>
    </row>
    <row r="9488" spans="1:5" x14ac:dyDescent="0.25">
      <c r="A9488" s="14">
        <v>422772006</v>
      </c>
      <c r="B9488" s="14" t="s">
        <v>9595</v>
      </c>
      <c r="C9488" s="14" t="s">
        <v>13031</v>
      </c>
      <c r="D9488" s="15">
        <v>16.14</v>
      </c>
      <c r="E9488" s="16" t="s">
        <v>30</v>
      </c>
    </row>
    <row r="9489" spans="1:5" x14ac:dyDescent="0.25">
      <c r="A9489" s="14">
        <v>422772007</v>
      </c>
      <c r="B9489" s="14" t="s">
        <v>9596</v>
      </c>
      <c r="C9489" s="14" t="s">
        <v>13031</v>
      </c>
      <c r="D9489" s="15">
        <v>16.14</v>
      </c>
      <c r="E9489" s="16" t="s">
        <v>30</v>
      </c>
    </row>
    <row r="9490" spans="1:5" x14ac:dyDescent="0.25">
      <c r="A9490" s="14">
        <v>422772009</v>
      </c>
      <c r="B9490" s="14" t="s">
        <v>9597</v>
      </c>
      <c r="C9490" s="14" t="s">
        <v>13031</v>
      </c>
      <c r="D9490" s="15">
        <v>11.1</v>
      </c>
      <c r="E9490" s="16" t="s">
        <v>30</v>
      </c>
    </row>
    <row r="9491" spans="1:5" x14ac:dyDescent="0.25">
      <c r="A9491" s="14">
        <v>430596001</v>
      </c>
      <c r="B9491" s="14" t="s">
        <v>9598</v>
      </c>
      <c r="C9491" s="14" t="s">
        <v>13029</v>
      </c>
      <c r="D9491" s="15">
        <v>34.92</v>
      </c>
      <c r="E9491" s="14" t="s">
        <v>30</v>
      </c>
    </row>
    <row r="9492" spans="1:5" x14ac:dyDescent="0.25">
      <c r="A9492" s="14">
        <v>430596002</v>
      </c>
      <c r="B9492" s="14" t="s">
        <v>9599</v>
      </c>
      <c r="C9492" s="14" t="s">
        <v>13029</v>
      </c>
      <c r="D9492" s="15">
        <v>34.92</v>
      </c>
      <c r="E9492" s="16" t="s">
        <v>30</v>
      </c>
    </row>
    <row r="9493" spans="1:5" x14ac:dyDescent="0.25">
      <c r="A9493" s="14">
        <v>430938002</v>
      </c>
      <c r="B9493" s="14" t="s">
        <v>9600</v>
      </c>
      <c r="C9493" s="14" t="s">
        <v>13029</v>
      </c>
      <c r="D9493" s="15">
        <v>9.48</v>
      </c>
      <c r="E9493" s="14" t="s">
        <v>30</v>
      </c>
    </row>
    <row r="9494" spans="1:5" x14ac:dyDescent="0.25">
      <c r="A9494" s="14">
        <v>432811001</v>
      </c>
      <c r="B9494" s="14" t="s">
        <v>9601</v>
      </c>
      <c r="C9494" s="14" t="s">
        <v>13031</v>
      </c>
      <c r="D9494" s="15">
        <v>12.75</v>
      </c>
      <c r="E9494" s="16" t="s">
        <v>30</v>
      </c>
    </row>
    <row r="9495" spans="1:5" x14ac:dyDescent="0.25">
      <c r="A9495" s="14">
        <v>432811002</v>
      </c>
      <c r="B9495" s="14" t="s">
        <v>9602</v>
      </c>
      <c r="C9495" s="14" t="s">
        <v>13031</v>
      </c>
      <c r="D9495" s="15">
        <v>12.75</v>
      </c>
      <c r="E9495" s="16" t="s">
        <v>30</v>
      </c>
    </row>
    <row r="9496" spans="1:5" x14ac:dyDescent="0.25">
      <c r="A9496" s="14">
        <v>434122002</v>
      </c>
      <c r="B9496" s="14" t="s">
        <v>9603</v>
      </c>
      <c r="C9496" s="14" t="s">
        <v>13031</v>
      </c>
      <c r="D9496" s="15">
        <v>10.34</v>
      </c>
      <c r="E9496" s="16" t="s">
        <v>30</v>
      </c>
    </row>
    <row r="9497" spans="1:5" x14ac:dyDescent="0.25">
      <c r="A9497" s="14">
        <v>70841002</v>
      </c>
      <c r="B9497" s="14" t="s">
        <v>9604</v>
      </c>
      <c r="C9497" s="14" t="s">
        <v>13031</v>
      </c>
      <c r="D9497" s="15">
        <v>2.56</v>
      </c>
      <c r="E9497" s="16" t="s">
        <v>20</v>
      </c>
    </row>
    <row r="9498" spans="1:5" x14ac:dyDescent="0.25">
      <c r="A9498" s="14">
        <v>70841003</v>
      </c>
      <c r="B9498" s="14" t="s">
        <v>9605</v>
      </c>
      <c r="C9498" s="14" t="s">
        <v>13031</v>
      </c>
      <c r="D9498" s="15">
        <v>2.56</v>
      </c>
      <c r="E9498" s="16" t="s">
        <v>20</v>
      </c>
    </row>
    <row r="9499" spans="1:5" x14ac:dyDescent="0.25">
      <c r="A9499" s="14">
        <v>70841004</v>
      </c>
      <c r="B9499" s="14" t="s">
        <v>9606</v>
      </c>
      <c r="C9499" s="14" t="s">
        <v>13031</v>
      </c>
      <c r="D9499" s="15">
        <v>2.56</v>
      </c>
      <c r="E9499" s="16" t="s">
        <v>20</v>
      </c>
    </row>
    <row r="9500" spans="1:5" x14ac:dyDescent="0.25">
      <c r="A9500" s="14">
        <v>143871001</v>
      </c>
      <c r="B9500" s="14" t="s">
        <v>9607</v>
      </c>
      <c r="C9500" s="14" t="s">
        <v>13031</v>
      </c>
      <c r="D9500" s="15">
        <v>8.23</v>
      </c>
      <c r="E9500" s="16" t="s">
        <v>20</v>
      </c>
    </row>
    <row r="9501" spans="1:5" x14ac:dyDescent="0.25">
      <c r="A9501" s="14">
        <v>434122003</v>
      </c>
      <c r="B9501" s="14" t="s">
        <v>9608</v>
      </c>
      <c r="C9501" s="14" t="s">
        <v>13031</v>
      </c>
      <c r="D9501" s="15">
        <v>10.34</v>
      </c>
      <c r="E9501" s="16" t="s">
        <v>30</v>
      </c>
    </row>
    <row r="9502" spans="1:5" x14ac:dyDescent="0.25">
      <c r="A9502" s="14">
        <v>434122004</v>
      </c>
      <c r="B9502" s="14" t="s">
        <v>9609</v>
      </c>
      <c r="C9502" s="14" t="s">
        <v>13031</v>
      </c>
      <c r="D9502" s="15">
        <v>10.34</v>
      </c>
      <c r="E9502" s="16" t="s">
        <v>30</v>
      </c>
    </row>
    <row r="9503" spans="1:5" x14ac:dyDescent="0.25">
      <c r="A9503" s="14">
        <v>434122006</v>
      </c>
      <c r="B9503" s="14" t="s">
        <v>9610</v>
      </c>
      <c r="C9503" s="14" t="s">
        <v>13031</v>
      </c>
      <c r="D9503" s="15">
        <v>10.34</v>
      </c>
      <c r="E9503" s="16" t="s">
        <v>30</v>
      </c>
    </row>
    <row r="9504" spans="1:5" x14ac:dyDescent="0.25">
      <c r="A9504" s="14">
        <v>434481001</v>
      </c>
      <c r="B9504" s="14" t="s">
        <v>9611</v>
      </c>
      <c r="C9504" s="14" t="s">
        <v>13031</v>
      </c>
      <c r="D9504" s="15">
        <v>6.97</v>
      </c>
      <c r="E9504" s="16" t="s">
        <v>30</v>
      </c>
    </row>
    <row r="9505" spans="1:5" x14ac:dyDescent="0.25">
      <c r="A9505" s="14">
        <v>439168001</v>
      </c>
      <c r="B9505" s="14" t="s">
        <v>9612</v>
      </c>
      <c r="C9505" s="14" t="s">
        <v>13031</v>
      </c>
      <c r="D9505" s="15">
        <v>5.12</v>
      </c>
      <c r="E9505" s="16" t="s">
        <v>30</v>
      </c>
    </row>
    <row r="9506" spans="1:5" x14ac:dyDescent="0.25">
      <c r="A9506" s="14">
        <v>439322001</v>
      </c>
      <c r="B9506" s="14" t="s">
        <v>9613</v>
      </c>
      <c r="C9506" s="14" t="s">
        <v>13031</v>
      </c>
      <c r="D9506" s="15">
        <v>1.7</v>
      </c>
      <c r="E9506" s="16" t="s">
        <v>30</v>
      </c>
    </row>
    <row r="9507" spans="1:5" x14ac:dyDescent="0.25">
      <c r="A9507" s="14">
        <v>439322002</v>
      </c>
      <c r="B9507" s="14" t="s">
        <v>9614</v>
      </c>
      <c r="C9507" s="14" t="s">
        <v>13031</v>
      </c>
      <c r="D9507" s="15">
        <v>1.7</v>
      </c>
      <c r="E9507" s="16" t="s">
        <v>30</v>
      </c>
    </row>
    <row r="9508" spans="1:5" x14ac:dyDescent="0.25">
      <c r="A9508" s="14">
        <v>439322003</v>
      </c>
      <c r="B9508" s="14" t="s">
        <v>9615</v>
      </c>
      <c r="C9508" s="14" t="s">
        <v>13031</v>
      </c>
      <c r="D9508" s="15">
        <v>1.7</v>
      </c>
      <c r="E9508" s="16" t="s">
        <v>30</v>
      </c>
    </row>
    <row r="9509" spans="1:5" x14ac:dyDescent="0.25">
      <c r="A9509" s="14">
        <v>445688001</v>
      </c>
      <c r="B9509" s="14" t="s">
        <v>9616</v>
      </c>
      <c r="C9509" s="14" t="s">
        <v>13031</v>
      </c>
      <c r="D9509" s="15">
        <v>3</v>
      </c>
      <c r="E9509" s="16" t="s">
        <v>30</v>
      </c>
    </row>
    <row r="9510" spans="1:5" x14ac:dyDescent="0.25">
      <c r="A9510" s="14">
        <v>445688002</v>
      </c>
      <c r="B9510" s="14" t="s">
        <v>9617</v>
      </c>
      <c r="C9510" s="14" t="s">
        <v>13031</v>
      </c>
      <c r="D9510" s="15">
        <v>3</v>
      </c>
      <c r="E9510" s="16" t="s">
        <v>30</v>
      </c>
    </row>
    <row r="9511" spans="1:5" x14ac:dyDescent="0.25">
      <c r="A9511" s="14">
        <v>445688003</v>
      </c>
      <c r="B9511" s="14" t="s">
        <v>9618</v>
      </c>
      <c r="C9511" s="14" t="s">
        <v>13031</v>
      </c>
      <c r="D9511" s="15">
        <v>3</v>
      </c>
      <c r="E9511" s="16" t="s">
        <v>30</v>
      </c>
    </row>
    <row r="9512" spans="1:5" x14ac:dyDescent="0.25">
      <c r="A9512" s="14">
        <v>445688006</v>
      </c>
      <c r="B9512" s="14" t="s">
        <v>9619</v>
      </c>
      <c r="C9512" s="14" t="s">
        <v>13031</v>
      </c>
      <c r="D9512" s="15">
        <v>3</v>
      </c>
      <c r="E9512" s="16" t="s">
        <v>30</v>
      </c>
    </row>
    <row r="9513" spans="1:5" x14ac:dyDescent="0.25">
      <c r="A9513" s="14">
        <v>445899005</v>
      </c>
      <c r="B9513" s="14" t="s">
        <v>9620</v>
      </c>
      <c r="C9513" s="14" t="s">
        <v>13029</v>
      </c>
      <c r="D9513" s="15">
        <v>8.39</v>
      </c>
      <c r="E9513" s="16" t="s">
        <v>30</v>
      </c>
    </row>
    <row r="9514" spans="1:5" x14ac:dyDescent="0.25">
      <c r="A9514" s="14">
        <v>446457001</v>
      </c>
      <c r="B9514" s="14" t="s">
        <v>9621</v>
      </c>
      <c r="C9514" s="14" t="s">
        <v>13030</v>
      </c>
      <c r="D9514" s="15">
        <v>105.35</v>
      </c>
      <c r="E9514" s="16" t="s">
        <v>30</v>
      </c>
    </row>
    <row r="9515" spans="1:5" x14ac:dyDescent="0.25">
      <c r="A9515" s="14">
        <v>447288001</v>
      </c>
      <c r="B9515" s="14" t="s">
        <v>9622</v>
      </c>
      <c r="C9515" s="14" t="s">
        <v>13031</v>
      </c>
      <c r="D9515" s="15">
        <v>9.25</v>
      </c>
      <c r="E9515" s="16" t="s">
        <v>30</v>
      </c>
    </row>
    <row r="9516" spans="1:5" x14ac:dyDescent="0.25">
      <c r="A9516" s="14">
        <v>447288002</v>
      </c>
      <c r="B9516" s="14" t="s">
        <v>9623</v>
      </c>
      <c r="C9516" s="14" t="s">
        <v>13031</v>
      </c>
      <c r="D9516" s="15">
        <v>9.25</v>
      </c>
      <c r="E9516" s="16" t="s">
        <v>30</v>
      </c>
    </row>
    <row r="9517" spans="1:5" x14ac:dyDescent="0.25">
      <c r="A9517" s="14">
        <v>450661004</v>
      </c>
      <c r="B9517" s="14" t="s">
        <v>9624</v>
      </c>
      <c r="C9517" s="14" t="s">
        <v>13031</v>
      </c>
      <c r="D9517" s="15">
        <v>4.3600000000000003</v>
      </c>
      <c r="E9517" s="16" t="s">
        <v>30</v>
      </c>
    </row>
    <row r="9518" spans="1:5" x14ac:dyDescent="0.25">
      <c r="A9518" s="14">
        <v>451641002</v>
      </c>
      <c r="B9518" s="14" t="s">
        <v>9625</v>
      </c>
      <c r="C9518" s="14" t="s">
        <v>13031</v>
      </c>
      <c r="D9518" s="15">
        <v>11.24</v>
      </c>
      <c r="E9518" s="16" t="s">
        <v>30</v>
      </c>
    </row>
    <row r="9519" spans="1:5" x14ac:dyDescent="0.25">
      <c r="A9519" s="14">
        <v>451641003</v>
      </c>
      <c r="B9519" s="14" t="s">
        <v>9626</v>
      </c>
      <c r="C9519" s="14" t="s">
        <v>13031</v>
      </c>
      <c r="D9519" s="15">
        <v>11.24</v>
      </c>
      <c r="E9519" s="16" t="s">
        <v>30</v>
      </c>
    </row>
    <row r="9520" spans="1:5" x14ac:dyDescent="0.25">
      <c r="A9520" s="14">
        <v>452768002</v>
      </c>
      <c r="B9520" s="14" t="s">
        <v>9627</v>
      </c>
      <c r="C9520" s="14" t="s">
        <v>13029</v>
      </c>
      <c r="D9520" s="15">
        <v>14.17</v>
      </c>
      <c r="E9520" s="16" t="s">
        <v>30</v>
      </c>
    </row>
    <row r="9521" spans="1:5" x14ac:dyDescent="0.25">
      <c r="A9521" s="14">
        <v>452770001</v>
      </c>
      <c r="B9521" s="14" t="s">
        <v>9628</v>
      </c>
      <c r="C9521" s="14" t="s">
        <v>13029</v>
      </c>
      <c r="D9521" s="15">
        <v>8.1199999999999992</v>
      </c>
      <c r="E9521" s="16" t="s">
        <v>30</v>
      </c>
    </row>
    <row r="9522" spans="1:5" x14ac:dyDescent="0.25">
      <c r="A9522" s="14">
        <v>452770002</v>
      </c>
      <c r="B9522" s="14" t="s">
        <v>9629</v>
      </c>
      <c r="C9522" s="14" t="s">
        <v>13029</v>
      </c>
      <c r="D9522" s="15">
        <v>8.1199999999999992</v>
      </c>
      <c r="E9522" s="16" t="s">
        <v>30</v>
      </c>
    </row>
    <row r="9523" spans="1:5" x14ac:dyDescent="0.25">
      <c r="A9523" s="14">
        <v>452845001</v>
      </c>
      <c r="B9523" s="14" t="s">
        <v>9630</v>
      </c>
      <c r="C9523" s="14" t="s">
        <v>13029</v>
      </c>
      <c r="D9523" s="15">
        <v>27.08</v>
      </c>
      <c r="E9523" s="16" t="s">
        <v>30</v>
      </c>
    </row>
    <row r="9524" spans="1:5" x14ac:dyDescent="0.25">
      <c r="A9524" s="14">
        <v>454167001</v>
      </c>
      <c r="B9524" s="14" t="s">
        <v>9631</v>
      </c>
      <c r="C9524" s="14" t="s">
        <v>13031</v>
      </c>
      <c r="D9524" s="15">
        <v>13.72</v>
      </c>
      <c r="E9524" s="16" t="s">
        <v>30</v>
      </c>
    </row>
    <row r="9525" spans="1:5" x14ac:dyDescent="0.25">
      <c r="A9525" s="14">
        <v>454167002</v>
      </c>
      <c r="B9525" s="14" t="s">
        <v>9632</v>
      </c>
      <c r="C9525" s="14" t="s">
        <v>13031</v>
      </c>
      <c r="D9525" s="15">
        <v>13.72</v>
      </c>
      <c r="E9525" s="16" t="s">
        <v>30</v>
      </c>
    </row>
    <row r="9526" spans="1:5" x14ac:dyDescent="0.25">
      <c r="A9526" s="14">
        <v>454357001</v>
      </c>
      <c r="B9526" s="14" t="s">
        <v>9633</v>
      </c>
      <c r="C9526" s="14" t="s">
        <v>13030</v>
      </c>
      <c r="D9526" s="15">
        <v>8.84</v>
      </c>
      <c r="E9526" s="16" t="s">
        <v>30</v>
      </c>
    </row>
    <row r="9527" spans="1:5" x14ac:dyDescent="0.25">
      <c r="A9527" s="14">
        <v>454563001</v>
      </c>
      <c r="B9527" s="14" t="s">
        <v>9634</v>
      </c>
      <c r="C9527" s="14" t="s">
        <v>13031</v>
      </c>
      <c r="D9527" s="15">
        <v>6.65</v>
      </c>
      <c r="E9527" s="16" t="s">
        <v>30</v>
      </c>
    </row>
    <row r="9528" spans="1:5" x14ac:dyDescent="0.25">
      <c r="A9528" s="14">
        <v>454563005</v>
      </c>
      <c r="B9528" s="14" t="s">
        <v>9635</v>
      </c>
      <c r="C9528" s="14" t="s">
        <v>13031</v>
      </c>
      <c r="D9528" s="15">
        <v>6.65</v>
      </c>
      <c r="E9528" s="16" t="s">
        <v>30</v>
      </c>
    </row>
    <row r="9529" spans="1:5" x14ac:dyDescent="0.25">
      <c r="A9529" s="14">
        <v>454563006</v>
      </c>
      <c r="B9529" s="14" t="s">
        <v>9636</v>
      </c>
      <c r="C9529" s="14" t="s">
        <v>13031</v>
      </c>
      <c r="D9529" s="15">
        <v>9.51</v>
      </c>
      <c r="E9529" s="16" t="s">
        <v>30</v>
      </c>
    </row>
    <row r="9530" spans="1:5" x14ac:dyDescent="0.25">
      <c r="A9530" s="14">
        <v>454563009</v>
      </c>
      <c r="B9530" s="14" t="s">
        <v>9637</v>
      </c>
      <c r="C9530" s="14" t="s">
        <v>13031</v>
      </c>
      <c r="D9530" s="15">
        <v>6.65</v>
      </c>
      <c r="E9530" s="16" t="s">
        <v>30</v>
      </c>
    </row>
    <row r="9531" spans="1:5" x14ac:dyDescent="0.25">
      <c r="A9531" s="14">
        <v>454563010</v>
      </c>
      <c r="B9531" s="14" t="s">
        <v>9638</v>
      </c>
      <c r="C9531" s="14" t="s">
        <v>13031</v>
      </c>
      <c r="D9531" s="15">
        <v>6.65</v>
      </c>
      <c r="E9531" s="16" t="s">
        <v>30</v>
      </c>
    </row>
    <row r="9532" spans="1:5" x14ac:dyDescent="0.25">
      <c r="A9532" s="14">
        <v>454885002</v>
      </c>
      <c r="B9532" s="14" t="s">
        <v>9639</v>
      </c>
      <c r="C9532" s="14" t="s">
        <v>13029</v>
      </c>
      <c r="D9532" s="15">
        <v>31.96</v>
      </c>
      <c r="E9532" s="16" t="s">
        <v>30</v>
      </c>
    </row>
    <row r="9533" spans="1:5" x14ac:dyDescent="0.25">
      <c r="A9533" s="14">
        <v>456833004</v>
      </c>
      <c r="B9533" s="14" t="s">
        <v>9640</v>
      </c>
      <c r="C9533" s="14" t="s">
        <v>13029</v>
      </c>
      <c r="D9533" s="15">
        <v>14.01</v>
      </c>
      <c r="E9533" s="14" t="s">
        <v>30</v>
      </c>
    </row>
    <row r="9534" spans="1:5" x14ac:dyDescent="0.25">
      <c r="A9534" s="14">
        <v>456833005</v>
      </c>
      <c r="B9534" s="14" t="s">
        <v>9641</v>
      </c>
      <c r="C9534" s="14" t="s">
        <v>13029</v>
      </c>
      <c r="D9534" s="15">
        <v>14.01</v>
      </c>
      <c r="E9534" s="14" t="s">
        <v>30</v>
      </c>
    </row>
    <row r="9535" spans="1:5" x14ac:dyDescent="0.25">
      <c r="A9535" s="14">
        <v>456834004</v>
      </c>
      <c r="B9535" s="14" t="s">
        <v>9642</v>
      </c>
      <c r="C9535" s="14" t="s">
        <v>13029</v>
      </c>
      <c r="D9535" s="15">
        <v>14.01</v>
      </c>
      <c r="E9535" s="14" t="s">
        <v>30</v>
      </c>
    </row>
    <row r="9536" spans="1:5" x14ac:dyDescent="0.25">
      <c r="A9536" s="14">
        <v>456887003</v>
      </c>
      <c r="B9536" s="14" t="s">
        <v>9643</v>
      </c>
      <c r="C9536" s="14" t="s">
        <v>13031</v>
      </c>
      <c r="D9536" s="15">
        <v>9.01</v>
      </c>
      <c r="E9536" s="16" t="s">
        <v>30</v>
      </c>
    </row>
    <row r="9537" spans="1:5" x14ac:dyDescent="0.25">
      <c r="A9537" s="14">
        <v>457824001</v>
      </c>
      <c r="B9537" s="14" t="s">
        <v>9644</v>
      </c>
      <c r="C9537" s="14" t="s">
        <v>13029</v>
      </c>
      <c r="D9537" s="15">
        <v>11</v>
      </c>
      <c r="E9537" s="16" t="s">
        <v>30</v>
      </c>
    </row>
    <row r="9538" spans="1:5" x14ac:dyDescent="0.25">
      <c r="A9538" s="14">
        <v>457824003</v>
      </c>
      <c r="B9538" s="14" t="s">
        <v>9645</v>
      </c>
      <c r="C9538" s="14" t="s">
        <v>13029</v>
      </c>
      <c r="D9538" s="15">
        <v>12.31</v>
      </c>
      <c r="E9538" s="16" t="s">
        <v>30</v>
      </c>
    </row>
    <row r="9539" spans="1:5" x14ac:dyDescent="0.25">
      <c r="A9539" s="14">
        <v>457826001</v>
      </c>
      <c r="B9539" s="14" t="s">
        <v>9646</v>
      </c>
      <c r="C9539" s="14" t="s">
        <v>13029</v>
      </c>
      <c r="D9539" s="15">
        <v>13.6</v>
      </c>
      <c r="E9539" s="16" t="s">
        <v>30</v>
      </c>
    </row>
    <row r="9540" spans="1:5" x14ac:dyDescent="0.25">
      <c r="A9540" s="14">
        <v>457826002</v>
      </c>
      <c r="B9540" s="14" t="s">
        <v>9647</v>
      </c>
      <c r="C9540" s="14" t="s">
        <v>13029</v>
      </c>
      <c r="D9540" s="15">
        <v>9.44</v>
      </c>
      <c r="E9540" s="16" t="s">
        <v>30</v>
      </c>
    </row>
    <row r="9541" spans="1:5" x14ac:dyDescent="0.25">
      <c r="A9541" s="14">
        <v>457826003</v>
      </c>
      <c r="B9541" s="14" t="s">
        <v>9648</v>
      </c>
      <c r="C9541" s="14" t="s">
        <v>13029</v>
      </c>
      <c r="D9541" s="15">
        <v>13.6</v>
      </c>
      <c r="E9541" s="16" t="s">
        <v>30</v>
      </c>
    </row>
    <row r="9542" spans="1:5" x14ac:dyDescent="0.25">
      <c r="A9542" s="14">
        <v>460773001</v>
      </c>
      <c r="B9542" s="14" t="s">
        <v>9649</v>
      </c>
      <c r="C9542" s="14" t="s">
        <v>13031</v>
      </c>
      <c r="D9542" s="15">
        <v>11.9</v>
      </c>
      <c r="E9542" s="16" t="s">
        <v>30</v>
      </c>
    </row>
    <row r="9543" spans="1:5" x14ac:dyDescent="0.25">
      <c r="A9543" s="14">
        <v>460773002</v>
      </c>
      <c r="B9543" s="14" t="s">
        <v>9650</v>
      </c>
      <c r="C9543" s="14" t="s">
        <v>13031</v>
      </c>
      <c r="D9543" s="15">
        <v>11.9</v>
      </c>
      <c r="E9543" s="16" t="s">
        <v>30</v>
      </c>
    </row>
    <row r="9544" spans="1:5" x14ac:dyDescent="0.25">
      <c r="A9544" s="14">
        <v>460773003</v>
      </c>
      <c r="B9544" s="14" t="s">
        <v>9651</v>
      </c>
      <c r="C9544" s="14" t="s">
        <v>13031</v>
      </c>
      <c r="D9544" s="15">
        <v>11.9</v>
      </c>
      <c r="E9544" s="16" t="s">
        <v>30</v>
      </c>
    </row>
    <row r="9545" spans="1:5" x14ac:dyDescent="0.25">
      <c r="A9545" s="14">
        <v>462128001</v>
      </c>
      <c r="B9545" s="14" t="s">
        <v>9652</v>
      </c>
      <c r="C9545" s="14" t="s">
        <v>13029</v>
      </c>
      <c r="D9545" s="15">
        <v>42.01</v>
      </c>
      <c r="E9545" s="16" t="s">
        <v>30</v>
      </c>
    </row>
    <row r="9546" spans="1:5" x14ac:dyDescent="0.25">
      <c r="A9546" s="14">
        <v>462128002</v>
      </c>
      <c r="B9546" s="14" t="s">
        <v>9653</v>
      </c>
      <c r="C9546" s="14" t="s">
        <v>13029</v>
      </c>
      <c r="D9546" s="15">
        <v>42.01</v>
      </c>
      <c r="E9546" s="16" t="s">
        <v>30</v>
      </c>
    </row>
    <row r="9547" spans="1:5" x14ac:dyDescent="0.25">
      <c r="A9547" s="14">
        <v>143871002</v>
      </c>
      <c r="B9547" s="14" t="s">
        <v>9654</v>
      </c>
      <c r="C9547" s="14" t="s">
        <v>13031</v>
      </c>
      <c r="D9547" s="15">
        <v>8.23</v>
      </c>
      <c r="E9547" s="16" t="s">
        <v>20</v>
      </c>
    </row>
    <row r="9548" spans="1:5" x14ac:dyDescent="0.25">
      <c r="A9548" s="14">
        <v>253883002</v>
      </c>
      <c r="B9548" s="14" t="s">
        <v>9655</v>
      </c>
      <c r="C9548" s="14" t="s">
        <v>13030</v>
      </c>
      <c r="D9548" s="15">
        <v>129.15</v>
      </c>
      <c r="E9548" s="16" t="s">
        <v>20</v>
      </c>
    </row>
    <row r="9549" spans="1:5" x14ac:dyDescent="0.25">
      <c r="A9549" s="14">
        <v>462128003</v>
      </c>
      <c r="B9549" s="14" t="s">
        <v>9656</v>
      </c>
      <c r="C9549" s="14" t="s">
        <v>13029</v>
      </c>
      <c r="D9549" s="15">
        <v>42.01</v>
      </c>
      <c r="E9549" s="16" t="s">
        <v>30</v>
      </c>
    </row>
    <row r="9550" spans="1:5" x14ac:dyDescent="0.25">
      <c r="A9550" s="14">
        <v>462967001</v>
      </c>
      <c r="B9550" s="14" t="s">
        <v>9657</v>
      </c>
      <c r="C9550" s="14" t="s">
        <v>13029</v>
      </c>
      <c r="D9550" s="15">
        <v>11.8</v>
      </c>
      <c r="E9550" s="14" t="s">
        <v>30</v>
      </c>
    </row>
    <row r="9551" spans="1:5" x14ac:dyDescent="0.25">
      <c r="A9551" s="14">
        <v>462971002</v>
      </c>
      <c r="B9551" s="14" t="s">
        <v>9658</v>
      </c>
      <c r="C9551" s="14" t="s">
        <v>13029</v>
      </c>
      <c r="D9551" s="15">
        <v>13.37</v>
      </c>
      <c r="E9551" s="14" t="s">
        <v>30</v>
      </c>
    </row>
    <row r="9552" spans="1:5" x14ac:dyDescent="0.25">
      <c r="A9552" s="14">
        <v>464260001</v>
      </c>
      <c r="B9552" s="14" t="s">
        <v>9659</v>
      </c>
      <c r="C9552" s="14" t="s">
        <v>13030</v>
      </c>
      <c r="D9552" s="15">
        <v>58.99</v>
      </c>
      <c r="E9552" s="16" t="s">
        <v>30</v>
      </c>
    </row>
    <row r="9553" spans="1:5" x14ac:dyDescent="0.25">
      <c r="A9553" s="14">
        <v>464260004</v>
      </c>
      <c r="B9553" s="14" t="s">
        <v>9660</v>
      </c>
      <c r="C9553" s="14" t="s">
        <v>13030</v>
      </c>
      <c r="D9553" s="15">
        <v>59.06</v>
      </c>
      <c r="E9553" s="16" t="s">
        <v>30</v>
      </c>
    </row>
    <row r="9554" spans="1:5" x14ac:dyDescent="0.25">
      <c r="A9554" s="14">
        <v>465228002</v>
      </c>
      <c r="B9554" s="14" t="s">
        <v>9661</v>
      </c>
      <c r="C9554" s="14" t="s">
        <v>13029</v>
      </c>
      <c r="D9554" s="15">
        <v>16.87</v>
      </c>
      <c r="E9554" s="14" t="s">
        <v>30</v>
      </c>
    </row>
    <row r="9555" spans="1:5" x14ac:dyDescent="0.25">
      <c r="A9555" s="14">
        <v>465881001</v>
      </c>
      <c r="B9555" s="14" t="s">
        <v>9662</v>
      </c>
      <c r="C9555" s="14" t="s">
        <v>13031</v>
      </c>
      <c r="D9555" s="15">
        <v>10.49</v>
      </c>
      <c r="E9555" s="16" t="s">
        <v>30</v>
      </c>
    </row>
    <row r="9556" spans="1:5" x14ac:dyDescent="0.25">
      <c r="A9556" s="14">
        <v>472717001</v>
      </c>
      <c r="B9556" s="14" t="s">
        <v>9663</v>
      </c>
      <c r="C9556" s="14" t="s">
        <v>13031</v>
      </c>
      <c r="D9556" s="15">
        <v>23.04</v>
      </c>
      <c r="E9556" s="16" t="s">
        <v>30</v>
      </c>
    </row>
    <row r="9557" spans="1:5" x14ac:dyDescent="0.25">
      <c r="A9557" s="14">
        <v>472717002</v>
      </c>
      <c r="B9557" s="14" t="s">
        <v>9664</v>
      </c>
      <c r="C9557" s="14" t="s">
        <v>13031</v>
      </c>
      <c r="D9557" s="15">
        <v>23.04</v>
      </c>
      <c r="E9557" s="16" t="s">
        <v>30</v>
      </c>
    </row>
    <row r="9558" spans="1:5" x14ac:dyDescent="0.25">
      <c r="A9558" s="14">
        <v>472717005</v>
      </c>
      <c r="B9558" s="14" t="s">
        <v>9665</v>
      </c>
      <c r="C9558" s="14" t="s">
        <v>13031</v>
      </c>
      <c r="D9558" s="15">
        <v>23.03</v>
      </c>
      <c r="E9558" s="16" t="s">
        <v>30</v>
      </c>
    </row>
    <row r="9559" spans="1:5" x14ac:dyDescent="0.25">
      <c r="A9559" s="14">
        <v>473797001</v>
      </c>
      <c r="B9559" s="14" t="s">
        <v>9666</v>
      </c>
      <c r="C9559" s="14" t="s">
        <v>13029</v>
      </c>
      <c r="D9559" s="15">
        <v>2.04</v>
      </c>
      <c r="E9559" s="16" t="s">
        <v>30</v>
      </c>
    </row>
    <row r="9560" spans="1:5" x14ac:dyDescent="0.25">
      <c r="A9560" s="14">
        <v>473797002</v>
      </c>
      <c r="B9560" s="14" t="s">
        <v>9667</v>
      </c>
      <c r="C9560" s="14" t="s">
        <v>13029</v>
      </c>
      <c r="D9560" s="15">
        <v>2.04</v>
      </c>
      <c r="E9560" s="16" t="s">
        <v>30</v>
      </c>
    </row>
    <row r="9561" spans="1:5" x14ac:dyDescent="0.25">
      <c r="A9561" s="14">
        <v>474734001</v>
      </c>
      <c r="B9561" s="14" t="s">
        <v>9668</v>
      </c>
      <c r="C9561" s="14" t="s">
        <v>13029</v>
      </c>
      <c r="D9561" s="15">
        <v>3.83</v>
      </c>
      <c r="E9561" s="16" t="s">
        <v>30</v>
      </c>
    </row>
    <row r="9562" spans="1:5" x14ac:dyDescent="0.25">
      <c r="A9562" s="14">
        <v>475159001</v>
      </c>
      <c r="B9562" s="14" t="s">
        <v>9669</v>
      </c>
      <c r="C9562" s="14" t="s">
        <v>13031</v>
      </c>
      <c r="D9562" s="15">
        <v>3.77</v>
      </c>
      <c r="E9562" s="16" t="s">
        <v>30</v>
      </c>
    </row>
    <row r="9563" spans="1:5" x14ac:dyDescent="0.25">
      <c r="A9563" s="14">
        <v>475159002</v>
      </c>
      <c r="B9563" s="14" t="s">
        <v>9670</v>
      </c>
      <c r="C9563" s="14" t="s">
        <v>13031</v>
      </c>
      <c r="D9563" s="15">
        <v>3.77</v>
      </c>
      <c r="E9563" s="16" t="s">
        <v>30</v>
      </c>
    </row>
    <row r="9564" spans="1:5" x14ac:dyDescent="0.25">
      <c r="A9564" s="14">
        <v>475160001</v>
      </c>
      <c r="B9564" s="14" t="s">
        <v>9671</v>
      </c>
      <c r="C9564" s="14" t="s">
        <v>13031</v>
      </c>
      <c r="D9564" s="15">
        <v>10.9</v>
      </c>
      <c r="E9564" s="16" t="s">
        <v>30</v>
      </c>
    </row>
    <row r="9565" spans="1:5" x14ac:dyDescent="0.25">
      <c r="A9565" s="14">
        <v>476541001</v>
      </c>
      <c r="B9565" s="14" t="s">
        <v>9672</v>
      </c>
      <c r="C9565" s="14" t="s">
        <v>13030</v>
      </c>
      <c r="D9565" s="15">
        <v>25.95</v>
      </c>
      <c r="E9565" s="16" t="s">
        <v>30</v>
      </c>
    </row>
    <row r="9566" spans="1:5" x14ac:dyDescent="0.25">
      <c r="A9566" s="14">
        <v>476542001</v>
      </c>
      <c r="B9566" s="14" t="s">
        <v>9673</v>
      </c>
      <c r="C9566" s="14" t="s">
        <v>13030</v>
      </c>
      <c r="D9566" s="15">
        <v>25.95</v>
      </c>
      <c r="E9566" s="16" t="s">
        <v>30</v>
      </c>
    </row>
    <row r="9567" spans="1:5" x14ac:dyDescent="0.25">
      <c r="A9567" s="14">
        <v>476577001</v>
      </c>
      <c r="B9567" s="14" t="s">
        <v>9674</v>
      </c>
      <c r="C9567" s="14" t="s">
        <v>13031</v>
      </c>
      <c r="D9567" s="15">
        <v>8.48</v>
      </c>
      <c r="E9567" s="16" t="s">
        <v>30</v>
      </c>
    </row>
    <row r="9568" spans="1:5" x14ac:dyDescent="0.25">
      <c r="A9568" s="14">
        <v>476958001</v>
      </c>
      <c r="B9568" s="14" t="s">
        <v>9675</v>
      </c>
      <c r="C9568" s="14" t="s">
        <v>13029</v>
      </c>
      <c r="D9568" s="15">
        <v>11.81</v>
      </c>
      <c r="E9568" s="16" t="s">
        <v>30</v>
      </c>
    </row>
    <row r="9569" spans="1:5" x14ac:dyDescent="0.25">
      <c r="A9569" s="14">
        <v>476960001</v>
      </c>
      <c r="B9569" s="14" t="s">
        <v>9676</v>
      </c>
      <c r="C9569" s="14" t="s">
        <v>13029</v>
      </c>
      <c r="D9569" s="15">
        <v>20.11</v>
      </c>
      <c r="E9569" s="16" t="s">
        <v>30</v>
      </c>
    </row>
    <row r="9570" spans="1:5" x14ac:dyDescent="0.25">
      <c r="A9570" s="14">
        <v>476961001</v>
      </c>
      <c r="B9570" s="14" t="s">
        <v>9677</v>
      </c>
      <c r="C9570" s="14" t="s">
        <v>13029</v>
      </c>
      <c r="D9570" s="15">
        <v>8.84</v>
      </c>
      <c r="E9570" s="16" t="s">
        <v>30</v>
      </c>
    </row>
    <row r="9571" spans="1:5" x14ac:dyDescent="0.25">
      <c r="A9571" s="14">
        <v>344035003</v>
      </c>
      <c r="B9571" s="14" t="s">
        <v>9678</v>
      </c>
      <c r="C9571" s="14" t="s">
        <v>13031</v>
      </c>
      <c r="D9571" s="15">
        <v>5.82</v>
      </c>
      <c r="E9571" s="16" t="s">
        <v>20</v>
      </c>
    </row>
    <row r="9572" spans="1:5" x14ac:dyDescent="0.25">
      <c r="A9572" s="14">
        <v>477002001</v>
      </c>
      <c r="B9572" s="14" t="s">
        <v>9679</v>
      </c>
      <c r="C9572" s="14" t="s">
        <v>13029</v>
      </c>
      <c r="D9572" s="15">
        <v>15.36</v>
      </c>
      <c r="E9572" s="16" t="s">
        <v>30</v>
      </c>
    </row>
    <row r="9573" spans="1:5" x14ac:dyDescent="0.25">
      <c r="A9573" s="14">
        <v>477003001</v>
      </c>
      <c r="B9573" s="14" t="s">
        <v>9680</v>
      </c>
      <c r="C9573" s="14" t="s">
        <v>13029</v>
      </c>
      <c r="D9573" s="15">
        <v>15.36</v>
      </c>
      <c r="E9573" s="16" t="s">
        <v>30</v>
      </c>
    </row>
    <row r="9574" spans="1:5" x14ac:dyDescent="0.25">
      <c r="A9574" s="14">
        <v>477058001</v>
      </c>
      <c r="B9574" s="14" t="s">
        <v>9681</v>
      </c>
      <c r="C9574" s="14" t="s">
        <v>13031</v>
      </c>
      <c r="D9574" s="15">
        <v>18.46</v>
      </c>
      <c r="E9574" s="16" t="s">
        <v>30</v>
      </c>
    </row>
    <row r="9575" spans="1:5" x14ac:dyDescent="0.25">
      <c r="A9575" s="14">
        <v>353462001</v>
      </c>
      <c r="B9575" s="14" t="s">
        <v>9682</v>
      </c>
      <c r="C9575" s="14" t="s">
        <v>13031</v>
      </c>
      <c r="D9575" s="15">
        <v>2.11</v>
      </c>
      <c r="E9575" s="16" t="s">
        <v>20</v>
      </c>
    </row>
    <row r="9576" spans="1:5" x14ac:dyDescent="0.25">
      <c r="A9576" s="14">
        <v>353462002</v>
      </c>
      <c r="B9576" s="14" t="s">
        <v>9683</v>
      </c>
      <c r="C9576" s="14" t="s">
        <v>13031</v>
      </c>
      <c r="D9576" s="15">
        <v>2.11</v>
      </c>
      <c r="E9576" s="16" t="s">
        <v>20</v>
      </c>
    </row>
    <row r="9577" spans="1:5" x14ac:dyDescent="0.25">
      <c r="A9577" s="14">
        <v>396035001</v>
      </c>
      <c r="B9577" s="14" t="s">
        <v>9684</v>
      </c>
      <c r="C9577" s="14" t="s">
        <v>13031</v>
      </c>
      <c r="D9577" s="15">
        <v>2.76</v>
      </c>
      <c r="E9577" s="16" t="s">
        <v>20</v>
      </c>
    </row>
    <row r="9578" spans="1:5" x14ac:dyDescent="0.25">
      <c r="A9578" s="14">
        <v>396035002</v>
      </c>
      <c r="B9578" s="14" t="s">
        <v>9685</v>
      </c>
      <c r="C9578" s="14" t="s">
        <v>13031</v>
      </c>
      <c r="D9578" s="15">
        <v>2.76</v>
      </c>
      <c r="E9578" s="16" t="s">
        <v>20</v>
      </c>
    </row>
    <row r="9579" spans="1:5" x14ac:dyDescent="0.25">
      <c r="A9579" s="14">
        <v>396035003</v>
      </c>
      <c r="B9579" s="14" t="s">
        <v>9686</v>
      </c>
      <c r="C9579" s="14" t="s">
        <v>13031</v>
      </c>
      <c r="D9579" s="15">
        <v>2.76</v>
      </c>
      <c r="E9579" s="16" t="s">
        <v>20</v>
      </c>
    </row>
    <row r="9580" spans="1:5" x14ac:dyDescent="0.25">
      <c r="A9580" s="14">
        <v>477416001</v>
      </c>
      <c r="B9580" s="14" t="s">
        <v>9687</v>
      </c>
      <c r="C9580" s="14" t="s">
        <v>13031</v>
      </c>
      <c r="D9580" s="15">
        <v>12.2</v>
      </c>
      <c r="E9580" s="16" t="s">
        <v>30</v>
      </c>
    </row>
    <row r="9581" spans="1:5" x14ac:dyDescent="0.25">
      <c r="A9581" s="14">
        <v>477416003</v>
      </c>
      <c r="B9581" s="14" t="s">
        <v>9688</v>
      </c>
      <c r="C9581" s="14" t="s">
        <v>13031</v>
      </c>
      <c r="D9581" s="15">
        <v>12.2</v>
      </c>
      <c r="E9581" s="16" t="s">
        <v>30</v>
      </c>
    </row>
    <row r="9582" spans="1:5" x14ac:dyDescent="0.25">
      <c r="A9582" s="14">
        <v>477416004</v>
      </c>
      <c r="B9582" s="14" t="s">
        <v>9689</v>
      </c>
      <c r="C9582" s="14" t="s">
        <v>13031</v>
      </c>
      <c r="D9582" s="15">
        <v>12.2</v>
      </c>
      <c r="E9582" s="16" t="s">
        <v>30</v>
      </c>
    </row>
    <row r="9583" spans="1:5" x14ac:dyDescent="0.25">
      <c r="A9583" s="14">
        <v>477505001</v>
      </c>
      <c r="B9583" s="14" t="s">
        <v>9690</v>
      </c>
      <c r="C9583" s="14" t="s">
        <v>13030</v>
      </c>
      <c r="D9583" s="15">
        <v>148.25</v>
      </c>
      <c r="E9583" s="16" t="s">
        <v>30</v>
      </c>
    </row>
    <row r="9584" spans="1:5" x14ac:dyDescent="0.25">
      <c r="A9584" s="14">
        <v>477507001</v>
      </c>
      <c r="B9584" s="14" t="s">
        <v>9691</v>
      </c>
      <c r="C9584" s="14" t="s">
        <v>13030</v>
      </c>
      <c r="D9584" s="15">
        <v>136.6</v>
      </c>
      <c r="E9584" s="16" t="s">
        <v>30</v>
      </c>
    </row>
    <row r="9585" spans="1:5" x14ac:dyDescent="0.25">
      <c r="A9585" s="14">
        <v>477507003</v>
      </c>
      <c r="B9585" s="14" t="s">
        <v>9692</v>
      </c>
      <c r="C9585" s="14" t="s">
        <v>13030</v>
      </c>
      <c r="D9585" s="15">
        <v>148.25</v>
      </c>
      <c r="E9585" s="16" t="s">
        <v>30</v>
      </c>
    </row>
    <row r="9586" spans="1:5" x14ac:dyDescent="0.25">
      <c r="A9586" s="14">
        <v>477507005</v>
      </c>
      <c r="B9586" s="14" t="s">
        <v>9693</v>
      </c>
      <c r="C9586" s="14" t="s">
        <v>13030</v>
      </c>
      <c r="D9586" s="15">
        <v>90</v>
      </c>
      <c r="E9586" s="16" t="s">
        <v>30</v>
      </c>
    </row>
    <row r="9587" spans="1:5" x14ac:dyDescent="0.25">
      <c r="A9587" s="14">
        <v>477754001</v>
      </c>
      <c r="B9587" s="14" t="s">
        <v>9694</v>
      </c>
      <c r="C9587" s="14" t="s">
        <v>13029</v>
      </c>
      <c r="D9587" s="15">
        <v>43.74</v>
      </c>
      <c r="E9587" s="16" t="s">
        <v>30</v>
      </c>
    </row>
    <row r="9588" spans="1:5" x14ac:dyDescent="0.25">
      <c r="A9588" s="14">
        <v>477796001</v>
      </c>
      <c r="B9588" s="14" t="s">
        <v>9695</v>
      </c>
      <c r="C9588" s="14" t="s">
        <v>13035</v>
      </c>
      <c r="D9588" s="15">
        <v>10.25</v>
      </c>
      <c r="E9588" s="16" t="s">
        <v>30</v>
      </c>
    </row>
    <row r="9589" spans="1:5" x14ac:dyDescent="0.25">
      <c r="A9589" s="14">
        <v>477932001</v>
      </c>
      <c r="B9589" s="14" t="s">
        <v>9696</v>
      </c>
      <c r="C9589" s="14" t="s">
        <v>13030</v>
      </c>
      <c r="D9589" s="15">
        <v>30.17</v>
      </c>
      <c r="E9589" s="16" t="s">
        <v>30</v>
      </c>
    </row>
    <row r="9590" spans="1:5" x14ac:dyDescent="0.25">
      <c r="A9590" s="14">
        <v>477980001</v>
      </c>
      <c r="B9590" s="14" t="s">
        <v>9697</v>
      </c>
      <c r="C9590" s="14" t="s">
        <v>13030</v>
      </c>
      <c r="D9590" s="15">
        <v>150.07</v>
      </c>
      <c r="E9590" s="16" t="s">
        <v>30</v>
      </c>
    </row>
    <row r="9591" spans="1:5" x14ac:dyDescent="0.25">
      <c r="A9591" s="14">
        <v>477980002</v>
      </c>
      <c r="B9591" s="14" t="s">
        <v>9698</v>
      </c>
      <c r="C9591" s="14" t="s">
        <v>13030</v>
      </c>
      <c r="D9591" s="15">
        <v>150.07</v>
      </c>
      <c r="E9591" s="16" t="s">
        <v>30</v>
      </c>
    </row>
    <row r="9592" spans="1:5" x14ac:dyDescent="0.25">
      <c r="A9592" s="14">
        <v>477992002</v>
      </c>
      <c r="B9592" s="14" t="s">
        <v>9699</v>
      </c>
      <c r="C9592" s="14" t="s">
        <v>13031</v>
      </c>
      <c r="D9592" s="15">
        <v>13.6</v>
      </c>
      <c r="E9592" s="16" t="s">
        <v>30</v>
      </c>
    </row>
    <row r="9593" spans="1:5" x14ac:dyDescent="0.25">
      <c r="A9593" s="14">
        <v>478016001</v>
      </c>
      <c r="B9593" s="14" t="s">
        <v>9700</v>
      </c>
      <c r="C9593" s="14" t="s">
        <v>13030</v>
      </c>
      <c r="D9593" s="15">
        <v>47.93</v>
      </c>
      <c r="E9593" s="16" t="s">
        <v>30</v>
      </c>
    </row>
    <row r="9594" spans="1:5" x14ac:dyDescent="0.25">
      <c r="A9594" s="14">
        <v>478016002</v>
      </c>
      <c r="B9594" s="14" t="s">
        <v>9701</v>
      </c>
      <c r="C9594" s="14" t="s">
        <v>13030</v>
      </c>
      <c r="D9594" s="15">
        <v>47.93</v>
      </c>
      <c r="E9594" s="16" t="s">
        <v>30</v>
      </c>
    </row>
    <row r="9595" spans="1:5" x14ac:dyDescent="0.25">
      <c r="A9595" s="14">
        <v>478016005</v>
      </c>
      <c r="B9595" s="14" t="s">
        <v>9702</v>
      </c>
      <c r="C9595" s="14" t="s">
        <v>13030</v>
      </c>
      <c r="D9595" s="15">
        <v>47.93</v>
      </c>
      <c r="E9595" s="16" t="s">
        <v>30</v>
      </c>
    </row>
    <row r="9596" spans="1:5" x14ac:dyDescent="0.25">
      <c r="A9596" s="14">
        <v>478016006</v>
      </c>
      <c r="B9596" s="14" t="s">
        <v>9703</v>
      </c>
      <c r="C9596" s="14" t="s">
        <v>13030</v>
      </c>
      <c r="D9596" s="15">
        <v>47.93</v>
      </c>
      <c r="E9596" s="16" t="s">
        <v>30</v>
      </c>
    </row>
    <row r="9597" spans="1:5" x14ac:dyDescent="0.25">
      <c r="A9597" s="14">
        <v>478081001</v>
      </c>
      <c r="B9597" s="14" t="s">
        <v>9704</v>
      </c>
      <c r="C9597" s="14" t="s">
        <v>13031</v>
      </c>
      <c r="D9597" s="15">
        <v>15.37</v>
      </c>
      <c r="E9597" s="16" t="s">
        <v>30</v>
      </c>
    </row>
    <row r="9598" spans="1:5" x14ac:dyDescent="0.25">
      <c r="A9598" s="14">
        <v>478301002</v>
      </c>
      <c r="B9598" s="14" t="s">
        <v>9705</v>
      </c>
      <c r="C9598" s="14" t="s">
        <v>13030</v>
      </c>
      <c r="D9598" s="15">
        <v>3.9</v>
      </c>
      <c r="E9598" s="16" t="s">
        <v>30</v>
      </c>
    </row>
    <row r="9599" spans="1:5" x14ac:dyDescent="0.25">
      <c r="A9599" s="14">
        <v>478301003</v>
      </c>
      <c r="B9599" s="14" t="s">
        <v>9706</v>
      </c>
      <c r="C9599" s="14" t="s">
        <v>13030</v>
      </c>
      <c r="D9599" s="15">
        <v>3.9</v>
      </c>
      <c r="E9599" s="16" t="s">
        <v>30</v>
      </c>
    </row>
    <row r="9600" spans="1:5" x14ac:dyDescent="0.25">
      <c r="A9600" s="14">
        <v>479428001</v>
      </c>
      <c r="B9600" s="14" t="s">
        <v>9707</v>
      </c>
      <c r="C9600" s="14" t="s">
        <v>13031</v>
      </c>
      <c r="D9600" s="15">
        <v>11.47</v>
      </c>
      <c r="E9600" s="16" t="s">
        <v>30</v>
      </c>
    </row>
    <row r="9601" spans="1:5" x14ac:dyDescent="0.25">
      <c r="A9601" s="14">
        <v>479428003</v>
      </c>
      <c r="B9601" s="14" t="s">
        <v>9708</v>
      </c>
      <c r="C9601" s="14" t="s">
        <v>13031</v>
      </c>
      <c r="D9601" s="15">
        <v>10.39</v>
      </c>
      <c r="E9601" s="16" t="s">
        <v>30</v>
      </c>
    </row>
    <row r="9602" spans="1:5" x14ac:dyDescent="0.25">
      <c r="A9602" s="14">
        <v>479428004</v>
      </c>
      <c r="B9602" s="14" t="s">
        <v>9709</v>
      </c>
      <c r="C9602" s="14" t="s">
        <v>13031</v>
      </c>
      <c r="D9602" s="15">
        <v>10.39</v>
      </c>
      <c r="E9602" s="16" t="s">
        <v>30</v>
      </c>
    </row>
    <row r="9603" spans="1:5" x14ac:dyDescent="0.25">
      <c r="A9603" s="14">
        <v>479512001</v>
      </c>
      <c r="B9603" s="14" t="s">
        <v>9710</v>
      </c>
      <c r="C9603" s="14" t="s">
        <v>13030</v>
      </c>
      <c r="D9603" s="15">
        <v>24.66</v>
      </c>
      <c r="E9603" s="16" t="s">
        <v>30</v>
      </c>
    </row>
    <row r="9604" spans="1:5" x14ac:dyDescent="0.25">
      <c r="A9604" s="14">
        <v>479513002</v>
      </c>
      <c r="B9604" s="14" t="s">
        <v>9711</v>
      </c>
      <c r="C9604" s="14" t="s">
        <v>13030</v>
      </c>
      <c r="D9604" s="15">
        <v>28.49</v>
      </c>
      <c r="E9604" s="16" t="s">
        <v>30</v>
      </c>
    </row>
    <row r="9605" spans="1:5" x14ac:dyDescent="0.25">
      <c r="A9605" s="14">
        <v>396035004</v>
      </c>
      <c r="B9605" s="14" t="s">
        <v>115</v>
      </c>
      <c r="C9605" s="14" t="s">
        <v>13031</v>
      </c>
      <c r="D9605" s="15">
        <v>2.76</v>
      </c>
      <c r="E9605" s="16" t="s">
        <v>20</v>
      </c>
    </row>
    <row r="9606" spans="1:5" x14ac:dyDescent="0.25">
      <c r="A9606" s="14">
        <v>396035005</v>
      </c>
      <c r="B9606" s="14" t="s">
        <v>9712</v>
      </c>
      <c r="C9606" s="14" t="s">
        <v>13031</v>
      </c>
      <c r="D9606" s="15">
        <v>2.76</v>
      </c>
      <c r="E9606" s="16" t="s">
        <v>20</v>
      </c>
    </row>
    <row r="9607" spans="1:5" x14ac:dyDescent="0.25">
      <c r="A9607" s="14">
        <v>479514001</v>
      </c>
      <c r="B9607" s="14" t="s">
        <v>9713</v>
      </c>
      <c r="C9607" s="14" t="s">
        <v>13030</v>
      </c>
      <c r="D9607" s="15">
        <v>28.49</v>
      </c>
      <c r="E9607" s="16" t="s">
        <v>30</v>
      </c>
    </row>
    <row r="9608" spans="1:5" x14ac:dyDescent="0.25">
      <c r="A9608" s="14">
        <v>479516001</v>
      </c>
      <c r="B9608" s="14" t="s">
        <v>9714</v>
      </c>
      <c r="C9608" s="14" t="s">
        <v>13030</v>
      </c>
      <c r="D9608" s="15">
        <v>43.9</v>
      </c>
      <c r="E9608" s="16" t="s">
        <v>30</v>
      </c>
    </row>
    <row r="9609" spans="1:5" x14ac:dyDescent="0.25">
      <c r="A9609" s="14">
        <v>479518002</v>
      </c>
      <c r="B9609" s="14" t="s">
        <v>9715</v>
      </c>
      <c r="C9609" s="14" t="s">
        <v>13030</v>
      </c>
      <c r="D9609" s="15">
        <v>73.94</v>
      </c>
      <c r="E9609" s="16" t="s">
        <v>30</v>
      </c>
    </row>
    <row r="9610" spans="1:5" x14ac:dyDescent="0.25">
      <c r="A9610" s="14">
        <v>480052001</v>
      </c>
      <c r="B9610" s="14" t="s">
        <v>9716</v>
      </c>
      <c r="C9610" s="14" t="s">
        <v>13030</v>
      </c>
      <c r="D9610" s="15">
        <v>49.92</v>
      </c>
      <c r="E9610" s="16" t="s">
        <v>30</v>
      </c>
    </row>
    <row r="9611" spans="1:5" x14ac:dyDescent="0.25">
      <c r="A9611" s="14">
        <v>480133001</v>
      </c>
      <c r="B9611" s="14" t="s">
        <v>9717</v>
      </c>
      <c r="C9611" s="14" t="s">
        <v>13029</v>
      </c>
      <c r="D9611" s="15">
        <v>14.01</v>
      </c>
      <c r="E9611" s="14" t="s">
        <v>30</v>
      </c>
    </row>
    <row r="9612" spans="1:5" x14ac:dyDescent="0.25">
      <c r="A9612" s="14">
        <v>480552001</v>
      </c>
      <c r="B9612" s="14" t="s">
        <v>9718</v>
      </c>
      <c r="C9612" s="14" t="s">
        <v>13030</v>
      </c>
      <c r="D9612" s="15">
        <v>26.63</v>
      </c>
      <c r="E9612" s="16" t="s">
        <v>30</v>
      </c>
    </row>
    <row r="9613" spans="1:5" x14ac:dyDescent="0.25">
      <c r="A9613" s="14">
        <v>480554001</v>
      </c>
      <c r="B9613" s="14" t="s">
        <v>9719</v>
      </c>
      <c r="C9613" s="14" t="s">
        <v>13030</v>
      </c>
      <c r="D9613" s="15">
        <v>26.63</v>
      </c>
      <c r="E9613" s="16" t="s">
        <v>30</v>
      </c>
    </row>
    <row r="9614" spans="1:5" x14ac:dyDescent="0.25">
      <c r="A9614" s="14">
        <v>480564001</v>
      </c>
      <c r="B9614" s="14" t="s">
        <v>9720</v>
      </c>
      <c r="C9614" s="14" t="s">
        <v>13030</v>
      </c>
      <c r="D9614" s="15">
        <v>22.85</v>
      </c>
      <c r="E9614" s="16" t="s">
        <v>30</v>
      </c>
    </row>
    <row r="9615" spans="1:5" x14ac:dyDescent="0.25">
      <c r="A9615" s="14">
        <v>396035006</v>
      </c>
      <c r="B9615" s="14" t="s">
        <v>9721</v>
      </c>
      <c r="C9615" s="14" t="s">
        <v>13031</v>
      </c>
      <c r="D9615" s="15">
        <v>2.76</v>
      </c>
      <c r="E9615" s="16" t="s">
        <v>20</v>
      </c>
    </row>
    <row r="9616" spans="1:5" x14ac:dyDescent="0.25">
      <c r="A9616" s="14">
        <v>480908002</v>
      </c>
      <c r="B9616" s="14" t="s">
        <v>9722</v>
      </c>
      <c r="C9616" s="14" t="s">
        <v>13031</v>
      </c>
      <c r="D9616" s="15">
        <v>7.63</v>
      </c>
      <c r="E9616" s="16" t="s">
        <v>30</v>
      </c>
    </row>
    <row r="9617" spans="1:5" x14ac:dyDescent="0.25">
      <c r="A9617" s="14">
        <v>480908003</v>
      </c>
      <c r="B9617" s="14" t="s">
        <v>9723</v>
      </c>
      <c r="C9617" s="14" t="s">
        <v>13031</v>
      </c>
      <c r="D9617" s="15">
        <v>6.78</v>
      </c>
      <c r="E9617" s="16" t="s">
        <v>30</v>
      </c>
    </row>
    <row r="9618" spans="1:5" x14ac:dyDescent="0.25">
      <c r="A9618" s="14">
        <v>480908004</v>
      </c>
      <c r="B9618" s="14" t="s">
        <v>9724</v>
      </c>
      <c r="C9618" s="14" t="s">
        <v>13031</v>
      </c>
      <c r="D9618" s="15">
        <v>6.78</v>
      </c>
      <c r="E9618" s="16" t="s">
        <v>30</v>
      </c>
    </row>
    <row r="9619" spans="1:5" x14ac:dyDescent="0.25">
      <c r="A9619" s="14">
        <v>480908006</v>
      </c>
      <c r="B9619" s="14" t="s">
        <v>9725</v>
      </c>
      <c r="C9619" s="14" t="s">
        <v>13031</v>
      </c>
      <c r="D9619" s="15">
        <v>7.63</v>
      </c>
      <c r="E9619" s="16" t="s">
        <v>30</v>
      </c>
    </row>
    <row r="9620" spans="1:5" x14ac:dyDescent="0.25">
      <c r="A9620" s="14">
        <v>481382001</v>
      </c>
      <c r="B9620" s="14" t="s">
        <v>9726</v>
      </c>
      <c r="C9620" s="14" t="s">
        <v>13029</v>
      </c>
      <c r="D9620" s="15">
        <v>7.58</v>
      </c>
      <c r="E9620" s="16" t="s">
        <v>30</v>
      </c>
    </row>
    <row r="9621" spans="1:5" x14ac:dyDescent="0.25">
      <c r="A9621" s="14">
        <v>481642001</v>
      </c>
      <c r="B9621" s="14" t="s">
        <v>9727</v>
      </c>
      <c r="C9621" s="14" t="s">
        <v>13030</v>
      </c>
      <c r="D9621" s="15">
        <v>29.51</v>
      </c>
      <c r="E9621" s="16" t="s">
        <v>30</v>
      </c>
    </row>
    <row r="9622" spans="1:5" x14ac:dyDescent="0.25">
      <c r="A9622" s="14">
        <v>482294002</v>
      </c>
      <c r="B9622" s="14" t="s">
        <v>9728</v>
      </c>
      <c r="C9622" s="14" t="s">
        <v>13031</v>
      </c>
      <c r="D9622" s="15">
        <v>7.46</v>
      </c>
      <c r="E9622" s="16" t="s">
        <v>30</v>
      </c>
    </row>
    <row r="9623" spans="1:5" x14ac:dyDescent="0.25">
      <c r="A9623" s="14">
        <v>482702001</v>
      </c>
      <c r="B9623" s="14" t="s">
        <v>9729</v>
      </c>
      <c r="C9623" s="14" t="s">
        <v>13030</v>
      </c>
      <c r="D9623" s="15">
        <v>76.42</v>
      </c>
      <c r="E9623" s="16" t="s">
        <v>30</v>
      </c>
    </row>
    <row r="9624" spans="1:5" x14ac:dyDescent="0.25">
      <c r="A9624" s="14">
        <v>482877004</v>
      </c>
      <c r="B9624" s="14" t="s">
        <v>9730</v>
      </c>
      <c r="C9624" s="14" t="s">
        <v>13029</v>
      </c>
      <c r="D9624" s="15">
        <v>4.8499999999999996</v>
      </c>
      <c r="E9624" s="16" t="s">
        <v>30</v>
      </c>
    </row>
    <row r="9625" spans="1:5" x14ac:dyDescent="0.25">
      <c r="A9625" s="14">
        <v>482878002</v>
      </c>
      <c r="B9625" s="14" t="s">
        <v>9731</v>
      </c>
      <c r="C9625" s="14" t="s">
        <v>13029</v>
      </c>
      <c r="D9625" s="15">
        <v>13.09</v>
      </c>
      <c r="E9625" s="16" t="s">
        <v>30</v>
      </c>
    </row>
    <row r="9626" spans="1:5" x14ac:dyDescent="0.25">
      <c r="A9626" s="14">
        <v>483481001</v>
      </c>
      <c r="B9626" s="14" t="s">
        <v>9732</v>
      </c>
      <c r="C9626" s="14" t="s">
        <v>13031</v>
      </c>
      <c r="D9626" s="15">
        <v>4.4000000000000004</v>
      </c>
      <c r="E9626" s="16" t="s">
        <v>30</v>
      </c>
    </row>
    <row r="9627" spans="1:5" x14ac:dyDescent="0.25">
      <c r="A9627" s="14">
        <v>483662001</v>
      </c>
      <c r="B9627" s="14" t="s">
        <v>9733</v>
      </c>
      <c r="C9627" s="14" t="s">
        <v>13030</v>
      </c>
      <c r="D9627" s="15">
        <v>56.36</v>
      </c>
      <c r="E9627" s="16" t="s">
        <v>30</v>
      </c>
    </row>
    <row r="9628" spans="1:5" x14ac:dyDescent="0.25">
      <c r="A9628" s="14">
        <v>483783002</v>
      </c>
      <c r="B9628" s="14" t="s">
        <v>9734</v>
      </c>
      <c r="C9628" s="14" t="s">
        <v>13029</v>
      </c>
      <c r="D9628" s="15">
        <v>34.11</v>
      </c>
      <c r="E9628" s="16" t="s">
        <v>30</v>
      </c>
    </row>
    <row r="9629" spans="1:5" x14ac:dyDescent="0.25">
      <c r="A9629" s="14">
        <v>483928001</v>
      </c>
      <c r="B9629" s="14" t="s">
        <v>9735</v>
      </c>
      <c r="C9629" s="14" t="s">
        <v>13030</v>
      </c>
      <c r="D9629" s="15">
        <v>478.14</v>
      </c>
      <c r="E9629" s="16" t="s">
        <v>30</v>
      </c>
    </row>
    <row r="9630" spans="1:5" x14ac:dyDescent="0.25">
      <c r="A9630" s="14">
        <v>484315001</v>
      </c>
      <c r="B9630" s="14" t="s">
        <v>9736</v>
      </c>
      <c r="C9630" s="14" t="s">
        <v>13029</v>
      </c>
      <c r="D9630" s="15">
        <v>19.77</v>
      </c>
      <c r="E9630" s="16" t="s">
        <v>30</v>
      </c>
    </row>
    <row r="9631" spans="1:5" x14ac:dyDescent="0.25">
      <c r="A9631" s="14">
        <v>484459001</v>
      </c>
      <c r="B9631" s="14" t="s">
        <v>9737</v>
      </c>
      <c r="C9631" s="14" t="s">
        <v>13031</v>
      </c>
      <c r="D9631" s="15">
        <v>17.18</v>
      </c>
      <c r="E9631" s="14" t="s">
        <v>30</v>
      </c>
    </row>
    <row r="9632" spans="1:5" x14ac:dyDescent="0.25">
      <c r="A9632" s="14">
        <v>396035007</v>
      </c>
      <c r="B9632" s="14" t="s">
        <v>116</v>
      </c>
      <c r="C9632" s="14" t="s">
        <v>13031</v>
      </c>
      <c r="D9632" s="15">
        <v>2.76</v>
      </c>
      <c r="E9632" s="16" t="s">
        <v>20</v>
      </c>
    </row>
    <row r="9633" spans="1:5" x14ac:dyDescent="0.25">
      <c r="A9633" s="14">
        <v>484460001</v>
      </c>
      <c r="B9633" s="14" t="s">
        <v>9738</v>
      </c>
      <c r="C9633" s="14" t="s">
        <v>13031</v>
      </c>
      <c r="D9633" s="15">
        <v>6.28</v>
      </c>
      <c r="E9633" s="14" t="s">
        <v>30</v>
      </c>
    </row>
    <row r="9634" spans="1:5" x14ac:dyDescent="0.25">
      <c r="A9634" s="14">
        <v>484736001</v>
      </c>
      <c r="B9634" s="14" t="s">
        <v>9739</v>
      </c>
      <c r="C9634" s="14" t="s">
        <v>13030</v>
      </c>
      <c r="D9634" s="15">
        <v>23.08</v>
      </c>
      <c r="E9634" s="16" t="s">
        <v>30</v>
      </c>
    </row>
    <row r="9635" spans="1:5" x14ac:dyDescent="0.25">
      <c r="A9635" s="14">
        <v>484871001</v>
      </c>
      <c r="B9635" s="14" t="s">
        <v>9740</v>
      </c>
      <c r="C9635" s="14" t="s">
        <v>13031</v>
      </c>
      <c r="D9635" s="15">
        <v>23.13</v>
      </c>
      <c r="E9635" s="14" t="s">
        <v>30</v>
      </c>
    </row>
    <row r="9636" spans="1:5" x14ac:dyDescent="0.25">
      <c r="A9636" s="14">
        <v>484894001</v>
      </c>
      <c r="B9636" s="14" t="s">
        <v>9741</v>
      </c>
      <c r="C9636" s="14" t="s">
        <v>13029</v>
      </c>
      <c r="D9636" s="15">
        <v>5.91</v>
      </c>
      <c r="E9636" s="16" t="s">
        <v>30</v>
      </c>
    </row>
    <row r="9637" spans="1:5" x14ac:dyDescent="0.25">
      <c r="A9637" s="14">
        <v>485158001</v>
      </c>
      <c r="B9637" s="14" t="s">
        <v>9742</v>
      </c>
      <c r="C9637" s="14" t="s">
        <v>13029</v>
      </c>
      <c r="D9637" s="15">
        <v>28</v>
      </c>
      <c r="E9637" s="16" t="s">
        <v>30</v>
      </c>
    </row>
    <row r="9638" spans="1:5" x14ac:dyDescent="0.25">
      <c r="A9638" s="14">
        <v>485160001</v>
      </c>
      <c r="B9638" s="14" t="s">
        <v>9743</v>
      </c>
      <c r="C9638" s="14" t="s">
        <v>13029</v>
      </c>
      <c r="D9638" s="15">
        <v>30</v>
      </c>
      <c r="E9638" s="16" t="s">
        <v>30</v>
      </c>
    </row>
    <row r="9639" spans="1:5" x14ac:dyDescent="0.25">
      <c r="A9639" s="14">
        <v>487239002</v>
      </c>
      <c r="B9639" s="14" t="s">
        <v>9744</v>
      </c>
      <c r="C9639" s="14" t="s">
        <v>13031</v>
      </c>
      <c r="D9639" s="15">
        <v>5.73</v>
      </c>
      <c r="E9639" s="16" t="s">
        <v>30</v>
      </c>
    </row>
    <row r="9640" spans="1:5" x14ac:dyDescent="0.25">
      <c r="A9640" s="14">
        <v>487239003</v>
      </c>
      <c r="B9640" s="14" t="s">
        <v>9745</v>
      </c>
      <c r="C9640" s="14" t="s">
        <v>13031</v>
      </c>
      <c r="D9640" s="15">
        <v>5.73</v>
      </c>
      <c r="E9640" s="16" t="s">
        <v>30</v>
      </c>
    </row>
    <row r="9641" spans="1:5" x14ac:dyDescent="0.25">
      <c r="A9641" s="14">
        <v>487582003</v>
      </c>
      <c r="B9641" s="14" t="s">
        <v>9746</v>
      </c>
      <c r="C9641" s="14" t="s">
        <v>13029</v>
      </c>
      <c r="D9641" s="15">
        <v>8.39</v>
      </c>
      <c r="E9641" s="16" t="s">
        <v>30</v>
      </c>
    </row>
    <row r="9642" spans="1:5" x14ac:dyDescent="0.25">
      <c r="A9642" s="14">
        <v>488676001</v>
      </c>
      <c r="B9642" s="14" t="s">
        <v>9747</v>
      </c>
      <c r="C9642" s="14" t="s">
        <v>13030</v>
      </c>
      <c r="D9642" s="15">
        <v>51.21</v>
      </c>
      <c r="E9642" s="16" t="s">
        <v>30</v>
      </c>
    </row>
    <row r="9643" spans="1:5" x14ac:dyDescent="0.25">
      <c r="A9643" s="14">
        <v>488676002</v>
      </c>
      <c r="B9643" s="14" t="s">
        <v>91</v>
      </c>
      <c r="C9643" s="14" t="s">
        <v>13030</v>
      </c>
      <c r="D9643" s="15">
        <v>51.21</v>
      </c>
      <c r="E9643" s="16" t="s">
        <v>30</v>
      </c>
    </row>
    <row r="9644" spans="1:5" x14ac:dyDescent="0.25">
      <c r="A9644" s="14">
        <v>488676004</v>
      </c>
      <c r="B9644" s="14" t="s">
        <v>9748</v>
      </c>
      <c r="C9644" s="14" t="s">
        <v>13030</v>
      </c>
      <c r="D9644" s="15">
        <v>51.21</v>
      </c>
      <c r="E9644" s="16" t="s">
        <v>30</v>
      </c>
    </row>
    <row r="9645" spans="1:5" x14ac:dyDescent="0.25">
      <c r="A9645" s="14">
        <v>488774001</v>
      </c>
      <c r="B9645" s="14" t="s">
        <v>9749</v>
      </c>
      <c r="C9645" s="14" t="s">
        <v>13029</v>
      </c>
      <c r="D9645" s="15">
        <v>13.97</v>
      </c>
      <c r="E9645" s="16" t="s">
        <v>30</v>
      </c>
    </row>
    <row r="9646" spans="1:5" x14ac:dyDescent="0.25">
      <c r="A9646" s="14">
        <v>488774002</v>
      </c>
      <c r="B9646" s="14" t="s">
        <v>9750</v>
      </c>
      <c r="C9646" s="14" t="s">
        <v>13029</v>
      </c>
      <c r="D9646" s="15">
        <v>13.61</v>
      </c>
      <c r="E9646" s="16" t="s">
        <v>30</v>
      </c>
    </row>
    <row r="9647" spans="1:5" x14ac:dyDescent="0.25">
      <c r="A9647" s="14">
        <v>488774004</v>
      </c>
      <c r="B9647" s="14" t="s">
        <v>9751</v>
      </c>
      <c r="C9647" s="14" t="s">
        <v>13029</v>
      </c>
      <c r="D9647" s="15">
        <v>13.61</v>
      </c>
      <c r="E9647" s="16" t="s">
        <v>30</v>
      </c>
    </row>
    <row r="9648" spans="1:5" x14ac:dyDescent="0.25">
      <c r="A9648" s="14">
        <v>488774005</v>
      </c>
      <c r="B9648" s="14" t="s">
        <v>9752</v>
      </c>
      <c r="C9648" s="14" t="s">
        <v>13029</v>
      </c>
      <c r="D9648" s="15">
        <v>13.61</v>
      </c>
      <c r="E9648" s="16" t="s">
        <v>30</v>
      </c>
    </row>
    <row r="9649" spans="1:5" x14ac:dyDescent="0.25">
      <c r="A9649" s="14">
        <v>488774007</v>
      </c>
      <c r="B9649" s="14" t="s">
        <v>9753</v>
      </c>
      <c r="C9649" s="14" t="s">
        <v>13029</v>
      </c>
      <c r="D9649" s="15">
        <v>13.61</v>
      </c>
      <c r="E9649" s="16" t="s">
        <v>30</v>
      </c>
    </row>
    <row r="9650" spans="1:5" x14ac:dyDescent="0.25">
      <c r="A9650" s="14">
        <v>488774011</v>
      </c>
      <c r="B9650" s="14" t="s">
        <v>9754</v>
      </c>
      <c r="C9650" s="14" t="s">
        <v>13029</v>
      </c>
      <c r="D9650" s="15">
        <v>13.61</v>
      </c>
      <c r="E9650" s="16" t="s">
        <v>30</v>
      </c>
    </row>
    <row r="9651" spans="1:5" x14ac:dyDescent="0.25">
      <c r="A9651" s="14">
        <v>488774013</v>
      </c>
      <c r="B9651" s="14" t="s">
        <v>9755</v>
      </c>
      <c r="C9651" s="14" t="s">
        <v>13029</v>
      </c>
      <c r="D9651" s="15">
        <v>13.97</v>
      </c>
      <c r="E9651" s="16" t="s">
        <v>30</v>
      </c>
    </row>
    <row r="9652" spans="1:5" x14ac:dyDescent="0.25">
      <c r="A9652" s="14">
        <v>488774014</v>
      </c>
      <c r="B9652" s="14" t="s">
        <v>9756</v>
      </c>
      <c r="C9652" s="14" t="s">
        <v>13029</v>
      </c>
      <c r="D9652" s="15">
        <v>11.1</v>
      </c>
      <c r="E9652" s="16" t="s">
        <v>30</v>
      </c>
    </row>
    <row r="9653" spans="1:5" x14ac:dyDescent="0.25">
      <c r="A9653" s="14">
        <v>491096001</v>
      </c>
      <c r="B9653" s="14" t="s">
        <v>9757</v>
      </c>
      <c r="C9653" s="14" t="s">
        <v>13030</v>
      </c>
      <c r="D9653" s="15">
        <v>28.74</v>
      </c>
      <c r="E9653" s="14" t="s">
        <v>30</v>
      </c>
    </row>
    <row r="9654" spans="1:5" x14ac:dyDescent="0.25">
      <c r="A9654" s="14">
        <v>491096002</v>
      </c>
      <c r="B9654" s="14" t="s">
        <v>9758</v>
      </c>
      <c r="C9654" s="14" t="s">
        <v>13030</v>
      </c>
      <c r="D9654" s="15">
        <v>28.74</v>
      </c>
      <c r="E9654" s="14" t="s">
        <v>30</v>
      </c>
    </row>
    <row r="9655" spans="1:5" x14ac:dyDescent="0.25">
      <c r="A9655" s="14">
        <v>491096003</v>
      </c>
      <c r="B9655" s="14" t="s">
        <v>9759</v>
      </c>
      <c r="C9655" s="14" t="s">
        <v>13030</v>
      </c>
      <c r="D9655" s="15">
        <v>28.74</v>
      </c>
      <c r="E9655" s="14" t="s">
        <v>30</v>
      </c>
    </row>
    <row r="9656" spans="1:5" x14ac:dyDescent="0.25">
      <c r="A9656" s="14">
        <v>491097002</v>
      </c>
      <c r="B9656" s="14" t="s">
        <v>9760</v>
      </c>
      <c r="C9656" s="14" t="s">
        <v>13030</v>
      </c>
      <c r="D9656" s="15">
        <v>22.24</v>
      </c>
      <c r="E9656" s="14" t="s">
        <v>30</v>
      </c>
    </row>
    <row r="9657" spans="1:5" x14ac:dyDescent="0.25">
      <c r="A9657" s="14">
        <v>491097003</v>
      </c>
      <c r="B9657" s="14" t="s">
        <v>9761</v>
      </c>
      <c r="C9657" s="14" t="s">
        <v>13030</v>
      </c>
      <c r="D9657" s="15">
        <v>22.24</v>
      </c>
      <c r="E9657" s="14" t="s">
        <v>30</v>
      </c>
    </row>
    <row r="9658" spans="1:5" x14ac:dyDescent="0.25">
      <c r="A9658" s="14">
        <v>491821003</v>
      </c>
      <c r="B9658" s="14" t="s">
        <v>9762</v>
      </c>
      <c r="C9658" s="14" t="s">
        <v>13029</v>
      </c>
      <c r="D9658" s="15">
        <v>16.41</v>
      </c>
      <c r="E9658" s="16" t="s">
        <v>30</v>
      </c>
    </row>
    <row r="9659" spans="1:5" x14ac:dyDescent="0.25">
      <c r="A9659" s="14">
        <v>491821010</v>
      </c>
      <c r="B9659" s="14" t="s">
        <v>9763</v>
      </c>
      <c r="C9659" s="14" t="s">
        <v>13029</v>
      </c>
      <c r="D9659" s="15">
        <v>16.41</v>
      </c>
      <c r="E9659" s="16" t="s">
        <v>30</v>
      </c>
    </row>
    <row r="9660" spans="1:5" x14ac:dyDescent="0.25">
      <c r="A9660" s="14">
        <v>491821012</v>
      </c>
      <c r="B9660" s="14" t="s">
        <v>9764</v>
      </c>
      <c r="C9660" s="14" t="s">
        <v>13029</v>
      </c>
      <c r="D9660" s="15">
        <v>16.41</v>
      </c>
      <c r="E9660" s="16" t="s">
        <v>30</v>
      </c>
    </row>
    <row r="9661" spans="1:5" x14ac:dyDescent="0.25">
      <c r="A9661" s="14">
        <v>491821013</v>
      </c>
      <c r="B9661" s="14" t="s">
        <v>9765</v>
      </c>
      <c r="C9661" s="14" t="s">
        <v>13029</v>
      </c>
      <c r="D9661" s="15">
        <v>16.41</v>
      </c>
      <c r="E9661" s="16" t="s">
        <v>30</v>
      </c>
    </row>
    <row r="9662" spans="1:5" x14ac:dyDescent="0.25">
      <c r="A9662" s="14">
        <v>491821018</v>
      </c>
      <c r="B9662" s="14" t="s">
        <v>9766</v>
      </c>
      <c r="C9662" s="14" t="s">
        <v>13029</v>
      </c>
      <c r="D9662" s="15">
        <v>16.41</v>
      </c>
      <c r="E9662" s="16" t="s">
        <v>30</v>
      </c>
    </row>
    <row r="9663" spans="1:5" x14ac:dyDescent="0.25">
      <c r="A9663" s="14">
        <v>491821023</v>
      </c>
      <c r="B9663" s="14" t="s">
        <v>9767</v>
      </c>
      <c r="C9663" s="14" t="s">
        <v>13029</v>
      </c>
      <c r="D9663" s="15">
        <v>16.41</v>
      </c>
      <c r="E9663" s="16" t="s">
        <v>30</v>
      </c>
    </row>
    <row r="9664" spans="1:5" x14ac:dyDescent="0.25">
      <c r="A9664" s="14">
        <v>492156001</v>
      </c>
      <c r="B9664" s="14" t="s">
        <v>9768</v>
      </c>
      <c r="C9664" s="14" t="s">
        <v>13029</v>
      </c>
      <c r="D9664" s="15">
        <v>3.86</v>
      </c>
      <c r="E9664" s="16" t="s">
        <v>30</v>
      </c>
    </row>
    <row r="9665" spans="1:5" x14ac:dyDescent="0.25">
      <c r="A9665" s="14">
        <v>493030001</v>
      </c>
      <c r="B9665" s="14" t="s">
        <v>9769</v>
      </c>
      <c r="C9665" s="14" t="s">
        <v>13029</v>
      </c>
      <c r="D9665" s="15">
        <v>8.89</v>
      </c>
      <c r="E9665" s="16" t="s">
        <v>30</v>
      </c>
    </row>
    <row r="9666" spans="1:5" x14ac:dyDescent="0.25">
      <c r="A9666" s="14">
        <v>493209001</v>
      </c>
      <c r="B9666" s="14" t="s">
        <v>9770</v>
      </c>
      <c r="C9666" s="14" t="s">
        <v>13031</v>
      </c>
      <c r="D9666" s="15">
        <v>9.1</v>
      </c>
      <c r="E9666" s="16" t="s">
        <v>30</v>
      </c>
    </row>
    <row r="9667" spans="1:5" x14ac:dyDescent="0.25">
      <c r="A9667" s="14">
        <v>493209002</v>
      </c>
      <c r="B9667" s="14" t="s">
        <v>9771</v>
      </c>
      <c r="C9667" s="14" t="s">
        <v>13031</v>
      </c>
      <c r="D9667" s="15">
        <v>9.1</v>
      </c>
      <c r="E9667" s="16" t="s">
        <v>30</v>
      </c>
    </row>
    <row r="9668" spans="1:5" x14ac:dyDescent="0.25">
      <c r="A9668" s="14">
        <v>493211001</v>
      </c>
      <c r="B9668" s="14" t="s">
        <v>9772</v>
      </c>
      <c r="C9668" s="14" t="s">
        <v>13031</v>
      </c>
      <c r="D9668" s="15">
        <v>9.1</v>
      </c>
      <c r="E9668" s="16" t="s">
        <v>30</v>
      </c>
    </row>
    <row r="9669" spans="1:5" x14ac:dyDescent="0.25">
      <c r="A9669" s="14">
        <v>493211002</v>
      </c>
      <c r="B9669" s="14" t="s">
        <v>9773</v>
      </c>
      <c r="C9669" s="14" t="s">
        <v>13031</v>
      </c>
      <c r="D9669" s="15">
        <v>9.1</v>
      </c>
      <c r="E9669" s="16" t="s">
        <v>30</v>
      </c>
    </row>
    <row r="9670" spans="1:5" x14ac:dyDescent="0.25">
      <c r="A9670" s="14">
        <v>494090001</v>
      </c>
      <c r="B9670" s="14" t="s">
        <v>9774</v>
      </c>
      <c r="C9670" s="14" t="s">
        <v>13030</v>
      </c>
      <c r="D9670" s="15">
        <v>23.72</v>
      </c>
      <c r="E9670" s="14" t="s">
        <v>30</v>
      </c>
    </row>
    <row r="9671" spans="1:5" x14ac:dyDescent="0.25">
      <c r="A9671" s="14">
        <v>494090003</v>
      </c>
      <c r="B9671" s="14" t="s">
        <v>9775</v>
      </c>
      <c r="C9671" s="14" t="s">
        <v>13030</v>
      </c>
      <c r="D9671" s="15">
        <v>23.72</v>
      </c>
      <c r="E9671" s="14" t="s">
        <v>30</v>
      </c>
    </row>
    <row r="9672" spans="1:5" x14ac:dyDescent="0.25">
      <c r="A9672" s="14">
        <v>494098001</v>
      </c>
      <c r="B9672" s="14" t="s">
        <v>9776</v>
      </c>
      <c r="C9672" s="14" t="s">
        <v>13031</v>
      </c>
      <c r="D9672" s="15">
        <v>15.32</v>
      </c>
      <c r="E9672" s="16" t="s">
        <v>30</v>
      </c>
    </row>
    <row r="9673" spans="1:5" x14ac:dyDescent="0.25">
      <c r="A9673" s="14">
        <v>494098002</v>
      </c>
      <c r="B9673" s="14" t="s">
        <v>9777</v>
      </c>
      <c r="C9673" s="14" t="s">
        <v>13031</v>
      </c>
      <c r="D9673" s="15">
        <v>15.32</v>
      </c>
      <c r="E9673" s="16" t="s">
        <v>30</v>
      </c>
    </row>
    <row r="9674" spans="1:5" x14ac:dyDescent="0.25">
      <c r="A9674" s="14">
        <v>497192001</v>
      </c>
      <c r="B9674" s="14" t="s">
        <v>9778</v>
      </c>
      <c r="C9674" s="14" t="s">
        <v>13030</v>
      </c>
      <c r="D9674" s="15">
        <v>4.47</v>
      </c>
      <c r="E9674" s="16" t="s">
        <v>30</v>
      </c>
    </row>
    <row r="9675" spans="1:5" x14ac:dyDescent="0.25">
      <c r="A9675" s="14">
        <v>497192002</v>
      </c>
      <c r="B9675" s="14" t="s">
        <v>9779</v>
      </c>
      <c r="C9675" s="14" t="s">
        <v>13030</v>
      </c>
      <c r="D9675" s="15">
        <v>4.47</v>
      </c>
      <c r="E9675" s="16" t="s">
        <v>30</v>
      </c>
    </row>
    <row r="9676" spans="1:5" x14ac:dyDescent="0.25">
      <c r="A9676" s="14">
        <v>497192003</v>
      </c>
      <c r="B9676" s="14" t="s">
        <v>9780</v>
      </c>
      <c r="C9676" s="14" t="s">
        <v>13030</v>
      </c>
      <c r="D9676" s="15">
        <v>4.47</v>
      </c>
      <c r="E9676" s="16" t="s">
        <v>30</v>
      </c>
    </row>
    <row r="9677" spans="1:5" x14ac:dyDescent="0.25">
      <c r="A9677" s="14">
        <v>497245001</v>
      </c>
      <c r="B9677" s="14" t="s">
        <v>9781</v>
      </c>
      <c r="C9677" s="14" t="s">
        <v>13031</v>
      </c>
      <c r="D9677" s="15">
        <v>2.2200000000000002</v>
      </c>
      <c r="E9677" s="16" t="s">
        <v>30</v>
      </c>
    </row>
    <row r="9678" spans="1:5" x14ac:dyDescent="0.25">
      <c r="A9678" s="14">
        <v>497245002</v>
      </c>
      <c r="B9678" s="14" t="s">
        <v>9782</v>
      </c>
      <c r="C9678" s="14" t="s">
        <v>13031</v>
      </c>
      <c r="D9678" s="15">
        <v>2.2200000000000002</v>
      </c>
      <c r="E9678" s="16" t="s">
        <v>30</v>
      </c>
    </row>
    <row r="9679" spans="1:5" x14ac:dyDescent="0.25">
      <c r="A9679" s="14">
        <v>497488001</v>
      </c>
      <c r="B9679" s="14" t="s">
        <v>9783</v>
      </c>
      <c r="C9679" s="14" t="s">
        <v>13030</v>
      </c>
      <c r="D9679" s="15">
        <v>5.28</v>
      </c>
      <c r="E9679" s="16" t="s">
        <v>30</v>
      </c>
    </row>
    <row r="9680" spans="1:5" x14ac:dyDescent="0.25">
      <c r="A9680" s="14">
        <v>497998003</v>
      </c>
      <c r="B9680" s="14" t="s">
        <v>9784</v>
      </c>
      <c r="C9680" s="14" t="s">
        <v>13031</v>
      </c>
      <c r="D9680" s="15">
        <v>11.5</v>
      </c>
      <c r="E9680" s="16" t="s">
        <v>30</v>
      </c>
    </row>
    <row r="9681" spans="1:5" x14ac:dyDescent="0.25">
      <c r="A9681" s="14">
        <v>499440001</v>
      </c>
      <c r="B9681" s="14" t="s">
        <v>9785</v>
      </c>
      <c r="C9681" s="14" t="s">
        <v>13030</v>
      </c>
      <c r="D9681" s="15">
        <v>10</v>
      </c>
      <c r="E9681" s="16" t="s">
        <v>30</v>
      </c>
    </row>
    <row r="9682" spans="1:5" x14ac:dyDescent="0.25">
      <c r="A9682" s="14">
        <v>499440002</v>
      </c>
      <c r="B9682" s="14" t="s">
        <v>9786</v>
      </c>
      <c r="C9682" s="14" t="s">
        <v>13030</v>
      </c>
      <c r="D9682" s="15">
        <v>10</v>
      </c>
      <c r="E9682" s="16" t="s">
        <v>30</v>
      </c>
    </row>
    <row r="9683" spans="1:5" x14ac:dyDescent="0.25">
      <c r="A9683" s="14">
        <v>506182001</v>
      </c>
      <c r="B9683" s="14" t="s">
        <v>9787</v>
      </c>
      <c r="C9683" s="14" t="s">
        <v>13030</v>
      </c>
      <c r="D9683" s="15">
        <v>31.17</v>
      </c>
      <c r="E9683" s="16" t="s">
        <v>30</v>
      </c>
    </row>
    <row r="9684" spans="1:5" x14ac:dyDescent="0.25">
      <c r="A9684" s="14">
        <v>506182002</v>
      </c>
      <c r="B9684" s="14" t="s">
        <v>9788</v>
      </c>
      <c r="C9684" s="14" t="s">
        <v>13030</v>
      </c>
      <c r="D9684" s="15">
        <v>31.17</v>
      </c>
      <c r="E9684" s="16" t="s">
        <v>30</v>
      </c>
    </row>
    <row r="9685" spans="1:5" x14ac:dyDescent="0.25">
      <c r="A9685" s="14">
        <v>506182003</v>
      </c>
      <c r="B9685" s="14" t="s">
        <v>9789</v>
      </c>
      <c r="C9685" s="14" t="s">
        <v>13030</v>
      </c>
      <c r="D9685" s="15">
        <v>31.17</v>
      </c>
      <c r="E9685" s="16" t="s">
        <v>30</v>
      </c>
    </row>
    <row r="9686" spans="1:5" x14ac:dyDescent="0.25">
      <c r="A9686" s="14">
        <v>506558002</v>
      </c>
      <c r="B9686" s="14" t="s">
        <v>9790</v>
      </c>
      <c r="C9686" s="14" t="s">
        <v>13029</v>
      </c>
      <c r="D9686" s="15">
        <v>5.23</v>
      </c>
      <c r="E9686" s="16" t="s">
        <v>30</v>
      </c>
    </row>
    <row r="9687" spans="1:5" x14ac:dyDescent="0.25">
      <c r="A9687" s="14">
        <v>506558003</v>
      </c>
      <c r="B9687" s="14" t="s">
        <v>9791</v>
      </c>
      <c r="C9687" s="14" t="s">
        <v>13029</v>
      </c>
      <c r="D9687" s="15">
        <v>5.23</v>
      </c>
      <c r="E9687" s="16" t="s">
        <v>30</v>
      </c>
    </row>
    <row r="9688" spans="1:5" x14ac:dyDescent="0.25">
      <c r="A9688" s="14">
        <v>506563001</v>
      </c>
      <c r="B9688" s="14" t="s">
        <v>9792</v>
      </c>
      <c r="C9688" s="14" t="s">
        <v>13030</v>
      </c>
      <c r="D9688" s="15">
        <v>27.06</v>
      </c>
      <c r="E9688" s="16" t="s">
        <v>30</v>
      </c>
    </row>
    <row r="9689" spans="1:5" x14ac:dyDescent="0.25">
      <c r="A9689" s="14">
        <v>506563003</v>
      </c>
      <c r="B9689" s="14" t="s">
        <v>9793</v>
      </c>
      <c r="C9689" s="14" t="s">
        <v>13030</v>
      </c>
      <c r="D9689" s="15">
        <v>27.06</v>
      </c>
      <c r="E9689" s="16" t="s">
        <v>30</v>
      </c>
    </row>
    <row r="9690" spans="1:5" x14ac:dyDescent="0.25">
      <c r="A9690" s="14">
        <v>506914002</v>
      </c>
      <c r="B9690" s="14" t="s">
        <v>9794</v>
      </c>
      <c r="C9690" s="14" t="s">
        <v>13029</v>
      </c>
      <c r="D9690" s="15">
        <v>11.69</v>
      </c>
      <c r="E9690" s="16" t="s">
        <v>30</v>
      </c>
    </row>
    <row r="9691" spans="1:5" x14ac:dyDescent="0.25">
      <c r="A9691" s="14">
        <v>506927002</v>
      </c>
      <c r="B9691" s="14" t="s">
        <v>9795</v>
      </c>
      <c r="C9691" s="14" t="s">
        <v>13029</v>
      </c>
      <c r="D9691" s="15">
        <v>11.69</v>
      </c>
      <c r="E9691" s="16" t="s">
        <v>30</v>
      </c>
    </row>
    <row r="9692" spans="1:5" x14ac:dyDescent="0.25">
      <c r="A9692" s="14">
        <v>507035002</v>
      </c>
      <c r="B9692" s="14" t="s">
        <v>9796</v>
      </c>
      <c r="C9692" s="14" t="s">
        <v>13031</v>
      </c>
      <c r="D9692" s="15">
        <v>18.5</v>
      </c>
      <c r="E9692" s="16" t="s">
        <v>30</v>
      </c>
    </row>
    <row r="9693" spans="1:5" x14ac:dyDescent="0.25">
      <c r="A9693" s="14">
        <v>508768001</v>
      </c>
      <c r="B9693" s="14" t="s">
        <v>9797</v>
      </c>
      <c r="C9693" s="14" t="s">
        <v>13031</v>
      </c>
      <c r="D9693" s="15">
        <v>8.0399999999999991</v>
      </c>
      <c r="E9693" s="16" t="s">
        <v>30</v>
      </c>
    </row>
    <row r="9694" spans="1:5" x14ac:dyDescent="0.25">
      <c r="A9694" s="14">
        <v>508768002</v>
      </c>
      <c r="B9694" s="14" t="s">
        <v>9798</v>
      </c>
      <c r="C9694" s="14" t="s">
        <v>13031</v>
      </c>
      <c r="D9694" s="15">
        <v>6</v>
      </c>
      <c r="E9694" s="16" t="s">
        <v>30</v>
      </c>
    </row>
    <row r="9695" spans="1:5" x14ac:dyDescent="0.25">
      <c r="A9695" s="14">
        <v>508768004</v>
      </c>
      <c r="B9695" s="14" t="s">
        <v>9799</v>
      </c>
      <c r="C9695" s="14" t="s">
        <v>13031</v>
      </c>
      <c r="D9695" s="15">
        <v>6</v>
      </c>
      <c r="E9695" s="16" t="s">
        <v>30</v>
      </c>
    </row>
    <row r="9696" spans="1:5" x14ac:dyDescent="0.25">
      <c r="A9696" s="14">
        <v>509197001</v>
      </c>
      <c r="B9696" s="14" t="s">
        <v>9800</v>
      </c>
      <c r="C9696" s="14" t="s">
        <v>13030</v>
      </c>
      <c r="D9696" s="15">
        <v>66.92</v>
      </c>
      <c r="E9696" s="16" t="s">
        <v>30</v>
      </c>
    </row>
    <row r="9697" spans="1:5" x14ac:dyDescent="0.25">
      <c r="A9697" s="14">
        <v>509197002</v>
      </c>
      <c r="B9697" s="14" t="s">
        <v>9801</v>
      </c>
      <c r="C9697" s="14" t="s">
        <v>13030</v>
      </c>
      <c r="D9697" s="15">
        <v>66.92</v>
      </c>
      <c r="E9697" s="16" t="s">
        <v>30</v>
      </c>
    </row>
    <row r="9698" spans="1:5" x14ac:dyDescent="0.25">
      <c r="A9698" s="14">
        <v>509197004</v>
      </c>
      <c r="B9698" s="14" t="s">
        <v>9802</v>
      </c>
      <c r="C9698" s="14" t="s">
        <v>13030</v>
      </c>
      <c r="D9698" s="15">
        <v>66.92</v>
      </c>
      <c r="E9698" s="16" t="s">
        <v>30</v>
      </c>
    </row>
    <row r="9699" spans="1:5" x14ac:dyDescent="0.25">
      <c r="A9699" s="14">
        <v>511243001</v>
      </c>
      <c r="B9699" s="14" t="s">
        <v>9803</v>
      </c>
      <c r="C9699" s="14" t="s">
        <v>13029</v>
      </c>
      <c r="D9699" s="15">
        <v>14.05</v>
      </c>
      <c r="E9699" s="16" t="s">
        <v>30</v>
      </c>
    </row>
    <row r="9700" spans="1:5" x14ac:dyDescent="0.25">
      <c r="A9700" s="14">
        <v>511243002</v>
      </c>
      <c r="B9700" s="14" t="s">
        <v>9804</v>
      </c>
      <c r="C9700" s="14" t="s">
        <v>13029</v>
      </c>
      <c r="D9700" s="15">
        <v>14.05</v>
      </c>
      <c r="E9700" s="16" t="s">
        <v>30</v>
      </c>
    </row>
    <row r="9701" spans="1:5" x14ac:dyDescent="0.25">
      <c r="A9701" s="14">
        <v>511243004</v>
      </c>
      <c r="B9701" s="14" t="s">
        <v>9805</v>
      </c>
      <c r="C9701" s="14" t="s">
        <v>13029</v>
      </c>
      <c r="D9701" s="15">
        <v>14.05</v>
      </c>
      <c r="E9701" s="16" t="s">
        <v>30</v>
      </c>
    </row>
    <row r="9702" spans="1:5" x14ac:dyDescent="0.25">
      <c r="A9702" s="14">
        <v>511246002</v>
      </c>
      <c r="B9702" s="14" t="s">
        <v>9806</v>
      </c>
      <c r="C9702" s="14" t="s">
        <v>13029</v>
      </c>
      <c r="D9702" s="15">
        <v>19.27</v>
      </c>
      <c r="E9702" s="16" t="s">
        <v>30</v>
      </c>
    </row>
    <row r="9703" spans="1:5" x14ac:dyDescent="0.25">
      <c r="A9703" s="14">
        <v>512954001</v>
      </c>
      <c r="B9703" s="14" t="s">
        <v>9807</v>
      </c>
      <c r="C9703" s="14" t="s">
        <v>13031</v>
      </c>
      <c r="D9703" s="15">
        <v>2.21</v>
      </c>
      <c r="E9703" s="16" t="s">
        <v>30</v>
      </c>
    </row>
    <row r="9704" spans="1:5" x14ac:dyDescent="0.25">
      <c r="A9704" s="14">
        <v>515762001</v>
      </c>
      <c r="B9704" s="14" t="s">
        <v>9808</v>
      </c>
      <c r="C9704" s="14" t="s">
        <v>13029</v>
      </c>
      <c r="D9704" s="15">
        <v>26.21</v>
      </c>
      <c r="E9704" s="16" t="s">
        <v>30</v>
      </c>
    </row>
    <row r="9705" spans="1:5" x14ac:dyDescent="0.25">
      <c r="A9705" s="14">
        <v>515762002</v>
      </c>
      <c r="B9705" s="14" t="s">
        <v>9809</v>
      </c>
      <c r="C9705" s="14" t="s">
        <v>13029</v>
      </c>
      <c r="D9705" s="15">
        <v>26.21</v>
      </c>
      <c r="E9705" s="16" t="s">
        <v>30</v>
      </c>
    </row>
    <row r="9706" spans="1:5" x14ac:dyDescent="0.25">
      <c r="A9706" s="14">
        <v>515764001</v>
      </c>
      <c r="B9706" s="14" t="s">
        <v>9810</v>
      </c>
      <c r="C9706" s="14" t="s">
        <v>13029</v>
      </c>
      <c r="D9706" s="15">
        <v>26.21</v>
      </c>
      <c r="E9706" s="16" t="s">
        <v>30</v>
      </c>
    </row>
    <row r="9707" spans="1:5" x14ac:dyDescent="0.25">
      <c r="A9707" s="14">
        <v>516224001</v>
      </c>
      <c r="B9707" s="14" t="s">
        <v>9811</v>
      </c>
      <c r="C9707" s="14" t="s">
        <v>13031</v>
      </c>
      <c r="D9707" s="15">
        <v>5.42</v>
      </c>
      <c r="E9707" s="16" t="s">
        <v>30</v>
      </c>
    </row>
    <row r="9708" spans="1:5" x14ac:dyDescent="0.25">
      <c r="A9708" s="14">
        <v>516224002</v>
      </c>
      <c r="B9708" s="14" t="s">
        <v>9812</v>
      </c>
      <c r="C9708" s="14" t="s">
        <v>13031</v>
      </c>
      <c r="D9708" s="15">
        <v>5.42</v>
      </c>
      <c r="E9708" s="16" t="s">
        <v>30</v>
      </c>
    </row>
    <row r="9709" spans="1:5" x14ac:dyDescent="0.25">
      <c r="A9709" s="14">
        <v>517267002</v>
      </c>
      <c r="B9709" s="14" t="s">
        <v>9813</v>
      </c>
      <c r="C9709" s="14" t="s">
        <v>13029</v>
      </c>
      <c r="D9709" s="15">
        <v>15.37</v>
      </c>
      <c r="E9709" s="16" t="s">
        <v>30</v>
      </c>
    </row>
    <row r="9710" spans="1:5" x14ac:dyDescent="0.25">
      <c r="A9710" s="14">
        <v>517986005</v>
      </c>
      <c r="B9710" s="14" t="s">
        <v>9814</v>
      </c>
      <c r="C9710" s="14" t="s">
        <v>13029</v>
      </c>
      <c r="D9710" s="15">
        <v>35.53</v>
      </c>
      <c r="E9710" s="16" t="s">
        <v>30</v>
      </c>
    </row>
    <row r="9711" spans="1:5" x14ac:dyDescent="0.25">
      <c r="A9711" s="14">
        <v>517986008</v>
      </c>
      <c r="B9711" s="14" t="s">
        <v>9815</v>
      </c>
      <c r="C9711" s="14" t="s">
        <v>13029</v>
      </c>
      <c r="D9711" s="15">
        <v>35.53</v>
      </c>
      <c r="E9711" s="16" t="s">
        <v>30</v>
      </c>
    </row>
    <row r="9712" spans="1:5" x14ac:dyDescent="0.25">
      <c r="A9712" s="14">
        <v>517986010</v>
      </c>
      <c r="B9712" s="14" t="s">
        <v>9816</v>
      </c>
      <c r="C9712" s="14" t="s">
        <v>13029</v>
      </c>
      <c r="D9712" s="15">
        <v>35.53</v>
      </c>
      <c r="E9712" s="16" t="s">
        <v>30</v>
      </c>
    </row>
    <row r="9713" spans="1:5" x14ac:dyDescent="0.25">
      <c r="A9713" s="14">
        <v>518078002</v>
      </c>
      <c r="B9713" s="14" t="s">
        <v>9817</v>
      </c>
      <c r="C9713" s="14" t="s">
        <v>13029</v>
      </c>
      <c r="D9713" s="15">
        <v>24.73</v>
      </c>
      <c r="E9713" s="16" t="s">
        <v>30</v>
      </c>
    </row>
    <row r="9714" spans="1:5" x14ac:dyDescent="0.25">
      <c r="A9714" s="14">
        <v>518078005</v>
      </c>
      <c r="B9714" s="14" t="s">
        <v>9818</v>
      </c>
      <c r="C9714" s="14" t="s">
        <v>13029</v>
      </c>
      <c r="D9714" s="15">
        <v>23.05</v>
      </c>
      <c r="E9714" s="16" t="s">
        <v>30</v>
      </c>
    </row>
    <row r="9715" spans="1:5" x14ac:dyDescent="0.25">
      <c r="A9715" s="14">
        <v>518078006</v>
      </c>
      <c r="B9715" s="14" t="s">
        <v>9819</v>
      </c>
      <c r="C9715" s="14" t="s">
        <v>13029</v>
      </c>
      <c r="D9715" s="15">
        <v>24.73</v>
      </c>
      <c r="E9715" s="16" t="s">
        <v>30</v>
      </c>
    </row>
    <row r="9716" spans="1:5" x14ac:dyDescent="0.25">
      <c r="A9716" s="14">
        <v>518078010</v>
      </c>
      <c r="B9716" s="14" t="s">
        <v>9820</v>
      </c>
      <c r="C9716" s="14" t="s">
        <v>13029</v>
      </c>
      <c r="D9716" s="15">
        <v>24.73</v>
      </c>
      <c r="E9716" s="16" t="s">
        <v>30</v>
      </c>
    </row>
    <row r="9717" spans="1:5" x14ac:dyDescent="0.25">
      <c r="A9717" s="14">
        <v>518078011</v>
      </c>
      <c r="B9717" s="14" t="s">
        <v>9821</v>
      </c>
      <c r="C9717" s="14" t="s">
        <v>13029</v>
      </c>
      <c r="D9717" s="15">
        <v>24.73</v>
      </c>
      <c r="E9717" s="16" t="s">
        <v>30</v>
      </c>
    </row>
    <row r="9718" spans="1:5" x14ac:dyDescent="0.25">
      <c r="A9718" s="14">
        <v>518078016</v>
      </c>
      <c r="B9718" s="14" t="s">
        <v>9822</v>
      </c>
      <c r="C9718" s="14" t="s">
        <v>13029</v>
      </c>
      <c r="D9718" s="15">
        <v>23.05</v>
      </c>
      <c r="E9718" s="16" t="s">
        <v>30</v>
      </c>
    </row>
    <row r="9719" spans="1:5" x14ac:dyDescent="0.25">
      <c r="A9719" s="14">
        <v>518078021</v>
      </c>
      <c r="B9719" s="14" t="s">
        <v>9823</v>
      </c>
      <c r="C9719" s="14" t="s">
        <v>13029</v>
      </c>
      <c r="D9719" s="15">
        <v>24.73</v>
      </c>
      <c r="E9719" s="16" t="s">
        <v>30</v>
      </c>
    </row>
    <row r="9720" spans="1:5" x14ac:dyDescent="0.25">
      <c r="A9720" s="14">
        <v>442211001</v>
      </c>
      <c r="B9720" s="14" t="s">
        <v>9824</v>
      </c>
      <c r="C9720" s="14" t="s">
        <v>13031</v>
      </c>
      <c r="D9720" s="15">
        <v>6.78</v>
      </c>
      <c r="E9720" s="16" t="s">
        <v>20</v>
      </c>
    </row>
    <row r="9721" spans="1:5" x14ac:dyDescent="0.25">
      <c r="A9721" s="14">
        <v>518078029</v>
      </c>
      <c r="B9721" s="14" t="s">
        <v>9825</v>
      </c>
      <c r="C9721" s="14" t="s">
        <v>13029</v>
      </c>
      <c r="D9721" s="15">
        <v>24.73</v>
      </c>
      <c r="E9721" s="16" t="s">
        <v>30</v>
      </c>
    </row>
    <row r="9722" spans="1:5" x14ac:dyDescent="0.25">
      <c r="A9722" s="14">
        <v>518078030</v>
      </c>
      <c r="B9722" s="14" t="s">
        <v>9826</v>
      </c>
      <c r="C9722" s="14" t="s">
        <v>13029</v>
      </c>
      <c r="D9722" s="15">
        <v>23.05</v>
      </c>
      <c r="E9722" s="16" t="s">
        <v>30</v>
      </c>
    </row>
    <row r="9723" spans="1:5" x14ac:dyDescent="0.25">
      <c r="A9723" s="14">
        <v>518078033</v>
      </c>
      <c r="B9723" s="14" t="s">
        <v>9827</v>
      </c>
      <c r="C9723" s="14" t="s">
        <v>13029</v>
      </c>
      <c r="D9723" s="15">
        <v>24.73</v>
      </c>
      <c r="E9723" s="16" t="s">
        <v>30</v>
      </c>
    </row>
    <row r="9724" spans="1:5" x14ac:dyDescent="0.25">
      <c r="A9724" s="14">
        <v>518078034</v>
      </c>
      <c r="B9724" s="14" t="s">
        <v>9828</v>
      </c>
      <c r="C9724" s="14" t="s">
        <v>13029</v>
      </c>
      <c r="D9724" s="15">
        <v>23.05</v>
      </c>
      <c r="E9724" s="16" t="s">
        <v>30</v>
      </c>
    </row>
    <row r="9725" spans="1:5" x14ac:dyDescent="0.25">
      <c r="A9725" s="14">
        <v>518078035</v>
      </c>
      <c r="B9725" s="14" t="s">
        <v>9829</v>
      </c>
      <c r="C9725" s="14" t="s">
        <v>13029</v>
      </c>
      <c r="D9725" s="15">
        <v>24.73</v>
      </c>
      <c r="E9725" s="16" t="s">
        <v>30</v>
      </c>
    </row>
    <row r="9726" spans="1:5" x14ac:dyDescent="0.25">
      <c r="A9726" s="14">
        <v>518078041</v>
      </c>
      <c r="B9726" s="14" t="s">
        <v>9830</v>
      </c>
      <c r="C9726" s="14" t="s">
        <v>13029</v>
      </c>
      <c r="D9726" s="15">
        <v>23.05</v>
      </c>
      <c r="E9726" s="16" t="s">
        <v>30</v>
      </c>
    </row>
    <row r="9727" spans="1:5" x14ac:dyDescent="0.25">
      <c r="A9727" s="14">
        <v>518281002</v>
      </c>
      <c r="B9727" s="14" t="s">
        <v>9831</v>
      </c>
      <c r="C9727" s="14" t="s">
        <v>13029</v>
      </c>
      <c r="D9727" s="15">
        <v>20.04</v>
      </c>
      <c r="E9727" s="16" t="s">
        <v>30</v>
      </c>
    </row>
    <row r="9728" spans="1:5" x14ac:dyDescent="0.25">
      <c r="A9728" s="14">
        <v>518281003</v>
      </c>
      <c r="B9728" s="14" t="s">
        <v>9832</v>
      </c>
      <c r="C9728" s="14" t="s">
        <v>13029</v>
      </c>
      <c r="D9728" s="15">
        <v>14.87</v>
      </c>
      <c r="E9728" s="16" t="s">
        <v>30</v>
      </c>
    </row>
    <row r="9729" spans="1:5" x14ac:dyDescent="0.25">
      <c r="A9729" s="14">
        <v>518355003</v>
      </c>
      <c r="B9729" s="14" t="s">
        <v>9833</v>
      </c>
      <c r="C9729" s="14" t="s">
        <v>13030</v>
      </c>
      <c r="D9729" s="15">
        <v>5.04</v>
      </c>
      <c r="E9729" s="14" t="s">
        <v>30</v>
      </c>
    </row>
    <row r="9730" spans="1:5" x14ac:dyDescent="0.25">
      <c r="A9730" s="14">
        <v>520702001</v>
      </c>
      <c r="B9730" s="14" t="s">
        <v>9834</v>
      </c>
      <c r="C9730" s="14" t="s">
        <v>13030</v>
      </c>
      <c r="D9730" s="15">
        <v>22.26</v>
      </c>
      <c r="E9730" s="16" t="s">
        <v>30</v>
      </c>
    </row>
    <row r="9731" spans="1:5" x14ac:dyDescent="0.25">
      <c r="A9731" s="14">
        <v>520702002</v>
      </c>
      <c r="B9731" s="14" t="s">
        <v>9835</v>
      </c>
      <c r="C9731" s="14" t="s">
        <v>13030</v>
      </c>
      <c r="D9731" s="15">
        <v>22.26</v>
      </c>
      <c r="E9731" s="16" t="s">
        <v>30</v>
      </c>
    </row>
    <row r="9732" spans="1:5" x14ac:dyDescent="0.25">
      <c r="A9732" s="14">
        <v>521497001</v>
      </c>
      <c r="B9732" s="14" t="s">
        <v>9836</v>
      </c>
      <c r="C9732" s="14" t="s">
        <v>13029</v>
      </c>
      <c r="D9732" s="15">
        <v>12.08</v>
      </c>
      <c r="E9732" s="16" t="s">
        <v>30</v>
      </c>
    </row>
    <row r="9733" spans="1:5" x14ac:dyDescent="0.25">
      <c r="A9733" s="14">
        <v>521644002</v>
      </c>
      <c r="B9733" s="14" t="s">
        <v>9837</v>
      </c>
      <c r="C9733" s="14" t="s">
        <v>13030</v>
      </c>
      <c r="D9733" s="15">
        <v>3.25</v>
      </c>
      <c r="E9733" s="16" t="s">
        <v>30</v>
      </c>
    </row>
    <row r="9734" spans="1:5" x14ac:dyDescent="0.25">
      <c r="A9734" s="14">
        <v>521833001</v>
      </c>
      <c r="B9734" s="14" t="s">
        <v>9838</v>
      </c>
      <c r="C9734" s="14" t="s">
        <v>13031</v>
      </c>
      <c r="D9734" s="15">
        <v>18.53</v>
      </c>
      <c r="E9734" s="16" t="s">
        <v>30</v>
      </c>
    </row>
    <row r="9735" spans="1:5" x14ac:dyDescent="0.25">
      <c r="A9735" s="14">
        <v>521833003</v>
      </c>
      <c r="B9735" s="14" t="s">
        <v>9839</v>
      </c>
      <c r="C9735" s="14" t="s">
        <v>13031</v>
      </c>
      <c r="D9735" s="15">
        <v>18.53</v>
      </c>
      <c r="E9735" s="16" t="s">
        <v>30</v>
      </c>
    </row>
    <row r="9736" spans="1:5" x14ac:dyDescent="0.25">
      <c r="A9736" s="14">
        <v>521833005</v>
      </c>
      <c r="B9736" s="14" t="s">
        <v>9840</v>
      </c>
      <c r="C9736" s="14" t="s">
        <v>13031</v>
      </c>
      <c r="D9736" s="15">
        <v>18.53</v>
      </c>
      <c r="E9736" s="16" t="s">
        <v>30</v>
      </c>
    </row>
    <row r="9737" spans="1:5" x14ac:dyDescent="0.25">
      <c r="A9737" s="14">
        <v>522199002</v>
      </c>
      <c r="B9737" s="14" t="s">
        <v>9841</v>
      </c>
      <c r="C9737" s="14" t="s">
        <v>13029</v>
      </c>
      <c r="D9737" s="15">
        <v>28.78</v>
      </c>
      <c r="E9737" s="16" t="s">
        <v>30</v>
      </c>
    </row>
    <row r="9738" spans="1:5" x14ac:dyDescent="0.25">
      <c r="A9738" s="14">
        <v>522200002</v>
      </c>
      <c r="B9738" s="14" t="s">
        <v>9842</v>
      </c>
      <c r="C9738" s="14" t="s">
        <v>13029</v>
      </c>
      <c r="D9738" s="15">
        <v>28.78</v>
      </c>
      <c r="E9738" s="16" t="s">
        <v>30</v>
      </c>
    </row>
    <row r="9739" spans="1:5" x14ac:dyDescent="0.25">
      <c r="A9739" s="14">
        <v>522200005</v>
      </c>
      <c r="B9739" s="14" t="s">
        <v>9843</v>
      </c>
      <c r="C9739" s="14" t="s">
        <v>13029</v>
      </c>
      <c r="D9739" s="15">
        <v>28.78</v>
      </c>
      <c r="E9739" s="16" t="s">
        <v>30</v>
      </c>
    </row>
    <row r="9740" spans="1:5" x14ac:dyDescent="0.25">
      <c r="A9740" s="14">
        <v>526703001</v>
      </c>
      <c r="B9740" s="14" t="s">
        <v>9844</v>
      </c>
      <c r="C9740" s="14" t="s">
        <v>13031</v>
      </c>
      <c r="D9740" s="15">
        <v>11.65</v>
      </c>
      <c r="E9740" s="16" t="s">
        <v>30</v>
      </c>
    </row>
    <row r="9741" spans="1:5" x14ac:dyDescent="0.25">
      <c r="A9741" s="14">
        <v>526703003</v>
      </c>
      <c r="B9741" s="14" t="s">
        <v>9845</v>
      </c>
      <c r="C9741" s="14" t="s">
        <v>13031</v>
      </c>
      <c r="D9741" s="15">
        <v>11.65</v>
      </c>
      <c r="E9741" s="16" t="s">
        <v>30</v>
      </c>
    </row>
    <row r="9742" spans="1:5" x14ac:dyDescent="0.25">
      <c r="A9742" s="14">
        <v>526703004</v>
      </c>
      <c r="B9742" s="14" t="s">
        <v>9846</v>
      </c>
      <c r="C9742" s="14" t="s">
        <v>13031</v>
      </c>
      <c r="D9742" s="15">
        <v>11.65</v>
      </c>
      <c r="E9742" s="16" t="s">
        <v>30</v>
      </c>
    </row>
    <row r="9743" spans="1:5" x14ac:dyDescent="0.25">
      <c r="A9743" s="14">
        <v>526703005</v>
      </c>
      <c r="B9743" s="14" t="s">
        <v>9847</v>
      </c>
      <c r="C9743" s="14" t="s">
        <v>13031</v>
      </c>
      <c r="D9743" s="15">
        <v>9.6</v>
      </c>
      <c r="E9743" s="16" t="s">
        <v>30</v>
      </c>
    </row>
    <row r="9744" spans="1:5" x14ac:dyDescent="0.25">
      <c r="A9744" s="14">
        <v>532180002</v>
      </c>
      <c r="B9744" s="14" t="s">
        <v>9848</v>
      </c>
      <c r="C9744" s="14" t="s">
        <v>13030</v>
      </c>
      <c r="D9744" s="15">
        <v>6.65</v>
      </c>
      <c r="E9744" s="16" t="s">
        <v>30</v>
      </c>
    </row>
    <row r="9745" spans="1:5" x14ac:dyDescent="0.25">
      <c r="A9745" s="14">
        <v>532180003</v>
      </c>
      <c r="B9745" s="14" t="s">
        <v>9849</v>
      </c>
      <c r="C9745" s="14" t="s">
        <v>13030</v>
      </c>
      <c r="D9745" s="15">
        <v>6.65</v>
      </c>
      <c r="E9745" s="16" t="s">
        <v>30</v>
      </c>
    </row>
    <row r="9746" spans="1:5" x14ac:dyDescent="0.25">
      <c r="A9746" s="14">
        <v>532180004</v>
      </c>
      <c r="B9746" s="14" t="s">
        <v>9850</v>
      </c>
      <c r="C9746" s="14" t="s">
        <v>13030</v>
      </c>
      <c r="D9746" s="15">
        <v>6.65</v>
      </c>
      <c r="E9746" s="16" t="s">
        <v>30</v>
      </c>
    </row>
    <row r="9747" spans="1:5" x14ac:dyDescent="0.25">
      <c r="A9747" s="14">
        <v>533993003</v>
      </c>
      <c r="B9747" s="14" t="s">
        <v>9851</v>
      </c>
      <c r="C9747" s="14" t="s">
        <v>13029</v>
      </c>
      <c r="D9747" s="15">
        <v>20.76</v>
      </c>
      <c r="E9747" s="16" t="s">
        <v>30</v>
      </c>
    </row>
    <row r="9748" spans="1:5" x14ac:dyDescent="0.25">
      <c r="A9748" s="14">
        <v>533993004</v>
      </c>
      <c r="B9748" s="14" t="s">
        <v>9852</v>
      </c>
      <c r="C9748" s="14" t="s">
        <v>13029</v>
      </c>
      <c r="D9748" s="15">
        <v>27.08</v>
      </c>
      <c r="E9748" s="16" t="s">
        <v>30</v>
      </c>
    </row>
    <row r="9749" spans="1:5" x14ac:dyDescent="0.25">
      <c r="A9749" s="14">
        <v>534206001</v>
      </c>
      <c r="B9749" s="14" t="s">
        <v>9853</v>
      </c>
      <c r="C9749" s="14" t="s">
        <v>13031</v>
      </c>
      <c r="D9749" s="15">
        <v>11.55</v>
      </c>
      <c r="E9749" s="16" t="s">
        <v>30</v>
      </c>
    </row>
    <row r="9750" spans="1:5" x14ac:dyDescent="0.25">
      <c r="A9750" s="14">
        <v>449851001</v>
      </c>
      <c r="B9750" s="14" t="s">
        <v>9854</v>
      </c>
      <c r="C9750" s="14" t="s">
        <v>13031</v>
      </c>
      <c r="D9750" s="15">
        <v>1.65</v>
      </c>
      <c r="E9750" s="16" t="s">
        <v>20</v>
      </c>
    </row>
    <row r="9751" spans="1:5" x14ac:dyDescent="0.25">
      <c r="A9751" s="14">
        <v>534206003</v>
      </c>
      <c r="B9751" s="14" t="s">
        <v>9855</v>
      </c>
      <c r="C9751" s="14" t="s">
        <v>13031</v>
      </c>
      <c r="D9751" s="15">
        <v>11.55</v>
      </c>
      <c r="E9751" s="16" t="s">
        <v>30</v>
      </c>
    </row>
    <row r="9752" spans="1:5" x14ac:dyDescent="0.25">
      <c r="A9752" s="14">
        <v>534206004</v>
      </c>
      <c r="B9752" s="14" t="s">
        <v>9856</v>
      </c>
      <c r="C9752" s="14" t="s">
        <v>13031</v>
      </c>
      <c r="D9752" s="15">
        <v>11.55</v>
      </c>
      <c r="E9752" s="16" t="s">
        <v>30</v>
      </c>
    </row>
    <row r="9753" spans="1:5" x14ac:dyDescent="0.25">
      <c r="A9753" s="14">
        <v>534206005</v>
      </c>
      <c r="B9753" s="14" t="s">
        <v>9857</v>
      </c>
      <c r="C9753" s="14" t="s">
        <v>13031</v>
      </c>
      <c r="D9753" s="15">
        <v>11.55</v>
      </c>
      <c r="E9753" s="16" t="s">
        <v>30</v>
      </c>
    </row>
    <row r="9754" spans="1:5" x14ac:dyDescent="0.25">
      <c r="A9754" s="14">
        <v>534206007</v>
      </c>
      <c r="B9754" s="14" t="s">
        <v>9858</v>
      </c>
      <c r="C9754" s="14" t="s">
        <v>13031</v>
      </c>
      <c r="D9754" s="15">
        <v>11.55</v>
      </c>
      <c r="E9754" s="16" t="s">
        <v>30</v>
      </c>
    </row>
    <row r="9755" spans="1:5" x14ac:dyDescent="0.25">
      <c r="A9755" s="14">
        <v>534206008</v>
      </c>
      <c r="B9755" s="14" t="s">
        <v>9859</v>
      </c>
      <c r="C9755" s="14" t="s">
        <v>13031</v>
      </c>
      <c r="D9755" s="15">
        <v>11.55</v>
      </c>
      <c r="E9755" s="16" t="s">
        <v>30</v>
      </c>
    </row>
    <row r="9756" spans="1:5" x14ac:dyDescent="0.25">
      <c r="A9756" s="14">
        <v>534568002</v>
      </c>
      <c r="B9756" s="14" t="s">
        <v>9860</v>
      </c>
      <c r="C9756" s="14" t="s">
        <v>13029</v>
      </c>
      <c r="D9756" s="15">
        <v>16.43</v>
      </c>
      <c r="E9756" s="16" t="s">
        <v>30</v>
      </c>
    </row>
    <row r="9757" spans="1:5" x14ac:dyDescent="0.25">
      <c r="A9757" s="14">
        <v>534650003</v>
      </c>
      <c r="B9757" s="14" t="s">
        <v>9861</v>
      </c>
      <c r="C9757" s="14" t="s">
        <v>13029</v>
      </c>
      <c r="D9757" s="15">
        <v>16.78</v>
      </c>
      <c r="E9757" s="16" t="s">
        <v>30</v>
      </c>
    </row>
    <row r="9758" spans="1:5" x14ac:dyDescent="0.25">
      <c r="A9758" s="14">
        <v>534886001</v>
      </c>
      <c r="B9758" s="14" t="s">
        <v>9862</v>
      </c>
      <c r="C9758" s="14" t="s">
        <v>13030</v>
      </c>
      <c r="D9758" s="15">
        <v>4.62</v>
      </c>
      <c r="E9758" s="16" t="s">
        <v>30</v>
      </c>
    </row>
    <row r="9759" spans="1:5" x14ac:dyDescent="0.25">
      <c r="A9759" s="14">
        <v>534886002</v>
      </c>
      <c r="B9759" s="14" t="s">
        <v>9863</v>
      </c>
      <c r="C9759" s="14" t="s">
        <v>13030</v>
      </c>
      <c r="D9759" s="15">
        <v>4.42</v>
      </c>
      <c r="E9759" s="16" t="s">
        <v>30</v>
      </c>
    </row>
    <row r="9760" spans="1:5" x14ac:dyDescent="0.25">
      <c r="A9760" s="14">
        <v>534886004</v>
      </c>
      <c r="B9760" s="14" t="s">
        <v>9864</v>
      </c>
      <c r="C9760" s="14" t="s">
        <v>13030</v>
      </c>
      <c r="D9760" s="15">
        <v>4.62</v>
      </c>
      <c r="E9760" s="16" t="s">
        <v>30</v>
      </c>
    </row>
    <row r="9761" spans="1:5" x14ac:dyDescent="0.25">
      <c r="A9761" s="14">
        <v>535236002</v>
      </c>
      <c r="B9761" s="14" t="s">
        <v>9865</v>
      </c>
      <c r="C9761" s="14" t="s">
        <v>13029</v>
      </c>
      <c r="D9761" s="15">
        <v>47.39</v>
      </c>
      <c r="E9761" s="16" t="s">
        <v>30</v>
      </c>
    </row>
    <row r="9762" spans="1:5" x14ac:dyDescent="0.25">
      <c r="A9762" s="14">
        <v>535932001</v>
      </c>
      <c r="B9762" s="14" t="s">
        <v>9866</v>
      </c>
      <c r="C9762" s="14" t="s">
        <v>13030</v>
      </c>
      <c r="D9762" s="15">
        <v>19.21</v>
      </c>
      <c r="E9762" s="16" t="s">
        <v>30</v>
      </c>
    </row>
    <row r="9763" spans="1:5" x14ac:dyDescent="0.25">
      <c r="A9763" s="14">
        <v>541669004</v>
      </c>
      <c r="B9763" s="14" t="s">
        <v>9867</v>
      </c>
      <c r="C9763" s="14" t="s">
        <v>13031</v>
      </c>
      <c r="D9763" s="15">
        <v>4.1100000000000003</v>
      </c>
      <c r="E9763" s="16" t="s">
        <v>30</v>
      </c>
    </row>
    <row r="9764" spans="1:5" x14ac:dyDescent="0.25">
      <c r="A9764" s="14">
        <v>542617001</v>
      </c>
      <c r="B9764" s="14" t="s">
        <v>9868</v>
      </c>
      <c r="C9764" s="14" t="s">
        <v>13030</v>
      </c>
      <c r="D9764" s="15">
        <v>2.4500000000000002</v>
      </c>
      <c r="E9764" s="16" t="s">
        <v>30</v>
      </c>
    </row>
    <row r="9765" spans="1:5" x14ac:dyDescent="0.25">
      <c r="A9765" s="14">
        <v>542617002</v>
      </c>
      <c r="B9765" s="14" t="s">
        <v>9869</v>
      </c>
      <c r="C9765" s="14" t="s">
        <v>13030</v>
      </c>
      <c r="D9765" s="15">
        <v>2.4500000000000002</v>
      </c>
      <c r="E9765" s="16" t="s">
        <v>30</v>
      </c>
    </row>
    <row r="9766" spans="1:5" x14ac:dyDescent="0.25">
      <c r="A9766" s="14">
        <v>542934002</v>
      </c>
      <c r="B9766" s="14" t="s">
        <v>9870</v>
      </c>
      <c r="C9766" s="14" t="s">
        <v>13029</v>
      </c>
      <c r="D9766" s="15">
        <v>16.38</v>
      </c>
      <c r="E9766" s="16" t="s">
        <v>30</v>
      </c>
    </row>
    <row r="9767" spans="1:5" x14ac:dyDescent="0.25">
      <c r="A9767" s="14">
        <v>542958002</v>
      </c>
      <c r="B9767" s="14" t="s">
        <v>9871</v>
      </c>
      <c r="C9767" s="14" t="s">
        <v>13029</v>
      </c>
      <c r="D9767" s="15">
        <v>15.7</v>
      </c>
      <c r="E9767" s="14" t="s">
        <v>30</v>
      </c>
    </row>
    <row r="9768" spans="1:5" x14ac:dyDescent="0.25">
      <c r="A9768" s="14">
        <v>542958004</v>
      </c>
      <c r="B9768" s="14" t="s">
        <v>9872</v>
      </c>
      <c r="C9768" s="14" t="s">
        <v>13029</v>
      </c>
      <c r="D9768" s="15">
        <v>15.7</v>
      </c>
      <c r="E9768" s="14" t="s">
        <v>30</v>
      </c>
    </row>
    <row r="9769" spans="1:5" x14ac:dyDescent="0.25">
      <c r="A9769" s="14">
        <v>449851002</v>
      </c>
      <c r="B9769" s="14" t="s">
        <v>9873</v>
      </c>
      <c r="C9769" s="14" t="s">
        <v>13031</v>
      </c>
      <c r="D9769" s="15">
        <v>1.65</v>
      </c>
      <c r="E9769" s="16" t="s">
        <v>20</v>
      </c>
    </row>
    <row r="9770" spans="1:5" x14ac:dyDescent="0.25">
      <c r="A9770" s="14">
        <v>449851003</v>
      </c>
      <c r="B9770" s="14" t="s">
        <v>9874</v>
      </c>
      <c r="C9770" s="14" t="s">
        <v>13031</v>
      </c>
      <c r="D9770" s="15">
        <v>1.65</v>
      </c>
      <c r="E9770" s="16" t="s">
        <v>20</v>
      </c>
    </row>
    <row r="9771" spans="1:5" x14ac:dyDescent="0.25">
      <c r="A9771" s="14">
        <v>450569002</v>
      </c>
      <c r="B9771" s="14" t="s">
        <v>9875</v>
      </c>
      <c r="C9771" s="14" t="s">
        <v>13031</v>
      </c>
      <c r="D9771" s="15">
        <v>10</v>
      </c>
      <c r="E9771" s="16" t="s">
        <v>20</v>
      </c>
    </row>
    <row r="9772" spans="1:5" x14ac:dyDescent="0.25">
      <c r="A9772" s="14">
        <v>477090001</v>
      </c>
      <c r="B9772" s="14" t="s">
        <v>9876</v>
      </c>
      <c r="C9772" s="14" t="s">
        <v>13031</v>
      </c>
      <c r="D9772" s="15">
        <v>11.43</v>
      </c>
      <c r="E9772" s="16" t="s">
        <v>20</v>
      </c>
    </row>
    <row r="9773" spans="1:5" x14ac:dyDescent="0.25">
      <c r="A9773" s="14">
        <v>542959009</v>
      </c>
      <c r="B9773" s="14" t="s">
        <v>9877</v>
      </c>
      <c r="C9773" s="14" t="s">
        <v>13029</v>
      </c>
      <c r="D9773" s="15">
        <v>25.64</v>
      </c>
      <c r="E9773" s="14" t="s">
        <v>30</v>
      </c>
    </row>
    <row r="9774" spans="1:5" x14ac:dyDescent="0.25">
      <c r="A9774" s="14">
        <v>543204001</v>
      </c>
      <c r="B9774" s="14" t="s">
        <v>9878</v>
      </c>
      <c r="C9774" s="14" t="s">
        <v>13029</v>
      </c>
      <c r="D9774" s="15">
        <v>48.33</v>
      </c>
      <c r="E9774" s="16" t="s">
        <v>30</v>
      </c>
    </row>
    <row r="9775" spans="1:5" x14ac:dyDescent="0.25">
      <c r="A9775" s="14">
        <v>543956001</v>
      </c>
      <c r="B9775" s="14" t="s">
        <v>9879</v>
      </c>
      <c r="C9775" s="14" t="s">
        <v>13030</v>
      </c>
      <c r="D9775" s="15">
        <v>11.81</v>
      </c>
      <c r="E9775" s="16" t="s">
        <v>30</v>
      </c>
    </row>
    <row r="9776" spans="1:5" x14ac:dyDescent="0.25">
      <c r="A9776" s="14">
        <v>543956003</v>
      </c>
      <c r="B9776" s="14" t="s">
        <v>9880</v>
      </c>
      <c r="C9776" s="14" t="s">
        <v>13030</v>
      </c>
      <c r="D9776" s="15">
        <v>11.81</v>
      </c>
      <c r="E9776" s="16" t="s">
        <v>30</v>
      </c>
    </row>
    <row r="9777" spans="1:5" x14ac:dyDescent="0.25">
      <c r="A9777" s="14">
        <v>477191002</v>
      </c>
      <c r="B9777" s="14" t="s">
        <v>9881</v>
      </c>
      <c r="C9777" s="14" t="s">
        <v>13031</v>
      </c>
      <c r="D9777" s="15">
        <v>8.99</v>
      </c>
      <c r="E9777" s="16" t="s">
        <v>20</v>
      </c>
    </row>
    <row r="9778" spans="1:5" x14ac:dyDescent="0.25">
      <c r="A9778" s="14">
        <v>477425004</v>
      </c>
      <c r="B9778" s="14" t="s">
        <v>9882</v>
      </c>
      <c r="C9778" s="14" t="s">
        <v>13031</v>
      </c>
      <c r="D9778" s="15">
        <v>13.03</v>
      </c>
      <c r="E9778" s="16" t="s">
        <v>20</v>
      </c>
    </row>
    <row r="9779" spans="1:5" x14ac:dyDescent="0.25">
      <c r="A9779" s="14">
        <v>543956004</v>
      </c>
      <c r="B9779" s="14" t="s">
        <v>9883</v>
      </c>
      <c r="C9779" s="14" t="s">
        <v>13030</v>
      </c>
      <c r="D9779" s="15">
        <v>11.81</v>
      </c>
      <c r="E9779" s="16" t="s">
        <v>30</v>
      </c>
    </row>
    <row r="9780" spans="1:5" x14ac:dyDescent="0.25">
      <c r="A9780" s="14">
        <v>543956006</v>
      </c>
      <c r="B9780" s="14" t="s">
        <v>9884</v>
      </c>
      <c r="C9780" s="14" t="s">
        <v>13030</v>
      </c>
      <c r="D9780" s="15">
        <v>11.81</v>
      </c>
      <c r="E9780" s="16" t="s">
        <v>30</v>
      </c>
    </row>
    <row r="9781" spans="1:5" x14ac:dyDescent="0.25">
      <c r="A9781" s="14">
        <v>544685001</v>
      </c>
      <c r="B9781" s="14" t="s">
        <v>9885</v>
      </c>
      <c r="C9781" s="14" t="s">
        <v>13030</v>
      </c>
      <c r="D9781" s="15">
        <v>4.26</v>
      </c>
      <c r="E9781" s="14" t="s">
        <v>30</v>
      </c>
    </row>
    <row r="9782" spans="1:5" x14ac:dyDescent="0.25">
      <c r="A9782" s="14">
        <v>544685002</v>
      </c>
      <c r="B9782" s="14" t="s">
        <v>9886</v>
      </c>
      <c r="C9782" s="14" t="s">
        <v>13030</v>
      </c>
      <c r="D9782" s="15">
        <v>4.26</v>
      </c>
      <c r="E9782" s="14" t="s">
        <v>30</v>
      </c>
    </row>
    <row r="9783" spans="1:5" x14ac:dyDescent="0.25">
      <c r="A9783" s="14">
        <v>544685003</v>
      </c>
      <c r="B9783" s="14" t="s">
        <v>9887</v>
      </c>
      <c r="C9783" s="14" t="s">
        <v>13030</v>
      </c>
      <c r="D9783" s="15">
        <v>4.26</v>
      </c>
      <c r="E9783" s="14" t="s">
        <v>30</v>
      </c>
    </row>
    <row r="9784" spans="1:5" x14ac:dyDescent="0.25">
      <c r="A9784" s="14">
        <v>544685008</v>
      </c>
      <c r="B9784" s="14" t="s">
        <v>9888</v>
      </c>
      <c r="C9784" s="14" t="s">
        <v>13030</v>
      </c>
      <c r="D9784" s="15">
        <v>4.26</v>
      </c>
      <c r="E9784" s="16" t="s">
        <v>30</v>
      </c>
    </row>
    <row r="9785" spans="1:5" x14ac:dyDescent="0.25">
      <c r="A9785" s="14">
        <v>544685009</v>
      </c>
      <c r="B9785" s="14" t="s">
        <v>9889</v>
      </c>
      <c r="C9785" s="14" t="s">
        <v>13030</v>
      </c>
      <c r="D9785" s="15">
        <v>4.26</v>
      </c>
      <c r="E9785" s="14" t="s">
        <v>30</v>
      </c>
    </row>
    <row r="9786" spans="1:5" x14ac:dyDescent="0.25">
      <c r="A9786" s="14">
        <v>544959001</v>
      </c>
      <c r="B9786" s="14" t="s">
        <v>9890</v>
      </c>
      <c r="C9786" s="14" t="s">
        <v>13029</v>
      </c>
      <c r="D9786" s="15">
        <v>16.399999999999999</v>
      </c>
      <c r="E9786" s="16" t="s">
        <v>30</v>
      </c>
    </row>
    <row r="9787" spans="1:5" x14ac:dyDescent="0.25">
      <c r="A9787" s="14">
        <v>547015001</v>
      </c>
      <c r="B9787" s="14" t="s">
        <v>9891</v>
      </c>
      <c r="C9787" s="14" t="s">
        <v>13030</v>
      </c>
      <c r="D9787" s="15">
        <v>59.42</v>
      </c>
      <c r="E9787" s="16" t="s">
        <v>30</v>
      </c>
    </row>
    <row r="9788" spans="1:5" x14ac:dyDescent="0.25">
      <c r="A9788" s="14">
        <v>547015002</v>
      </c>
      <c r="B9788" s="14" t="s">
        <v>9892</v>
      </c>
      <c r="C9788" s="14" t="s">
        <v>13030</v>
      </c>
      <c r="D9788" s="15">
        <v>59.42</v>
      </c>
      <c r="E9788" s="16" t="s">
        <v>30</v>
      </c>
    </row>
    <row r="9789" spans="1:5" x14ac:dyDescent="0.25">
      <c r="A9789" s="14">
        <v>547016001</v>
      </c>
      <c r="B9789" s="14" t="s">
        <v>9893</v>
      </c>
      <c r="C9789" s="14" t="s">
        <v>13029</v>
      </c>
      <c r="D9789" s="15">
        <v>17.739999999999998</v>
      </c>
      <c r="E9789" s="16" t="s">
        <v>30</v>
      </c>
    </row>
    <row r="9790" spans="1:5" x14ac:dyDescent="0.25">
      <c r="A9790" s="14">
        <v>549383001</v>
      </c>
      <c r="B9790" s="14" t="s">
        <v>9894</v>
      </c>
      <c r="C9790" s="14" t="s">
        <v>13029</v>
      </c>
      <c r="D9790" s="15">
        <v>29.8</v>
      </c>
      <c r="E9790" s="16" t="s">
        <v>30</v>
      </c>
    </row>
    <row r="9791" spans="1:5" x14ac:dyDescent="0.25">
      <c r="A9791" s="14">
        <v>549383002</v>
      </c>
      <c r="B9791" s="14" t="s">
        <v>9895</v>
      </c>
      <c r="C9791" s="14" t="s">
        <v>13029</v>
      </c>
      <c r="D9791" s="15">
        <v>29.8</v>
      </c>
      <c r="E9791" s="16" t="s">
        <v>30</v>
      </c>
    </row>
    <row r="9792" spans="1:5" x14ac:dyDescent="0.25">
      <c r="A9792" s="14">
        <v>549383003</v>
      </c>
      <c r="B9792" s="14" t="s">
        <v>9896</v>
      </c>
      <c r="C9792" s="14" t="s">
        <v>13029</v>
      </c>
      <c r="D9792" s="15">
        <v>29.8</v>
      </c>
      <c r="E9792" s="16" t="s">
        <v>30</v>
      </c>
    </row>
    <row r="9793" spans="1:5" x14ac:dyDescent="0.25">
      <c r="A9793" s="14">
        <v>549423012</v>
      </c>
      <c r="B9793" s="14" t="s">
        <v>9897</v>
      </c>
      <c r="C9793" s="14" t="s">
        <v>13029</v>
      </c>
      <c r="D9793" s="15">
        <v>12.68</v>
      </c>
      <c r="E9793" s="16" t="s">
        <v>30</v>
      </c>
    </row>
    <row r="9794" spans="1:5" x14ac:dyDescent="0.25">
      <c r="A9794" s="14">
        <v>549423013</v>
      </c>
      <c r="B9794" s="14" t="s">
        <v>9898</v>
      </c>
      <c r="C9794" s="14" t="s">
        <v>13029</v>
      </c>
      <c r="D9794" s="15">
        <v>12.68</v>
      </c>
      <c r="E9794" s="16" t="s">
        <v>30</v>
      </c>
    </row>
    <row r="9795" spans="1:5" x14ac:dyDescent="0.25">
      <c r="A9795" s="14">
        <v>549423014</v>
      </c>
      <c r="B9795" s="14" t="s">
        <v>9899</v>
      </c>
      <c r="C9795" s="14" t="s">
        <v>13029</v>
      </c>
      <c r="D9795" s="15">
        <v>12.68</v>
      </c>
      <c r="E9795" s="16" t="s">
        <v>30</v>
      </c>
    </row>
    <row r="9796" spans="1:5" x14ac:dyDescent="0.25">
      <c r="A9796" s="14">
        <v>549423020</v>
      </c>
      <c r="B9796" s="14" t="s">
        <v>9900</v>
      </c>
      <c r="C9796" s="14" t="s">
        <v>13029</v>
      </c>
      <c r="D9796" s="15">
        <v>13.72</v>
      </c>
      <c r="E9796" s="16" t="s">
        <v>30</v>
      </c>
    </row>
    <row r="9797" spans="1:5" x14ac:dyDescent="0.25">
      <c r="A9797" s="14">
        <v>550533001</v>
      </c>
      <c r="B9797" s="14" t="s">
        <v>9901</v>
      </c>
      <c r="C9797" s="14" t="s">
        <v>13030</v>
      </c>
      <c r="D9797" s="15">
        <v>1.27</v>
      </c>
      <c r="E9797" s="16" t="s">
        <v>30</v>
      </c>
    </row>
    <row r="9798" spans="1:5" x14ac:dyDescent="0.25">
      <c r="A9798" s="14">
        <v>550533002</v>
      </c>
      <c r="B9798" s="14" t="s">
        <v>9902</v>
      </c>
      <c r="C9798" s="14" t="s">
        <v>13030</v>
      </c>
      <c r="D9798" s="15">
        <v>1.27</v>
      </c>
      <c r="E9798" s="16" t="s">
        <v>30</v>
      </c>
    </row>
    <row r="9799" spans="1:5" x14ac:dyDescent="0.25">
      <c r="A9799" s="14">
        <v>552393001</v>
      </c>
      <c r="B9799" s="14" t="s">
        <v>9903</v>
      </c>
      <c r="C9799" s="14" t="s">
        <v>13029</v>
      </c>
      <c r="D9799" s="15">
        <v>13.84</v>
      </c>
      <c r="E9799" s="16" t="s">
        <v>30</v>
      </c>
    </row>
    <row r="9800" spans="1:5" x14ac:dyDescent="0.25">
      <c r="A9800" s="14">
        <v>552393002</v>
      </c>
      <c r="B9800" s="14" t="s">
        <v>9904</v>
      </c>
      <c r="C9800" s="14" t="s">
        <v>13029</v>
      </c>
      <c r="D9800" s="15">
        <v>13.84</v>
      </c>
      <c r="E9800" s="16" t="s">
        <v>30</v>
      </c>
    </row>
    <row r="9801" spans="1:5" x14ac:dyDescent="0.25">
      <c r="A9801" s="14">
        <v>552393003</v>
      </c>
      <c r="B9801" s="14" t="s">
        <v>9905</v>
      </c>
      <c r="C9801" s="14" t="s">
        <v>13029</v>
      </c>
      <c r="D9801" s="15">
        <v>13.84</v>
      </c>
      <c r="E9801" s="16" t="s">
        <v>30</v>
      </c>
    </row>
    <row r="9802" spans="1:5" x14ac:dyDescent="0.25">
      <c r="A9802" s="14">
        <v>559232002</v>
      </c>
      <c r="B9802" s="14" t="s">
        <v>9906</v>
      </c>
      <c r="C9802" s="14" t="s">
        <v>13029</v>
      </c>
      <c r="D9802" s="15">
        <v>5.58</v>
      </c>
      <c r="E9802" s="16" t="s">
        <v>30</v>
      </c>
    </row>
    <row r="9803" spans="1:5" x14ac:dyDescent="0.25">
      <c r="A9803" s="14">
        <v>559232003</v>
      </c>
      <c r="B9803" s="14" t="s">
        <v>9907</v>
      </c>
      <c r="C9803" s="14" t="s">
        <v>13029</v>
      </c>
      <c r="D9803" s="15">
        <v>4.63</v>
      </c>
      <c r="E9803" s="16" t="s">
        <v>30</v>
      </c>
    </row>
    <row r="9804" spans="1:5" x14ac:dyDescent="0.25">
      <c r="A9804" s="14">
        <v>559241002</v>
      </c>
      <c r="B9804" s="14" t="s">
        <v>9908</v>
      </c>
      <c r="C9804" s="14" t="s">
        <v>13029</v>
      </c>
      <c r="D9804" s="15">
        <v>17.28</v>
      </c>
      <c r="E9804" s="16" t="s">
        <v>30</v>
      </c>
    </row>
    <row r="9805" spans="1:5" x14ac:dyDescent="0.25">
      <c r="A9805" s="14">
        <v>559278002</v>
      </c>
      <c r="B9805" s="14" t="s">
        <v>9909</v>
      </c>
      <c r="C9805" s="14" t="s">
        <v>13029</v>
      </c>
      <c r="D9805" s="15">
        <v>20.420000000000002</v>
      </c>
      <c r="E9805" s="16" t="s">
        <v>30</v>
      </c>
    </row>
    <row r="9806" spans="1:5" x14ac:dyDescent="0.25">
      <c r="A9806" s="14">
        <v>560326001</v>
      </c>
      <c r="B9806" s="14" t="s">
        <v>9910</v>
      </c>
      <c r="C9806" s="14" t="s">
        <v>13029</v>
      </c>
      <c r="D9806" s="15">
        <v>16.61</v>
      </c>
      <c r="E9806" s="16" t="s">
        <v>30</v>
      </c>
    </row>
    <row r="9807" spans="1:5" x14ac:dyDescent="0.25">
      <c r="A9807" s="14">
        <v>560585002</v>
      </c>
      <c r="B9807" s="14" t="s">
        <v>9911</v>
      </c>
      <c r="C9807" s="14" t="s">
        <v>13031</v>
      </c>
      <c r="D9807" s="15">
        <v>11.82</v>
      </c>
      <c r="E9807" s="16" t="s">
        <v>30</v>
      </c>
    </row>
    <row r="9808" spans="1:5" x14ac:dyDescent="0.25">
      <c r="A9808" s="14">
        <v>560585004</v>
      </c>
      <c r="B9808" s="14" t="s">
        <v>9912</v>
      </c>
      <c r="C9808" s="14" t="s">
        <v>13031</v>
      </c>
      <c r="D9808" s="15">
        <v>11.82</v>
      </c>
      <c r="E9808" s="16" t="s">
        <v>30</v>
      </c>
    </row>
    <row r="9809" spans="1:5" x14ac:dyDescent="0.25">
      <c r="A9809" s="14">
        <v>560585006</v>
      </c>
      <c r="B9809" s="14" t="s">
        <v>9913</v>
      </c>
      <c r="C9809" s="14" t="s">
        <v>13031</v>
      </c>
      <c r="D9809" s="15">
        <v>11.82</v>
      </c>
      <c r="E9809" s="16" t="s">
        <v>30</v>
      </c>
    </row>
    <row r="9810" spans="1:5" x14ac:dyDescent="0.25">
      <c r="A9810" s="14">
        <v>560585007</v>
      </c>
      <c r="B9810" s="14" t="s">
        <v>9914</v>
      </c>
      <c r="C9810" s="14" t="s">
        <v>13031</v>
      </c>
      <c r="D9810" s="15">
        <v>11.82</v>
      </c>
      <c r="E9810" s="16" t="s">
        <v>30</v>
      </c>
    </row>
    <row r="9811" spans="1:5" x14ac:dyDescent="0.25">
      <c r="A9811" s="14">
        <v>560585009</v>
      </c>
      <c r="B9811" s="14" t="s">
        <v>9915</v>
      </c>
      <c r="C9811" s="14" t="s">
        <v>13031</v>
      </c>
      <c r="D9811" s="15">
        <v>11.82</v>
      </c>
      <c r="E9811" s="16" t="s">
        <v>30</v>
      </c>
    </row>
    <row r="9812" spans="1:5" x14ac:dyDescent="0.25">
      <c r="A9812" s="14">
        <v>560585010</v>
      </c>
      <c r="B9812" s="14" t="s">
        <v>9916</v>
      </c>
      <c r="C9812" s="14" t="s">
        <v>13031</v>
      </c>
      <c r="D9812" s="15">
        <v>11.82</v>
      </c>
      <c r="E9812" s="16" t="s">
        <v>30</v>
      </c>
    </row>
    <row r="9813" spans="1:5" x14ac:dyDescent="0.25">
      <c r="A9813" s="14">
        <v>560744001</v>
      </c>
      <c r="B9813" s="14" t="s">
        <v>9917</v>
      </c>
      <c r="C9813" s="14" t="s">
        <v>13029</v>
      </c>
      <c r="D9813" s="15">
        <v>9.64</v>
      </c>
      <c r="E9813" s="16" t="s">
        <v>30</v>
      </c>
    </row>
    <row r="9814" spans="1:5" x14ac:dyDescent="0.25">
      <c r="A9814" s="14">
        <v>560744004</v>
      </c>
      <c r="B9814" s="14" t="s">
        <v>9918</v>
      </c>
      <c r="C9814" s="14" t="s">
        <v>13029</v>
      </c>
      <c r="D9814" s="15">
        <v>10.1</v>
      </c>
      <c r="E9814" s="16" t="s">
        <v>30</v>
      </c>
    </row>
    <row r="9815" spans="1:5" x14ac:dyDescent="0.25">
      <c r="A9815" s="14">
        <v>561010001</v>
      </c>
      <c r="B9815" s="14" t="s">
        <v>9919</v>
      </c>
      <c r="C9815" s="14" t="s">
        <v>13029</v>
      </c>
      <c r="D9815" s="15">
        <v>25.51</v>
      </c>
      <c r="E9815" s="16" t="s">
        <v>30</v>
      </c>
    </row>
    <row r="9816" spans="1:5" x14ac:dyDescent="0.25">
      <c r="A9816" s="14">
        <v>562870001</v>
      </c>
      <c r="B9816" s="14" t="s">
        <v>9920</v>
      </c>
      <c r="C9816" s="14" t="s">
        <v>13030</v>
      </c>
      <c r="D9816" s="15">
        <v>12.69</v>
      </c>
      <c r="E9816" s="16" t="s">
        <v>30</v>
      </c>
    </row>
    <row r="9817" spans="1:5" x14ac:dyDescent="0.25">
      <c r="A9817" s="14">
        <v>564585001</v>
      </c>
      <c r="B9817" s="14" t="s">
        <v>9921</v>
      </c>
      <c r="C9817" s="14" t="s">
        <v>13031</v>
      </c>
      <c r="D9817" s="15">
        <v>19.170000000000002</v>
      </c>
      <c r="E9817" s="14" t="s">
        <v>30</v>
      </c>
    </row>
    <row r="9818" spans="1:5" x14ac:dyDescent="0.25">
      <c r="A9818" s="14">
        <v>564585002</v>
      </c>
      <c r="B9818" s="14" t="s">
        <v>9922</v>
      </c>
      <c r="C9818" s="14" t="s">
        <v>13031</v>
      </c>
      <c r="D9818" s="15">
        <v>19.170000000000002</v>
      </c>
      <c r="E9818" s="14" t="s">
        <v>30</v>
      </c>
    </row>
    <row r="9819" spans="1:5" x14ac:dyDescent="0.25">
      <c r="A9819" s="14">
        <v>567185003</v>
      </c>
      <c r="B9819" s="14" t="s">
        <v>9923</v>
      </c>
      <c r="C9819" s="14" t="s">
        <v>13030</v>
      </c>
      <c r="D9819" s="15">
        <v>3.64</v>
      </c>
      <c r="E9819" s="16" t="s">
        <v>30</v>
      </c>
    </row>
    <row r="9820" spans="1:5" x14ac:dyDescent="0.25">
      <c r="A9820" s="14">
        <v>567861001</v>
      </c>
      <c r="B9820" s="14" t="s">
        <v>9924</v>
      </c>
      <c r="C9820" s="14" t="s">
        <v>13030</v>
      </c>
      <c r="D9820" s="15">
        <v>3.1</v>
      </c>
      <c r="E9820" s="16" t="s">
        <v>30</v>
      </c>
    </row>
    <row r="9821" spans="1:5" x14ac:dyDescent="0.25">
      <c r="A9821" s="14">
        <v>567861002</v>
      </c>
      <c r="B9821" s="14" t="s">
        <v>9925</v>
      </c>
      <c r="C9821" s="14" t="s">
        <v>13030</v>
      </c>
      <c r="D9821" s="15">
        <v>3.1</v>
      </c>
      <c r="E9821" s="16" t="s">
        <v>30</v>
      </c>
    </row>
    <row r="9822" spans="1:5" x14ac:dyDescent="0.25">
      <c r="A9822" s="14">
        <v>567861003</v>
      </c>
      <c r="B9822" s="14" t="s">
        <v>9926</v>
      </c>
      <c r="C9822" s="14" t="s">
        <v>13030</v>
      </c>
      <c r="D9822" s="15">
        <v>3.1</v>
      </c>
      <c r="E9822" s="16" t="s">
        <v>30</v>
      </c>
    </row>
    <row r="9823" spans="1:5" x14ac:dyDescent="0.25">
      <c r="A9823" s="14">
        <v>567862002</v>
      </c>
      <c r="B9823" s="14" t="s">
        <v>119</v>
      </c>
      <c r="C9823" s="14" t="s">
        <v>13030</v>
      </c>
      <c r="D9823" s="15">
        <v>3.1</v>
      </c>
      <c r="E9823" s="16" t="s">
        <v>30</v>
      </c>
    </row>
    <row r="9824" spans="1:5" x14ac:dyDescent="0.25">
      <c r="A9824" s="14">
        <v>567862003</v>
      </c>
      <c r="B9824" s="14" t="s">
        <v>9927</v>
      </c>
      <c r="C9824" s="14" t="s">
        <v>13030</v>
      </c>
      <c r="D9824" s="15">
        <v>3.1</v>
      </c>
      <c r="E9824" s="16" t="s">
        <v>30</v>
      </c>
    </row>
    <row r="9825" spans="1:5" x14ac:dyDescent="0.25">
      <c r="A9825" s="14">
        <v>567864002</v>
      </c>
      <c r="B9825" s="14" t="s">
        <v>9928</v>
      </c>
      <c r="C9825" s="14" t="s">
        <v>13029</v>
      </c>
      <c r="D9825" s="15">
        <v>11.12</v>
      </c>
      <c r="E9825" s="16" t="s">
        <v>30</v>
      </c>
    </row>
    <row r="9826" spans="1:5" x14ac:dyDescent="0.25">
      <c r="A9826" s="14">
        <v>567864004</v>
      </c>
      <c r="B9826" s="14" t="s">
        <v>9929</v>
      </c>
      <c r="C9826" s="14" t="s">
        <v>13029</v>
      </c>
      <c r="D9826" s="15">
        <v>11.12</v>
      </c>
      <c r="E9826" s="16" t="s">
        <v>30</v>
      </c>
    </row>
    <row r="9827" spans="1:5" x14ac:dyDescent="0.25">
      <c r="A9827" s="14">
        <v>567864005</v>
      </c>
      <c r="B9827" s="14" t="s">
        <v>9930</v>
      </c>
      <c r="C9827" s="14" t="s">
        <v>13029</v>
      </c>
      <c r="D9827" s="15">
        <v>11.12</v>
      </c>
      <c r="E9827" s="16" t="s">
        <v>30</v>
      </c>
    </row>
    <row r="9828" spans="1:5" x14ac:dyDescent="0.25">
      <c r="A9828" s="14">
        <v>569507001</v>
      </c>
      <c r="B9828" s="14" t="s">
        <v>9931</v>
      </c>
      <c r="C9828" s="14" t="s">
        <v>13029</v>
      </c>
      <c r="D9828" s="15">
        <v>9.74</v>
      </c>
      <c r="E9828" s="16" t="s">
        <v>30</v>
      </c>
    </row>
    <row r="9829" spans="1:5" x14ac:dyDescent="0.25">
      <c r="A9829" s="14">
        <v>569596001</v>
      </c>
      <c r="B9829" s="14" t="s">
        <v>9932</v>
      </c>
      <c r="C9829" s="14" t="s">
        <v>13029</v>
      </c>
      <c r="D9829" s="15">
        <v>11.85</v>
      </c>
      <c r="E9829" s="16" t="s">
        <v>30</v>
      </c>
    </row>
    <row r="9830" spans="1:5" x14ac:dyDescent="0.25">
      <c r="A9830" s="14">
        <v>569596002</v>
      </c>
      <c r="B9830" s="14" t="s">
        <v>9933</v>
      </c>
      <c r="C9830" s="14" t="s">
        <v>13029</v>
      </c>
      <c r="D9830" s="15">
        <v>10.130000000000001</v>
      </c>
      <c r="E9830" s="16" t="s">
        <v>30</v>
      </c>
    </row>
    <row r="9831" spans="1:5" x14ac:dyDescent="0.25">
      <c r="A9831" s="14">
        <v>569596003</v>
      </c>
      <c r="B9831" s="14" t="s">
        <v>9934</v>
      </c>
      <c r="C9831" s="14" t="s">
        <v>13029</v>
      </c>
      <c r="D9831" s="15">
        <v>11.85</v>
      </c>
      <c r="E9831" s="16" t="s">
        <v>30</v>
      </c>
    </row>
    <row r="9832" spans="1:5" x14ac:dyDescent="0.25">
      <c r="A9832" s="14">
        <v>569596006</v>
      </c>
      <c r="B9832" s="14" t="s">
        <v>9935</v>
      </c>
      <c r="C9832" s="14" t="s">
        <v>13029</v>
      </c>
      <c r="D9832" s="15">
        <v>10.130000000000001</v>
      </c>
      <c r="E9832" s="16" t="s">
        <v>30</v>
      </c>
    </row>
    <row r="9833" spans="1:5" x14ac:dyDescent="0.25">
      <c r="A9833" s="14">
        <v>569596007</v>
      </c>
      <c r="B9833" s="14" t="s">
        <v>9936</v>
      </c>
      <c r="C9833" s="14" t="s">
        <v>13029</v>
      </c>
      <c r="D9833" s="15">
        <v>10.130000000000001</v>
      </c>
      <c r="E9833" s="16" t="s">
        <v>30</v>
      </c>
    </row>
    <row r="9834" spans="1:5" x14ac:dyDescent="0.25">
      <c r="A9834" s="14">
        <v>575346001</v>
      </c>
      <c r="B9834" s="14" t="s">
        <v>9937</v>
      </c>
      <c r="C9834" s="14" t="s">
        <v>13029</v>
      </c>
      <c r="D9834" s="15">
        <v>10.59</v>
      </c>
      <c r="E9834" s="16" t="s">
        <v>30</v>
      </c>
    </row>
    <row r="9835" spans="1:5" x14ac:dyDescent="0.25">
      <c r="A9835" s="14">
        <v>575997002</v>
      </c>
      <c r="B9835" s="14" t="s">
        <v>9938</v>
      </c>
      <c r="C9835" s="14" t="s">
        <v>13029</v>
      </c>
      <c r="D9835" s="15">
        <v>25.49</v>
      </c>
      <c r="E9835" s="14" t="s">
        <v>30</v>
      </c>
    </row>
    <row r="9836" spans="1:5" x14ac:dyDescent="0.25">
      <c r="A9836" s="14">
        <v>575997003</v>
      </c>
      <c r="B9836" s="14" t="s">
        <v>9939</v>
      </c>
      <c r="C9836" s="14" t="s">
        <v>13029</v>
      </c>
      <c r="D9836" s="15">
        <v>25.49</v>
      </c>
      <c r="E9836" s="14" t="s">
        <v>30</v>
      </c>
    </row>
    <row r="9837" spans="1:5" x14ac:dyDescent="0.25">
      <c r="A9837" s="14">
        <v>575997004</v>
      </c>
      <c r="B9837" s="14" t="s">
        <v>9940</v>
      </c>
      <c r="C9837" s="14" t="s">
        <v>13029</v>
      </c>
      <c r="D9837" s="15">
        <v>25.49</v>
      </c>
      <c r="E9837" s="14" t="s">
        <v>30</v>
      </c>
    </row>
    <row r="9838" spans="1:5" x14ac:dyDescent="0.25">
      <c r="A9838" s="14">
        <v>577101002</v>
      </c>
      <c r="B9838" s="14" t="s">
        <v>9941</v>
      </c>
      <c r="C9838" s="14" t="s">
        <v>13030</v>
      </c>
      <c r="D9838" s="15">
        <v>7.3</v>
      </c>
      <c r="E9838" s="16" t="s">
        <v>30</v>
      </c>
    </row>
    <row r="9839" spans="1:5" x14ac:dyDescent="0.25">
      <c r="A9839" s="14">
        <v>577101003</v>
      </c>
      <c r="B9839" s="14" t="s">
        <v>9942</v>
      </c>
      <c r="C9839" s="14" t="s">
        <v>13030</v>
      </c>
      <c r="D9839" s="15">
        <v>7.3</v>
      </c>
      <c r="E9839" s="16" t="s">
        <v>30</v>
      </c>
    </row>
    <row r="9840" spans="1:5" x14ac:dyDescent="0.25">
      <c r="A9840" s="14">
        <v>577137001</v>
      </c>
      <c r="B9840" s="14" t="s">
        <v>9943</v>
      </c>
      <c r="C9840" s="14" t="s">
        <v>13030</v>
      </c>
      <c r="D9840" s="15">
        <v>5.82</v>
      </c>
      <c r="E9840" s="16" t="s">
        <v>30</v>
      </c>
    </row>
    <row r="9841" spans="1:5" x14ac:dyDescent="0.25">
      <c r="A9841" s="14">
        <v>577137003</v>
      </c>
      <c r="B9841" s="14" t="s">
        <v>9944</v>
      </c>
      <c r="C9841" s="14" t="s">
        <v>13030</v>
      </c>
      <c r="D9841" s="15">
        <v>5.82</v>
      </c>
      <c r="E9841" s="16" t="s">
        <v>30</v>
      </c>
    </row>
    <row r="9842" spans="1:5" x14ac:dyDescent="0.25">
      <c r="A9842" s="14">
        <v>577137004</v>
      </c>
      <c r="B9842" s="14" t="s">
        <v>9945</v>
      </c>
      <c r="C9842" s="14" t="s">
        <v>13030</v>
      </c>
      <c r="D9842" s="15">
        <v>5.82</v>
      </c>
      <c r="E9842" s="16" t="s">
        <v>30</v>
      </c>
    </row>
    <row r="9843" spans="1:5" x14ac:dyDescent="0.25">
      <c r="A9843" s="14">
        <v>477426001</v>
      </c>
      <c r="B9843" s="14" t="s">
        <v>9946</v>
      </c>
      <c r="C9843" s="14" t="s">
        <v>13031</v>
      </c>
      <c r="D9843" s="15">
        <v>13.03</v>
      </c>
      <c r="E9843" s="16" t="s">
        <v>20</v>
      </c>
    </row>
    <row r="9844" spans="1:5" x14ac:dyDescent="0.25">
      <c r="A9844" s="14">
        <v>477426002</v>
      </c>
      <c r="B9844" s="14" t="s">
        <v>9947</v>
      </c>
      <c r="C9844" s="14" t="s">
        <v>13031</v>
      </c>
      <c r="D9844" s="15">
        <v>13.03</v>
      </c>
      <c r="E9844" s="16" t="s">
        <v>20</v>
      </c>
    </row>
    <row r="9845" spans="1:5" x14ac:dyDescent="0.25">
      <c r="A9845" s="14">
        <v>477426003</v>
      </c>
      <c r="B9845" s="14" t="s">
        <v>9948</v>
      </c>
      <c r="C9845" s="14" t="s">
        <v>13031</v>
      </c>
      <c r="D9845" s="15">
        <v>13.03</v>
      </c>
      <c r="E9845" s="16" t="s">
        <v>20</v>
      </c>
    </row>
    <row r="9846" spans="1:5" x14ac:dyDescent="0.25">
      <c r="A9846" s="14">
        <v>477426005</v>
      </c>
      <c r="B9846" s="14" t="s">
        <v>9949</v>
      </c>
      <c r="C9846" s="14" t="s">
        <v>13031</v>
      </c>
      <c r="D9846" s="15">
        <v>13.03</v>
      </c>
      <c r="E9846" s="16" t="s">
        <v>20</v>
      </c>
    </row>
    <row r="9847" spans="1:5" x14ac:dyDescent="0.25">
      <c r="A9847" s="14">
        <v>478243001</v>
      </c>
      <c r="B9847" s="14" t="s">
        <v>9950</v>
      </c>
      <c r="C9847" s="14" t="s">
        <v>13031</v>
      </c>
      <c r="D9847" s="15">
        <v>28</v>
      </c>
      <c r="E9847" s="16" t="s">
        <v>20</v>
      </c>
    </row>
    <row r="9848" spans="1:5" x14ac:dyDescent="0.25">
      <c r="A9848" s="14">
        <v>479550001</v>
      </c>
      <c r="B9848" s="14" t="s">
        <v>9951</v>
      </c>
      <c r="C9848" s="14" t="s">
        <v>13031</v>
      </c>
      <c r="D9848" s="15">
        <v>19.8</v>
      </c>
      <c r="E9848" s="16" t="s">
        <v>20</v>
      </c>
    </row>
    <row r="9849" spans="1:5" x14ac:dyDescent="0.25">
      <c r="A9849" s="14">
        <v>479550004</v>
      </c>
      <c r="B9849" s="14" t="s">
        <v>9952</v>
      </c>
      <c r="C9849" s="14" t="s">
        <v>13031</v>
      </c>
      <c r="D9849" s="15">
        <v>19.8</v>
      </c>
      <c r="E9849" s="16" t="s">
        <v>20</v>
      </c>
    </row>
    <row r="9850" spans="1:5" x14ac:dyDescent="0.25">
      <c r="A9850" s="14">
        <v>577137005</v>
      </c>
      <c r="B9850" s="14" t="s">
        <v>9953</v>
      </c>
      <c r="C9850" s="14" t="s">
        <v>13030</v>
      </c>
      <c r="D9850" s="15">
        <v>5.82</v>
      </c>
      <c r="E9850" s="16" t="s">
        <v>30</v>
      </c>
    </row>
    <row r="9851" spans="1:5" x14ac:dyDescent="0.25">
      <c r="A9851" s="14">
        <v>577150001</v>
      </c>
      <c r="B9851" s="14" t="s">
        <v>9954</v>
      </c>
      <c r="C9851" s="14" t="s">
        <v>13029</v>
      </c>
      <c r="D9851" s="15">
        <v>22.56</v>
      </c>
      <c r="E9851" s="14" t="s">
        <v>30</v>
      </c>
    </row>
    <row r="9852" spans="1:5" x14ac:dyDescent="0.25">
      <c r="A9852" s="14">
        <v>577150002</v>
      </c>
      <c r="B9852" s="14" t="s">
        <v>9955</v>
      </c>
      <c r="C9852" s="14" t="s">
        <v>13029</v>
      </c>
      <c r="D9852" s="15">
        <v>22.56</v>
      </c>
      <c r="E9852" s="14" t="s">
        <v>30</v>
      </c>
    </row>
    <row r="9853" spans="1:5" x14ac:dyDescent="0.25">
      <c r="A9853" s="14">
        <v>577150003</v>
      </c>
      <c r="B9853" s="14" t="s">
        <v>9956</v>
      </c>
      <c r="C9853" s="14" t="s">
        <v>13029</v>
      </c>
      <c r="D9853" s="15">
        <v>22.56</v>
      </c>
      <c r="E9853" s="14" t="s">
        <v>30</v>
      </c>
    </row>
    <row r="9854" spans="1:5" x14ac:dyDescent="0.25">
      <c r="A9854" s="14">
        <v>577197002</v>
      </c>
      <c r="B9854" s="14" t="s">
        <v>9957</v>
      </c>
      <c r="C9854" s="14" t="s">
        <v>13029</v>
      </c>
      <c r="D9854" s="15">
        <v>9.64</v>
      </c>
      <c r="E9854" s="16" t="s">
        <v>30</v>
      </c>
    </row>
    <row r="9855" spans="1:5" x14ac:dyDescent="0.25">
      <c r="A9855" s="14">
        <v>577197004</v>
      </c>
      <c r="B9855" s="14" t="s">
        <v>9958</v>
      </c>
      <c r="C9855" s="14" t="s">
        <v>13029</v>
      </c>
      <c r="D9855" s="15">
        <v>9.64</v>
      </c>
      <c r="E9855" s="16" t="s">
        <v>30</v>
      </c>
    </row>
    <row r="9856" spans="1:5" x14ac:dyDescent="0.25">
      <c r="A9856" s="14">
        <v>577202001</v>
      </c>
      <c r="B9856" s="14" t="s">
        <v>9959</v>
      </c>
      <c r="C9856" s="14" t="s">
        <v>13029</v>
      </c>
      <c r="D9856" s="15">
        <v>7.03</v>
      </c>
      <c r="E9856" s="16" t="s">
        <v>30</v>
      </c>
    </row>
    <row r="9857" spans="1:5" x14ac:dyDescent="0.25">
      <c r="A9857" s="14">
        <v>577202003</v>
      </c>
      <c r="B9857" s="14" t="s">
        <v>9960</v>
      </c>
      <c r="C9857" s="14" t="s">
        <v>13029</v>
      </c>
      <c r="D9857" s="15">
        <v>7.03</v>
      </c>
      <c r="E9857" s="16" t="s">
        <v>30</v>
      </c>
    </row>
    <row r="9858" spans="1:5" x14ac:dyDescent="0.25">
      <c r="A9858" s="14">
        <v>577202004</v>
      </c>
      <c r="B9858" s="14" t="s">
        <v>9961</v>
      </c>
      <c r="C9858" s="14" t="s">
        <v>13029</v>
      </c>
      <c r="D9858" s="15">
        <v>7.03</v>
      </c>
      <c r="E9858" s="16" t="s">
        <v>30</v>
      </c>
    </row>
    <row r="9859" spans="1:5" x14ac:dyDescent="0.25">
      <c r="A9859" s="14">
        <v>577204001</v>
      </c>
      <c r="B9859" s="14" t="s">
        <v>9962</v>
      </c>
      <c r="C9859" s="14" t="s">
        <v>13029</v>
      </c>
      <c r="D9859" s="15">
        <v>9.64</v>
      </c>
      <c r="E9859" s="16" t="s">
        <v>30</v>
      </c>
    </row>
    <row r="9860" spans="1:5" x14ac:dyDescent="0.25">
      <c r="A9860" s="14">
        <v>577204004</v>
      </c>
      <c r="B9860" s="14" t="s">
        <v>9963</v>
      </c>
      <c r="C9860" s="14" t="s">
        <v>13029</v>
      </c>
      <c r="D9860" s="15">
        <v>9.64</v>
      </c>
      <c r="E9860" s="16" t="s">
        <v>30</v>
      </c>
    </row>
    <row r="9861" spans="1:5" x14ac:dyDescent="0.25">
      <c r="A9861" s="14">
        <v>577268001</v>
      </c>
      <c r="B9861" s="14" t="s">
        <v>9964</v>
      </c>
      <c r="C9861" s="14" t="s">
        <v>13030</v>
      </c>
      <c r="D9861" s="15">
        <v>55.4</v>
      </c>
      <c r="E9861" s="16" t="s">
        <v>30</v>
      </c>
    </row>
    <row r="9862" spans="1:5" x14ac:dyDescent="0.25">
      <c r="A9862" s="14">
        <v>577268002</v>
      </c>
      <c r="B9862" s="14" t="s">
        <v>9965</v>
      </c>
      <c r="C9862" s="14" t="s">
        <v>13030</v>
      </c>
      <c r="D9862" s="15">
        <v>55.4</v>
      </c>
      <c r="E9862" s="16" t="s">
        <v>30</v>
      </c>
    </row>
    <row r="9863" spans="1:5" x14ac:dyDescent="0.25">
      <c r="A9863" s="14">
        <v>577268004</v>
      </c>
      <c r="B9863" s="14" t="s">
        <v>9966</v>
      </c>
      <c r="C9863" s="14" t="s">
        <v>13030</v>
      </c>
      <c r="D9863" s="15">
        <v>55.37</v>
      </c>
      <c r="E9863" s="16" t="s">
        <v>30</v>
      </c>
    </row>
    <row r="9864" spans="1:5" x14ac:dyDescent="0.25">
      <c r="A9864" s="14">
        <v>577268005</v>
      </c>
      <c r="B9864" s="14" t="s">
        <v>9967</v>
      </c>
      <c r="C9864" s="14" t="s">
        <v>13030</v>
      </c>
      <c r="D9864" s="15">
        <v>55.36</v>
      </c>
      <c r="E9864" s="16" t="s">
        <v>30</v>
      </c>
    </row>
    <row r="9865" spans="1:5" x14ac:dyDescent="0.25">
      <c r="A9865" s="14">
        <v>577268006</v>
      </c>
      <c r="B9865" s="14" t="s">
        <v>9968</v>
      </c>
      <c r="C9865" s="14" t="s">
        <v>13030</v>
      </c>
      <c r="D9865" s="15">
        <v>55.39</v>
      </c>
      <c r="E9865" s="16" t="s">
        <v>30</v>
      </c>
    </row>
    <row r="9866" spans="1:5" x14ac:dyDescent="0.25">
      <c r="A9866" s="14">
        <v>577268008</v>
      </c>
      <c r="B9866" s="14" t="s">
        <v>9969</v>
      </c>
      <c r="C9866" s="14" t="s">
        <v>13030</v>
      </c>
      <c r="D9866" s="15">
        <v>55.39</v>
      </c>
      <c r="E9866" s="16" t="s">
        <v>30</v>
      </c>
    </row>
    <row r="9867" spans="1:5" x14ac:dyDescent="0.25">
      <c r="A9867" s="14">
        <v>700198001</v>
      </c>
      <c r="B9867" s="14" t="s">
        <v>80</v>
      </c>
      <c r="C9867" s="14" t="s">
        <v>13030</v>
      </c>
      <c r="D9867" s="15">
        <v>12.12</v>
      </c>
      <c r="E9867" s="16" t="s">
        <v>30</v>
      </c>
    </row>
    <row r="9868" spans="1:5" x14ac:dyDescent="0.25">
      <c r="A9868" s="14">
        <v>700198002</v>
      </c>
      <c r="B9868" s="14" t="s">
        <v>9970</v>
      </c>
      <c r="C9868" s="14" t="s">
        <v>13030</v>
      </c>
      <c r="D9868" s="15">
        <v>12.12</v>
      </c>
      <c r="E9868" s="16" t="s">
        <v>30</v>
      </c>
    </row>
    <row r="9869" spans="1:5" x14ac:dyDescent="0.25">
      <c r="A9869" s="14">
        <v>700199001</v>
      </c>
      <c r="B9869" s="14" t="s">
        <v>9971</v>
      </c>
      <c r="C9869" s="14" t="s">
        <v>13030</v>
      </c>
      <c r="D9869" s="15">
        <v>46.27</v>
      </c>
      <c r="E9869" s="16" t="s">
        <v>30</v>
      </c>
    </row>
    <row r="9870" spans="1:5" x14ac:dyDescent="0.25">
      <c r="A9870" s="14">
        <v>700200001</v>
      </c>
      <c r="B9870" s="14" t="s">
        <v>9972</v>
      </c>
      <c r="C9870" s="14" t="s">
        <v>13030</v>
      </c>
      <c r="D9870" s="15">
        <v>51.43</v>
      </c>
      <c r="E9870" s="16" t="s">
        <v>30</v>
      </c>
    </row>
    <row r="9871" spans="1:5" x14ac:dyDescent="0.25">
      <c r="A9871" s="14">
        <v>700200002</v>
      </c>
      <c r="B9871" s="14" t="s">
        <v>9973</v>
      </c>
      <c r="C9871" s="14" t="s">
        <v>13030</v>
      </c>
      <c r="D9871" s="15">
        <v>51.43</v>
      </c>
      <c r="E9871" s="16" t="s">
        <v>30</v>
      </c>
    </row>
    <row r="9872" spans="1:5" x14ac:dyDescent="0.25">
      <c r="A9872" s="14">
        <v>700200004</v>
      </c>
      <c r="B9872" s="14" t="s">
        <v>9974</v>
      </c>
      <c r="C9872" s="14" t="s">
        <v>13030</v>
      </c>
      <c r="D9872" s="15">
        <v>51.43</v>
      </c>
      <c r="E9872" s="16" t="s">
        <v>30</v>
      </c>
    </row>
    <row r="9873" spans="1:5" x14ac:dyDescent="0.25">
      <c r="A9873" s="14">
        <v>700202001</v>
      </c>
      <c r="B9873" s="14" t="s">
        <v>9975</v>
      </c>
      <c r="C9873" s="14" t="s">
        <v>13030</v>
      </c>
      <c r="D9873" s="15">
        <v>75.33</v>
      </c>
      <c r="E9873" s="16" t="s">
        <v>30</v>
      </c>
    </row>
    <row r="9874" spans="1:5" x14ac:dyDescent="0.25">
      <c r="A9874" s="14">
        <v>700202002</v>
      </c>
      <c r="B9874" s="14" t="s">
        <v>9976</v>
      </c>
      <c r="C9874" s="14" t="s">
        <v>13030</v>
      </c>
      <c r="D9874" s="15">
        <v>75.33</v>
      </c>
      <c r="E9874" s="16" t="s">
        <v>30</v>
      </c>
    </row>
    <row r="9875" spans="1:5" x14ac:dyDescent="0.25">
      <c r="A9875" s="14">
        <v>700627001</v>
      </c>
      <c r="B9875" s="14" t="s">
        <v>9977</v>
      </c>
      <c r="C9875" s="14" t="s">
        <v>13029</v>
      </c>
      <c r="D9875" s="15">
        <v>3.05</v>
      </c>
      <c r="E9875" s="16" t="s">
        <v>30</v>
      </c>
    </row>
    <row r="9876" spans="1:5" x14ac:dyDescent="0.25">
      <c r="A9876" s="14">
        <v>700627002</v>
      </c>
      <c r="B9876" s="14" t="s">
        <v>9978</v>
      </c>
      <c r="C9876" s="14" t="s">
        <v>13029</v>
      </c>
      <c r="D9876" s="15">
        <v>3.05</v>
      </c>
      <c r="E9876" s="16" t="s">
        <v>30</v>
      </c>
    </row>
    <row r="9877" spans="1:5" x14ac:dyDescent="0.25">
      <c r="A9877" s="14">
        <v>700627003</v>
      </c>
      <c r="B9877" s="14" t="s">
        <v>9979</v>
      </c>
      <c r="C9877" s="14" t="s">
        <v>13029</v>
      </c>
      <c r="D9877" s="15">
        <v>3.05</v>
      </c>
      <c r="E9877" s="16" t="s">
        <v>30</v>
      </c>
    </row>
    <row r="9878" spans="1:5" x14ac:dyDescent="0.25">
      <c r="A9878" s="14">
        <v>700628001</v>
      </c>
      <c r="B9878" s="14" t="s">
        <v>9980</v>
      </c>
      <c r="C9878" s="14" t="s">
        <v>13029</v>
      </c>
      <c r="D9878" s="15">
        <v>5.65</v>
      </c>
      <c r="E9878" s="16" t="s">
        <v>30</v>
      </c>
    </row>
    <row r="9879" spans="1:5" x14ac:dyDescent="0.25">
      <c r="A9879" s="14">
        <v>700628002</v>
      </c>
      <c r="B9879" s="14" t="s">
        <v>9981</v>
      </c>
      <c r="C9879" s="14" t="s">
        <v>13029</v>
      </c>
      <c r="D9879" s="15">
        <v>5.65</v>
      </c>
      <c r="E9879" s="16" t="s">
        <v>30</v>
      </c>
    </row>
    <row r="9880" spans="1:5" x14ac:dyDescent="0.25">
      <c r="A9880" s="14">
        <v>700628003</v>
      </c>
      <c r="B9880" s="14" t="s">
        <v>9982</v>
      </c>
      <c r="C9880" s="14" t="s">
        <v>13029</v>
      </c>
      <c r="D9880" s="15">
        <v>5.65</v>
      </c>
      <c r="E9880" s="16" t="s">
        <v>30</v>
      </c>
    </row>
    <row r="9881" spans="1:5" x14ac:dyDescent="0.25">
      <c r="A9881" s="14">
        <v>700629001</v>
      </c>
      <c r="B9881" s="14" t="s">
        <v>9983</v>
      </c>
      <c r="C9881" s="14" t="s">
        <v>13029</v>
      </c>
      <c r="D9881" s="15">
        <v>10.89</v>
      </c>
      <c r="E9881" s="16" t="s">
        <v>30</v>
      </c>
    </row>
    <row r="9882" spans="1:5" x14ac:dyDescent="0.25">
      <c r="A9882" s="14">
        <v>700629002</v>
      </c>
      <c r="B9882" s="14" t="s">
        <v>9984</v>
      </c>
      <c r="C9882" s="14" t="s">
        <v>13029</v>
      </c>
      <c r="D9882" s="15">
        <v>10.89</v>
      </c>
      <c r="E9882" s="16" t="s">
        <v>30</v>
      </c>
    </row>
    <row r="9883" spans="1:5" x14ac:dyDescent="0.25">
      <c r="A9883" s="14">
        <v>701922002</v>
      </c>
      <c r="B9883" s="14" t="s">
        <v>9985</v>
      </c>
      <c r="C9883" s="14" t="s">
        <v>13029</v>
      </c>
      <c r="D9883" s="15">
        <v>10.79</v>
      </c>
      <c r="E9883" s="16" t="s">
        <v>30</v>
      </c>
    </row>
    <row r="9884" spans="1:5" x14ac:dyDescent="0.25">
      <c r="A9884" s="14">
        <v>701996002</v>
      </c>
      <c r="B9884" s="14" t="s">
        <v>9986</v>
      </c>
      <c r="C9884" s="14" t="s">
        <v>13030</v>
      </c>
      <c r="D9884" s="15">
        <v>29.84</v>
      </c>
      <c r="E9884" s="16" t="s">
        <v>30</v>
      </c>
    </row>
    <row r="9885" spans="1:5" x14ac:dyDescent="0.25">
      <c r="A9885" s="14">
        <v>703117001</v>
      </c>
      <c r="B9885" s="14" t="s">
        <v>9987</v>
      </c>
      <c r="C9885" s="14" t="s">
        <v>13030</v>
      </c>
      <c r="D9885" s="15">
        <v>35.53</v>
      </c>
      <c r="E9885" s="16" t="s">
        <v>30</v>
      </c>
    </row>
    <row r="9886" spans="1:5" x14ac:dyDescent="0.25">
      <c r="A9886" s="14">
        <v>703118001</v>
      </c>
      <c r="B9886" s="14" t="s">
        <v>9988</v>
      </c>
      <c r="C9886" s="14" t="s">
        <v>13030</v>
      </c>
      <c r="D9886" s="15">
        <v>35.53</v>
      </c>
      <c r="E9886" s="16" t="s">
        <v>30</v>
      </c>
    </row>
    <row r="9887" spans="1:5" x14ac:dyDescent="0.25">
      <c r="A9887" s="14">
        <v>704706002</v>
      </c>
      <c r="B9887" s="14" t="s">
        <v>9989</v>
      </c>
      <c r="C9887" s="14" t="s">
        <v>13030</v>
      </c>
      <c r="D9887" s="15">
        <v>5.87</v>
      </c>
      <c r="E9887" s="16" t="s">
        <v>30</v>
      </c>
    </row>
    <row r="9888" spans="1:5" x14ac:dyDescent="0.25">
      <c r="A9888" s="14">
        <v>704706003</v>
      </c>
      <c r="B9888" s="14" t="s">
        <v>9990</v>
      </c>
      <c r="C9888" s="14" t="s">
        <v>13030</v>
      </c>
      <c r="D9888" s="15">
        <v>5.87</v>
      </c>
      <c r="E9888" s="16" t="s">
        <v>30</v>
      </c>
    </row>
    <row r="9889" spans="1:5" x14ac:dyDescent="0.25">
      <c r="A9889" s="14">
        <v>704706004</v>
      </c>
      <c r="B9889" s="14" t="s">
        <v>9991</v>
      </c>
      <c r="C9889" s="14" t="s">
        <v>13030</v>
      </c>
      <c r="D9889" s="15">
        <v>5.87</v>
      </c>
      <c r="E9889" s="16" t="s">
        <v>30</v>
      </c>
    </row>
    <row r="9890" spans="1:5" x14ac:dyDescent="0.25">
      <c r="A9890" s="14">
        <v>704920002</v>
      </c>
      <c r="B9890" s="14" t="s">
        <v>9992</v>
      </c>
      <c r="C9890" s="14" t="s">
        <v>13030</v>
      </c>
      <c r="D9890" s="15">
        <v>16.03</v>
      </c>
      <c r="E9890" s="16" t="s">
        <v>30</v>
      </c>
    </row>
    <row r="9891" spans="1:5" x14ac:dyDescent="0.25">
      <c r="A9891" s="14">
        <v>704920003</v>
      </c>
      <c r="B9891" s="14" t="s">
        <v>9993</v>
      </c>
      <c r="C9891" s="14" t="s">
        <v>13030</v>
      </c>
      <c r="D9891" s="15">
        <v>16.03</v>
      </c>
      <c r="E9891" s="16" t="s">
        <v>30</v>
      </c>
    </row>
    <row r="9892" spans="1:5" x14ac:dyDescent="0.25">
      <c r="A9892" s="14">
        <v>704920004</v>
      </c>
      <c r="B9892" s="14" t="s">
        <v>9994</v>
      </c>
      <c r="C9892" s="14" t="s">
        <v>13030</v>
      </c>
      <c r="D9892" s="15">
        <v>13.55</v>
      </c>
      <c r="E9892" s="16" t="s">
        <v>30</v>
      </c>
    </row>
    <row r="9893" spans="1:5" x14ac:dyDescent="0.25">
      <c r="A9893" s="14">
        <v>704920006</v>
      </c>
      <c r="B9893" s="14" t="s">
        <v>9995</v>
      </c>
      <c r="C9893" s="14" t="s">
        <v>13030</v>
      </c>
      <c r="D9893" s="15">
        <v>16.03</v>
      </c>
      <c r="E9893" s="16" t="s">
        <v>30</v>
      </c>
    </row>
    <row r="9894" spans="1:5" x14ac:dyDescent="0.25">
      <c r="A9894" s="14">
        <v>704920007</v>
      </c>
      <c r="B9894" s="14" t="s">
        <v>9996</v>
      </c>
      <c r="C9894" s="14" t="s">
        <v>13030</v>
      </c>
      <c r="D9894" s="15">
        <v>16.03</v>
      </c>
      <c r="E9894" s="16" t="s">
        <v>30</v>
      </c>
    </row>
    <row r="9895" spans="1:5" x14ac:dyDescent="0.25">
      <c r="A9895" s="14">
        <v>704920008</v>
      </c>
      <c r="B9895" s="14" t="s">
        <v>9997</v>
      </c>
      <c r="C9895" s="14" t="s">
        <v>13030</v>
      </c>
      <c r="D9895" s="15">
        <v>16.03</v>
      </c>
      <c r="E9895" s="16" t="s">
        <v>30</v>
      </c>
    </row>
    <row r="9896" spans="1:5" x14ac:dyDescent="0.25">
      <c r="A9896" s="14">
        <v>704988003</v>
      </c>
      <c r="B9896" s="14" t="s">
        <v>9998</v>
      </c>
      <c r="C9896" s="14" t="s">
        <v>13029</v>
      </c>
      <c r="D9896" s="15">
        <v>37.29</v>
      </c>
      <c r="E9896" s="14" t="s">
        <v>30</v>
      </c>
    </row>
    <row r="9897" spans="1:5" x14ac:dyDescent="0.25">
      <c r="A9897" s="14">
        <v>479554002</v>
      </c>
      <c r="B9897" s="14" t="s">
        <v>9999</v>
      </c>
      <c r="C9897" s="14" t="s">
        <v>13031</v>
      </c>
      <c r="D9897" s="15">
        <v>19.8</v>
      </c>
      <c r="E9897" s="16" t="s">
        <v>20</v>
      </c>
    </row>
    <row r="9898" spans="1:5" x14ac:dyDescent="0.25">
      <c r="A9898" s="14">
        <v>482546001</v>
      </c>
      <c r="B9898" s="14" t="s">
        <v>10000</v>
      </c>
      <c r="C9898" s="14" t="s">
        <v>13031</v>
      </c>
      <c r="D9898" s="15">
        <v>8.23</v>
      </c>
      <c r="E9898" s="16" t="s">
        <v>20</v>
      </c>
    </row>
    <row r="9899" spans="1:5" x14ac:dyDescent="0.25">
      <c r="A9899" s="14">
        <v>482546005</v>
      </c>
      <c r="B9899" s="14" t="s">
        <v>10001</v>
      </c>
      <c r="C9899" s="14" t="s">
        <v>13031</v>
      </c>
      <c r="D9899" s="15">
        <v>8.23</v>
      </c>
      <c r="E9899" s="16" t="s">
        <v>20</v>
      </c>
    </row>
    <row r="9900" spans="1:5" x14ac:dyDescent="0.25">
      <c r="A9900" s="14">
        <v>704988009</v>
      </c>
      <c r="B9900" s="14" t="s">
        <v>10002</v>
      </c>
      <c r="C9900" s="14" t="s">
        <v>13029</v>
      </c>
      <c r="D9900" s="15">
        <v>37.29</v>
      </c>
      <c r="E9900" s="14" t="s">
        <v>30</v>
      </c>
    </row>
    <row r="9901" spans="1:5" x14ac:dyDescent="0.25">
      <c r="A9901" s="14">
        <v>499905001</v>
      </c>
      <c r="B9901" s="14" t="s">
        <v>10003</v>
      </c>
      <c r="C9901" s="14" t="s">
        <v>13031</v>
      </c>
      <c r="D9901" s="15">
        <v>3.05</v>
      </c>
      <c r="E9901" s="16" t="s">
        <v>20</v>
      </c>
    </row>
    <row r="9902" spans="1:5" x14ac:dyDescent="0.25">
      <c r="A9902" s="14">
        <v>518475001</v>
      </c>
      <c r="B9902" s="14" t="s">
        <v>10004</v>
      </c>
      <c r="C9902" s="14" t="s">
        <v>13031</v>
      </c>
      <c r="D9902" s="15">
        <v>7.76</v>
      </c>
      <c r="E9902" s="16" t="s">
        <v>20</v>
      </c>
    </row>
    <row r="9903" spans="1:5" x14ac:dyDescent="0.25">
      <c r="A9903" s="14">
        <v>714146001</v>
      </c>
      <c r="B9903" s="14" t="s">
        <v>10005</v>
      </c>
      <c r="C9903" s="14" t="s">
        <v>13029</v>
      </c>
      <c r="D9903" s="15">
        <v>27.4</v>
      </c>
      <c r="E9903" s="16" t="s">
        <v>30</v>
      </c>
    </row>
    <row r="9904" spans="1:5" x14ac:dyDescent="0.25">
      <c r="A9904" s="14">
        <v>714146003</v>
      </c>
      <c r="B9904" s="14" t="s">
        <v>10006</v>
      </c>
      <c r="C9904" s="14" t="s">
        <v>13029</v>
      </c>
      <c r="D9904" s="15">
        <v>27.4</v>
      </c>
      <c r="E9904" s="16" t="s">
        <v>30</v>
      </c>
    </row>
    <row r="9905" spans="1:5" x14ac:dyDescent="0.25">
      <c r="A9905" s="14">
        <v>714146004</v>
      </c>
      <c r="B9905" s="14" t="s">
        <v>10007</v>
      </c>
      <c r="C9905" s="14" t="s">
        <v>13029</v>
      </c>
      <c r="D9905" s="15">
        <v>27.4</v>
      </c>
      <c r="E9905" s="16" t="s">
        <v>30</v>
      </c>
    </row>
    <row r="9906" spans="1:5" x14ac:dyDescent="0.25">
      <c r="A9906" s="14">
        <v>714269001</v>
      </c>
      <c r="B9906" s="14" t="s">
        <v>10008</v>
      </c>
      <c r="C9906" s="14" t="s">
        <v>13030</v>
      </c>
      <c r="D9906" s="15">
        <v>3.48</v>
      </c>
      <c r="E9906" s="16" t="s">
        <v>30</v>
      </c>
    </row>
    <row r="9907" spans="1:5" x14ac:dyDescent="0.25">
      <c r="A9907" s="14">
        <v>714271001</v>
      </c>
      <c r="B9907" s="14" t="s">
        <v>10009</v>
      </c>
      <c r="C9907" s="14" t="s">
        <v>13030</v>
      </c>
      <c r="D9907" s="15">
        <v>3.48</v>
      </c>
      <c r="E9907" s="16" t="s">
        <v>30</v>
      </c>
    </row>
    <row r="9908" spans="1:5" x14ac:dyDescent="0.25">
      <c r="A9908" s="14">
        <v>714272001</v>
      </c>
      <c r="B9908" s="14" t="s">
        <v>10010</v>
      </c>
      <c r="C9908" s="14" t="s">
        <v>13030</v>
      </c>
      <c r="D9908" s="15">
        <v>3.48</v>
      </c>
      <c r="E9908" s="16" t="s">
        <v>30</v>
      </c>
    </row>
    <row r="9909" spans="1:5" x14ac:dyDescent="0.25">
      <c r="A9909" s="14">
        <v>719981001</v>
      </c>
      <c r="B9909" s="14" t="s">
        <v>10011</v>
      </c>
      <c r="C9909" s="14" t="s">
        <v>13029</v>
      </c>
      <c r="D9909" s="15">
        <v>18</v>
      </c>
      <c r="E9909" s="16" t="s">
        <v>30</v>
      </c>
    </row>
    <row r="9910" spans="1:5" x14ac:dyDescent="0.25">
      <c r="A9910" s="14">
        <v>721865001</v>
      </c>
      <c r="B9910" s="14" t="s">
        <v>10012</v>
      </c>
      <c r="C9910" s="14" t="s">
        <v>13029</v>
      </c>
      <c r="D9910" s="15">
        <v>7.68</v>
      </c>
      <c r="E9910" s="16" t="s">
        <v>30</v>
      </c>
    </row>
    <row r="9911" spans="1:5" x14ac:dyDescent="0.25">
      <c r="A9911" s="14">
        <v>721865003</v>
      </c>
      <c r="B9911" s="14" t="s">
        <v>10013</v>
      </c>
      <c r="C9911" s="14" t="s">
        <v>13029</v>
      </c>
      <c r="D9911" s="15">
        <v>7.68</v>
      </c>
      <c r="E9911" s="16" t="s">
        <v>30</v>
      </c>
    </row>
    <row r="9912" spans="1:5" x14ac:dyDescent="0.25">
      <c r="A9912" s="14">
        <v>721865005</v>
      </c>
      <c r="B9912" s="14" t="s">
        <v>10014</v>
      </c>
      <c r="C9912" s="14" t="s">
        <v>13029</v>
      </c>
      <c r="D9912" s="15">
        <v>7.68</v>
      </c>
      <c r="E9912" s="16" t="s">
        <v>30</v>
      </c>
    </row>
    <row r="9913" spans="1:5" x14ac:dyDescent="0.25">
      <c r="A9913" s="14">
        <v>721865010</v>
      </c>
      <c r="B9913" s="14" t="s">
        <v>10015</v>
      </c>
      <c r="C9913" s="14" t="s">
        <v>13029</v>
      </c>
      <c r="D9913" s="15">
        <v>7.68</v>
      </c>
      <c r="E9913" s="16" t="s">
        <v>30</v>
      </c>
    </row>
    <row r="9914" spans="1:5" x14ac:dyDescent="0.25">
      <c r="A9914" s="14">
        <v>721865012</v>
      </c>
      <c r="B9914" s="14" t="s">
        <v>10016</v>
      </c>
      <c r="C9914" s="14" t="s">
        <v>13029</v>
      </c>
      <c r="D9914" s="15">
        <v>7.68</v>
      </c>
      <c r="E9914" s="16" t="s">
        <v>30</v>
      </c>
    </row>
    <row r="9915" spans="1:5" x14ac:dyDescent="0.25">
      <c r="A9915" s="14">
        <v>721865013</v>
      </c>
      <c r="B9915" s="14" t="s">
        <v>10017</v>
      </c>
      <c r="C9915" s="14" t="s">
        <v>13029</v>
      </c>
      <c r="D9915" s="15">
        <v>7.68</v>
      </c>
      <c r="E9915" s="16" t="s">
        <v>30</v>
      </c>
    </row>
    <row r="9916" spans="1:5" x14ac:dyDescent="0.25">
      <c r="A9916" s="14">
        <v>724010001</v>
      </c>
      <c r="B9916" s="14" t="s">
        <v>10018</v>
      </c>
      <c r="C9916" s="14" t="s">
        <v>13029</v>
      </c>
      <c r="D9916" s="15">
        <v>11.6</v>
      </c>
      <c r="E9916" s="16" t="s">
        <v>30</v>
      </c>
    </row>
    <row r="9917" spans="1:5" x14ac:dyDescent="0.25">
      <c r="A9917" s="14">
        <v>724010002</v>
      </c>
      <c r="B9917" s="14" t="s">
        <v>10019</v>
      </c>
      <c r="C9917" s="14" t="s">
        <v>13029</v>
      </c>
      <c r="D9917" s="15">
        <v>11.6</v>
      </c>
      <c r="E9917" s="16" t="s">
        <v>30</v>
      </c>
    </row>
    <row r="9918" spans="1:5" x14ac:dyDescent="0.25">
      <c r="A9918" s="14">
        <v>726694001</v>
      </c>
      <c r="B9918" s="14" t="s">
        <v>10020</v>
      </c>
      <c r="C9918" s="14" t="s">
        <v>13029</v>
      </c>
      <c r="D9918" s="15">
        <v>14.49</v>
      </c>
      <c r="E9918" s="14" t="s">
        <v>30</v>
      </c>
    </row>
    <row r="9919" spans="1:5" x14ac:dyDescent="0.25">
      <c r="A9919" s="14">
        <v>727695002</v>
      </c>
      <c r="B9919" s="14" t="s">
        <v>10021</v>
      </c>
      <c r="C9919" s="14" t="s">
        <v>13030</v>
      </c>
      <c r="D9919" s="15">
        <v>12.34</v>
      </c>
      <c r="E9919" s="16" t="s">
        <v>30</v>
      </c>
    </row>
    <row r="9920" spans="1:5" x14ac:dyDescent="0.25">
      <c r="A9920" s="14">
        <v>727695003</v>
      </c>
      <c r="B9920" s="14" t="s">
        <v>10022</v>
      </c>
      <c r="C9920" s="14" t="s">
        <v>13030</v>
      </c>
      <c r="D9920" s="15">
        <v>12.34</v>
      </c>
      <c r="E9920" s="16" t="s">
        <v>30</v>
      </c>
    </row>
    <row r="9921" spans="1:5" x14ac:dyDescent="0.25">
      <c r="A9921" s="14">
        <v>727945001</v>
      </c>
      <c r="B9921" s="14" t="s">
        <v>10023</v>
      </c>
      <c r="C9921" s="14" t="s">
        <v>13029</v>
      </c>
      <c r="D9921" s="15">
        <v>46.23</v>
      </c>
      <c r="E9921" s="16" t="s">
        <v>30</v>
      </c>
    </row>
    <row r="9922" spans="1:5" x14ac:dyDescent="0.25">
      <c r="A9922" s="14">
        <v>727945003</v>
      </c>
      <c r="B9922" s="14" t="s">
        <v>10024</v>
      </c>
      <c r="C9922" s="14" t="s">
        <v>13029</v>
      </c>
      <c r="D9922" s="15">
        <v>46.23</v>
      </c>
      <c r="E9922" s="16" t="s">
        <v>30</v>
      </c>
    </row>
    <row r="9923" spans="1:5" x14ac:dyDescent="0.25">
      <c r="A9923" s="14">
        <v>727945004</v>
      </c>
      <c r="B9923" s="14" t="s">
        <v>10025</v>
      </c>
      <c r="C9923" s="14" t="s">
        <v>13029</v>
      </c>
      <c r="D9923" s="15">
        <v>46.23</v>
      </c>
      <c r="E9923" s="16" t="s">
        <v>30</v>
      </c>
    </row>
    <row r="9924" spans="1:5" x14ac:dyDescent="0.25">
      <c r="A9924" s="14">
        <v>727945005</v>
      </c>
      <c r="B9924" s="14" t="s">
        <v>10026</v>
      </c>
      <c r="C9924" s="14" t="s">
        <v>13029</v>
      </c>
      <c r="D9924" s="15">
        <v>46.23</v>
      </c>
      <c r="E9924" s="14" t="s">
        <v>30</v>
      </c>
    </row>
    <row r="9925" spans="1:5" x14ac:dyDescent="0.25">
      <c r="A9925" s="14">
        <v>731716002</v>
      </c>
      <c r="B9925" s="14" t="s">
        <v>10027</v>
      </c>
      <c r="C9925" s="14" t="s">
        <v>13029</v>
      </c>
      <c r="D9925" s="15">
        <v>21.9</v>
      </c>
      <c r="E9925" s="16" t="s">
        <v>30</v>
      </c>
    </row>
    <row r="9926" spans="1:5" x14ac:dyDescent="0.25">
      <c r="A9926" s="14">
        <v>731716003</v>
      </c>
      <c r="B9926" s="14" t="s">
        <v>10028</v>
      </c>
      <c r="C9926" s="14" t="s">
        <v>13029</v>
      </c>
      <c r="D9926" s="15">
        <v>21.9</v>
      </c>
      <c r="E9926" s="16" t="s">
        <v>30</v>
      </c>
    </row>
    <row r="9927" spans="1:5" x14ac:dyDescent="0.25">
      <c r="A9927" s="14">
        <v>731717001</v>
      </c>
      <c r="B9927" s="14" t="s">
        <v>10029</v>
      </c>
      <c r="C9927" s="14" t="s">
        <v>13029</v>
      </c>
      <c r="D9927" s="15">
        <v>37.29</v>
      </c>
      <c r="E9927" s="16" t="s">
        <v>30</v>
      </c>
    </row>
    <row r="9928" spans="1:5" x14ac:dyDescent="0.25">
      <c r="A9928" s="14">
        <v>731717006</v>
      </c>
      <c r="B9928" s="14" t="s">
        <v>10030</v>
      </c>
      <c r="C9928" s="14" t="s">
        <v>13029</v>
      </c>
      <c r="D9928" s="15">
        <v>37.29</v>
      </c>
      <c r="E9928" s="16" t="s">
        <v>30</v>
      </c>
    </row>
    <row r="9929" spans="1:5" x14ac:dyDescent="0.25">
      <c r="A9929" s="14">
        <v>731996001</v>
      </c>
      <c r="B9929" s="14" t="s">
        <v>10031</v>
      </c>
      <c r="C9929" s="14" t="s">
        <v>13029</v>
      </c>
      <c r="D9929" s="15">
        <v>23.44</v>
      </c>
      <c r="E9929" s="16" t="s">
        <v>30</v>
      </c>
    </row>
    <row r="9930" spans="1:5" x14ac:dyDescent="0.25">
      <c r="A9930" s="14">
        <v>731996002</v>
      </c>
      <c r="B9930" s="14" t="s">
        <v>10032</v>
      </c>
      <c r="C9930" s="14" t="s">
        <v>13029</v>
      </c>
      <c r="D9930" s="15">
        <v>23.44</v>
      </c>
      <c r="E9930" s="16" t="s">
        <v>30</v>
      </c>
    </row>
    <row r="9931" spans="1:5" x14ac:dyDescent="0.25">
      <c r="A9931" s="14">
        <v>731998001</v>
      </c>
      <c r="B9931" s="14" t="s">
        <v>10033</v>
      </c>
      <c r="C9931" s="14" t="s">
        <v>13029</v>
      </c>
      <c r="D9931" s="15">
        <v>23.44</v>
      </c>
      <c r="E9931" s="16" t="s">
        <v>30</v>
      </c>
    </row>
    <row r="9932" spans="1:5" x14ac:dyDescent="0.25">
      <c r="A9932" s="14">
        <v>731998002</v>
      </c>
      <c r="B9932" s="14" t="s">
        <v>10034</v>
      </c>
      <c r="C9932" s="14" t="s">
        <v>13029</v>
      </c>
      <c r="D9932" s="15">
        <v>23.44</v>
      </c>
      <c r="E9932" s="16" t="s">
        <v>30</v>
      </c>
    </row>
    <row r="9933" spans="1:5" x14ac:dyDescent="0.25">
      <c r="A9933" s="14">
        <v>732120001</v>
      </c>
      <c r="B9933" s="14" t="s">
        <v>10035</v>
      </c>
      <c r="C9933" s="14" t="s">
        <v>13029</v>
      </c>
      <c r="D9933" s="15">
        <v>14.35</v>
      </c>
      <c r="E9933" s="16" t="s">
        <v>30</v>
      </c>
    </row>
    <row r="9934" spans="1:5" x14ac:dyDescent="0.25">
      <c r="A9934" s="14">
        <v>732120003</v>
      </c>
      <c r="B9934" s="14" t="s">
        <v>10036</v>
      </c>
      <c r="C9934" s="14" t="s">
        <v>13029</v>
      </c>
      <c r="D9934" s="15">
        <v>14.35</v>
      </c>
      <c r="E9934" s="16" t="s">
        <v>30</v>
      </c>
    </row>
    <row r="9935" spans="1:5" x14ac:dyDescent="0.25">
      <c r="A9935" s="14">
        <v>732121001</v>
      </c>
      <c r="B9935" s="14" t="s">
        <v>10037</v>
      </c>
      <c r="C9935" s="14" t="s">
        <v>13029</v>
      </c>
      <c r="D9935" s="15">
        <v>14.35</v>
      </c>
      <c r="E9935" s="16" t="s">
        <v>30</v>
      </c>
    </row>
    <row r="9936" spans="1:5" x14ac:dyDescent="0.25">
      <c r="A9936" s="14">
        <v>732121002</v>
      </c>
      <c r="B9936" s="14" t="s">
        <v>10038</v>
      </c>
      <c r="C9936" s="14" t="s">
        <v>13029</v>
      </c>
      <c r="D9936" s="15">
        <v>14.35</v>
      </c>
      <c r="E9936" s="16" t="s">
        <v>30</v>
      </c>
    </row>
    <row r="9937" spans="1:5" x14ac:dyDescent="0.25">
      <c r="A9937" s="14">
        <v>732122001</v>
      </c>
      <c r="B9937" s="14" t="s">
        <v>10039</v>
      </c>
      <c r="C9937" s="14" t="s">
        <v>13029</v>
      </c>
      <c r="D9937" s="15">
        <v>14.35</v>
      </c>
      <c r="E9937" s="16" t="s">
        <v>30</v>
      </c>
    </row>
    <row r="9938" spans="1:5" x14ac:dyDescent="0.25">
      <c r="A9938" s="14">
        <v>732122002</v>
      </c>
      <c r="B9938" s="14" t="s">
        <v>10040</v>
      </c>
      <c r="C9938" s="14" t="s">
        <v>13029</v>
      </c>
      <c r="D9938" s="15">
        <v>14.35</v>
      </c>
      <c r="E9938" s="16" t="s">
        <v>30</v>
      </c>
    </row>
    <row r="9939" spans="1:5" x14ac:dyDescent="0.25">
      <c r="A9939" s="14">
        <v>732122003</v>
      </c>
      <c r="B9939" s="14" t="s">
        <v>10041</v>
      </c>
      <c r="C9939" s="14" t="s">
        <v>13029</v>
      </c>
      <c r="D9939" s="15">
        <v>14.35</v>
      </c>
      <c r="E9939" s="16" t="s">
        <v>30</v>
      </c>
    </row>
    <row r="9940" spans="1:5" x14ac:dyDescent="0.25">
      <c r="A9940" s="14">
        <v>732125002</v>
      </c>
      <c r="B9940" s="14" t="s">
        <v>10042</v>
      </c>
      <c r="C9940" s="14" t="s">
        <v>13029</v>
      </c>
      <c r="D9940" s="15">
        <v>11.4</v>
      </c>
      <c r="E9940" s="16" t="s">
        <v>30</v>
      </c>
    </row>
    <row r="9941" spans="1:5" x14ac:dyDescent="0.25">
      <c r="A9941" s="14">
        <v>732176001</v>
      </c>
      <c r="B9941" s="14" t="s">
        <v>10043</v>
      </c>
      <c r="C9941" s="14" t="s">
        <v>13029</v>
      </c>
      <c r="D9941" s="15">
        <v>24.85</v>
      </c>
      <c r="E9941" s="16" t="s">
        <v>30</v>
      </c>
    </row>
    <row r="9942" spans="1:5" x14ac:dyDescent="0.25">
      <c r="A9942" s="14">
        <v>732176002</v>
      </c>
      <c r="B9942" s="14" t="s">
        <v>10044</v>
      </c>
      <c r="C9942" s="14" t="s">
        <v>13029</v>
      </c>
      <c r="D9942" s="15">
        <v>24.85</v>
      </c>
      <c r="E9942" s="16" t="s">
        <v>30</v>
      </c>
    </row>
    <row r="9943" spans="1:5" x14ac:dyDescent="0.25">
      <c r="A9943" s="14">
        <v>732176004</v>
      </c>
      <c r="B9943" s="14" t="s">
        <v>10045</v>
      </c>
      <c r="C9943" s="14" t="s">
        <v>13029</v>
      </c>
      <c r="D9943" s="15">
        <v>24.85</v>
      </c>
      <c r="E9943" s="16" t="s">
        <v>30</v>
      </c>
    </row>
    <row r="9944" spans="1:5" x14ac:dyDescent="0.25">
      <c r="A9944" s="14">
        <v>732176005</v>
      </c>
      <c r="B9944" s="14" t="s">
        <v>10046</v>
      </c>
      <c r="C9944" s="14" t="s">
        <v>13029</v>
      </c>
      <c r="D9944" s="15">
        <v>24.85</v>
      </c>
      <c r="E9944" s="16" t="s">
        <v>30</v>
      </c>
    </row>
    <row r="9945" spans="1:5" x14ac:dyDescent="0.25">
      <c r="A9945" s="14">
        <v>732177001</v>
      </c>
      <c r="B9945" s="14" t="s">
        <v>10047</v>
      </c>
      <c r="C9945" s="14" t="s">
        <v>13029</v>
      </c>
      <c r="D9945" s="15">
        <v>24.85</v>
      </c>
      <c r="E9945" s="16" t="s">
        <v>30</v>
      </c>
    </row>
    <row r="9946" spans="1:5" x14ac:dyDescent="0.25">
      <c r="A9946" s="14">
        <v>732177003</v>
      </c>
      <c r="B9946" s="14" t="s">
        <v>10048</v>
      </c>
      <c r="C9946" s="14" t="s">
        <v>13029</v>
      </c>
      <c r="D9946" s="15">
        <v>24.85</v>
      </c>
      <c r="E9946" s="16" t="s">
        <v>30</v>
      </c>
    </row>
    <row r="9947" spans="1:5" x14ac:dyDescent="0.25">
      <c r="A9947" s="14">
        <v>732332001</v>
      </c>
      <c r="B9947" s="14" t="s">
        <v>10049</v>
      </c>
      <c r="C9947" s="14" t="s">
        <v>13029</v>
      </c>
      <c r="D9947" s="15">
        <v>12.04</v>
      </c>
      <c r="E9947" s="16" t="s">
        <v>30</v>
      </c>
    </row>
    <row r="9948" spans="1:5" x14ac:dyDescent="0.25">
      <c r="A9948" s="14">
        <v>732332002</v>
      </c>
      <c r="B9948" s="14" t="s">
        <v>10050</v>
      </c>
      <c r="C9948" s="14" t="s">
        <v>13029</v>
      </c>
      <c r="D9948" s="15">
        <v>12.04</v>
      </c>
      <c r="E9948" s="16" t="s">
        <v>30</v>
      </c>
    </row>
    <row r="9949" spans="1:5" x14ac:dyDescent="0.25">
      <c r="A9949" s="14">
        <v>732339001</v>
      </c>
      <c r="B9949" s="14" t="s">
        <v>10051</v>
      </c>
      <c r="C9949" s="14" t="s">
        <v>13029</v>
      </c>
      <c r="D9949" s="15">
        <v>11.22</v>
      </c>
      <c r="E9949" s="16" t="s">
        <v>30</v>
      </c>
    </row>
    <row r="9950" spans="1:5" x14ac:dyDescent="0.25">
      <c r="A9950" s="14">
        <v>732339002</v>
      </c>
      <c r="B9950" s="14" t="s">
        <v>10052</v>
      </c>
      <c r="C9950" s="14" t="s">
        <v>13029</v>
      </c>
      <c r="D9950" s="15">
        <v>11.22</v>
      </c>
      <c r="E9950" s="16" t="s">
        <v>30</v>
      </c>
    </row>
    <row r="9951" spans="1:5" x14ac:dyDescent="0.25">
      <c r="A9951" s="14">
        <v>732364002</v>
      </c>
      <c r="B9951" s="14" t="s">
        <v>10053</v>
      </c>
      <c r="C9951" s="14" t="s">
        <v>13029</v>
      </c>
      <c r="D9951" s="15">
        <v>32.57</v>
      </c>
      <c r="E9951" s="16" t="s">
        <v>30</v>
      </c>
    </row>
    <row r="9952" spans="1:5" x14ac:dyDescent="0.25">
      <c r="A9952" s="14">
        <v>732366002</v>
      </c>
      <c r="B9952" s="14" t="s">
        <v>10054</v>
      </c>
      <c r="C9952" s="14" t="s">
        <v>13029</v>
      </c>
      <c r="D9952" s="15">
        <v>34.33</v>
      </c>
      <c r="E9952" s="16" t="s">
        <v>30</v>
      </c>
    </row>
    <row r="9953" spans="1:5" x14ac:dyDescent="0.25">
      <c r="A9953" s="14">
        <v>733129001</v>
      </c>
      <c r="B9953" s="14" t="s">
        <v>10055</v>
      </c>
      <c r="C9953" s="14" t="s">
        <v>13031</v>
      </c>
      <c r="D9953" s="15">
        <v>4.4000000000000004</v>
      </c>
      <c r="E9953" s="16" t="s">
        <v>30</v>
      </c>
    </row>
    <row r="9954" spans="1:5" x14ac:dyDescent="0.25">
      <c r="A9954" s="14">
        <v>733129002</v>
      </c>
      <c r="B9954" s="14" t="s">
        <v>10056</v>
      </c>
      <c r="C9954" s="14" t="s">
        <v>13031</v>
      </c>
      <c r="D9954" s="15">
        <v>4.4000000000000004</v>
      </c>
      <c r="E9954" s="16" t="s">
        <v>30</v>
      </c>
    </row>
    <row r="9955" spans="1:5" x14ac:dyDescent="0.25">
      <c r="A9955" s="14">
        <v>733129005</v>
      </c>
      <c r="B9955" s="14" t="s">
        <v>10057</v>
      </c>
      <c r="C9955" s="14" t="s">
        <v>13031</v>
      </c>
      <c r="D9955" s="15">
        <v>4.4000000000000004</v>
      </c>
      <c r="E9955" s="16" t="s">
        <v>30</v>
      </c>
    </row>
    <row r="9956" spans="1:5" x14ac:dyDescent="0.25">
      <c r="A9956" s="14">
        <v>733224001</v>
      </c>
      <c r="B9956" s="14" t="s">
        <v>10058</v>
      </c>
      <c r="C9956" s="14" t="s">
        <v>13029</v>
      </c>
      <c r="D9956" s="15">
        <v>8.27</v>
      </c>
      <c r="E9956" s="14" t="s">
        <v>30</v>
      </c>
    </row>
    <row r="9957" spans="1:5" x14ac:dyDescent="0.25">
      <c r="A9957" s="14">
        <v>733224002</v>
      </c>
      <c r="B9957" s="14" t="s">
        <v>10059</v>
      </c>
      <c r="C9957" s="14" t="s">
        <v>13029</v>
      </c>
      <c r="D9957" s="15">
        <v>8.27</v>
      </c>
      <c r="E9957" s="14" t="s">
        <v>30</v>
      </c>
    </row>
    <row r="9958" spans="1:5" x14ac:dyDescent="0.25">
      <c r="A9958" s="14">
        <v>733478001</v>
      </c>
      <c r="B9958" s="14" t="s">
        <v>10060</v>
      </c>
      <c r="C9958" s="14" t="s">
        <v>13030</v>
      </c>
      <c r="D9958" s="15">
        <v>64.760000000000005</v>
      </c>
      <c r="E9958" s="16" t="s">
        <v>30</v>
      </c>
    </row>
    <row r="9959" spans="1:5" x14ac:dyDescent="0.25">
      <c r="A9959" s="14">
        <v>733478002</v>
      </c>
      <c r="B9959" s="14" t="s">
        <v>10061</v>
      </c>
      <c r="C9959" s="14" t="s">
        <v>13030</v>
      </c>
      <c r="D9959" s="15">
        <v>64.760000000000005</v>
      </c>
      <c r="E9959" s="16" t="s">
        <v>30</v>
      </c>
    </row>
    <row r="9960" spans="1:5" x14ac:dyDescent="0.25">
      <c r="A9960" s="14">
        <v>733489001</v>
      </c>
      <c r="B9960" s="14" t="s">
        <v>10062</v>
      </c>
      <c r="C9960" s="14" t="s">
        <v>13030</v>
      </c>
      <c r="D9960" s="15">
        <v>62.48</v>
      </c>
      <c r="E9960" s="16" t="s">
        <v>30</v>
      </c>
    </row>
    <row r="9961" spans="1:5" x14ac:dyDescent="0.25">
      <c r="A9961" s="14">
        <v>733609001</v>
      </c>
      <c r="B9961" s="14" t="s">
        <v>10063</v>
      </c>
      <c r="C9961" s="14" t="s">
        <v>13030</v>
      </c>
      <c r="D9961" s="15">
        <v>17.22</v>
      </c>
      <c r="E9961" s="14" t="s">
        <v>30</v>
      </c>
    </row>
    <row r="9962" spans="1:5" x14ac:dyDescent="0.25">
      <c r="A9962" s="14">
        <v>733609002</v>
      </c>
      <c r="B9962" s="14" t="s">
        <v>10064</v>
      </c>
      <c r="C9962" s="14" t="s">
        <v>13030</v>
      </c>
      <c r="D9962" s="15">
        <v>17.22</v>
      </c>
      <c r="E9962" s="14" t="s">
        <v>30</v>
      </c>
    </row>
    <row r="9963" spans="1:5" x14ac:dyDescent="0.25">
      <c r="A9963" s="14">
        <v>733610001</v>
      </c>
      <c r="B9963" s="14" t="s">
        <v>10065</v>
      </c>
      <c r="C9963" s="14" t="s">
        <v>13030</v>
      </c>
      <c r="D9963" s="15">
        <v>45.3</v>
      </c>
      <c r="E9963" s="14" t="s">
        <v>30</v>
      </c>
    </row>
    <row r="9964" spans="1:5" x14ac:dyDescent="0.25">
      <c r="A9964" s="14">
        <v>733613001</v>
      </c>
      <c r="B9964" s="14" t="s">
        <v>10066</v>
      </c>
      <c r="C9964" s="14" t="s">
        <v>13030</v>
      </c>
      <c r="D9964" s="15">
        <v>28.74</v>
      </c>
      <c r="E9964" s="14" t="s">
        <v>30</v>
      </c>
    </row>
    <row r="9965" spans="1:5" x14ac:dyDescent="0.25">
      <c r="A9965" s="14">
        <v>733613002</v>
      </c>
      <c r="B9965" s="14" t="s">
        <v>10067</v>
      </c>
      <c r="C9965" s="14" t="s">
        <v>13030</v>
      </c>
      <c r="D9965" s="15">
        <v>28.74</v>
      </c>
      <c r="E9965" s="14" t="s">
        <v>30</v>
      </c>
    </row>
    <row r="9966" spans="1:5" x14ac:dyDescent="0.25">
      <c r="A9966" s="14">
        <v>733617001</v>
      </c>
      <c r="B9966" s="14" t="s">
        <v>10068</v>
      </c>
      <c r="C9966" s="14" t="s">
        <v>13030</v>
      </c>
      <c r="D9966" s="15">
        <v>104.38</v>
      </c>
      <c r="E9966" s="16" t="s">
        <v>30</v>
      </c>
    </row>
    <row r="9967" spans="1:5" x14ac:dyDescent="0.25">
      <c r="A9967" s="14">
        <v>733617003</v>
      </c>
      <c r="B9967" s="14" t="s">
        <v>10069</v>
      </c>
      <c r="C9967" s="14" t="s">
        <v>13030</v>
      </c>
      <c r="D9967" s="15">
        <v>104.38</v>
      </c>
      <c r="E9967" s="14" t="s">
        <v>30</v>
      </c>
    </row>
    <row r="9968" spans="1:5" x14ac:dyDescent="0.25">
      <c r="A9968" s="14">
        <v>733618001</v>
      </c>
      <c r="B9968" s="14" t="s">
        <v>10070</v>
      </c>
      <c r="C9968" s="14" t="s">
        <v>13030</v>
      </c>
      <c r="D9968" s="15">
        <v>71.97</v>
      </c>
      <c r="E9968" s="16" t="s">
        <v>30</v>
      </c>
    </row>
    <row r="9969" spans="1:5" x14ac:dyDescent="0.25">
      <c r="A9969" s="14">
        <v>733618002</v>
      </c>
      <c r="B9969" s="14" t="s">
        <v>10071</v>
      </c>
      <c r="C9969" s="14" t="s">
        <v>13030</v>
      </c>
      <c r="D9969" s="15">
        <v>71.97</v>
      </c>
      <c r="E9969" s="14" t="s">
        <v>30</v>
      </c>
    </row>
    <row r="9970" spans="1:5" x14ac:dyDescent="0.25">
      <c r="A9970" s="14">
        <v>733619002</v>
      </c>
      <c r="B9970" s="14" t="s">
        <v>10072</v>
      </c>
      <c r="C9970" s="14" t="s">
        <v>13030</v>
      </c>
      <c r="D9970" s="15">
        <v>43.16</v>
      </c>
      <c r="E9970" s="14" t="s">
        <v>30</v>
      </c>
    </row>
    <row r="9971" spans="1:5" x14ac:dyDescent="0.25">
      <c r="A9971" s="14">
        <v>733620001</v>
      </c>
      <c r="B9971" s="14" t="s">
        <v>10073</v>
      </c>
      <c r="C9971" s="14" t="s">
        <v>13030</v>
      </c>
      <c r="D9971" s="15">
        <v>35.950000000000003</v>
      </c>
      <c r="E9971" s="14" t="s">
        <v>30</v>
      </c>
    </row>
    <row r="9972" spans="1:5" x14ac:dyDescent="0.25">
      <c r="A9972" s="14">
        <v>733620002</v>
      </c>
      <c r="B9972" s="14" t="s">
        <v>10074</v>
      </c>
      <c r="C9972" s="14" t="s">
        <v>13030</v>
      </c>
      <c r="D9972" s="15">
        <v>35.950000000000003</v>
      </c>
      <c r="E9972" s="14" t="s">
        <v>30</v>
      </c>
    </row>
    <row r="9973" spans="1:5" x14ac:dyDescent="0.25">
      <c r="A9973" s="14">
        <v>733621001</v>
      </c>
      <c r="B9973" s="14" t="s">
        <v>10075</v>
      </c>
      <c r="C9973" s="14" t="s">
        <v>13030</v>
      </c>
      <c r="D9973" s="15">
        <v>25.14</v>
      </c>
      <c r="E9973" s="14" t="s">
        <v>30</v>
      </c>
    </row>
    <row r="9974" spans="1:5" x14ac:dyDescent="0.25">
      <c r="A9974" s="14">
        <v>733622001</v>
      </c>
      <c r="B9974" s="14" t="s">
        <v>10076</v>
      </c>
      <c r="C9974" s="14" t="s">
        <v>13030</v>
      </c>
      <c r="D9974" s="15">
        <v>28.74</v>
      </c>
      <c r="E9974" s="14" t="s">
        <v>30</v>
      </c>
    </row>
    <row r="9975" spans="1:5" x14ac:dyDescent="0.25">
      <c r="A9975" s="14">
        <v>733623001</v>
      </c>
      <c r="B9975" s="14" t="s">
        <v>10077</v>
      </c>
      <c r="C9975" s="14" t="s">
        <v>13030</v>
      </c>
      <c r="D9975" s="15">
        <v>47.47</v>
      </c>
      <c r="E9975" s="14" t="s">
        <v>30</v>
      </c>
    </row>
    <row r="9976" spans="1:5" x14ac:dyDescent="0.25">
      <c r="A9976" s="14">
        <v>733631001</v>
      </c>
      <c r="B9976" s="14" t="s">
        <v>10078</v>
      </c>
      <c r="C9976" s="14" t="s">
        <v>13030</v>
      </c>
      <c r="D9976" s="15">
        <v>52.52</v>
      </c>
      <c r="E9976" s="16" t="s">
        <v>30</v>
      </c>
    </row>
    <row r="9977" spans="1:5" x14ac:dyDescent="0.25">
      <c r="A9977" s="14">
        <v>733631002</v>
      </c>
      <c r="B9977" s="14" t="s">
        <v>10079</v>
      </c>
      <c r="C9977" s="14" t="s">
        <v>13030</v>
      </c>
      <c r="D9977" s="15">
        <v>52.52</v>
      </c>
      <c r="E9977" s="16" t="s">
        <v>30</v>
      </c>
    </row>
    <row r="9978" spans="1:5" x14ac:dyDescent="0.25">
      <c r="A9978" s="14">
        <v>733631003</v>
      </c>
      <c r="B9978" s="14" t="s">
        <v>10080</v>
      </c>
      <c r="C9978" s="14" t="s">
        <v>13030</v>
      </c>
      <c r="D9978" s="15">
        <v>52.52</v>
      </c>
      <c r="E9978" s="16" t="s">
        <v>30</v>
      </c>
    </row>
    <row r="9979" spans="1:5" x14ac:dyDescent="0.25">
      <c r="A9979" s="14">
        <v>733632003</v>
      </c>
      <c r="B9979" s="14" t="s">
        <v>10081</v>
      </c>
      <c r="C9979" s="14" t="s">
        <v>13030</v>
      </c>
      <c r="D9979" s="15">
        <v>29.6</v>
      </c>
      <c r="E9979" s="16" t="s">
        <v>30</v>
      </c>
    </row>
    <row r="9980" spans="1:5" x14ac:dyDescent="0.25">
      <c r="A9980" s="14">
        <v>733632004</v>
      </c>
      <c r="B9980" s="14" t="s">
        <v>10082</v>
      </c>
      <c r="C9980" s="14" t="s">
        <v>13030</v>
      </c>
      <c r="D9980" s="15">
        <v>29.6</v>
      </c>
      <c r="E9980" s="16" t="s">
        <v>30</v>
      </c>
    </row>
    <row r="9981" spans="1:5" x14ac:dyDescent="0.25">
      <c r="A9981" s="14">
        <v>733632005</v>
      </c>
      <c r="B9981" s="14" t="s">
        <v>10083</v>
      </c>
      <c r="C9981" s="14" t="s">
        <v>13030</v>
      </c>
      <c r="D9981" s="15">
        <v>29.6</v>
      </c>
      <c r="E9981" s="16" t="s">
        <v>30</v>
      </c>
    </row>
    <row r="9982" spans="1:5" x14ac:dyDescent="0.25">
      <c r="A9982" s="14">
        <v>733698002</v>
      </c>
      <c r="B9982" s="14" t="s">
        <v>10084</v>
      </c>
      <c r="C9982" s="14" t="s">
        <v>13030</v>
      </c>
      <c r="D9982" s="15">
        <v>100.78</v>
      </c>
      <c r="E9982" s="14" t="s">
        <v>30</v>
      </c>
    </row>
    <row r="9983" spans="1:5" x14ac:dyDescent="0.25">
      <c r="A9983" s="14">
        <v>733699001</v>
      </c>
      <c r="B9983" s="14" t="s">
        <v>10085</v>
      </c>
      <c r="C9983" s="14" t="s">
        <v>13030</v>
      </c>
      <c r="D9983" s="15">
        <v>21.54</v>
      </c>
      <c r="E9983" s="14" t="s">
        <v>30</v>
      </c>
    </row>
    <row r="9984" spans="1:5" x14ac:dyDescent="0.25">
      <c r="A9984" s="14">
        <v>733699002</v>
      </c>
      <c r="B9984" s="14" t="s">
        <v>10086</v>
      </c>
      <c r="C9984" s="14" t="s">
        <v>13030</v>
      </c>
      <c r="D9984" s="15">
        <v>21.54</v>
      </c>
      <c r="E9984" s="14" t="s">
        <v>30</v>
      </c>
    </row>
    <row r="9985" spans="1:5" x14ac:dyDescent="0.25">
      <c r="A9985" s="14">
        <v>733700002</v>
      </c>
      <c r="B9985" s="14" t="s">
        <v>10087</v>
      </c>
      <c r="C9985" s="14" t="s">
        <v>13030</v>
      </c>
      <c r="D9985" s="15">
        <v>21.54</v>
      </c>
      <c r="E9985" s="14" t="s">
        <v>30</v>
      </c>
    </row>
    <row r="9986" spans="1:5" x14ac:dyDescent="0.25">
      <c r="A9986" s="14">
        <v>733864001</v>
      </c>
      <c r="B9986" s="14" t="s">
        <v>10088</v>
      </c>
      <c r="C9986" s="14" t="s">
        <v>13029</v>
      </c>
      <c r="D9986" s="15">
        <v>13.17</v>
      </c>
      <c r="E9986" s="16" t="s">
        <v>30</v>
      </c>
    </row>
    <row r="9987" spans="1:5" x14ac:dyDescent="0.25">
      <c r="A9987" s="14">
        <v>733864002</v>
      </c>
      <c r="B9987" s="14" t="s">
        <v>10089</v>
      </c>
      <c r="C9987" s="14" t="s">
        <v>13029</v>
      </c>
      <c r="D9987" s="15">
        <v>13.17</v>
      </c>
      <c r="E9987" s="16" t="s">
        <v>30</v>
      </c>
    </row>
    <row r="9988" spans="1:5" x14ac:dyDescent="0.25">
      <c r="A9988" s="14">
        <v>734690001</v>
      </c>
      <c r="B9988" s="14" t="s">
        <v>10090</v>
      </c>
      <c r="C9988" s="14" t="s">
        <v>13029</v>
      </c>
      <c r="D9988" s="15">
        <v>3.79</v>
      </c>
      <c r="E9988" s="16" t="s">
        <v>30</v>
      </c>
    </row>
    <row r="9989" spans="1:5" x14ac:dyDescent="0.25">
      <c r="A9989" s="14">
        <v>734690002</v>
      </c>
      <c r="B9989" s="14" t="s">
        <v>10091</v>
      </c>
      <c r="C9989" s="14" t="s">
        <v>13029</v>
      </c>
      <c r="D9989" s="15">
        <v>3.79</v>
      </c>
      <c r="E9989" s="16" t="s">
        <v>30</v>
      </c>
    </row>
    <row r="9990" spans="1:5" x14ac:dyDescent="0.25">
      <c r="A9990" s="14">
        <v>734690003</v>
      </c>
      <c r="B9990" s="14" t="s">
        <v>10092</v>
      </c>
      <c r="C9990" s="14" t="s">
        <v>13029</v>
      </c>
      <c r="D9990" s="15">
        <v>3.79</v>
      </c>
      <c r="E9990" s="16" t="s">
        <v>30</v>
      </c>
    </row>
    <row r="9991" spans="1:5" x14ac:dyDescent="0.25">
      <c r="A9991" s="14">
        <v>737787001</v>
      </c>
      <c r="B9991" s="14" t="s">
        <v>10093</v>
      </c>
      <c r="C9991" s="14" t="s">
        <v>13029</v>
      </c>
      <c r="D9991" s="15">
        <v>23.44</v>
      </c>
      <c r="E9991" s="16" t="s">
        <v>30</v>
      </c>
    </row>
    <row r="9992" spans="1:5" x14ac:dyDescent="0.25">
      <c r="A9992" s="14">
        <v>737787002</v>
      </c>
      <c r="B9992" s="14" t="s">
        <v>10094</v>
      </c>
      <c r="C9992" s="14" t="s">
        <v>13029</v>
      </c>
      <c r="D9992" s="15">
        <v>20.29</v>
      </c>
      <c r="E9992" s="16" t="s">
        <v>30</v>
      </c>
    </row>
    <row r="9993" spans="1:5" x14ac:dyDescent="0.25">
      <c r="A9993" s="14">
        <v>737859001</v>
      </c>
      <c r="B9993" s="14" t="s">
        <v>10095</v>
      </c>
      <c r="C9993" s="14" t="s">
        <v>13031</v>
      </c>
      <c r="D9993" s="15">
        <v>4.68</v>
      </c>
      <c r="E9993" s="16" t="s">
        <v>30</v>
      </c>
    </row>
    <row r="9994" spans="1:5" x14ac:dyDescent="0.25">
      <c r="A9994" s="14">
        <v>737875001</v>
      </c>
      <c r="B9994" s="14" t="s">
        <v>10096</v>
      </c>
      <c r="C9994" s="14" t="s">
        <v>13031</v>
      </c>
      <c r="D9994" s="15">
        <v>5.64</v>
      </c>
      <c r="E9994" s="16" t="s">
        <v>30</v>
      </c>
    </row>
    <row r="9995" spans="1:5" x14ac:dyDescent="0.25">
      <c r="A9995" s="14">
        <v>737875002</v>
      </c>
      <c r="B9995" s="14" t="s">
        <v>10097</v>
      </c>
      <c r="C9995" s="14" t="s">
        <v>13031</v>
      </c>
      <c r="D9995" s="15">
        <v>5.64</v>
      </c>
      <c r="E9995" s="16" t="s">
        <v>30</v>
      </c>
    </row>
    <row r="9996" spans="1:5" x14ac:dyDescent="0.25">
      <c r="A9996" s="14">
        <v>739436001</v>
      </c>
      <c r="B9996" s="14" t="s">
        <v>10098</v>
      </c>
      <c r="C9996" s="14" t="s">
        <v>13031</v>
      </c>
      <c r="D9996" s="15">
        <v>1.57</v>
      </c>
      <c r="E9996" s="16" t="s">
        <v>30</v>
      </c>
    </row>
    <row r="9997" spans="1:5" x14ac:dyDescent="0.25">
      <c r="A9997" s="14">
        <v>739438001</v>
      </c>
      <c r="B9997" s="14" t="s">
        <v>10099</v>
      </c>
      <c r="C9997" s="14" t="s">
        <v>13031</v>
      </c>
      <c r="D9997" s="15">
        <v>16.329999999999998</v>
      </c>
      <c r="E9997" s="16" t="s">
        <v>30</v>
      </c>
    </row>
    <row r="9998" spans="1:5" x14ac:dyDescent="0.25">
      <c r="A9998" s="14">
        <v>739438002</v>
      </c>
      <c r="B9998" s="14" t="s">
        <v>10100</v>
      </c>
      <c r="C9998" s="14" t="s">
        <v>13031</v>
      </c>
      <c r="D9998" s="15">
        <v>16.329999999999998</v>
      </c>
      <c r="E9998" s="16" t="s">
        <v>30</v>
      </c>
    </row>
    <row r="9999" spans="1:5" x14ac:dyDescent="0.25">
      <c r="A9999" s="14">
        <v>741553001</v>
      </c>
      <c r="B9999" s="14" t="s">
        <v>10101</v>
      </c>
      <c r="C9999" s="14" t="s">
        <v>13031</v>
      </c>
      <c r="D9999" s="15">
        <v>9.5</v>
      </c>
      <c r="E9999" s="16" t="s">
        <v>30</v>
      </c>
    </row>
    <row r="10000" spans="1:5" x14ac:dyDescent="0.25">
      <c r="A10000" s="14">
        <v>746010001</v>
      </c>
      <c r="B10000" s="14" t="s">
        <v>10102</v>
      </c>
      <c r="C10000" s="14" t="s">
        <v>13029</v>
      </c>
      <c r="D10000" s="15">
        <v>15.96</v>
      </c>
      <c r="E10000" s="16" t="s">
        <v>30</v>
      </c>
    </row>
    <row r="10001" spans="1:5" x14ac:dyDescent="0.25">
      <c r="A10001" s="14">
        <v>746010002</v>
      </c>
      <c r="B10001" s="14" t="s">
        <v>10103</v>
      </c>
      <c r="C10001" s="14" t="s">
        <v>13029</v>
      </c>
      <c r="D10001" s="15">
        <v>17.739999999999998</v>
      </c>
      <c r="E10001" s="16" t="s">
        <v>30</v>
      </c>
    </row>
    <row r="10002" spans="1:5" x14ac:dyDescent="0.25">
      <c r="A10002" s="14">
        <v>746010004</v>
      </c>
      <c r="B10002" s="14" t="s">
        <v>10104</v>
      </c>
      <c r="C10002" s="14" t="s">
        <v>13029</v>
      </c>
      <c r="D10002" s="15">
        <v>17.739999999999998</v>
      </c>
      <c r="E10002" s="16" t="s">
        <v>30</v>
      </c>
    </row>
    <row r="10003" spans="1:5" x14ac:dyDescent="0.25">
      <c r="A10003" s="14">
        <v>518476001</v>
      </c>
      <c r="B10003" s="14" t="s">
        <v>10105</v>
      </c>
      <c r="C10003" s="14" t="s">
        <v>13031</v>
      </c>
      <c r="D10003" s="15">
        <v>11.76</v>
      </c>
      <c r="E10003" s="16" t="s">
        <v>20</v>
      </c>
    </row>
    <row r="10004" spans="1:5" x14ac:dyDescent="0.25">
      <c r="A10004" s="14">
        <v>518476003</v>
      </c>
      <c r="B10004" s="14" t="s">
        <v>10106</v>
      </c>
      <c r="C10004" s="14" t="s">
        <v>13031</v>
      </c>
      <c r="D10004" s="15">
        <v>11.76</v>
      </c>
      <c r="E10004" s="16" t="s">
        <v>20</v>
      </c>
    </row>
    <row r="10005" spans="1:5" x14ac:dyDescent="0.25">
      <c r="A10005" s="14">
        <v>518476004</v>
      </c>
      <c r="B10005" s="14" t="s">
        <v>10107</v>
      </c>
      <c r="C10005" s="14" t="s">
        <v>13031</v>
      </c>
      <c r="D10005" s="15">
        <v>11.76</v>
      </c>
      <c r="E10005" s="16" t="s">
        <v>20</v>
      </c>
    </row>
    <row r="10006" spans="1:5" x14ac:dyDescent="0.25">
      <c r="A10006" s="14">
        <v>746012001</v>
      </c>
      <c r="B10006" s="14" t="s">
        <v>10102</v>
      </c>
      <c r="C10006" s="14" t="s">
        <v>13029</v>
      </c>
      <c r="D10006" s="15">
        <v>4.9800000000000004</v>
      </c>
      <c r="E10006" s="16" t="s">
        <v>30</v>
      </c>
    </row>
    <row r="10007" spans="1:5" x14ac:dyDescent="0.25">
      <c r="A10007" s="14">
        <v>746012002</v>
      </c>
      <c r="B10007" s="14" t="s">
        <v>10108</v>
      </c>
      <c r="C10007" s="14" t="s">
        <v>13029</v>
      </c>
      <c r="D10007" s="15">
        <v>4.9800000000000004</v>
      </c>
      <c r="E10007" s="16" t="s">
        <v>30</v>
      </c>
    </row>
    <row r="10008" spans="1:5" x14ac:dyDescent="0.25">
      <c r="A10008" s="14">
        <v>752253001</v>
      </c>
      <c r="B10008" s="14" t="s">
        <v>10109</v>
      </c>
      <c r="C10008" s="14" t="s">
        <v>13030</v>
      </c>
      <c r="D10008" s="15">
        <v>77.06</v>
      </c>
      <c r="E10008" s="16" t="s">
        <v>30</v>
      </c>
    </row>
    <row r="10009" spans="1:5" x14ac:dyDescent="0.25">
      <c r="A10009" s="14">
        <v>752253002</v>
      </c>
      <c r="B10009" s="14" t="s">
        <v>10110</v>
      </c>
      <c r="C10009" s="14" t="s">
        <v>13030</v>
      </c>
      <c r="D10009" s="15">
        <v>77.06</v>
      </c>
      <c r="E10009" s="16" t="s">
        <v>30</v>
      </c>
    </row>
    <row r="10010" spans="1:5" x14ac:dyDescent="0.25">
      <c r="A10010" s="14">
        <v>752253003</v>
      </c>
      <c r="B10010" s="14" t="s">
        <v>10111</v>
      </c>
      <c r="C10010" s="14" t="s">
        <v>13030</v>
      </c>
      <c r="D10010" s="15">
        <v>93.73</v>
      </c>
      <c r="E10010" s="16" t="s">
        <v>30</v>
      </c>
    </row>
    <row r="10011" spans="1:5" x14ac:dyDescent="0.25">
      <c r="A10011" s="14">
        <v>752676001</v>
      </c>
      <c r="B10011" s="14" t="s">
        <v>105</v>
      </c>
      <c r="C10011" s="14" t="s">
        <v>13030</v>
      </c>
      <c r="D10011" s="15">
        <v>46.47</v>
      </c>
      <c r="E10011" s="16" t="s">
        <v>30</v>
      </c>
    </row>
    <row r="10012" spans="1:5" x14ac:dyDescent="0.25">
      <c r="A10012" s="14">
        <v>752676002</v>
      </c>
      <c r="B10012" s="14" t="s">
        <v>10112</v>
      </c>
      <c r="C10012" s="14" t="s">
        <v>13030</v>
      </c>
      <c r="D10012" s="15">
        <v>46.47</v>
      </c>
      <c r="E10012" s="16" t="s">
        <v>30</v>
      </c>
    </row>
    <row r="10013" spans="1:5" x14ac:dyDescent="0.25">
      <c r="A10013" s="14">
        <v>752692001</v>
      </c>
      <c r="B10013" s="14" t="s">
        <v>10113</v>
      </c>
      <c r="C10013" s="14" t="s">
        <v>13031</v>
      </c>
      <c r="D10013" s="15">
        <v>11.8</v>
      </c>
      <c r="E10013" s="16" t="s">
        <v>30</v>
      </c>
    </row>
    <row r="10014" spans="1:5" x14ac:dyDescent="0.25">
      <c r="A10014" s="14">
        <v>752692003</v>
      </c>
      <c r="B10014" s="14" t="s">
        <v>10114</v>
      </c>
      <c r="C10014" s="14" t="s">
        <v>13031</v>
      </c>
      <c r="D10014" s="15">
        <v>11.8</v>
      </c>
      <c r="E10014" s="16" t="s">
        <v>30</v>
      </c>
    </row>
    <row r="10015" spans="1:5" x14ac:dyDescent="0.25">
      <c r="A10015" s="14">
        <v>752692004</v>
      </c>
      <c r="B10015" s="14" t="s">
        <v>10115</v>
      </c>
      <c r="C10015" s="14" t="s">
        <v>13031</v>
      </c>
      <c r="D10015" s="15">
        <v>11.8</v>
      </c>
      <c r="E10015" s="16" t="s">
        <v>30</v>
      </c>
    </row>
    <row r="10016" spans="1:5" x14ac:dyDescent="0.25">
      <c r="A10016" s="14">
        <v>752692005</v>
      </c>
      <c r="B10016" s="14" t="s">
        <v>10116</v>
      </c>
      <c r="C10016" s="14" t="s">
        <v>13031</v>
      </c>
      <c r="D10016" s="15">
        <v>11.8</v>
      </c>
      <c r="E10016" s="16" t="s">
        <v>30</v>
      </c>
    </row>
    <row r="10017" spans="1:5" x14ac:dyDescent="0.25">
      <c r="A10017" s="14">
        <v>752692007</v>
      </c>
      <c r="B10017" s="14" t="s">
        <v>10117</v>
      </c>
      <c r="C10017" s="14" t="s">
        <v>13031</v>
      </c>
      <c r="D10017" s="15">
        <v>11.8</v>
      </c>
      <c r="E10017" s="16" t="s">
        <v>30</v>
      </c>
    </row>
    <row r="10018" spans="1:5" x14ac:dyDescent="0.25">
      <c r="A10018" s="14">
        <v>753108001</v>
      </c>
      <c r="B10018" s="14" t="s">
        <v>10118</v>
      </c>
      <c r="C10018" s="14" t="s">
        <v>13030</v>
      </c>
      <c r="D10018" s="15">
        <v>4.66</v>
      </c>
      <c r="E10018" s="16" t="s">
        <v>30</v>
      </c>
    </row>
    <row r="10019" spans="1:5" x14ac:dyDescent="0.25">
      <c r="A10019" s="14">
        <v>753108002</v>
      </c>
      <c r="B10019" s="14" t="s">
        <v>10119</v>
      </c>
      <c r="C10019" s="14" t="s">
        <v>13030</v>
      </c>
      <c r="D10019" s="15">
        <v>4.66</v>
      </c>
      <c r="E10019" s="16" t="s">
        <v>30</v>
      </c>
    </row>
    <row r="10020" spans="1:5" x14ac:dyDescent="0.25">
      <c r="A10020" s="14">
        <v>753537001</v>
      </c>
      <c r="B10020" s="14" t="s">
        <v>10120</v>
      </c>
      <c r="C10020" s="14" t="s">
        <v>13030</v>
      </c>
      <c r="D10020" s="15">
        <v>3.83</v>
      </c>
      <c r="E10020" s="16" t="s">
        <v>30</v>
      </c>
    </row>
    <row r="10021" spans="1:5" x14ac:dyDescent="0.25">
      <c r="A10021" s="14">
        <v>753538002</v>
      </c>
      <c r="B10021" s="14" t="s">
        <v>10121</v>
      </c>
      <c r="C10021" s="14" t="s">
        <v>13030</v>
      </c>
      <c r="D10021" s="15">
        <v>7.12</v>
      </c>
      <c r="E10021" s="16" t="s">
        <v>30</v>
      </c>
    </row>
    <row r="10022" spans="1:5" x14ac:dyDescent="0.25">
      <c r="A10022" s="14">
        <v>753538004</v>
      </c>
      <c r="B10022" s="14" t="s">
        <v>10122</v>
      </c>
      <c r="C10022" s="14" t="s">
        <v>13030</v>
      </c>
      <c r="D10022" s="15">
        <v>7.12</v>
      </c>
      <c r="E10022" s="16" t="s">
        <v>30</v>
      </c>
    </row>
    <row r="10023" spans="1:5" x14ac:dyDescent="0.25">
      <c r="A10023" s="14">
        <v>753538006</v>
      </c>
      <c r="B10023" s="14" t="s">
        <v>81</v>
      </c>
      <c r="C10023" s="14" t="s">
        <v>13030</v>
      </c>
      <c r="D10023" s="15">
        <v>7.12</v>
      </c>
      <c r="E10023" s="16" t="s">
        <v>30</v>
      </c>
    </row>
    <row r="10024" spans="1:5" x14ac:dyDescent="0.25">
      <c r="A10024" s="14">
        <v>753538007</v>
      </c>
      <c r="B10024" s="14" t="s">
        <v>10123</v>
      </c>
      <c r="C10024" s="14" t="s">
        <v>13030</v>
      </c>
      <c r="D10024" s="15">
        <v>7.12</v>
      </c>
      <c r="E10024" s="16" t="s">
        <v>30</v>
      </c>
    </row>
    <row r="10025" spans="1:5" x14ac:dyDescent="0.25">
      <c r="A10025" s="14">
        <v>753538008</v>
      </c>
      <c r="B10025" s="14" t="s">
        <v>10124</v>
      </c>
      <c r="C10025" s="14" t="s">
        <v>13030</v>
      </c>
      <c r="D10025" s="15">
        <v>7.12</v>
      </c>
      <c r="E10025" s="16" t="s">
        <v>30</v>
      </c>
    </row>
    <row r="10026" spans="1:5" x14ac:dyDescent="0.25">
      <c r="A10026" s="14">
        <v>753538010</v>
      </c>
      <c r="B10026" s="14" t="s">
        <v>10125</v>
      </c>
      <c r="C10026" s="14" t="s">
        <v>13030</v>
      </c>
      <c r="D10026" s="15">
        <v>7.12</v>
      </c>
      <c r="E10026" s="16" t="s">
        <v>30</v>
      </c>
    </row>
    <row r="10027" spans="1:5" x14ac:dyDescent="0.25">
      <c r="A10027" s="14">
        <v>753605001</v>
      </c>
      <c r="B10027" s="14" t="s">
        <v>10126</v>
      </c>
      <c r="C10027" s="14" t="s">
        <v>13029</v>
      </c>
      <c r="D10027" s="15">
        <v>7.49</v>
      </c>
      <c r="E10027" s="16" t="s">
        <v>30</v>
      </c>
    </row>
    <row r="10028" spans="1:5" x14ac:dyDescent="0.25">
      <c r="A10028" s="14">
        <v>753605002</v>
      </c>
      <c r="B10028" s="14" t="s">
        <v>10127</v>
      </c>
      <c r="C10028" s="14" t="s">
        <v>13029</v>
      </c>
      <c r="D10028" s="15">
        <v>7.49</v>
      </c>
      <c r="E10028" s="16" t="s">
        <v>30</v>
      </c>
    </row>
    <row r="10029" spans="1:5" x14ac:dyDescent="0.25">
      <c r="A10029" s="14">
        <v>753605004</v>
      </c>
      <c r="B10029" s="14" t="s">
        <v>10128</v>
      </c>
      <c r="C10029" s="14" t="s">
        <v>13029</v>
      </c>
      <c r="D10029" s="15">
        <v>6.18</v>
      </c>
      <c r="E10029" s="16" t="s">
        <v>30</v>
      </c>
    </row>
    <row r="10030" spans="1:5" x14ac:dyDescent="0.25">
      <c r="A10030" s="14">
        <v>753608001</v>
      </c>
      <c r="B10030" s="14" t="s">
        <v>10129</v>
      </c>
      <c r="C10030" s="14" t="s">
        <v>13029</v>
      </c>
      <c r="D10030" s="15">
        <v>6.18</v>
      </c>
      <c r="E10030" s="16" t="s">
        <v>30</v>
      </c>
    </row>
    <row r="10031" spans="1:5" x14ac:dyDescent="0.25">
      <c r="A10031" s="14">
        <v>753608002</v>
      </c>
      <c r="B10031" s="14" t="s">
        <v>10130</v>
      </c>
      <c r="C10031" s="14" t="s">
        <v>13029</v>
      </c>
      <c r="D10031" s="15">
        <v>6.18</v>
      </c>
      <c r="E10031" s="16" t="s">
        <v>30</v>
      </c>
    </row>
    <row r="10032" spans="1:5" x14ac:dyDescent="0.25">
      <c r="A10032" s="14">
        <v>753608004</v>
      </c>
      <c r="B10032" s="14" t="s">
        <v>10131</v>
      </c>
      <c r="C10032" s="14" t="s">
        <v>13029</v>
      </c>
      <c r="D10032" s="15">
        <v>6.18</v>
      </c>
      <c r="E10032" s="16" t="s">
        <v>30</v>
      </c>
    </row>
    <row r="10033" spans="1:5" x14ac:dyDescent="0.25">
      <c r="A10033" s="14">
        <v>753913001</v>
      </c>
      <c r="B10033" s="14" t="s">
        <v>10132</v>
      </c>
      <c r="C10033" s="14" t="s">
        <v>13029</v>
      </c>
      <c r="D10033" s="15">
        <v>33.9</v>
      </c>
      <c r="E10033" s="16" t="s">
        <v>30</v>
      </c>
    </row>
    <row r="10034" spans="1:5" x14ac:dyDescent="0.25">
      <c r="A10034" s="14">
        <v>753913002</v>
      </c>
      <c r="B10034" s="14" t="s">
        <v>10133</v>
      </c>
      <c r="C10034" s="14" t="s">
        <v>13029</v>
      </c>
      <c r="D10034" s="15">
        <v>33.880000000000003</v>
      </c>
      <c r="E10034" s="16" t="s">
        <v>30</v>
      </c>
    </row>
    <row r="10035" spans="1:5" x14ac:dyDescent="0.25">
      <c r="A10035" s="14">
        <v>753914001</v>
      </c>
      <c r="B10035" s="14" t="s">
        <v>10134</v>
      </c>
      <c r="C10035" s="14" t="s">
        <v>13029</v>
      </c>
      <c r="D10035" s="15">
        <v>33.85</v>
      </c>
      <c r="E10035" s="16" t="s">
        <v>30</v>
      </c>
    </row>
    <row r="10036" spans="1:5" x14ac:dyDescent="0.25">
      <c r="A10036" s="14">
        <v>753914002</v>
      </c>
      <c r="B10036" s="14" t="s">
        <v>10135</v>
      </c>
      <c r="C10036" s="14" t="s">
        <v>13029</v>
      </c>
      <c r="D10036" s="15">
        <v>33.909999999999997</v>
      </c>
      <c r="E10036" s="16" t="s">
        <v>30</v>
      </c>
    </row>
    <row r="10037" spans="1:5" x14ac:dyDescent="0.25">
      <c r="A10037" s="14">
        <v>753915001</v>
      </c>
      <c r="B10037" s="14" t="s">
        <v>10136</v>
      </c>
      <c r="C10037" s="14" t="s">
        <v>13029</v>
      </c>
      <c r="D10037" s="15">
        <v>30.37</v>
      </c>
      <c r="E10037" s="16" t="s">
        <v>30</v>
      </c>
    </row>
    <row r="10038" spans="1:5" x14ac:dyDescent="0.25">
      <c r="A10038" s="14">
        <v>753915003</v>
      </c>
      <c r="B10038" s="14" t="s">
        <v>10137</v>
      </c>
      <c r="C10038" s="14" t="s">
        <v>13029</v>
      </c>
      <c r="D10038" s="15">
        <v>30.28</v>
      </c>
      <c r="E10038" s="16" t="s">
        <v>30</v>
      </c>
    </row>
    <row r="10039" spans="1:5" x14ac:dyDescent="0.25">
      <c r="A10039" s="14">
        <v>753916001</v>
      </c>
      <c r="B10039" s="14" t="s">
        <v>10138</v>
      </c>
      <c r="C10039" s="14" t="s">
        <v>13029</v>
      </c>
      <c r="D10039" s="15">
        <v>30.51</v>
      </c>
      <c r="E10039" s="16" t="s">
        <v>30</v>
      </c>
    </row>
    <row r="10040" spans="1:5" x14ac:dyDescent="0.25">
      <c r="A10040" s="14">
        <v>753916002</v>
      </c>
      <c r="B10040" s="14" t="s">
        <v>10139</v>
      </c>
      <c r="C10040" s="14" t="s">
        <v>13029</v>
      </c>
      <c r="D10040" s="15">
        <v>30.14</v>
      </c>
      <c r="E10040" s="16" t="s">
        <v>30</v>
      </c>
    </row>
    <row r="10041" spans="1:5" x14ac:dyDescent="0.25">
      <c r="A10041" s="14">
        <v>753916004</v>
      </c>
      <c r="B10041" s="14" t="s">
        <v>10140</v>
      </c>
      <c r="C10041" s="14" t="s">
        <v>13029</v>
      </c>
      <c r="D10041" s="15">
        <v>30.51</v>
      </c>
      <c r="E10041" s="16" t="s">
        <v>30</v>
      </c>
    </row>
    <row r="10042" spans="1:5" x14ac:dyDescent="0.25">
      <c r="A10042" s="14">
        <v>753917001</v>
      </c>
      <c r="B10042" s="14" t="s">
        <v>10141</v>
      </c>
      <c r="C10042" s="14" t="s">
        <v>13029</v>
      </c>
      <c r="D10042" s="15">
        <v>19.72</v>
      </c>
      <c r="E10042" s="16" t="s">
        <v>30</v>
      </c>
    </row>
    <row r="10043" spans="1:5" x14ac:dyDescent="0.25">
      <c r="A10043" s="14">
        <v>753917002</v>
      </c>
      <c r="B10043" s="14" t="s">
        <v>10142</v>
      </c>
      <c r="C10043" s="14" t="s">
        <v>13029</v>
      </c>
      <c r="D10043" s="15">
        <v>19.690000000000001</v>
      </c>
      <c r="E10043" s="16" t="s">
        <v>30</v>
      </c>
    </row>
    <row r="10044" spans="1:5" x14ac:dyDescent="0.25">
      <c r="A10044" s="14">
        <v>753918002</v>
      </c>
      <c r="B10044" s="14" t="s">
        <v>10143</v>
      </c>
      <c r="C10044" s="14" t="s">
        <v>13029</v>
      </c>
      <c r="D10044" s="15">
        <v>19.739999999999998</v>
      </c>
      <c r="E10044" s="16" t="s">
        <v>30</v>
      </c>
    </row>
    <row r="10045" spans="1:5" x14ac:dyDescent="0.25">
      <c r="A10045" s="14">
        <v>753919001</v>
      </c>
      <c r="B10045" s="14" t="s">
        <v>10144</v>
      </c>
      <c r="C10045" s="14" t="s">
        <v>13029</v>
      </c>
      <c r="D10045" s="15">
        <v>19.72</v>
      </c>
      <c r="E10045" s="16" t="s">
        <v>30</v>
      </c>
    </row>
    <row r="10046" spans="1:5" x14ac:dyDescent="0.25">
      <c r="A10046" s="14">
        <v>753919002</v>
      </c>
      <c r="B10046" s="14" t="s">
        <v>10145</v>
      </c>
      <c r="C10046" s="14" t="s">
        <v>13029</v>
      </c>
      <c r="D10046" s="15">
        <v>19.72</v>
      </c>
      <c r="E10046" s="16" t="s">
        <v>30</v>
      </c>
    </row>
    <row r="10047" spans="1:5" x14ac:dyDescent="0.25">
      <c r="A10047" s="14">
        <v>753919004</v>
      </c>
      <c r="B10047" s="14" t="s">
        <v>10146</v>
      </c>
      <c r="C10047" s="14" t="s">
        <v>13029</v>
      </c>
      <c r="D10047" s="15">
        <v>19.59</v>
      </c>
      <c r="E10047" s="16" t="s">
        <v>30</v>
      </c>
    </row>
    <row r="10048" spans="1:5" x14ac:dyDescent="0.25">
      <c r="A10048" s="14">
        <v>753920001</v>
      </c>
      <c r="B10048" s="14" t="s">
        <v>10147</v>
      </c>
      <c r="C10048" s="14" t="s">
        <v>13029</v>
      </c>
      <c r="D10048" s="15">
        <v>19.760000000000002</v>
      </c>
      <c r="E10048" s="16" t="s">
        <v>30</v>
      </c>
    </row>
    <row r="10049" spans="1:5" x14ac:dyDescent="0.25">
      <c r="A10049" s="14">
        <v>753920002</v>
      </c>
      <c r="B10049" s="14" t="s">
        <v>10148</v>
      </c>
      <c r="C10049" s="14" t="s">
        <v>13029</v>
      </c>
      <c r="D10049" s="15">
        <v>19.73</v>
      </c>
      <c r="E10049" s="16" t="s">
        <v>30</v>
      </c>
    </row>
    <row r="10050" spans="1:5" x14ac:dyDescent="0.25">
      <c r="A10050" s="14">
        <v>753921001</v>
      </c>
      <c r="B10050" s="14" t="s">
        <v>10149</v>
      </c>
      <c r="C10050" s="14" t="s">
        <v>13029</v>
      </c>
      <c r="D10050" s="15">
        <v>12.31</v>
      </c>
      <c r="E10050" s="16" t="s">
        <v>30</v>
      </c>
    </row>
    <row r="10051" spans="1:5" x14ac:dyDescent="0.25">
      <c r="A10051" s="14">
        <v>753921002</v>
      </c>
      <c r="B10051" s="14" t="s">
        <v>10150</v>
      </c>
      <c r="C10051" s="14" t="s">
        <v>13029</v>
      </c>
      <c r="D10051" s="15">
        <v>12.3</v>
      </c>
      <c r="E10051" s="16" t="s">
        <v>30</v>
      </c>
    </row>
    <row r="10052" spans="1:5" x14ac:dyDescent="0.25">
      <c r="A10052" s="14">
        <v>753922001</v>
      </c>
      <c r="B10052" s="14" t="s">
        <v>10151</v>
      </c>
      <c r="C10052" s="14" t="s">
        <v>13029</v>
      </c>
      <c r="D10052" s="15">
        <v>11.86</v>
      </c>
      <c r="E10052" s="16" t="s">
        <v>30</v>
      </c>
    </row>
    <row r="10053" spans="1:5" x14ac:dyDescent="0.25">
      <c r="A10053" s="14">
        <v>753922003</v>
      </c>
      <c r="B10053" s="14" t="s">
        <v>10152</v>
      </c>
      <c r="C10053" s="14" t="s">
        <v>13029</v>
      </c>
      <c r="D10053" s="15">
        <v>11.7</v>
      </c>
      <c r="E10053" s="16" t="s">
        <v>30</v>
      </c>
    </row>
    <row r="10054" spans="1:5" x14ac:dyDescent="0.25">
      <c r="A10054" s="14">
        <v>753923001</v>
      </c>
      <c r="B10054" s="14" t="s">
        <v>10153</v>
      </c>
      <c r="C10054" s="14" t="s">
        <v>13029</v>
      </c>
      <c r="D10054" s="15">
        <v>12.31</v>
      </c>
      <c r="E10054" s="16" t="s">
        <v>30</v>
      </c>
    </row>
    <row r="10055" spans="1:5" x14ac:dyDescent="0.25">
      <c r="A10055" s="14">
        <v>753923002</v>
      </c>
      <c r="B10055" s="14" t="s">
        <v>10154</v>
      </c>
      <c r="C10055" s="14" t="s">
        <v>13029</v>
      </c>
      <c r="D10055" s="15">
        <v>11.7</v>
      </c>
      <c r="E10055" s="16" t="s">
        <v>30</v>
      </c>
    </row>
    <row r="10056" spans="1:5" x14ac:dyDescent="0.25">
      <c r="A10056" s="14">
        <v>753923004</v>
      </c>
      <c r="B10056" s="14" t="s">
        <v>10155</v>
      </c>
      <c r="C10056" s="14" t="s">
        <v>13029</v>
      </c>
      <c r="D10056" s="15">
        <v>11.7</v>
      </c>
      <c r="E10056" s="16" t="s">
        <v>30</v>
      </c>
    </row>
    <row r="10057" spans="1:5" x14ac:dyDescent="0.25">
      <c r="A10057" s="14">
        <v>753924001</v>
      </c>
      <c r="B10057" s="14" t="s">
        <v>10156</v>
      </c>
      <c r="C10057" s="14" t="s">
        <v>13029</v>
      </c>
      <c r="D10057" s="15">
        <v>4.9800000000000004</v>
      </c>
      <c r="E10057" s="16" t="s">
        <v>30</v>
      </c>
    </row>
    <row r="10058" spans="1:5" x14ac:dyDescent="0.25">
      <c r="A10058" s="14">
        <v>753924002</v>
      </c>
      <c r="B10058" s="14" t="s">
        <v>10157</v>
      </c>
      <c r="C10058" s="14" t="s">
        <v>13029</v>
      </c>
      <c r="D10058" s="15">
        <v>4.9800000000000004</v>
      </c>
      <c r="E10058" s="16" t="s">
        <v>30</v>
      </c>
    </row>
    <row r="10059" spans="1:5" x14ac:dyDescent="0.25">
      <c r="A10059" s="14">
        <v>753927001</v>
      </c>
      <c r="B10059" s="14" t="s">
        <v>10158</v>
      </c>
      <c r="C10059" s="14" t="s">
        <v>13029</v>
      </c>
      <c r="D10059" s="15">
        <v>18.95</v>
      </c>
      <c r="E10059" s="16" t="s">
        <v>30</v>
      </c>
    </row>
    <row r="10060" spans="1:5" x14ac:dyDescent="0.25">
      <c r="A10060" s="14">
        <v>753927002</v>
      </c>
      <c r="B10060" s="14" t="s">
        <v>10159</v>
      </c>
      <c r="C10060" s="14" t="s">
        <v>13029</v>
      </c>
      <c r="D10060" s="15">
        <v>19.2</v>
      </c>
      <c r="E10060" s="16" t="s">
        <v>30</v>
      </c>
    </row>
    <row r="10061" spans="1:5" x14ac:dyDescent="0.25">
      <c r="A10061" s="14">
        <v>753927003</v>
      </c>
      <c r="B10061" s="14" t="s">
        <v>10160</v>
      </c>
      <c r="C10061" s="14" t="s">
        <v>13029</v>
      </c>
      <c r="D10061" s="15">
        <v>18.09</v>
      </c>
      <c r="E10061" s="16" t="s">
        <v>30</v>
      </c>
    </row>
    <row r="10062" spans="1:5" x14ac:dyDescent="0.25">
      <c r="A10062" s="14">
        <v>753928001</v>
      </c>
      <c r="B10062" s="14" t="s">
        <v>10161</v>
      </c>
      <c r="C10062" s="14" t="s">
        <v>13029</v>
      </c>
      <c r="D10062" s="15">
        <v>11.45</v>
      </c>
      <c r="E10062" s="16" t="s">
        <v>30</v>
      </c>
    </row>
    <row r="10063" spans="1:5" x14ac:dyDescent="0.25">
      <c r="A10063" s="14">
        <v>753928002</v>
      </c>
      <c r="B10063" s="14" t="s">
        <v>10162</v>
      </c>
      <c r="C10063" s="14" t="s">
        <v>13029</v>
      </c>
      <c r="D10063" s="15">
        <v>11.66</v>
      </c>
      <c r="E10063" s="16" t="s">
        <v>30</v>
      </c>
    </row>
    <row r="10064" spans="1:5" x14ac:dyDescent="0.25">
      <c r="A10064" s="14">
        <v>753928003</v>
      </c>
      <c r="B10064" s="14" t="s">
        <v>10163</v>
      </c>
      <c r="C10064" s="14" t="s">
        <v>13029</v>
      </c>
      <c r="D10064" s="15">
        <v>8.25</v>
      </c>
      <c r="E10064" s="16" t="s">
        <v>30</v>
      </c>
    </row>
    <row r="10065" spans="1:5" x14ac:dyDescent="0.25">
      <c r="A10065" s="14">
        <v>756579001</v>
      </c>
      <c r="B10065" s="14" t="s">
        <v>10164</v>
      </c>
      <c r="C10065" s="14" t="s">
        <v>13029</v>
      </c>
      <c r="D10065" s="15">
        <v>47.67</v>
      </c>
      <c r="E10065" s="16" t="s">
        <v>30</v>
      </c>
    </row>
    <row r="10066" spans="1:5" x14ac:dyDescent="0.25">
      <c r="A10066" s="14">
        <v>756579002</v>
      </c>
      <c r="B10066" s="14" t="s">
        <v>10165</v>
      </c>
      <c r="C10066" s="14" t="s">
        <v>13029</v>
      </c>
      <c r="D10066" s="15">
        <v>47.67</v>
      </c>
      <c r="E10066" s="16" t="s">
        <v>30</v>
      </c>
    </row>
    <row r="10067" spans="1:5" x14ac:dyDescent="0.25">
      <c r="A10067" s="14">
        <v>756579003</v>
      </c>
      <c r="B10067" s="14" t="s">
        <v>10166</v>
      </c>
      <c r="C10067" s="14" t="s">
        <v>13029</v>
      </c>
      <c r="D10067" s="15">
        <v>31.22</v>
      </c>
      <c r="E10067" s="16" t="s">
        <v>30</v>
      </c>
    </row>
    <row r="10068" spans="1:5" x14ac:dyDescent="0.25">
      <c r="A10068" s="14">
        <v>759576001</v>
      </c>
      <c r="B10068" s="14" t="s">
        <v>10167</v>
      </c>
      <c r="C10068" s="14" t="s">
        <v>13030</v>
      </c>
      <c r="D10068" s="15">
        <v>14.62</v>
      </c>
      <c r="E10068" s="16" t="s">
        <v>30</v>
      </c>
    </row>
    <row r="10069" spans="1:5" x14ac:dyDescent="0.25">
      <c r="A10069" s="14">
        <v>759576002</v>
      </c>
      <c r="B10069" s="14" t="s">
        <v>10168</v>
      </c>
      <c r="C10069" s="14" t="s">
        <v>13030</v>
      </c>
      <c r="D10069" s="15">
        <v>14.62</v>
      </c>
      <c r="E10069" s="16" t="s">
        <v>30</v>
      </c>
    </row>
    <row r="10070" spans="1:5" x14ac:dyDescent="0.25">
      <c r="A10070" s="14">
        <v>759576003</v>
      </c>
      <c r="B10070" s="14" t="s">
        <v>10169</v>
      </c>
      <c r="C10070" s="14" t="s">
        <v>13030</v>
      </c>
      <c r="D10070" s="15">
        <v>14.62</v>
      </c>
      <c r="E10070" s="16" t="s">
        <v>30</v>
      </c>
    </row>
    <row r="10071" spans="1:5" x14ac:dyDescent="0.25">
      <c r="A10071" s="14">
        <v>759829002</v>
      </c>
      <c r="B10071" s="14" t="s">
        <v>10170</v>
      </c>
      <c r="C10071" s="14" t="s">
        <v>13030</v>
      </c>
      <c r="D10071" s="15">
        <v>3.64</v>
      </c>
      <c r="E10071" s="16" t="s">
        <v>30</v>
      </c>
    </row>
    <row r="10072" spans="1:5" x14ac:dyDescent="0.25">
      <c r="A10072" s="14">
        <v>759829003</v>
      </c>
      <c r="B10072" s="14" t="s">
        <v>10171</v>
      </c>
      <c r="C10072" s="14" t="s">
        <v>13030</v>
      </c>
      <c r="D10072" s="15">
        <v>3.64</v>
      </c>
      <c r="E10072" s="16" t="s">
        <v>30</v>
      </c>
    </row>
    <row r="10073" spans="1:5" x14ac:dyDescent="0.25">
      <c r="A10073" s="14">
        <v>759829004</v>
      </c>
      <c r="B10073" s="14" t="s">
        <v>10172</v>
      </c>
      <c r="C10073" s="14" t="s">
        <v>13030</v>
      </c>
      <c r="D10073" s="15">
        <v>3.64</v>
      </c>
      <c r="E10073" s="16" t="s">
        <v>30</v>
      </c>
    </row>
    <row r="10074" spans="1:5" x14ac:dyDescent="0.25">
      <c r="A10074" s="14">
        <v>760029002</v>
      </c>
      <c r="B10074" s="14" t="s">
        <v>10173</v>
      </c>
      <c r="C10074" s="14" t="s">
        <v>13029</v>
      </c>
      <c r="D10074" s="15">
        <v>76.3</v>
      </c>
      <c r="E10074" s="16" t="s">
        <v>30</v>
      </c>
    </row>
    <row r="10075" spans="1:5" x14ac:dyDescent="0.25">
      <c r="A10075" s="14">
        <v>760029003</v>
      </c>
      <c r="B10075" s="14" t="s">
        <v>10174</v>
      </c>
      <c r="C10075" s="14" t="s">
        <v>13029</v>
      </c>
      <c r="D10075" s="15">
        <v>76.3</v>
      </c>
      <c r="E10075" s="16" t="s">
        <v>30</v>
      </c>
    </row>
    <row r="10076" spans="1:5" x14ac:dyDescent="0.25">
      <c r="A10076" s="14">
        <v>760281001</v>
      </c>
      <c r="B10076" s="14" t="s">
        <v>10175</v>
      </c>
      <c r="C10076" s="14" t="s">
        <v>13030</v>
      </c>
      <c r="D10076" s="15">
        <v>46.02</v>
      </c>
      <c r="E10076" s="16" t="s">
        <v>30</v>
      </c>
    </row>
    <row r="10077" spans="1:5" x14ac:dyDescent="0.25">
      <c r="A10077" s="14">
        <v>760282001</v>
      </c>
      <c r="B10077" s="14" t="s">
        <v>10176</v>
      </c>
      <c r="C10077" s="14" t="s">
        <v>13030</v>
      </c>
      <c r="D10077" s="15">
        <v>4.45</v>
      </c>
      <c r="E10077" s="16" t="s">
        <v>30</v>
      </c>
    </row>
    <row r="10078" spans="1:5" x14ac:dyDescent="0.25">
      <c r="A10078" s="14">
        <v>760282002</v>
      </c>
      <c r="B10078" s="14" t="s">
        <v>10177</v>
      </c>
      <c r="C10078" s="14" t="s">
        <v>13030</v>
      </c>
      <c r="D10078" s="15">
        <v>4.45</v>
      </c>
      <c r="E10078" s="16" t="s">
        <v>30</v>
      </c>
    </row>
    <row r="10079" spans="1:5" x14ac:dyDescent="0.25">
      <c r="A10079" s="14">
        <v>760282003</v>
      </c>
      <c r="B10079" s="14" t="s">
        <v>10178</v>
      </c>
      <c r="C10079" s="14" t="s">
        <v>13030</v>
      </c>
      <c r="D10079" s="15">
        <v>4.45</v>
      </c>
      <c r="E10079" s="16" t="s">
        <v>30</v>
      </c>
    </row>
    <row r="10080" spans="1:5" x14ac:dyDescent="0.25">
      <c r="A10080" s="14">
        <v>760283002</v>
      </c>
      <c r="B10080" s="14" t="s">
        <v>10179</v>
      </c>
      <c r="C10080" s="14" t="s">
        <v>13030</v>
      </c>
      <c r="D10080" s="15">
        <v>18</v>
      </c>
      <c r="E10080" s="16" t="s">
        <v>30</v>
      </c>
    </row>
    <row r="10081" spans="1:5" x14ac:dyDescent="0.25">
      <c r="A10081" s="14">
        <v>760283003</v>
      </c>
      <c r="B10081" s="14" t="s">
        <v>10180</v>
      </c>
      <c r="C10081" s="14" t="s">
        <v>13030</v>
      </c>
      <c r="D10081" s="15">
        <v>18</v>
      </c>
      <c r="E10081" s="16" t="s">
        <v>30</v>
      </c>
    </row>
    <row r="10082" spans="1:5" x14ac:dyDescent="0.25">
      <c r="A10082" s="14">
        <v>531596002</v>
      </c>
      <c r="B10082" s="14" t="s">
        <v>10181</v>
      </c>
      <c r="C10082" s="14" t="s">
        <v>13031</v>
      </c>
      <c r="D10082" s="15">
        <v>12</v>
      </c>
      <c r="E10082" s="16" t="s">
        <v>20</v>
      </c>
    </row>
    <row r="10083" spans="1:5" x14ac:dyDescent="0.25">
      <c r="A10083" s="14">
        <v>531596004</v>
      </c>
      <c r="B10083" s="14" t="s">
        <v>10182</v>
      </c>
      <c r="C10083" s="14" t="s">
        <v>13031</v>
      </c>
      <c r="D10083" s="15">
        <v>12</v>
      </c>
      <c r="E10083" s="16" t="s">
        <v>20</v>
      </c>
    </row>
    <row r="10084" spans="1:5" x14ac:dyDescent="0.25">
      <c r="A10084" s="14">
        <v>533047001</v>
      </c>
      <c r="B10084" s="14" t="s">
        <v>10183</v>
      </c>
      <c r="C10084" s="14" t="s">
        <v>13031</v>
      </c>
      <c r="D10084" s="15">
        <v>3.39</v>
      </c>
      <c r="E10084" s="16" t="s">
        <v>20</v>
      </c>
    </row>
    <row r="10085" spans="1:5" x14ac:dyDescent="0.25">
      <c r="A10085" s="14">
        <v>533047002</v>
      </c>
      <c r="B10085" s="14" t="s">
        <v>10184</v>
      </c>
      <c r="C10085" s="14" t="s">
        <v>13031</v>
      </c>
      <c r="D10085" s="15">
        <v>3.39</v>
      </c>
      <c r="E10085" s="16" t="s">
        <v>20</v>
      </c>
    </row>
    <row r="10086" spans="1:5" x14ac:dyDescent="0.25">
      <c r="A10086" s="14">
        <v>533047003</v>
      </c>
      <c r="B10086" s="14" t="s">
        <v>10185</v>
      </c>
      <c r="C10086" s="14" t="s">
        <v>13031</v>
      </c>
      <c r="D10086" s="15">
        <v>3.39</v>
      </c>
      <c r="E10086" s="16" t="s">
        <v>20</v>
      </c>
    </row>
    <row r="10087" spans="1:5" x14ac:dyDescent="0.25">
      <c r="A10087" s="14">
        <v>533047005</v>
      </c>
      <c r="B10087" s="14" t="s">
        <v>10186</v>
      </c>
      <c r="C10087" s="14" t="s">
        <v>13031</v>
      </c>
      <c r="D10087" s="15">
        <v>3.39</v>
      </c>
      <c r="E10087" s="16" t="s">
        <v>20</v>
      </c>
    </row>
    <row r="10088" spans="1:5" x14ac:dyDescent="0.25">
      <c r="A10088" s="14">
        <v>760288001</v>
      </c>
      <c r="B10088" s="14" t="s">
        <v>10187</v>
      </c>
      <c r="C10088" s="14" t="s">
        <v>13029</v>
      </c>
      <c r="D10088" s="15">
        <v>3.7</v>
      </c>
      <c r="E10088" s="16" t="s">
        <v>30</v>
      </c>
    </row>
    <row r="10089" spans="1:5" x14ac:dyDescent="0.25">
      <c r="A10089" s="14">
        <v>760288004</v>
      </c>
      <c r="B10089" s="14" t="s">
        <v>10188</v>
      </c>
      <c r="C10089" s="14" t="s">
        <v>13029</v>
      </c>
      <c r="D10089" s="15">
        <v>3.7</v>
      </c>
      <c r="E10089" s="16" t="s">
        <v>30</v>
      </c>
    </row>
    <row r="10090" spans="1:5" x14ac:dyDescent="0.25">
      <c r="A10090" s="14">
        <v>768061001</v>
      </c>
      <c r="B10090" s="14" t="s">
        <v>10189</v>
      </c>
      <c r="C10090" s="14" t="s">
        <v>13030</v>
      </c>
      <c r="D10090" s="15">
        <v>35.53</v>
      </c>
      <c r="E10090" s="16" t="s">
        <v>30</v>
      </c>
    </row>
    <row r="10091" spans="1:5" x14ac:dyDescent="0.25">
      <c r="A10091" s="14">
        <v>768061002</v>
      </c>
      <c r="B10091" s="14" t="s">
        <v>10190</v>
      </c>
      <c r="C10091" s="14" t="s">
        <v>13030</v>
      </c>
      <c r="D10091" s="15">
        <v>35.53</v>
      </c>
      <c r="E10091" s="16" t="s">
        <v>30</v>
      </c>
    </row>
    <row r="10092" spans="1:5" x14ac:dyDescent="0.25">
      <c r="A10092" s="14">
        <v>768384002</v>
      </c>
      <c r="B10092" s="14" t="s">
        <v>10191</v>
      </c>
      <c r="C10092" s="14" t="s">
        <v>13030</v>
      </c>
      <c r="D10092" s="15">
        <v>31.72</v>
      </c>
      <c r="E10092" s="16" t="s">
        <v>30</v>
      </c>
    </row>
    <row r="10093" spans="1:5" x14ac:dyDescent="0.25">
      <c r="A10093" s="14">
        <v>768394001</v>
      </c>
      <c r="B10093" s="14" t="s">
        <v>10192</v>
      </c>
      <c r="C10093" s="14" t="s">
        <v>13030</v>
      </c>
      <c r="D10093" s="15">
        <v>31.11</v>
      </c>
      <c r="E10093" s="16" t="s">
        <v>30</v>
      </c>
    </row>
    <row r="10094" spans="1:5" x14ac:dyDescent="0.25">
      <c r="A10094" s="14">
        <v>768394002</v>
      </c>
      <c r="B10094" s="14" t="s">
        <v>10193</v>
      </c>
      <c r="C10094" s="14" t="s">
        <v>13030</v>
      </c>
      <c r="D10094" s="15">
        <v>31.11</v>
      </c>
      <c r="E10094" s="16" t="s">
        <v>30</v>
      </c>
    </row>
    <row r="10095" spans="1:5" x14ac:dyDescent="0.25">
      <c r="A10095" s="14">
        <v>768395002</v>
      </c>
      <c r="B10095" s="14" t="s">
        <v>10194</v>
      </c>
      <c r="C10095" s="14" t="s">
        <v>13030</v>
      </c>
      <c r="D10095" s="15">
        <v>45.38</v>
      </c>
      <c r="E10095" s="16" t="s">
        <v>30</v>
      </c>
    </row>
    <row r="10096" spans="1:5" x14ac:dyDescent="0.25">
      <c r="A10096" s="14">
        <v>768639001</v>
      </c>
      <c r="B10096" s="14" t="s">
        <v>10195</v>
      </c>
      <c r="C10096" s="14" t="s">
        <v>13030</v>
      </c>
      <c r="D10096" s="15">
        <v>100.79</v>
      </c>
      <c r="E10096" s="16" t="s">
        <v>30</v>
      </c>
    </row>
    <row r="10097" spans="1:5" x14ac:dyDescent="0.25">
      <c r="A10097" s="14">
        <v>768639002</v>
      </c>
      <c r="B10097" s="14" t="s">
        <v>10196</v>
      </c>
      <c r="C10097" s="14" t="s">
        <v>13030</v>
      </c>
      <c r="D10097" s="15">
        <v>100.79</v>
      </c>
      <c r="E10097" s="16" t="s">
        <v>30</v>
      </c>
    </row>
    <row r="10098" spans="1:5" x14ac:dyDescent="0.25">
      <c r="A10098" s="14">
        <v>768639004</v>
      </c>
      <c r="B10098" s="14" t="s">
        <v>10197</v>
      </c>
      <c r="C10098" s="14" t="s">
        <v>13030</v>
      </c>
      <c r="D10098" s="15">
        <v>98.39</v>
      </c>
      <c r="E10098" s="16" t="s">
        <v>30</v>
      </c>
    </row>
    <row r="10099" spans="1:5" x14ac:dyDescent="0.25">
      <c r="A10099" s="14">
        <v>768640001</v>
      </c>
      <c r="B10099" s="14" t="s">
        <v>10198</v>
      </c>
      <c r="C10099" s="14" t="s">
        <v>13030</v>
      </c>
      <c r="D10099" s="15">
        <v>100.79</v>
      </c>
      <c r="E10099" s="16" t="s">
        <v>30</v>
      </c>
    </row>
    <row r="10100" spans="1:5" x14ac:dyDescent="0.25">
      <c r="A10100" s="14">
        <v>768652001</v>
      </c>
      <c r="B10100" s="14" t="s">
        <v>10199</v>
      </c>
      <c r="C10100" s="14" t="s">
        <v>13030</v>
      </c>
      <c r="D10100" s="15">
        <v>15.74</v>
      </c>
      <c r="E10100" s="16" t="s">
        <v>30</v>
      </c>
    </row>
    <row r="10101" spans="1:5" x14ac:dyDescent="0.25">
      <c r="A10101" s="14">
        <v>768752001</v>
      </c>
      <c r="B10101" s="14" t="s">
        <v>10200</v>
      </c>
      <c r="C10101" s="14" t="s">
        <v>13030</v>
      </c>
      <c r="D10101" s="15">
        <v>74.489999999999995</v>
      </c>
      <c r="E10101" s="16" t="s">
        <v>30</v>
      </c>
    </row>
    <row r="10102" spans="1:5" x14ac:dyDescent="0.25">
      <c r="A10102" s="14">
        <v>768752002</v>
      </c>
      <c r="B10102" s="14" t="s">
        <v>10201</v>
      </c>
      <c r="C10102" s="14" t="s">
        <v>13030</v>
      </c>
      <c r="D10102" s="15">
        <v>74.489999999999995</v>
      </c>
      <c r="E10102" s="16" t="s">
        <v>30</v>
      </c>
    </row>
    <row r="10103" spans="1:5" x14ac:dyDescent="0.25">
      <c r="A10103" s="14">
        <v>768752003</v>
      </c>
      <c r="B10103" s="14" t="s">
        <v>10202</v>
      </c>
      <c r="C10103" s="14" t="s">
        <v>13030</v>
      </c>
      <c r="D10103" s="15">
        <v>90.37</v>
      </c>
      <c r="E10103" s="16" t="s">
        <v>30</v>
      </c>
    </row>
    <row r="10104" spans="1:5" x14ac:dyDescent="0.25">
      <c r="A10104" s="14">
        <v>768753002</v>
      </c>
      <c r="B10104" s="14" t="s">
        <v>10203</v>
      </c>
      <c r="C10104" s="14" t="s">
        <v>13030</v>
      </c>
      <c r="D10104" s="15">
        <v>45.13</v>
      </c>
      <c r="E10104" s="16" t="s">
        <v>30</v>
      </c>
    </row>
    <row r="10105" spans="1:5" x14ac:dyDescent="0.25">
      <c r="A10105" s="14">
        <v>768753003</v>
      </c>
      <c r="B10105" s="14" t="s">
        <v>10204</v>
      </c>
      <c r="C10105" s="14" t="s">
        <v>13030</v>
      </c>
      <c r="D10105" s="15">
        <v>45.13</v>
      </c>
      <c r="E10105" s="16" t="s">
        <v>30</v>
      </c>
    </row>
    <row r="10106" spans="1:5" x14ac:dyDescent="0.25">
      <c r="A10106" s="14">
        <v>768753004</v>
      </c>
      <c r="B10106" s="14" t="s">
        <v>10205</v>
      </c>
      <c r="C10106" s="14" t="s">
        <v>13030</v>
      </c>
      <c r="D10106" s="15">
        <v>45.13</v>
      </c>
      <c r="E10106" s="16" t="s">
        <v>30</v>
      </c>
    </row>
    <row r="10107" spans="1:5" x14ac:dyDescent="0.25">
      <c r="A10107" s="14">
        <v>768755001</v>
      </c>
      <c r="B10107" s="14" t="s">
        <v>10206</v>
      </c>
      <c r="C10107" s="14" t="s">
        <v>13030</v>
      </c>
      <c r="D10107" s="15">
        <v>30.16</v>
      </c>
      <c r="E10107" s="16" t="s">
        <v>30</v>
      </c>
    </row>
    <row r="10108" spans="1:5" x14ac:dyDescent="0.25">
      <c r="A10108" s="14">
        <v>768756001</v>
      </c>
      <c r="B10108" s="14" t="s">
        <v>10207</v>
      </c>
      <c r="C10108" s="14" t="s">
        <v>13030</v>
      </c>
      <c r="D10108" s="15">
        <v>31.73</v>
      </c>
      <c r="E10108" s="16" t="s">
        <v>30</v>
      </c>
    </row>
    <row r="10109" spans="1:5" x14ac:dyDescent="0.25">
      <c r="A10109" s="14">
        <v>533047006</v>
      </c>
      <c r="B10109" s="14" t="s">
        <v>10208</v>
      </c>
      <c r="C10109" s="14" t="s">
        <v>13031</v>
      </c>
      <c r="D10109" s="15">
        <v>3.39</v>
      </c>
      <c r="E10109" s="16" t="s">
        <v>20</v>
      </c>
    </row>
    <row r="10110" spans="1:5" x14ac:dyDescent="0.25">
      <c r="A10110" s="14">
        <v>533047007</v>
      </c>
      <c r="B10110" s="14" t="s">
        <v>10209</v>
      </c>
      <c r="C10110" s="14" t="s">
        <v>13031</v>
      </c>
      <c r="D10110" s="15">
        <v>3.39</v>
      </c>
      <c r="E10110" s="16" t="s">
        <v>20</v>
      </c>
    </row>
    <row r="10111" spans="1:5" x14ac:dyDescent="0.25">
      <c r="A10111" s="14">
        <v>558713001</v>
      </c>
      <c r="B10111" s="14" t="s">
        <v>10210</v>
      </c>
      <c r="C10111" s="14" t="s">
        <v>13031</v>
      </c>
      <c r="D10111" s="15">
        <v>11.21</v>
      </c>
      <c r="E10111" s="16" t="s">
        <v>20</v>
      </c>
    </row>
    <row r="10112" spans="1:5" x14ac:dyDescent="0.25">
      <c r="A10112" s="14">
        <v>768756002</v>
      </c>
      <c r="B10112" s="14" t="s">
        <v>10211</v>
      </c>
      <c r="C10112" s="14" t="s">
        <v>13030</v>
      </c>
      <c r="D10112" s="15">
        <v>31.73</v>
      </c>
      <c r="E10112" s="16" t="s">
        <v>30</v>
      </c>
    </row>
    <row r="10113" spans="1:5" x14ac:dyDescent="0.25">
      <c r="A10113" s="14">
        <v>769561002</v>
      </c>
      <c r="B10113" s="14" t="s">
        <v>10212</v>
      </c>
      <c r="C10113" s="14" t="s">
        <v>13030</v>
      </c>
      <c r="D10113" s="15">
        <v>61.59</v>
      </c>
      <c r="E10113" s="16" t="s">
        <v>30</v>
      </c>
    </row>
    <row r="10114" spans="1:5" x14ac:dyDescent="0.25">
      <c r="A10114" s="14">
        <v>769933001</v>
      </c>
      <c r="B10114" s="14" t="s">
        <v>10213</v>
      </c>
      <c r="C10114" s="14" t="s">
        <v>13030</v>
      </c>
      <c r="D10114" s="15">
        <v>24.6</v>
      </c>
      <c r="E10114" s="16" t="s">
        <v>30</v>
      </c>
    </row>
    <row r="10115" spans="1:5" x14ac:dyDescent="0.25">
      <c r="A10115" s="14">
        <v>769933002</v>
      </c>
      <c r="B10115" s="14" t="s">
        <v>10214</v>
      </c>
      <c r="C10115" s="14" t="s">
        <v>13030</v>
      </c>
      <c r="D10115" s="15">
        <v>24.6</v>
      </c>
      <c r="E10115" s="16" t="s">
        <v>30</v>
      </c>
    </row>
    <row r="10116" spans="1:5" x14ac:dyDescent="0.25">
      <c r="A10116" s="14">
        <v>770299003</v>
      </c>
      <c r="B10116" s="14" t="s">
        <v>10215</v>
      </c>
      <c r="C10116" s="14" t="s">
        <v>13029</v>
      </c>
      <c r="D10116" s="15">
        <v>8.01</v>
      </c>
      <c r="E10116" s="16" t="s">
        <v>30</v>
      </c>
    </row>
    <row r="10117" spans="1:5" x14ac:dyDescent="0.25">
      <c r="A10117" s="14">
        <v>770433001</v>
      </c>
      <c r="B10117" s="14" t="s">
        <v>10216</v>
      </c>
      <c r="C10117" s="14" t="s">
        <v>13029</v>
      </c>
      <c r="D10117" s="15">
        <v>4.2300000000000004</v>
      </c>
      <c r="E10117" s="16" t="s">
        <v>30</v>
      </c>
    </row>
    <row r="10118" spans="1:5" x14ac:dyDescent="0.25">
      <c r="A10118" s="14">
        <v>770433002</v>
      </c>
      <c r="B10118" s="14" t="s">
        <v>10217</v>
      </c>
      <c r="C10118" s="14" t="s">
        <v>13029</v>
      </c>
      <c r="D10118" s="15">
        <v>4.2300000000000004</v>
      </c>
      <c r="E10118" s="16" t="s">
        <v>30</v>
      </c>
    </row>
    <row r="10119" spans="1:5" x14ac:dyDescent="0.25">
      <c r="A10119" s="14">
        <v>770773002</v>
      </c>
      <c r="B10119" s="14" t="s">
        <v>10218</v>
      </c>
      <c r="C10119" s="14" t="s">
        <v>13030</v>
      </c>
      <c r="D10119" s="15">
        <v>4.7699999999999996</v>
      </c>
      <c r="E10119" s="16" t="s">
        <v>30</v>
      </c>
    </row>
    <row r="10120" spans="1:5" x14ac:dyDescent="0.25">
      <c r="A10120" s="14">
        <v>770773003</v>
      </c>
      <c r="B10120" s="14" t="s">
        <v>10219</v>
      </c>
      <c r="C10120" s="14" t="s">
        <v>13030</v>
      </c>
      <c r="D10120" s="15">
        <v>4.7699999999999996</v>
      </c>
      <c r="E10120" s="16" t="s">
        <v>30</v>
      </c>
    </row>
    <row r="10121" spans="1:5" x14ac:dyDescent="0.25">
      <c r="A10121" s="14">
        <v>770773004</v>
      </c>
      <c r="B10121" s="14" t="s">
        <v>10220</v>
      </c>
      <c r="C10121" s="14" t="s">
        <v>13030</v>
      </c>
      <c r="D10121" s="15">
        <v>4.7699999999999996</v>
      </c>
      <c r="E10121" s="16" t="s">
        <v>30</v>
      </c>
    </row>
    <row r="10122" spans="1:5" x14ac:dyDescent="0.25">
      <c r="A10122" s="14">
        <v>771590002</v>
      </c>
      <c r="B10122" s="14" t="s">
        <v>10221</v>
      </c>
      <c r="C10122" s="14" t="s">
        <v>13031</v>
      </c>
      <c r="D10122" s="15">
        <v>4.1500000000000004</v>
      </c>
      <c r="E10122" s="16" t="s">
        <v>30</v>
      </c>
    </row>
    <row r="10123" spans="1:5" x14ac:dyDescent="0.25">
      <c r="A10123" s="14">
        <v>771590003</v>
      </c>
      <c r="B10123" s="14" t="s">
        <v>10222</v>
      </c>
      <c r="C10123" s="14" t="s">
        <v>13031</v>
      </c>
      <c r="D10123" s="15">
        <v>4.1500000000000004</v>
      </c>
      <c r="E10123" s="16" t="s">
        <v>30</v>
      </c>
    </row>
    <row r="10124" spans="1:5" x14ac:dyDescent="0.25">
      <c r="A10124" s="14">
        <v>772426001</v>
      </c>
      <c r="B10124" s="14" t="s">
        <v>10223</v>
      </c>
      <c r="C10124" s="14" t="s">
        <v>13029</v>
      </c>
      <c r="D10124" s="15">
        <v>7.75</v>
      </c>
      <c r="E10124" s="16" t="s">
        <v>30</v>
      </c>
    </row>
    <row r="10125" spans="1:5" x14ac:dyDescent="0.25">
      <c r="A10125" s="14">
        <v>772426003</v>
      </c>
      <c r="B10125" s="14" t="s">
        <v>10224</v>
      </c>
      <c r="C10125" s="14" t="s">
        <v>13029</v>
      </c>
      <c r="D10125" s="15">
        <v>5.27</v>
      </c>
      <c r="E10125" s="16" t="s">
        <v>30</v>
      </c>
    </row>
    <row r="10126" spans="1:5" x14ac:dyDescent="0.25">
      <c r="A10126" s="14">
        <v>772426004</v>
      </c>
      <c r="B10126" s="14" t="s">
        <v>10225</v>
      </c>
      <c r="C10126" s="14" t="s">
        <v>13029</v>
      </c>
      <c r="D10126" s="15">
        <v>7.74</v>
      </c>
      <c r="E10126" s="16" t="s">
        <v>30</v>
      </c>
    </row>
    <row r="10127" spans="1:5" x14ac:dyDescent="0.25">
      <c r="A10127" s="14">
        <v>772426005</v>
      </c>
      <c r="B10127" s="14" t="s">
        <v>10226</v>
      </c>
      <c r="C10127" s="14" t="s">
        <v>13029</v>
      </c>
      <c r="D10127" s="15">
        <v>5.27</v>
      </c>
      <c r="E10127" s="16" t="s">
        <v>30</v>
      </c>
    </row>
    <row r="10128" spans="1:5" x14ac:dyDescent="0.25">
      <c r="A10128" s="14">
        <v>772426007</v>
      </c>
      <c r="B10128" s="14" t="s">
        <v>10227</v>
      </c>
      <c r="C10128" s="14" t="s">
        <v>13029</v>
      </c>
      <c r="D10128" s="15">
        <v>7.72</v>
      </c>
      <c r="E10128" s="16" t="s">
        <v>30</v>
      </c>
    </row>
    <row r="10129" spans="1:5" x14ac:dyDescent="0.25">
      <c r="A10129" s="14">
        <v>772426008</v>
      </c>
      <c r="B10129" s="14" t="s">
        <v>10228</v>
      </c>
      <c r="C10129" s="14" t="s">
        <v>13029</v>
      </c>
      <c r="D10129" s="15">
        <v>7.75</v>
      </c>
      <c r="E10129" s="16" t="s">
        <v>30</v>
      </c>
    </row>
    <row r="10130" spans="1:5" x14ac:dyDescent="0.25">
      <c r="A10130" s="14">
        <v>772426009</v>
      </c>
      <c r="B10130" s="14" t="s">
        <v>10229</v>
      </c>
      <c r="C10130" s="14" t="s">
        <v>13029</v>
      </c>
      <c r="D10130" s="15">
        <v>5.27</v>
      </c>
      <c r="E10130" s="16" t="s">
        <v>30</v>
      </c>
    </row>
    <row r="10131" spans="1:5" x14ac:dyDescent="0.25">
      <c r="A10131" s="14">
        <v>772428002</v>
      </c>
      <c r="B10131" s="14" t="s">
        <v>10230</v>
      </c>
      <c r="C10131" s="14" t="s">
        <v>13029</v>
      </c>
      <c r="D10131" s="15">
        <v>3.9</v>
      </c>
      <c r="E10131" s="16" t="s">
        <v>30</v>
      </c>
    </row>
    <row r="10132" spans="1:5" x14ac:dyDescent="0.25">
      <c r="A10132" s="14">
        <v>772429001</v>
      </c>
      <c r="B10132" s="14" t="s">
        <v>10231</v>
      </c>
      <c r="C10132" s="14" t="s">
        <v>13029</v>
      </c>
      <c r="D10132" s="15">
        <v>10.18</v>
      </c>
      <c r="E10132" s="16" t="s">
        <v>30</v>
      </c>
    </row>
    <row r="10133" spans="1:5" x14ac:dyDescent="0.25">
      <c r="A10133" s="14">
        <v>563849002</v>
      </c>
      <c r="B10133" s="14" t="s">
        <v>10232</v>
      </c>
      <c r="C10133" s="14" t="s">
        <v>13030</v>
      </c>
      <c r="D10133" s="15">
        <v>48.15</v>
      </c>
      <c r="E10133" s="16" t="s">
        <v>20</v>
      </c>
    </row>
    <row r="10134" spans="1:5" x14ac:dyDescent="0.25">
      <c r="A10134" s="14">
        <v>772429002</v>
      </c>
      <c r="B10134" s="14" t="s">
        <v>10233</v>
      </c>
      <c r="C10134" s="14" t="s">
        <v>13029</v>
      </c>
      <c r="D10134" s="15">
        <v>10.18</v>
      </c>
      <c r="E10134" s="16" t="s">
        <v>30</v>
      </c>
    </row>
    <row r="10135" spans="1:5" x14ac:dyDescent="0.25">
      <c r="A10135" s="14">
        <v>772429004</v>
      </c>
      <c r="B10135" s="14" t="s">
        <v>10234</v>
      </c>
      <c r="C10135" s="14" t="s">
        <v>13029</v>
      </c>
      <c r="D10135" s="15">
        <v>9.6</v>
      </c>
      <c r="E10135" s="16" t="s">
        <v>30</v>
      </c>
    </row>
    <row r="10136" spans="1:5" x14ac:dyDescent="0.25">
      <c r="A10136" s="14">
        <v>772429005</v>
      </c>
      <c r="B10136" s="14" t="s">
        <v>10235</v>
      </c>
      <c r="C10136" s="14" t="s">
        <v>13029</v>
      </c>
      <c r="D10136" s="15">
        <v>7.32</v>
      </c>
      <c r="E10136" s="16" t="s">
        <v>30</v>
      </c>
    </row>
    <row r="10137" spans="1:5" x14ac:dyDescent="0.25">
      <c r="A10137" s="14">
        <v>772430001</v>
      </c>
      <c r="B10137" s="14" t="s">
        <v>10236</v>
      </c>
      <c r="C10137" s="14" t="s">
        <v>13029</v>
      </c>
      <c r="D10137" s="15">
        <v>13.68</v>
      </c>
      <c r="E10137" s="16" t="s">
        <v>30</v>
      </c>
    </row>
    <row r="10138" spans="1:5" x14ac:dyDescent="0.25">
      <c r="A10138" s="14">
        <v>772459001</v>
      </c>
      <c r="B10138" s="14" t="s">
        <v>10237</v>
      </c>
      <c r="C10138" s="14" t="s">
        <v>13031</v>
      </c>
      <c r="D10138" s="15">
        <v>11.9</v>
      </c>
      <c r="E10138" s="14" t="s">
        <v>30</v>
      </c>
    </row>
    <row r="10139" spans="1:5" x14ac:dyDescent="0.25">
      <c r="A10139" s="14">
        <v>772459002</v>
      </c>
      <c r="B10139" s="14" t="s">
        <v>10238</v>
      </c>
      <c r="C10139" s="14" t="s">
        <v>13031</v>
      </c>
      <c r="D10139" s="15">
        <v>11.9</v>
      </c>
      <c r="E10139" s="14" t="s">
        <v>30</v>
      </c>
    </row>
    <row r="10140" spans="1:5" x14ac:dyDescent="0.25">
      <c r="A10140" s="14">
        <v>772459003</v>
      </c>
      <c r="B10140" s="14" t="s">
        <v>10239</v>
      </c>
      <c r="C10140" s="14" t="s">
        <v>13031</v>
      </c>
      <c r="D10140" s="15">
        <v>11.9</v>
      </c>
      <c r="E10140" s="14" t="s">
        <v>30</v>
      </c>
    </row>
    <row r="10141" spans="1:5" x14ac:dyDescent="0.25">
      <c r="A10141" s="14">
        <v>772459005</v>
      </c>
      <c r="B10141" s="14" t="s">
        <v>10240</v>
      </c>
      <c r="C10141" s="14" t="s">
        <v>13031</v>
      </c>
      <c r="D10141" s="15">
        <v>9.92</v>
      </c>
      <c r="E10141" s="16" t="s">
        <v>30</v>
      </c>
    </row>
    <row r="10142" spans="1:5" x14ac:dyDescent="0.25">
      <c r="A10142" s="14">
        <v>773301001</v>
      </c>
      <c r="B10142" s="14" t="s">
        <v>10241</v>
      </c>
      <c r="C10142" s="14" t="s">
        <v>13031</v>
      </c>
      <c r="D10142" s="15">
        <v>9.43</v>
      </c>
      <c r="E10142" s="16" t="s">
        <v>30</v>
      </c>
    </row>
    <row r="10143" spans="1:5" x14ac:dyDescent="0.25">
      <c r="A10143" s="14">
        <v>773594001</v>
      </c>
      <c r="B10143" s="14" t="s">
        <v>10242</v>
      </c>
      <c r="C10143" s="14" t="s">
        <v>13030</v>
      </c>
      <c r="D10143" s="15">
        <v>59.02</v>
      </c>
      <c r="E10143" s="16" t="s">
        <v>30</v>
      </c>
    </row>
    <row r="10144" spans="1:5" x14ac:dyDescent="0.25">
      <c r="A10144" s="14">
        <v>773594003</v>
      </c>
      <c r="B10144" s="14" t="s">
        <v>10243</v>
      </c>
      <c r="C10144" s="14" t="s">
        <v>13030</v>
      </c>
      <c r="D10144" s="15">
        <v>59.02</v>
      </c>
      <c r="E10144" s="16" t="s">
        <v>30</v>
      </c>
    </row>
    <row r="10145" spans="1:5" x14ac:dyDescent="0.25">
      <c r="A10145" s="14">
        <v>773609001</v>
      </c>
      <c r="B10145" s="14" t="s">
        <v>10244</v>
      </c>
      <c r="C10145" s="14" t="s">
        <v>13031</v>
      </c>
      <c r="D10145" s="15">
        <v>14.18</v>
      </c>
      <c r="E10145" s="16" t="s">
        <v>30</v>
      </c>
    </row>
    <row r="10146" spans="1:5" x14ac:dyDescent="0.25">
      <c r="A10146" s="14">
        <v>773609002</v>
      </c>
      <c r="B10146" s="14" t="s">
        <v>10245</v>
      </c>
      <c r="C10146" s="14" t="s">
        <v>13031</v>
      </c>
      <c r="D10146" s="15">
        <v>14.18</v>
      </c>
      <c r="E10146" s="16" t="s">
        <v>30</v>
      </c>
    </row>
    <row r="10147" spans="1:5" x14ac:dyDescent="0.25">
      <c r="A10147" s="14">
        <v>774045002</v>
      </c>
      <c r="B10147" s="14" t="s">
        <v>10246</v>
      </c>
      <c r="C10147" s="14" t="s">
        <v>13029</v>
      </c>
      <c r="D10147" s="15">
        <v>2.39</v>
      </c>
      <c r="E10147" s="16" t="s">
        <v>30</v>
      </c>
    </row>
    <row r="10148" spans="1:5" x14ac:dyDescent="0.25">
      <c r="A10148" s="14">
        <v>774045003</v>
      </c>
      <c r="B10148" s="14" t="s">
        <v>10247</v>
      </c>
      <c r="C10148" s="14" t="s">
        <v>13029</v>
      </c>
      <c r="D10148" s="15">
        <v>2.39</v>
      </c>
      <c r="E10148" s="16" t="s">
        <v>30</v>
      </c>
    </row>
    <row r="10149" spans="1:5" x14ac:dyDescent="0.25">
      <c r="A10149" s="14">
        <v>774046001</v>
      </c>
      <c r="B10149" s="14" t="s">
        <v>10248</v>
      </c>
      <c r="C10149" s="14" t="s">
        <v>13029</v>
      </c>
      <c r="D10149" s="15">
        <v>8.81</v>
      </c>
      <c r="E10149" s="16" t="s">
        <v>30</v>
      </c>
    </row>
    <row r="10150" spans="1:5" x14ac:dyDescent="0.25">
      <c r="A10150" s="14">
        <v>774046003</v>
      </c>
      <c r="B10150" s="14" t="s">
        <v>10249</v>
      </c>
      <c r="C10150" s="14" t="s">
        <v>13029</v>
      </c>
      <c r="D10150" s="15">
        <v>8.81</v>
      </c>
      <c r="E10150" s="16" t="s">
        <v>30</v>
      </c>
    </row>
    <row r="10151" spans="1:5" x14ac:dyDescent="0.25">
      <c r="A10151" s="14">
        <v>781062001</v>
      </c>
      <c r="B10151" s="14" t="s">
        <v>10250</v>
      </c>
      <c r="C10151" s="14" t="s">
        <v>13029</v>
      </c>
      <c r="D10151" s="15">
        <v>5.35</v>
      </c>
      <c r="E10151" s="16" t="s">
        <v>30</v>
      </c>
    </row>
    <row r="10152" spans="1:5" x14ac:dyDescent="0.25">
      <c r="A10152" s="14">
        <v>781062002</v>
      </c>
      <c r="B10152" s="14" t="s">
        <v>10251</v>
      </c>
      <c r="C10152" s="14" t="s">
        <v>13029</v>
      </c>
      <c r="D10152" s="15">
        <v>5.35</v>
      </c>
      <c r="E10152" s="16" t="s">
        <v>30</v>
      </c>
    </row>
    <row r="10153" spans="1:5" x14ac:dyDescent="0.25">
      <c r="A10153" s="14">
        <v>781062004</v>
      </c>
      <c r="B10153" s="14" t="s">
        <v>10252</v>
      </c>
      <c r="C10153" s="14" t="s">
        <v>13029</v>
      </c>
      <c r="D10153" s="15">
        <v>5.35</v>
      </c>
      <c r="E10153" s="16" t="s">
        <v>30</v>
      </c>
    </row>
    <row r="10154" spans="1:5" x14ac:dyDescent="0.25">
      <c r="A10154" s="14">
        <v>781070001</v>
      </c>
      <c r="B10154" s="14" t="s">
        <v>10253</v>
      </c>
      <c r="C10154" s="14" t="s">
        <v>13031</v>
      </c>
      <c r="D10154" s="15">
        <v>4.45</v>
      </c>
      <c r="E10154" s="16" t="s">
        <v>30</v>
      </c>
    </row>
    <row r="10155" spans="1:5" x14ac:dyDescent="0.25">
      <c r="A10155" s="14">
        <v>781070002</v>
      </c>
      <c r="B10155" s="14" t="s">
        <v>10254</v>
      </c>
      <c r="C10155" s="14" t="s">
        <v>13031</v>
      </c>
      <c r="D10155" s="15">
        <v>4.45</v>
      </c>
      <c r="E10155" s="16" t="s">
        <v>30</v>
      </c>
    </row>
    <row r="10156" spans="1:5" x14ac:dyDescent="0.25">
      <c r="A10156" s="14">
        <v>783687001</v>
      </c>
      <c r="B10156" s="14" t="s">
        <v>10255</v>
      </c>
      <c r="C10156" s="14" t="s">
        <v>13031</v>
      </c>
      <c r="D10156" s="15">
        <v>4.1100000000000003</v>
      </c>
      <c r="E10156" s="16" t="s">
        <v>30</v>
      </c>
    </row>
    <row r="10157" spans="1:5" x14ac:dyDescent="0.25">
      <c r="A10157" s="14">
        <v>783687002</v>
      </c>
      <c r="B10157" s="14" t="s">
        <v>10256</v>
      </c>
      <c r="C10157" s="14" t="s">
        <v>13031</v>
      </c>
      <c r="D10157" s="15">
        <v>4.1100000000000003</v>
      </c>
      <c r="E10157" s="16" t="s">
        <v>30</v>
      </c>
    </row>
    <row r="10158" spans="1:5" x14ac:dyDescent="0.25">
      <c r="A10158" s="14">
        <v>783687003</v>
      </c>
      <c r="B10158" s="14" t="s">
        <v>10257</v>
      </c>
      <c r="C10158" s="14" t="s">
        <v>13031</v>
      </c>
      <c r="D10158" s="15">
        <v>3.35</v>
      </c>
      <c r="E10158" s="16" t="s">
        <v>30</v>
      </c>
    </row>
    <row r="10159" spans="1:5" x14ac:dyDescent="0.25">
      <c r="A10159" s="14">
        <v>785577001</v>
      </c>
      <c r="B10159" s="14" t="s">
        <v>10258</v>
      </c>
      <c r="C10159" s="14" t="s">
        <v>13031</v>
      </c>
      <c r="D10159" s="15">
        <v>3.24</v>
      </c>
      <c r="E10159" s="16" t="s">
        <v>30</v>
      </c>
    </row>
    <row r="10160" spans="1:5" x14ac:dyDescent="0.25">
      <c r="A10160" s="14">
        <v>785577002</v>
      </c>
      <c r="B10160" s="14" t="s">
        <v>10259</v>
      </c>
      <c r="C10160" s="14" t="s">
        <v>13031</v>
      </c>
      <c r="D10160" s="15">
        <v>3.24</v>
      </c>
      <c r="E10160" s="16" t="s">
        <v>30</v>
      </c>
    </row>
    <row r="10161" spans="1:5" x14ac:dyDescent="0.25">
      <c r="A10161" s="14">
        <v>785577003</v>
      </c>
      <c r="B10161" s="14" t="s">
        <v>10260</v>
      </c>
      <c r="C10161" s="14" t="s">
        <v>13031</v>
      </c>
      <c r="D10161" s="15">
        <v>3.24</v>
      </c>
      <c r="E10161" s="16" t="s">
        <v>30</v>
      </c>
    </row>
    <row r="10162" spans="1:5" x14ac:dyDescent="0.25">
      <c r="A10162" s="14">
        <v>787662002</v>
      </c>
      <c r="B10162" s="14" t="s">
        <v>10261</v>
      </c>
      <c r="C10162" s="14" t="s">
        <v>13030</v>
      </c>
      <c r="D10162" s="15">
        <v>30.51</v>
      </c>
      <c r="E10162" s="16" t="s">
        <v>30</v>
      </c>
    </row>
    <row r="10163" spans="1:5" x14ac:dyDescent="0.25">
      <c r="A10163" s="14">
        <v>789045001</v>
      </c>
      <c r="B10163" s="14" t="s">
        <v>10262</v>
      </c>
      <c r="C10163" s="14" t="s">
        <v>13031</v>
      </c>
      <c r="D10163" s="15">
        <v>2.65</v>
      </c>
      <c r="E10163" s="16" t="s">
        <v>30</v>
      </c>
    </row>
    <row r="10164" spans="1:5" x14ac:dyDescent="0.25">
      <c r="A10164" s="14">
        <v>789045002</v>
      </c>
      <c r="B10164" s="14" t="s">
        <v>10263</v>
      </c>
      <c r="C10164" s="14" t="s">
        <v>13031</v>
      </c>
      <c r="D10164" s="15">
        <v>2.65</v>
      </c>
      <c r="E10164" s="16" t="s">
        <v>30</v>
      </c>
    </row>
    <row r="10165" spans="1:5" x14ac:dyDescent="0.25">
      <c r="A10165" s="14">
        <v>791487002</v>
      </c>
      <c r="B10165" s="14" t="s">
        <v>10264</v>
      </c>
      <c r="C10165" s="14" t="s">
        <v>13029</v>
      </c>
      <c r="D10165" s="15">
        <v>26.64</v>
      </c>
      <c r="E10165" s="16" t="s">
        <v>30</v>
      </c>
    </row>
    <row r="10166" spans="1:5" x14ac:dyDescent="0.25">
      <c r="A10166" s="14">
        <v>791488001</v>
      </c>
      <c r="B10166" s="14" t="s">
        <v>10265</v>
      </c>
      <c r="C10166" s="14" t="s">
        <v>13029</v>
      </c>
      <c r="D10166" s="15">
        <v>6.91</v>
      </c>
      <c r="E10166" s="16" t="s">
        <v>30</v>
      </c>
    </row>
    <row r="10167" spans="1:5" x14ac:dyDescent="0.25">
      <c r="A10167" s="14">
        <v>791488002</v>
      </c>
      <c r="B10167" s="14" t="s">
        <v>10266</v>
      </c>
      <c r="C10167" s="14" t="s">
        <v>13029</v>
      </c>
      <c r="D10167" s="15">
        <v>6.91</v>
      </c>
      <c r="E10167" s="16" t="s">
        <v>30</v>
      </c>
    </row>
    <row r="10168" spans="1:5" x14ac:dyDescent="0.25">
      <c r="A10168" s="14">
        <v>791648003</v>
      </c>
      <c r="B10168" s="14" t="s">
        <v>10267</v>
      </c>
      <c r="C10168" s="14" t="s">
        <v>13031</v>
      </c>
      <c r="D10168" s="15">
        <v>32</v>
      </c>
      <c r="E10168" s="16" t="s">
        <v>30</v>
      </c>
    </row>
    <row r="10169" spans="1:5" x14ac:dyDescent="0.25">
      <c r="A10169" s="14">
        <v>792374001</v>
      </c>
      <c r="B10169" s="14" t="s">
        <v>10268</v>
      </c>
      <c r="C10169" s="14" t="s">
        <v>13031</v>
      </c>
      <c r="D10169" s="15">
        <v>1.06</v>
      </c>
      <c r="E10169" s="16" t="s">
        <v>30</v>
      </c>
    </row>
    <row r="10170" spans="1:5" x14ac:dyDescent="0.25">
      <c r="A10170" s="14">
        <v>792374002</v>
      </c>
      <c r="B10170" s="14" t="s">
        <v>10269</v>
      </c>
      <c r="C10170" s="14" t="s">
        <v>13031</v>
      </c>
      <c r="D10170" s="15">
        <v>1.06</v>
      </c>
      <c r="E10170" s="16" t="s">
        <v>30</v>
      </c>
    </row>
    <row r="10171" spans="1:5" x14ac:dyDescent="0.25">
      <c r="A10171" s="14">
        <v>794310002</v>
      </c>
      <c r="B10171" s="14" t="s">
        <v>10270</v>
      </c>
      <c r="C10171" s="14" t="s">
        <v>13031</v>
      </c>
      <c r="D10171" s="15">
        <v>8.76</v>
      </c>
      <c r="E10171" s="16" t="s">
        <v>30</v>
      </c>
    </row>
    <row r="10172" spans="1:5" x14ac:dyDescent="0.25">
      <c r="A10172" s="14">
        <v>794311001</v>
      </c>
      <c r="B10172" s="14" t="s">
        <v>10271</v>
      </c>
      <c r="C10172" s="14" t="s">
        <v>13031</v>
      </c>
      <c r="D10172" s="15">
        <v>14.16</v>
      </c>
      <c r="E10172" s="16" t="s">
        <v>30</v>
      </c>
    </row>
    <row r="10173" spans="1:5" x14ac:dyDescent="0.25">
      <c r="A10173" s="14">
        <v>794311002</v>
      </c>
      <c r="B10173" s="14" t="s">
        <v>10272</v>
      </c>
      <c r="C10173" s="14" t="s">
        <v>13031</v>
      </c>
      <c r="D10173" s="15">
        <v>14.16</v>
      </c>
      <c r="E10173" s="16" t="s">
        <v>30</v>
      </c>
    </row>
    <row r="10174" spans="1:5" x14ac:dyDescent="0.25">
      <c r="A10174" s="14">
        <v>794369002</v>
      </c>
      <c r="B10174" s="14" t="s">
        <v>10273</v>
      </c>
      <c r="C10174" s="14" t="s">
        <v>13031</v>
      </c>
      <c r="D10174" s="15">
        <v>17.29</v>
      </c>
      <c r="E10174" s="16" t="s">
        <v>30</v>
      </c>
    </row>
    <row r="10175" spans="1:5" x14ac:dyDescent="0.25">
      <c r="A10175" s="14">
        <v>814536001</v>
      </c>
      <c r="B10175" s="14" t="s">
        <v>10274</v>
      </c>
      <c r="C10175" s="14" t="s">
        <v>13031</v>
      </c>
      <c r="D10175" s="15">
        <v>17.739999999999998</v>
      </c>
      <c r="E10175" s="16" t="s">
        <v>30</v>
      </c>
    </row>
    <row r="10176" spans="1:5" x14ac:dyDescent="0.25">
      <c r="A10176" s="14">
        <v>814536002</v>
      </c>
      <c r="B10176" s="14" t="s">
        <v>10275</v>
      </c>
      <c r="C10176" s="14" t="s">
        <v>13031</v>
      </c>
      <c r="D10176" s="15">
        <v>17.739999999999998</v>
      </c>
      <c r="E10176" s="16" t="s">
        <v>30</v>
      </c>
    </row>
    <row r="10177" spans="1:5" x14ac:dyDescent="0.25">
      <c r="A10177" s="14">
        <v>814536004</v>
      </c>
      <c r="B10177" s="14" t="s">
        <v>10276</v>
      </c>
      <c r="C10177" s="14" t="s">
        <v>13031</v>
      </c>
      <c r="D10177" s="15">
        <v>17.739999999999998</v>
      </c>
      <c r="E10177" s="16" t="s">
        <v>30</v>
      </c>
    </row>
    <row r="10178" spans="1:5" x14ac:dyDescent="0.25">
      <c r="A10178" s="14">
        <v>814537001</v>
      </c>
      <c r="B10178" s="14" t="s">
        <v>10277</v>
      </c>
      <c r="C10178" s="14" t="s">
        <v>13031</v>
      </c>
      <c r="D10178" s="15">
        <v>17.739999999999998</v>
      </c>
      <c r="E10178" s="16" t="s">
        <v>30</v>
      </c>
    </row>
    <row r="10179" spans="1:5" x14ac:dyDescent="0.25">
      <c r="A10179" s="14">
        <v>814537002</v>
      </c>
      <c r="B10179" s="14" t="s">
        <v>10278</v>
      </c>
      <c r="C10179" s="14" t="s">
        <v>13031</v>
      </c>
      <c r="D10179" s="15">
        <v>17.739999999999998</v>
      </c>
      <c r="E10179" s="16" t="s">
        <v>30</v>
      </c>
    </row>
    <row r="10180" spans="1:5" x14ac:dyDescent="0.25">
      <c r="A10180" s="14">
        <v>814545002</v>
      </c>
      <c r="B10180" s="14" t="s">
        <v>10279</v>
      </c>
      <c r="C10180" s="14" t="s">
        <v>13030</v>
      </c>
      <c r="D10180" s="15">
        <v>39.67</v>
      </c>
      <c r="E10180" s="16" t="s">
        <v>30</v>
      </c>
    </row>
    <row r="10181" spans="1:5" x14ac:dyDescent="0.25">
      <c r="A10181" s="14">
        <v>814545003</v>
      </c>
      <c r="B10181" s="14" t="s">
        <v>10280</v>
      </c>
      <c r="C10181" s="14" t="s">
        <v>13030</v>
      </c>
      <c r="D10181" s="15">
        <v>39.67</v>
      </c>
      <c r="E10181" s="16" t="s">
        <v>30</v>
      </c>
    </row>
    <row r="10182" spans="1:5" x14ac:dyDescent="0.25">
      <c r="A10182" s="14">
        <v>814545004</v>
      </c>
      <c r="B10182" s="14" t="s">
        <v>10281</v>
      </c>
      <c r="C10182" s="14" t="s">
        <v>13030</v>
      </c>
      <c r="D10182" s="15">
        <v>39.67</v>
      </c>
      <c r="E10182" s="16" t="s">
        <v>30</v>
      </c>
    </row>
    <row r="10183" spans="1:5" x14ac:dyDescent="0.25">
      <c r="A10183" s="14">
        <v>851852002</v>
      </c>
      <c r="B10183" s="14" t="s">
        <v>10282</v>
      </c>
      <c r="C10183" s="14" t="s">
        <v>13029</v>
      </c>
      <c r="D10183" s="15">
        <v>11.07</v>
      </c>
      <c r="E10183" s="16" t="s">
        <v>30</v>
      </c>
    </row>
    <row r="10184" spans="1:5" x14ac:dyDescent="0.25">
      <c r="A10184" s="14">
        <v>851852003</v>
      </c>
      <c r="B10184" s="14" t="s">
        <v>10283</v>
      </c>
      <c r="C10184" s="14" t="s">
        <v>13029</v>
      </c>
      <c r="D10184" s="15">
        <v>11.07</v>
      </c>
      <c r="E10184" s="16" t="s">
        <v>30</v>
      </c>
    </row>
    <row r="10185" spans="1:5" x14ac:dyDescent="0.25">
      <c r="A10185" s="14">
        <v>851853001</v>
      </c>
      <c r="B10185" s="14" t="s">
        <v>10284</v>
      </c>
      <c r="C10185" s="14" t="s">
        <v>13029</v>
      </c>
      <c r="D10185" s="15">
        <v>95.89</v>
      </c>
      <c r="E10185" s="16" t="s">
        <v>30</v>
      </c>
    </row>
    <row r="10186" spans="1:5" x14ac:dyDescent="0.25">
      <c r="A10186" s="14">
        <v>851853003</v>
      </c>
      <c r="B10186" s="14" t="s">
        <v>10285</v>
      </c>
      <c r="C10186" s="14" t="s">
        <v>13029</v>
      </c>
      <c r="D10186" s="15">
        <v>95.89</v>
      </c>
      <c r="E10186" s="16" t="s">
        <v>30</v>
      </c>
    </row>
    <row r="10187" spans="1:5" x14ac:dyDescent="0.25">
      <c r="A10187" s="14">
        <v>865338001</v>
      </c>
      <c r="B10187" s="14" t="s">
        <v>10286</v>
      </c>
      <c r="C10187" s="14" t="s">
        <v>13030</v>
      </c>
      <c r="D10187" s="15">
        <v>28.94</v>
      </c>
      <c r="E10187" s="16" t="s">
        <v>30</v>
      </c>
    </row>
    <row r="10188" spans="1:5" x14ac:dyDescent="0.25">
      <c r="A10188" s="14">
        <v>865338002</v>
      </c>
      <c r="B10188" s="14" t="s">
        <v>10287</v>
      </c>
      <c r="C10188" s="14" t="s">
        <v>13030</v>
      </c>
      <c r="D10188" s="15">
        <v>28.94</v>
      </c>
      <c r="E10188" s="16" t="s">
        <v>30</v>
      </c>
    </row>
    <row r="10189" spans="1:5" x14ac:dyDescent="0.25">
      <c r="A10189" s="14">
        <v>886919001</v>
      </c>
      <c r="B10189" s="14" t="s">
        <v>10288</v>
      </c>
      <c r="C10189" s="14" t="s">
        <v>13030</v>
      </c>
      <c r="D10189" s="15">
        <v>47.2</v>
      </c>
      <c r="E10189" s="16" t="s">
        <v>30</v>
      </c>
    </row>
    <row r="10190" spans="1:5" x14ac:dyDescent="0.25">
      <c r="A10190" s="14">
        <v>886919002</v>
      </c>
      <c r="B10190" s="14" t="s">
        <v>10289</v>
      </c>
      <c r="C10190" s="14" t="s">
        <v>13030</v>
      </c>
      <c r="D10190" s="15">
        <v>47.2</v>
      </c>
      <c r="E10190" s="16" t="s">
        <v>30</v>
      </c>
    </row>
    <row r="10191" spans="1:5" x14ac:dyDescent="0.25">
      <c r="A10191" s="14">
        <v>886919003</v>
      </c>
      <c r="B10191" s="14" t="s">
        <v>10290</v>
      </c>
      <c r="C10191" s="14" t="s">
        <v>13030</v>
      </c>
      <c r="D10191" s="15">
        <v>47.2</v>
      </c>
      <c r="E10191" s="16" t="s">
        <v>30</v>
      </c>
    </row>
    <row r="10192" spans="1:5" x14ac:dyDescent="0.25">
      <c r="A10192" s="14">
        <v>886928002</v>
      </c>
      <c r="B10192" s="14" t="s">
        <v>10291</v>
      </c>
      <c r="C10192" s="14" t="s">
        <v>13031</v>
      </c>
      <c r="D10192" s="15">
        <v>15.96</v>
      </c>
      <c r="E10192" s="16" t="s">
        <v>30</v>
      </c>
    </row>
    <row r="10193" spans="1:5" x14ac:dyDescent="0.25">
      <c r="A10193" s="14">
        <v>886928003</v>
      </c>
      <c r="B10193" s="14" t="s">
        <v>10292</v>
      </c>
      <c r="C10193" s="14" t="s">
        <v>13031</v>
      </c>
      <c r="D10193" s="15">
        <v>15.96</v>
      </c>
      <c r="E10193" s="16" t="s">
        <v>30</v>
      </c>
    </row>
    <row r="10194" spans="1:5" x14ac:dyDescent="0.25">
      <c r="A10194" s="14">
        <v>889574001</v>
      </c>
      <c r="B10194" s="14" t="s">
        <v>10293</v>
      </c>
      <c r="C10194" s="14" t="s">
        <v>13030</v>
      </c>
      <c r="D10194" s="15">
        <v>52.76</v>
      </c>
      <c r="E10194" s="16" t="s">
        <v>30</v>
      </c>
    </row>
    <row r="10195" spans="1:5" x14ac:dyDescent="0.25">
      <c r="A10195" s="14">
        <v>889574003</v>
      </c>
      <c r="B10195" s="14" t="s">
        <v>10294</v>
      </c>
      <c r="C10195" s="14" t="s">
        <v>13030</v>
      </c>
      <c r="D10195" s="15">
        <v>52.76</v>
      </c>
      <c r="E10195" s="16" t="s">
        <v>30</v>
      </c>
    </row>
    <row r="10196" spans="1:5" x14ac:dyDescent="0.25">
      <c r="A10196" s="14">
        <v>889575001</v>
      </c>
      <c r="B10196" s="14" t="s">
        <v>10295</v>
      </c>
      <c r="C10196" s="14" t="s">
        <v>13030</v>
      </c>
      <c r="D10196" s="15">
        <v>41.6</v>
      </c>
      <c r="E10196" s="16" t="s">
        <v>30</v>
      </c>
    </row>
    <row r="10197" spans="1:5" x14ac:dyDescent="0.25">
      <c r="A10197" s="14">
        <v>889575002</v>
      </c>
      <c r="B10197" s="14" t="s">
        <v>10296</v>
      </c>
      <c r="C10197" s="14" t="s">
        <v>13030</v>
      </c>
      <c r="D10197" s="15">
        <v>41.6</v>
      </c>
      <c r="E10197" s="16" t="s">
        <v>30</v>
      </c>
    </row>
    <row r="10198" spans="1:5" x14ac:dyDescent="0.25">
      <c r="A10198" s="14">
        <v>889575004</v>
      </c>
      <c r="B10198" s="14" t="s">
        <v>10297</v>
      </c>
      <c r="C10198" s="14" t="s">
        <v>13030</v>
      </c>
      <c r="D10198" s="15">
        <v>41.6</v>
      </c>
      <c r="E10198" s="16" t="s">
        <v>30</v>
      </c>
    </row>
    <row r="10199" spans="1:5" x14ac:dyDescent="0.25">
      <c r="A10199" s="14">
        <v>889642001</v>
      </c>
      <c r="B10199" s="14" t="s">
        <v>10298</v>
      </c>
      <c r="C10199" s="14" t="s">
        <v>13031</v>
      </c>
      <c r="D10199" s="15">
        <v>21.35</v>
      </c>
      <c r="E10199" s="16" t="s">
        <v>30</v>
      </c>
    </row>
    <row r="10200" spans="1:5" x14ac:dyDescent="0.25">
      <c r="A10200" s="14">
        <v>889642002</v>
      </c>
      <c r="B10200" s="14" t="s">
        <v>10299</v>
      </c>
      <c r="C10200" s="14" t="s">
        <v>13031</v>
      </c>
      <c r="D10200" s="15">
        <v>21.35</v>
      </c>
      <c r="E10200" s="16" t="s">
        <v>30</v>
      </c>
    </row>
    <row r="10201" spans="1:5" x14ac:dyDescent="0.25">
      <c r="A10201" s="14">
        <v>892520001</v>
      </c>
      <c r="B10201" s="14" t="s">
        <v>10300</v>
      </c>
      <c r="C10201" s="14" t="s">
        <v>13029</v>
      </c>
      <c r="D10201" s="15">
        <v>5.87</v>
      </c>
      <c r="E10201" s="16" t="s">
        <v>30</v>
      </c>
    </row>
    <row r="10202" spans="1:5" x14ac:dyDescent="0.25">
      <c r="A10202" s="14">
        <v>892520002</v>
      </c>
      <c r="B10202" s="14" t="s">
        <v>10301</v>
      </c>
      <c r="C10202" s="14" t="s">
        <v>13029</v>
      </c>
      <c r="D10202" s="15">
        <v>5.87</v>
      </c>
      <c r="E10202" s="16" t="s">
        <v>30</v>
      </c>
    </row>
    <row r="10203" spans="1:5" x14ac:dyDescent="0.25">
      <c r="A10203" s="14">
        <v>892520003</v>
      </c>
      <c r="B10203" s="14" t="s">
        <v>10302</v>
      </c>
      <c r="C10203" s="14" t="s">
        <v>13029</v>
      </c>
      <c r="D10203" s="15">
        <v>5.87</v>
      </c>
      <c r="E10203" s="16" t="s">
        <v>30</v>
      </c>
    </row>
    <row r="10204" spans="1:5" x14ac:dyDescent="0.25">
      <c r="A10204" s="14">
        <v>892520005</v>
      </c>
      <c r="B10204" s="14" t="s">
        <v>10303</v>
      </c>
      <c r="C10204" s="14" t="s">
        <v>13029</v>
      </c>
      <c r="D10204" s="15">
        <v>5.87</v>
      </c>
      <c r="E10204" s="16" t="s">
        <v>30</v>
      </c>
    </row>
    <row r="10205" spans="1:5" x14ac:dyDescent="0.25">
      <c r="A10205" s="14">
        <v>897284001</v>
      </c>
      <c r="B10205" s="14" t="s">
        <v>10304</v>
      </c>
      <c r="C10205" s="14" t="s">
        <v>13030</v>
      </c>
      <c r="D10205" s="15">
        <v>6.54</v>
      </c>
      <c r="E10205" s="16" t="s">
        <v>30</v>
      </c>
    </row>
    <row r="10206" spans="1:5" x14ac:dyDescent="0.25">
      <c r="A10206" s="14">
        <v>897284002</v>
      </c>
      <c r="B10206" s="14" t="s">
        <v>10305</v>
      </c>
      <c r="C10206" s="14" t="s">
        <v>13030</v>
      </c>
      <c r="D10206" s="15">
        <v>6.54</v>
      </c>
      <c r="E10206" s="16" t="s">
        <v>30</v>
      </c>
    </row>
    <row r="10207" spans="1:5" x14ac:dyDescent="0.25">
      <c r="A10207" s="14">
        <v>897284004</v>
      </c>
      <c r="B10207" s="14" t="s">
        <v>10306</v>
      </c>
      <c r="C10207" s="14" t="s">
        <v>13030</v>
      </c>
      <c r="D10207" s="15">
        <v>6.54</v>
      </c>
      <c r="E10207" s="16" t="s">
        <v>30</v>
      </c>
    </row>
    <row r="10208" spans="1:5" x14ac:dyDescent="0.25">
      <c r="A10208" s="14">
        <v>898517001</v>
      </c>
      <c r="B10208" s="14" t="s">
        <v>10307</v>
      </c>
      <c r="C10208" s="14" t="s">
        <v>13030</v>
      </c>
      <c r="D10208" s="15">
        <v>32.58</v>
      </c>
      <c r="E10208" s="16" t="s">
        <v>30</v>
      </c>
    </row>
    <row r="10209" spans="1:5" x14ac:dyDescent="0.25">
      <c r="A10209" s="14">
        <v>898517002</v>
      </c>
      <c r="B10209" s="14" t="s">
        <v>10308</v>
      </c>
      <c r="C10209" s="14" t="s">
        <v>13030</v>
      </c>
      <c r="D10209" s="15">
        <v>32.58</v>
      </c>
      <c r="E10209" s="16" t="s">
        <v>30</v>
      </c>
    </row>
    <row r="10210" spans="1:5" x14ac:dyDescent="0.25">
      <c r="A10210" s="14">
        <v>563849003</v>
      </c>
      <c r="B10210" s="14" t="s">
        <v>10309</v>
      </c>
      <c r="C10210" s="14" t="s">
        <v>13030</v>
      </c>
      <c r="D10210" s="15">
        <v>46.26</v>
      </c>
      <c r="E10210" s="16" t="s">
        <v>20</v>
      </c>
    </row>
    <row r="10211" spans="1:5" x14ac:dyDescent="0.25">
      <c r="A10211" s="14">
        <v>899324001</v>
      </c>
      <c r="B10211" s="14" t="s">
        <v>10310</v>
      </c>
      <c r="C10211" s="14" t="s">
        <v>13031</v>
      </c>
      <c r="D10211" s="15">
        <v>7.71</v>
      </c>
      <c r="E10211" s="16" t="s">
        <v>30</v>
      </c>
    </row>
    <row r="10212" spans="1:5" x14ac:dyDescent="0.25">
      <c r="A10212" s="14">
        <v>899324002</v>
      </c>
      <c r="B10212" s="14" t="s">
        <v>10311</v>
      </c>
      <c r="C10212" s="14" t="s">
        <v>13031</v>
      </c>
      <c r="D10212" s="15">
        <v>7.61</v>
      </c>
      <c r="E10212" s="16" t="s">
        <v>30</v>
      </c>
    </row>
    <row r="10213" spans="1:5" x14ac:dyDescent="0.25">
      <c r="A10213" s="14">
        <v>899324003</v>
      </c>
      <c r="B10213" s="14" t="s">
        <v>10312</v>
      </c>
      <c r="C10213" s="14" t="s">
        <v>13031</v>
      </c>
      <c r="D10213" s="15">
        <v>7.61</v>
      </c>
      <c r="E10213" s="16" t="s">
        <v>30</v>
      </c>
    </row>
    <row r="10214" spans="1:5" x14ac:dyDescent="0.25">
      <c r="A10214" s="14">
        <v>899325001</v>
      </c>
      <c r="B10214" s="14" t="s">
        <v>10313</v>
      </c>
      <c r="C10214" s="14" t="s">
        <v>13031</v>
      </c>
      <c r="D10214" s="15">
        <v>6.53</v>
      </c>
      <c r="E10214" s="16" t="s">
        <v>30</v>
      </c>
    </row>
    <row r="10215" spans="1:5" x14ac:dyDescent="0.25">
      <c r="A10215" s="14">
        <v>899325002</v>
      </c>
      <c r="B10215" s="14" t="s">
        <v>10314</v>
      </c>
      <c r="C10215" s="14" t="s">
        <v>13031</v>
      </c>
      <c r="D10215" s="15">
        <v>6.53</v>
      </c>
      <c r="E10215" s="16" t="s">
        <v>30</v>
      </c>
    </row>
    <row r="10216" spans="1:5" x14ac:dyDescent="0.25">
      <c r="A10216" s="14">
        <v>899325003</v>
      </c>
      <c r="B10216" s="14" t="s">
        <v>10315</v>
      </c>
      <c r="C10216" s="14" t="s">
        <v>13031</v>
      </c>
      <c r="D10216" s="15">
        <v>6.53</v>
      </c>
      <c r="E10216" s="16" t="s">
        <v>30</v>
      </c>
    </row>
    <row r="10217" spans="1:5" x14ac:dyDescent="0.25">
      <c r="A10217" s="14">
        <v>900372001</v>
      </c>
      <c r="B10217" s="14" t="s">
        <v>10316</v>
      </c>
      <c r="C10217" s="14" t="s">
        <v>13029</v>
      </c>
      <c r="D10217" s="15">
        <v>15.04</v>
      </c>
      <c r="E10217" s="16" t="s">
        <v>30</v>
      </c>
    </row>
    <row r="10218" spans="1:5" x14ac:dyDescent="0.25">
      <c r="A10218" s="14">
        <v>900372002</v>
      </c>
      <c r="B10218" s="14" t="s">
        <v>10317</v>
      </c>
      <c r="C10218" s="14" t="s">
        <v>13029</v>
      </c>
      <c r="D10218" s="15">
        <v>15.04</v>
      </c>
      <c r="E10218" s="16" t="s">
        <v>30</v>
      </c>
    </row>
    <row r="10219" spans="1:5" x14ac:dyDescent="0.25">
      <c r="A10219" s="14">
        <v>900372003</v>
      </c>
      <c r="B10219" s="14" t="s">
        <v>10318</v>
      </c>
      <c r="C10219" s="14" t="s">
        <v>13029</v>
      </c>
      <c r="D10219" s="15">
        <v>146.88</v>
      </c>
      <c r="E10219" s="16" t="s">
        <v>30</v>
      </c>
    </row>
    <row r="10220" spans="1:5" x14ac:dyDescent="0.25">
      <c r="A10220" s="14">
        <v>903538002</v>
      </c>
      <c r="B10220" s="14" t="s">
        <v>10319</v>
      </c>
      <c r="C10220" s="14" t="s">
        <v>13031</v>
      </c>
      <c r="D10220" s="15">
        <v>23.67</v>
      </c>
      <c r="E10220" s="16" t="s">
        <v>30</v>
      </c>
    </row>
    <row r="10221" spans="1:5" x14ac:dyDescent="0.25">
      <c r="A10221" s="14">
        <v>904704002</v>
      </c>
      <c r="B10221" s="14" t="s">
        <v>10320</v>
      </c>
      <c r="C10221" s="14" t="s">
        <v>13030</v>
      </c>
      <c r="D10221" s="15">
        <v>95.98</v>
      </c>
      <c r="E10221" s="16" t="s">
        <v>30</v>
      </c>
    </row>
    <row r="10222" spans="1:5" x14ac:dyDescent="0.25">
      <c r="A10222" s="14">
        <v>906055001</v>
      </c>
      <c r="B10222" s="14" t="s">
        <v>10321</v>
      </c>
      <c r="C10222" s="14" t="s">
        <v>13029</v>
      </c>
      <c r="D10222" s="15">
        <v>9.31</v>
      </c>
      <c r="E10222" s="16" t="s">
        <v>30</v>
      </c>
    </row>
    <row r="10223" spans="1:5" x14ac:dyDescent="0.25">
      <c r="A10223" s="14">
        <v>906055003</v>
      </c>
      <c r="B10223" s="14" t="s">
        <v>10322</v>
      </c>
      <c r="C10223" s="14" t="s">
        <v>13029</v>
      </c>
      <c r="D10223" s="15">
        <v>9.31</v>
      </c>
      <c r="E10223" s="16" t="s">
        <v>30</v>
      </c>
    </row>
    <row r="10224" spans="1:5" x14ac:dyDescent="0.25">
      <c r="A10224" s="14">
        <v>906061001</v>
      </c>
      <c r="B10224" s="14" t="s">
        <v>10323</v>
      </c>
      <c r="C10224" s="14" t="s">
        <v>13029</v>
      </c>
      <c r="D10224" s="15">
        <v>9.3699999999999992</v>
      </c>
      <c r="E10224" s="16" t="s">
        <v>30</v>
      </c>
    </row>
    <row r="10225" spans="1:5" x14ac:dyDescent="0.25">
      <c r="A10225" s="14">
        <v>909290001</v>
      </c>
      <c r="B10225" s="14" t="s">
        <v>10324</v>
      </c>
      <c r="C10225" s="14" t="s">
        <v>13029</v>
      </c>
      <c r="D10225" s="15">
        <v>16.86</v>
      </c>
      <c r="E10225" s="16" t="s">
        <v>30</v>
      </c>
    </row>
    <row r="10226" spans="1:5" x14ac:dyDescent="0.25">
      <c r="A10226" s="14">
        <v>909290003</v>
      </c>
      <c r="B10226" s="14" t="s">
        <v>10325</v>
      </c>
      <c r="C10226" s="14" t="s">
        <v>13029</v>
      </c>
      <c r="D10226" s="15">
        <v>16.86</v>
      </c>
      <c r="E10226" s="16" t="s">
        <v>30</v>
      </c>
    </row>
    <row r="10227" spans="1:5" x14ac:dyDescent="0.25">
      <c r="A10227" s="14">
        <v>911827001</v>
      </c>
      <c r="B10227" s="14" t="s">
        <v>10326</v>
      </c>
      <c r="C10227" s="14" t="s">
        <v>13030</v>
      </c>
      <c r="D10227" s="15">
        <v>54.54</v>
      </c>
      <c r="E10227" s="16" t="s">
        <v>30</v>
      </c>
    </row>
    <row r="10228" spans="1:5" x14ac:dyDescent="0.25">
      <c r="A10228" s="14">
        <v>911827002</v>
      </c>
      <c r="B10228" s="14" t="s">
        <v>10327</v>
      </c>
      <c r="C10228" s="14" t="s">
        <v>13030</v>
      </c>
      <c r="D10228" s="15">
        <v>56.35</v>
      </c>
      <c r="E10228" s="16" t="s">
        <v>30</v>
      </c>
    </row>
    <row r="10229" spans="1:5" x14ac:dyDescent="0.25">
      <c r="A10229" s="14">
        <v>913852001</v>
      </c>
      <c r="B10229" s="14" t="s">
        <v>10328</v>
      </c>
      <c r="C10229" s="14" t="s">
        <v>13031</v>
      </c>
      <c r="D10229" s="15">
        <v>22.56</v>
      </c>
      <c r="E10229" s="16" t="s">
        <v>30</v>
      </c>
    </row>
    <row r="10230" spans="1:5" x14ac:dyDescent="0.25">
      <c r="A10230" s="14">
        <v>913852002</v>
      </c>
      <c r="B10230" s="14" t="s">
        <v>10329</v>
      </c>
      <c r="C10230" s="14" t="s">
        <v>13031</v>
      </c>
      <c r="D10230" s="15">
        <v>22.56</v>
      </c>
      <c r="E10230" s="16" t="s">
        <v>30</v>
      </c>
    </row>
    <row r="10231" spans="1:5" x14ac:dyDescent="0.25">
      <c r="A10231" s="14">
        <v>916689001</v>
      </c>
      <c r="B10231" s="14" t="s">
        <v>10330</v>
      </c>
      <c r="C10231" s="14" t="s">
        <v>13030</v>
      </c>
      <c r="D10231" s="15">
        <v>55.53</v>
      </c>
      <c r="E10231" s="16" t="s">
        <v>30</v>
      </c>
    </row>
    <row r="10232" spans="1:5" x14ac:dyDescent="0.25">
      <c r="A10232" s="14">
        <v>916690001</v>
      </c>
      <c r="B10232" s="14" t="s">
        <v>10331</v>
      </c>
      <c r="C10232" s="14" t="s">
        <v>13030</v>
      </c>
      <c r="D10232" s="15">
        <v>55.52</v>
      </c>
      <c r="E10232" s="16" t="s">
        <v>30</v>
      </c>
    </row>
    <row r="10233" spans="1:5" x14ac:dyDescent="0.25">
      <c r="A10233" s="14">
        <v>563849004</v>
      </c>
      <c r="B10233" s="14" t="s">
        <v>10332</v>
      </c>
      <c r="C10233" s="14" t="s">
        <v>13030</v>
      </c>
      <c r="D10233" s="15">
        <v>39.42</v>
      </c>
      <c r="E10233" s="16" t="s">
        <v>20</v>
      </c>
    </row>
    <row r="10234" spans="1:5" x14ac:dyDescent="0.25">
      <c r="A10234" s="14">
        <v>558713004</v>
      </c>
      <c r="B10234" s="14" t="s">
        <v>10333</v>
      </c>
      <c r="C10234" s="14" t="s">
        <v>13031</v>
      </c>
      <c r="D10234" s="15">
        <v>11.21</v>
      </c>
      <c r="E10234" s="16" t="s">
        <v>20</v>
      </c>
    </row>
    <row r="10235" spans="1:5" x14ac:dyDescent="0.25">
      <c r="A10235" s="14">
        <v>558713005</v>
      </c>
      <c r="B10235" s="14" t="s">
        <v>10334</v>
      </c>
      <c r="C10235" s="14" t="s">
        <v>13031</v>
      </c>
      <c r="D10235" s="15">
        <v>11.21</v>
      </c>
      <c r="E10235" s="16" t="s">
        <v>20</v>
      </c>
    </row>
    <row r="10236" spans="1:5" x14ac:dyDescent="0.25">
      <c r="A10236" s="14">
        <v>558713006</v>
      </c>
      <c r="B10236" s="14" t="s">
        <v>10335</v>
      </c>
      <c r="C10236" s="14" t="s">
        <v>13031</v>
      </c>
      <c r="D10236" s="15">
        <v>11.21</v>
      </c>
      <c r="E10236" s="16" t="s">
        <v>20</v>
      </c>
    </row>
    <row r="10237" spans="1:5" x14ac:dyDescent="0.25">
      <c r="A10237" s="14">
        <v>558713007</v>
      </c>
      <c r="B10237" s="14" t="s">
        <v>10336</v>
      </c>
      <c r="C10237" s="14" t="s">
        <v>13031</v>
      </c>
      <c r="D10237" s="15">
        <v>11.21</v>
      </c>
      <c r="E10237" s="16" t="s">
        <v>20</v>
      </c>
    </row>
    <row r="10238" spans="1:5" x14ac:dyDescent="0.25">
      <c r="A10238" s="14">
        <v>916690002</v>
      </c>
      <c r="B10238" s="14" t="s">
        <v>10337</v>
      </c>
      <c r="C10238" s="14" t="s">
        <v>13030</v>
      </c>
      <c r="D10238" s="15">
        <v>55.53</v>
      </c>
      <c r="E10238" s="16" t="s">
        <v>30</v>
      </c>
    </row>
    <row r="10239" spans="1:5" x14ac:dyDescent="0.25">
      <c r="A10239" s="14">
        <v>921083001</v>
      </c>
      <c r="B10239" s="14" t="s">
        <v>10338</v>
      </c>
      <c r="C10239" s="14" t="s">
        <v>13031</v>
      </c>
      <c r="D10239" s="15">
        <v>10.98</v>
      </c>
      <c r="E10239" s="16" t="s">
        <v>30</v>
      </c>
    </row>
    <row r="10240" spans="1:5" x14ac:dyDescent="0.25">
      <c r="A10240" s="14">
        <v>923872001</v>
      </c>
      <c r="B10240" s="14" t="s">
        <v>10339</v>
      </c>
      <c r="C10240" s="14" t="s">
        <v>13030</v>
      </c>
      <c r="D10240" s="15">
        <v>45.48</v>
      </c>
      <c r="E10240" s="16" t="s">
        <v>30</v>
      </c>
    </row>
    <row r="10241" spans="1:5" x14ac:dyDescent="0.25">
      <c r="A10241" s="14">
        <v>558713008</v>
      </c>
      <c r="B10241" s="14" t="s">
        <v>10340</v>
      </c>
      <c r="C10241" s="14" t="s">
        <v>13031</v>
      </c>
      <c r="D10241" s="15">
        <v>11.21</v>
      </c>
      <c r="E10241" s="16" t="s">
        <v>20</v>
      </c>
    </row>
    <row r="10242" spans="1:5" x14ac:dyDescent="0.25">
      <c r="A10242" s="14">
        <v>733535001</v>
      </c>
      <c r="B10242" s="14" t="s">
        <v>10341</v>
      </c>
      <c r="C10242" s="14" t="s">
        <v>13030</v>
      </c>
      <c r="D10242" s="15">
        <v>20.2</v>
      </c>
      <c r="E10242" s="16" t="s">
        <v>20</v>
      </c>
    </row>
    <row r="10243" spans="1:5" x14ac:dyDescent="0.25">
      <c r="A10243" s="14">
        <v>733535002</v>
      </c>
      <c r="B10243" s="14" t="s">
        <v>10342</v>
      </c>
      <c r="C10243" s="14" t="s">
        <v>13030</v>
      </c>
      <c r="D10243" s="15">
        <v>21.69</v>
      </c>
      <c r="E10243" s="16" t="s">
        <v>20</v>
      </c>
    </row>
    <row r="10244" spans="1:5" x14ac:dyDescent="0.25">
      <c r="A10244" s="14">
        <v>923872002</v>
      </c>
      <c r="B10244" s="14" t="s">
        <v>10343</v>
      </c>
      <c r="C10244" s="14" t="s">
        <v>13030</v>
      </c>
      <c r="D10244" s="15">
        <v>45.48</v>
      </c>
      <c r="E10244" s="16" t="s">
        <v>30</v>
      </c>
    </row>
    <row r="10245" spans="1:5" x14ac:dyDescent="0.25">
      <c r="A10245" s="14">
        <v>923872003</v>
      </c>
      <c r="B10245" s="14" t="s">
        <v>10344</v>
      </c>
      <c r="C10245" s="14" t="s">
        <v>13030</v>
      </c>
      <c r="D10245" s="15">
        <v>45.48</v>
      </c>
      <c r="E10245" s="16" t="s">
        <v>30</v>
      </c>
    </row>
    <row r="10246" spans="1:5" x14ac:dyDescent="0.25">
      <c r="A10246" s="14">
        <v>924251002</v>
      </c>
      <c r="B10246" s="14" t="s">
        <v>10345</v>
      </c>
      <c r="C10246" s="14" t="s">
        <v>13030</v>
      </c>
      <c r="D10246" s="15">
        <v>41.79</v>
      </c>
      <c r="E10246" s="16" t="s">
        <v>30</v>
      </c>
    </row>
    <row r="10247" spans="1:5" x14ac:dyDescent="0.25">
      <c r="A10247" s="14">
        <v>924253001</v>
      </c>
      <c r="B10247" s="14" t="s">
        <v>10346</v>
      </c>
      <c r="C10247" s="14" t="s">
        <v>13031</v>
      </c>
      <c r="D10247" s="15">
        <v>3.55</v>
      </c>
      <c r="E10247" s="16" t="s">
        <v>30</v>
      </c>
    </row>
    <row r="10248" spans="1:5" x14ac:dyDescent="0.25">
      <c r="A10248" s="14">
        <v>924253002</v>
      </c>
      <c r="B10248" s="14" t="s">
        <v>10347</v>
      </c>
      <c r="C10248" s="14" t="s">
        <v>13031</v>
      </c>
      <c r="D10248" s="15">
        <v>3.55</v>
      </c>
      <c r="E10248" s="16" t="s">
        <v>30</v>
      </c>
    </row>
    <row r="10249" spans="1:5" x14ac:dyDescent="0.25">
      <c r="A10249" s="14">
        <v>924254002</v>
      </c>
      <c r="B10249" s="14" t="s">
        <v>10348</v>
      </c>
      <c r="C10249" s="14" t="s">
        <v>13031</v>
      </c>
      <c r="D10249" s="15">
        <v>5.0999999999999996</v>
      </c>
      <c r="E10249" s="16" t="s">
        <v>30</v>
      </c>
    </row>
    <row r="10250" spans="1:5" x14ac:dyDescent="0.25">
      <c r="A10250" s="14">
        <v>924255001</v>
      </c>
      <c r="B10250" s="14" t="s">
        <v>10349</v>
      </c>
      <c r="C10250" s="14" t="s">
        <v>13031</v>
      </c>
      <c r="D10250" s="15">
        <v>5.83</v>
      </c>
      <c r="E10250" s="16" t="s">
        <v>30</v>
      </c>
    </row>
    <row r="10251" spans="1:5" x14ac:dyDescent="0.25">
      <c r="A10251" s="14">
        <v>924255002</v>
      </c>
      <c r="B10251" s="14" t="s">
        <v>10350</v>
      </c>
      <c r="C10251" s="14" t="s">
        <v>13031</v>
      </c>
      <c r="D10251" s="15">
        <v>5.83</v>
      </c>
      <c r="E10251" s="16" t="s">
        <v>30</v>
      </c>
    </row>
    <row r="10252" spans="1:5" x14ac:dyDescent="0.25">
      <c r="A10252" s="14">
        <v>924259002</v>
      </c>
      <c r="B10252" s="14" t="s">
        <v>10351</v>
      </c>
      <c r="C10252" s="14" t="s">
        <v>13030</v>
      </c>
      <c r="D10252" s="15">
        <v>29.7</v>
      </c>
      <c r="E10252" s="16" t="s">
        <v>30</v>
      </c>
    </row>
    <row r="10253" spans="1:5" x14ac:dyDescent="0.25">
      <c r="A10253" s="14">
        <v>924259003</v>
      </c>
      <c r="B10253" s="14" t="s">
        <v>10352</v>
      </c>
      <c r="C10253" s="14" t="s">
        <v>13030</v>
      </c>
      <c r="D10253" s="15">
        <v>28.05</v>
      </c>
      <c r="E10253" s="16" t="s">
        <v>30</v>
      </c>
    </row>
    <row r="10254" spans="1:5" x14ac:dyDescent="0.25">
      <c r="A10254" s="14">
        <v>924260001</v>
      </c>
      <c r="B10254" s="14" t="s">
        <v>10353</v>
      </c>
      <c r="C10254" s="14" t="s">
        <v>13030</v>
      </c>
      <c r="D10254" s="15">
        <v>33</v>
      </c>
      <c r="E10254" s="16" t="s">
        <v>30</v>
      </c>
    </row>
    <row r="10255" spans="1:5" x14ac:dyDescent="0.25">
      <c r="A10255" s="14">
        <v>924261001</v>
      </c>
      <c r="B10255" s="14" t="s">
        <v>10354</v>
      </c>
      <c r="C10255" s="14" t="s">
        <v>13030</v>
      </c>
      <c r="D10255" s="15">
        <v>22.25</v>
      </c>
      <c r="E10255" s="16" t="s">
        <v>30</v>
      </c>
    </row>
    <row r="10256" spans="1:5" x14ac:dyDescent="0.25">
      <c r="A10256" s="14">
        <v>924261002</v>
      </c>
      <c r="B10256" s="14" t="s">
        <v>10355</v>
      </c>
      <c r="C10256" s="14" t="s">
        <v>13030</v>
      </c>
      <c r="D10256" s="15">
        <v>22.25</v>
      </c>
      <c r="E10256" s="16" t="s">
        <v>30</v>
      </c>
    </row>
    <row r="10257" spans="1:5" x14ac:dyDescent="0.25">
      <c r="A10257" s="14">
        <v>924261003</v>
      </c>
      <c r="B10257" s="14" t="s">
        <v>10356</v>
      </c>
      <c r="C10257" s="14" t="s">
        <v>13030</v>
      </c>
      <c r="D10257" s="15">
        <v>20.03</v>
      </c>
      <c r="E10257" s="16" t="s">
        <v>30</v>
      </c>
    </row>
    <row r="10258" spans="1:5" x14ac:dyDescent="0.25">
      <c r="A10258" s="14">
        <v>924262002</v>
      </c>
      <c r="B10258" s="14" t="s">
        <v>10357</v>
      </c>
      <c r="C10258" s="14" t="s">
        <v>13030</v>
      </c>
      <c r="D10258" s="15">
        <v>22.25</v>
      </c>
      <c r="E10258" s="16" t="s">
        <v>30</v>
      </c>
    </row>
    <row r="10259" spans="1:5" x14ac:dyDescent="0.25">
      <c r="A10259" s="14">
        <v>928654001</v>
      </c>
      <c r="B10259" s="14" t="s">
        <v>10358</v>
      </c>
      <c r="C10259" s="14" t="s">
        <v>13030</v>
      </c>
      <c r="D10259" s="15">
        <v>2.9</v>
      </c>
      <c r="E10259" s="16" t="s">
        <v>30</v>
      </c>
    </row>
    <row r="10260" spans="1:5" x14ac:dyDescent="0.25">
      <c r="A10260" s="14">
        <v>928654002</v>
      </c>
      <c r="B10260" s="14" t="s">
        <v>10359</v>
      </c>
      <c r="C10260" s="14" t="s">
        <v>13030</v>
      </c>
      <c r="D10260" s="15">
        <v>2.9</v>
      </c>
      <c r="E10260" s="16" t="s">
        <v>30</v>
      </c>
    </row>
    <row r="10261" spans="1:5" x14ac:dyDescent="0.25">
      <c r="A10261" s="14">
        <v>933091001</v>
      </c>
      <c r="B10261" s="14" t="s">
        <v>10360</v>
      </c>
      <c r="C10261" s="14" t="s">
        <v>13030</v>
      </c>
      <c r="D10261" s="15">
        <v>5.01</v>
      </c>
      <c r="E10261" s="14" t="s">
        <v>30</v>
      </c>
    </row>
    <row r="10262" spans="1:5" x14ac:dyDescent="0.25">
      <c r="A10262" s="14">
        <v>733537001</v>
      </c>
      <c r="B10262" s="14" t="s">
        <v>10361</v>
      </c>
      <c r="C10262" s="14" t="s">
        <v>13030</v>
      </c>
      <c r="D10262" s="15">
        <v>32.130000000000003</v>
      </c>
      <c r="E10262" s="16" t="s">
        <v>20</v>
      </c>
    </row>
    <row r="10263" spans="1:5" x14ac:dyDescent="0.25">
      <c r="A10263" s="14">
        <v>733537002</v>
      </c>
      <c r="B10263" s="14" t="s">
        <v>10362</v>
      </c>
      <c r="C10263" s="14" t="s">
        <v>13030</v>
      </c>
      <c r="D10263" s="15">
        <v>31.4</v>
      </c>
      <c r="E10263" s="16" t="s">
        <v>20</v>
      </c>
    </row>
    <row r="10264" spans="1:5" x14ac:dyDescent="0.25">
      <c r="A10264" s="14">
        <v>733538001</v>
      </c>
      <c r="B10264" s="14" t="s">
        <v>10363</v>
      </c>
      <c r="C10264" s="14" t="s">
        <v>13030</v>
      </c>
      <c r="D10264" s="15">
        <v>43.04</v>
      </c>
      <c r="E10264" s="16" t="s">
        <v>20</v>
      </c>
    </row>
    <row r="10265" spans="1:5" x14ac:dyDescent="0.25">
      <c r="A10265" s="14">
        <v>933091002</v>
      </c>
      <c r="B10265" s="14" t="s">
        <v>10364</v>
      </c>
      <c r="C10265" s="14" t="s">
        <v>13030</v>
      </c>
      <c r="D10265" s="15">
        <v>5.01</v>
      </c>
      <c r="E10265" s="14" t="s">
        <v>30</v>
      </c>
    </row>
    <row r="10266" spans="1:5" x14ac:dyDescent="0.25">
      <c r="A10266" s="14">
        <v>933092002</v>
      </c>
      <c r="B10266" s="14" t="s">
        <v>10365</v>
      </c>
      <c r="C10266" s="14" t="s">
        <v>13030</v>
      </c>
      <c r="D10266" s="15">
        <v>2.84</v>
      </c>
      <c r="E10266" s="16" t="s">
        <v>30</v>
      </c>
    </row>
    <row r="10267" spans="1:5" x14ac:dyDescent="0.25">
      <c r="A10267" s="14">
        <v>733538002</v>
      </c>
      <c r="B10267" s="14" t="s">
        <v>10366</v>
      </c>
      <c r="C10267" s="14" t="s">
        <v>13030</v>
      </c>
      <c r="D10267" s="15">
        <v>43.38</v>
      </c>
      <c r="E10267" s="16" t="s">
        <v>20</v>
      </c>
    </row>
    <row r="10268" spans="1:5" x14ac:dyDescent="0.25">
      <c r="A10268" s="14">
        <v>576411001</v>
      </c>
      <c r="B10268" s="14" t="s">
        <v>10367</v>
      </c>
      <c r="C10268" s="14" t="s">
        <v>13031</v>
      </c>
      <c r="D10268" s="15">
        <v>10.5</v>
      </c>
      <c r="E10268" s="16" t="s">
        <v>20</v>
      </c>
    </row>
    <row r="10269" spans="1:5" x14ac:dyDescent="0.25">
      <c r="A10269" s="14">
        <v>576411002</v>
      </c>
      <c r="B10269" s="14" t="s">
        <v>10368</v>
      </c>
      <c r="C10269" s="14" t="s">
        <v>13031</v>
      </c>
      <c r="D10269" s="15">
        <v>10.5</v>
      </c>
      <c r="E10269" s="16" t="s">
        <v>20</v>
      </c>
    </row>
    <row r="10270" spans="1:5" x14ac:dyDescent="0.25">
      <c r="A10270" s="14">
        <v>576411003</v>
      </c>
      <c r="B10270" s="14" t="s">
        <v>10369</v>
      </c>
      <c r="C10270" s="14" t="s">
        <v>13031</v>
      </c>
      <c r="D10270" s="15">
        <v>10.5</v>
      </c>
      <c r="E10270" s="16" t="s">
        <v>20</v>
      </c>
    </row>
    <row r="10271" spans="1:5" x14ac:dyDescent="0.25">
      <c r="A10271" s="14">
        <v>576411004</v>
      </c>
      <c r="B10271" s="14" t="s">
        <v>10370</v>
      </c>
      <c r="C10271" s="14" t="s">
        <v>13031</v>
      </c>
      <c r="D10271" s="15">
        <v>10.5</v>
      </c>
      <c r="E10271" s="16" t="s">
        <v>20</v>
      </c>
    </row>
    <row r="10272" spans="1:5" x14ac:dyDescent="0.25">
      <c r="A10272" s="14">
        <v>735373001</v>
      </c>
      <c r="B10272" s="14" t="s">
        <v>10371</v>
      </c>
      <c r="C10272" s="14" t="s">
        <v>13031</v>
      </c>
      <c r="D10272" s="15">
        <v>46</v>
      </c>
      <c r="E10272" s="16" t="s">
        <v>20</v>
      </c>
    </row>
    <row r="10273" spans="1:5" x14ac:dyDescent="0.25">
      <c r="A10273" s="14">
        <v>759550001</v>
      </c>
      <c r="B10273" s="14" t="s">
        <v>10372</v>
      </c>
      <c r="C10273" s="14" t="s">
        <v>13030</v>
      </c>
      <c r="D10273" s="15">
        <v>14.82</v>
      </c>
      <c r="E10273" s="16" t="s">
        <v>20</v>
      </c>
    </row>
    <row r="10274" spans="1:5" x14ac:dyDescent="0.25">
      <c r="A10274" s="14">
        <v>759551001</v>
      </c>
      <c r="B10274" s="14" t="s">
        <v>10373</v>
      </c>
      <c r="C10274" s="14" t="s">
        <v>13030</v>
      </c>
      <c r="D10274" s="15">
        <v>8.4700000000000006</v>
      </c>
      <c r="E10274" s="16" t="s">
        <v>20</v>
      </c>
    </row>
    <row r="10275" spans="1:5" x14ac:dyDescent="0.25">
      <c r="A10275" s="14">
        <v>933094001</v>
      </c>
      <c r="B10275" s="14" t="s">
        <v>10374</v>
      </c>
      <c r="C10275" s="14" t="s">
        <v>13029</v>
      </c>
      <c r="D10275" s="15">
        <v>17.420000000000002</v>
      </c>
      <c r="E10275" s="16" t="s">
        <v>30</v>
      </c>
    </row>
    <row r="10276" spans="1:5" x14ac:dyDescent="0.25">
      <c r="A10276" s="14">
        <v>933871001</v>
      </c>
      <c r="B10276" s="14" t="s">
        <v>10375</v>
      </c>
      <c r="C10276" s="14" t="s">
        <v>13031</v>
      </c>
      <c r="D10276" s="15">
        <v>21.89</v>
      </c>
      <c r="E10276" s="16" t="s">
        <v>30</v>
      </c>
    </row>
    <row r="10277" spans="1:5" x14ac:dyDescent="0.25">
      <c r="A10277" s="14">
        <v>759551003</v>
      </c>
      <c r="B10277" s="14" t="s">
        <v>10376</v>
      </c>
      <c r="C10277" s="14" t="s">
        <v>13030</v>
      </c>
      <c r="D10277" s="15">
        <v>8.4700000000000006</v>
      </c>
      <c r="E10277" s="16" t="s">
        <v>20</v>
      </c>
    </row>
    <row r="10278" spans="1:5" x14ac:dyDescent="0.25">
      <c r="A10278" s="14">
        <v>759552001</v>
      </c>
      <c r="B10278" s="14" t="s">
        <v>10377</v>
      </c>
      <c r="C10278" s="14" t="s">
        <v>13030</v>
      </c>
      <c r="D10278" s="15">
        <v>8.4700000000000006</v>
      </c>
      <c r="E10278" s="16" t="s">
        <v>20</v>
      </c>
    </row>
    <row r="10279" spans="1:5" x14ac:dyDescent="0.25">
      <c r="A10279" s="14">
        <v>759552004</v>
      </c>
      <c r="B10279" s="14" t="s">
        <v>10378</v>
      </c>
      <c r="C10279" s="14" t="s">
        <v>13030</v>
      </c>
      <c r="D10279" s="15">
        <v>8.4700000000000006</v>
      </c>
      <c r="E10279" s="16" t="s">
        <v>20</v>
      </c>
    </row>
    <row r="10280" spans="1:5" x14ac:dyDescent="0.25">
      <c r="A10280" s="14">
        <v>735373002</v>
      </c>
      <c r="B10280" s="14" t="s">
        <v>10379</v>
      </c>
      <c r="C10280" s="14" t="s">
        <v>13031</v>
      </c>
      <c r="D10280" s="15">
        <v>46</v>
      </c>
      <c r="E10280" s="16" t="s">
        <v>20</v>
      </c>
    </row>
    <row r="10281" spans="1:5" x14ac:dyDescent="0.25">
      <c r="A10281" s="14">
        <v>735373003</v>
      </c>
      <c r="B10281" s="14" t="s">
        <v>10380</v>
      </c>
      <c r="C10281" s="14" t="s">
        <v>13031</v>
      </c>
      <c r="D10281" s="15">
        <v>46</v>
      </c>
      <c r="E10281" s="16" t="s">
        <v>20</v>
      </c>
    </row>
    <row r="10282" spans="1:5" x14ac:dyDescent="0.25">
      <c r="A10282" s="14">
        <v>750562001</v>
      </c>
      <c r="B10282" s="14" t="s">
        <v>10381</v>
      </c>
      <c r="C10282" s="14" t="s">
        <v>13031</v>
      </c>
      <c r="D10282" s="15">
        <v>11.2</v>
      </c>
      <c r="E10282" s="16" t="s">
        <v>20</v>
      </c>
    </row>
    <row r="10283" spans="1:5" x14ac:dyDescent="0.25">
      <c r="A10283" s="14">
        <v>767909001</v>
      </c>
      <c r="B10283" s="14" t="s">
        <v>10382</v>
      </c>
      <c r="C10283" s="14" t="s">
        <v>13030</v>
      </c>
      <c r="D10283" s="15">
        <v>23.62</v>
      </c>
      <c r="E10283" s="16" t="s">
        <v>20</v>
      </c>
    </row>
    <row r="10284" spans="1:5" x14ac:dyDescent="0.25">
      <c r="A10284" s="14">
        <v>933871002</v>
      </c>
      <c r="B10284" s="14" t="s">
        <v>10383</v>
      </c>
      <c r="C10284" s="14" t="s">
        <v>13031</v>
      </c>
      <c r="D10284" s="15">
        <v>21.89</v>
      </c>
      <c r="E10284" s="16" t="s">
        <v>30</v>
      </c>
    </row>
    <row r="10285" spans="1:5" x14ac:dyDescent="0.25">
      <c r="A10285" s="14">
        <v>936506001</v>
      </c>
      <c r="B10285" s="14" t="s">
        <v>10384</v>
      </c>
      <c r="C10285" s="14" t="s">
        <v>13029</v>
      </c>
      <c r="D10285" s="15">
        <v>10.45</v>
      </c>
      <c r="E10285" s="16" t="s">
        <v>30</v>
      </c>
    </row>
    <row r="10286" spans="1:5" x14ac:dyDescent="0.25">
      <c r="A10286" s="14">
        <v>936506002</v>
      </c>
      <c r="B10286" s="14" t="s">
        <v>10385</v>
      </c>
      <c r="C10286" s="14" t="s">
        <v>13029</v>
      </c>
      <c r="D10286" s="15">
        <v>10.45</v>
      </c>
      <c r="E10286" s="16" t="s">
        <v>30</v>
      </c>
    </row>
    <row r="10287" spans="1:5" x14ac:dyDescent="0.25">
      <c r="A10287" s="14">
        <v>938696002</v>
      </c>
      <c r="B10287" s="14" t="s">
        <v>10386</v>
      </c>
      <c r="C10287" s="14" t="s">
        <v>13031</v>
      </c>
      <c r="D10287" s="15">
        <v>20.7</v>
      </c>
      <c r="E10287" s="16" t="s">
        <v>30</v>
      </c>
    </row>
    <row r="10288" spans="1:5" x14ac:dyDescent="0.25">
      <c r="A10288" s="14">
        <v>938726001</v>
      </c>
      <c r="B10288" s="14" t="s">
        <v>10387</v>
      </c>
      <c r="C10288" s="14" t="s">
        <v>13030</v>
      </c>
      <c r="D10288" s="15">
        <v>55.45</v>
      </c>
      <c r="E10288" s="16" t="s">
        <v>30</v>
      </c>
    </row>
    <row r="10289" spans="1:5" x14ac:dyDescent="0.25">
      <c r="A10289" s="14">
        <v>938726004</v>
      </c>
      <c r="B10289" s="14" t="s">
        <v>10388</v>
      </c>
      <c r="C10289" s="14" t="s">
        <v>13030</v>
      </c>
      <c r="D10289" s="15">
        <v>55.45</v>
      </c>
      <c r="E10289" s="16" t="s">
        <v>30</v>
      </c>
    </row>
    <row r="10290" spans="1:5" x14ac:dyDescent="0.25">
      <c r="A10290" s="14">
        <v>938726005</v>
      </c>
      <c r="B10290" s="14" t="s">
        <v>10389</v>
      </c>
      <c r="C10290" s="14" t="s">
        <v>13030</v>
      </c>
      <c r="D10290" s="15">
        <v>55.45</v>
      </c>
      <c r="E10290" s="16" t="s">
        <v>30</v>
      </c>
    </row>
    <row r="10291" spans="1:5" x14ac:dyDescent="0.25">
      <c r="A10291" s="14">
        <v>938727002</v>
      </c>
      <c r="B10291" s="14" t="s">
        <v>10390</v>
      </c>
      <c r="C10291" s="14" t="s">
        <v>13030</v>
      </c>
      <c r="D10291" s="15">
        <v>55.45</v>
      </c>
      <c r="E10291" s="16" t="s">
        <v>30</v>
      </c>
    </row>
    <row r="10292" spans="1:5" x14ac:dyDescent="0.25">
      <c r="A10292" s="14">
        <v>938728001</v>
      </c>
      <c r="B10292" s="14" t="s">
        <v>10391</v>
      </c>
      <c r="C10292" s="14" t="s">
        <v>13030</v>
      </c>
      <c r="D10292" s="15">
        <v>82.77</v>
      </c>
      <c r="E10292" s="16" t="s">
        <v>30</v>
      </c>
    </row>
    <row r="10293" spans="1:5" x14ac:dyDescent="0.25">
      <c r="A10293" s="14">
        <v>938729002</v>
      </c>
      <c r="B10293" s="14" t="s">
        <v>10392</v>
      </c>
      <c r="C10293" s="14" t="s">
        <v>13030</v>
      </c>
      <c r="D10293" s="15">
        <v>104.04</v>
      </c>
      <c r="E10293" s="16" t="s">
        <v>30</v>
      </c>
    </row>
    <row r="10294" spans="1:5" x14ac:dyDescent="0.25">
      <c r="A10294" s="14">
        <v>938729003</v>
      </c>
      <c r="B10294" s="14" t="s">
        <v>10393</v>
      </c>
      <c r="C10294" s="14" t="s">
        <v>13030</v>
      </c>
      <c r="D10294" s="15">
        <v>104.05</v>
      </c>
      <c r="E10294" s="16" t="s">
        <v>30</v>
      </c>
    </row>
    <row r="10295" spans="1:5" x14ac:dyDescent="0.25">
      <c r="A10295" s="14">
        <v>941095001</v>
      </c>
      <c r="B10295" s="14" t="s">
        <v>10394</v>
      </c>
      <c r="C10295" s="14" t="s">
        <v>13030</v>
      </c>
      <c r="D10295" s="15">
        <v>18.579999999999998</v>
      </c>
      <c r="E10295" s="14" t="s">
        <v>30</v>
      </c>
    </row>
    <row r="10296" spans="1:5" x14ac:dyDescent="0.25">
      <c r="A10296" s="14">
        <v>941096001</v>
      </c>
      <c r="B10296" s="14" t="s">
        <v>10395</v>
      </c>
      <c r="C10296" s="14" t="s">
        <v>13030</v>
      </c>
      <c r="D10296" s="15">
        <v>29.9</v>
      </c>
      <c r="E10296" s="14" t="s">
        <v>30</v>
      </c>
    </row>
    <row r="10297" spans="1:5" x14ac:dyDescent="0.25">
      <c r="A10297" s="14">
        <v>941102002</v>
      </c>
      <c r="B10297" s="14" t="s">
        <v>10396</v>
      </c>
      <c r="C10297" s="14" t="s">
        <v>13030</v>
      </c>
      <c r="D10297" s="15">
        <v>64.13</v>
      </c>
      <c r="E10297" s="14" t="s">
        <v>30</v>
      </c>
    </row>
    <row r="10298" spans="1:5" x14ac:dyDescent="0.25">
      <c r="A10298" s="14">
        <v>941388001</v>
      </c>
      <c r="B10298" s="14" t="s">
        <v>10397</v>
      </c>
      <c r="C10298" s="14" t="s">
        <v>13030</v>
      </c>
      <c r="D10298" s="15">
        <v>46.72</v>
      </c>
      <c r="E10298" s="16" t="s">
        <v>30</v>
      </c>
    </row>
    <row r="10299" spans="1:5" x14ac:dyDescent="0.25">
      <c r="A10299" s="14">
        <v>941827001</v>
      </c>
      <c r="B10299" s="14" t="s">
        <v>10398</v>
      </c>
      <c r="C10299" s="14" t="s">
        <v>13031</v>
      </c>
      <c r="D10299" s="15">
        <v>12.6</v>
      </c>
      <c r="E10299" s="16" t="s">
        <v>30</v>
      </c>
    </row>
    <row r="10300" spans="1:5" x14ac:dyDescent="0.25">
      <c r="A10300" s="14">
        <v>941827002</v>
      </c>
      <c r="B10300" s="14" t="s">
        <v>10399</v>
      </c>
      <c r="C10300" s="14" t="s">
        <v>13031</v>
      </c>
      <c r="D10300" s="15">
        <v>12.6</v>
      </c>
      <c r="E10300" s="16" t="s">
        <v>30</v>
      </c>
    </row>
    <row r="10301" spans="1:5" x14ac:dyDescent="0.25">
      <c r="A10301" s="14">
        <v>946274004</v>
      </c>
      <c r="B10301" s="14" t="s">
        <v>10400</v>
      </c>
      <c r="C10301" s="14" t="s">
        <v>13031</v>
      </c>
      <c r="D10301" s="15">
        <v>30.31</v>
      </c>
      <c r="E10301" s="16" t="s">
        <v>30</v>
      </c>
    </row>
    <row r="10302" spans="1:5" x14ac:dyDescent="0.25">
      <c r="A10302" s="14">
        <v>946274005</v>
      </c>
      <c r="B10302" s="14" t="s">
        <v>10401</v>
      </c>
      <c r="C10302" s="14" t="s">
        <v>13031</v>
      </c>
      <c r="D10302" s="15">
        <v>32.25</v>
      </c>
      <c r="E10302" s="16" t="s">
        <v>30</v>
      </c>
    </row>
    <row r="10303" spans="1:5" x14ac:dyDescent="0.25">
      <c r="A10303" s="14">
        <v>948488001</v>
      </c>
      <c r="B10303" s="14" t="s">
        <v>10402</v>
      </c>
      <c r="C10303" s="14" t="s">
        <v>13030</v>
      </c>
      <c r="D10303" s="15">
        <v>3.86</v>
      </c>
      <c r="E10303" s="16" t="s">
        <v>30</v>
      </c>
    </row>
    <row r="10304" spans="1:5" x14ac:dyDescent="0.25">
      <c r="A10304" s="14">
        <v>948488002</v>
      </c>
      <c r="B10304" s="14" t="s">
        <v>10403</v>
      </c>
      <c r="C10304" s="14" t="s">
        <v>13030</v>
      </c>
      <c r="D10304" s="15">
        <v>3.86</v>
      </c>
      <c r="E10304" s="16" t="s">
        <v>30</v>
      </c>
    </row>
    <row r="10305" spans="1:5" x14ac:dyDescent="0.25">
      <c r="A10305" s="14">
        <v>949073001</v>
      </c>
      <c r="B10305" s="14" t="s">
        <v>10404</v>
      </c>
      <c r="C10305" s="14" t="s">
        <v>13030</v>
      </c>
      <c r="D10305" s="15">
        <v>32.729999999999997</v>
      </c>
      <c r="E10305" s="16" t="s">
        <v>30</v>
      </c>
    </row>
    <row r="10306" spans="1:5" x14ac:dyDescent="0.25">
      <c r="A10306" s="14">
        <v>949073002</v>
      </c>
      <c r="B10306" s="14" t="s">
        <v>10405</v>
      </c>
      <c r="C10306" s="14" t="s">
        <v>13030</v>
      </c>
      <c r="D10306" s="15">
        <v>32.72</v>
      </c>
      <c r="E10306" s="16" t="s">
        <v>30</v>
      </c>
    </row>
    <row r="10307" spans="1:5" x14ac:dyDescent="0.25">
      <c r="A10307" s="14">
        <v>949165003</v>
      </c>
      <c r="B10307" s="14" t="s">
        <v>10406</v>
      </c>
      <c r="C10307" s="14" t="s">
        <v>13031</v>
      </c>
      <c r="D10307" s="15">
        <v>7.06</v>
      </c>
      <c r="E10307" s="16" t="s">
        <v>30</v>
      </c>
    </row>
    <row r="10308" spans="1:5" x14ac:dyDescent="0.25">
      <c r="A10308" s="14">
        <v>949185001</v>
      </c>
      <c r="B10308" s="14" t="s">
        <v>10407</v>
      </c>
      <c r="C10308" s="14" t="s">
        <v>13030</v>
      </c>
      <c r="D10308" s="15">
        <v>5</v>
      </c>
      <c r="E10308" s="16" t="s">
        <v>30</v>
      </c>
    </row>
    <row r="10309" spans="1:5" x14ac:dyDescent="0.25">
      <c r="A10309" s="14">
        <v>949185004</v>
      </c>
      <c r="B10309" s="14" t="s">
        <v>10408</v>
      </c>
      <c r="C10309" s="14" t="s">
        <v>13030</v>
      </c>
      <c r="D10309" s="15">
        <v>5</v>
      </c>
      <c r="E10309" s="16" t="s">
        <v>30</v>
      </c>
    </row>
    <row r="10310" spans="1:5" x14ac:dyDescent="0.25">
      <c r="A10310" s="14">
        <v>949185005</v>
      </c>
      <c r="B10310" s="14" t="s">
        <v>10409</v>
      </c>
      <c r="C10310" s="14" t="s">
        <v>13030</v>
      </c>
      <c r="D10310" s="15">
        <v>3.5</v>
      </c>
      <c r="E10310" s="16" t="s">
        <v>30</v>
      </c>
    </row>
    <row r="10311" spans="1:5" x14ac:dyDescent="0.25">
      <c r="A10311" s="14">
        <v>952935002</v>
      </c>
      <c r="B10311" s="14" t="s">
        <v>10410</v>
      </c>
      <c r="C10311" s="14" t="s">
        <v>13031</v>
      </c>
      <c r="D10311" s="15">
        <v>23.67</v>
      </c>
      <c r="E10311" s="16" t="s">
        <v>30</v>
      </c>
    </row>
    <row r="10312" spans="1:5" x14ac:dyDescent="0.25">
      <c r="A10312" s="14">
        <v>952935003</v>
      </c>
      <c r="B10312" s="14" t="s">
        <v>10411</v>
      </c>
      <c r="C10312" s="14" t="s">
        <v>13031</v>
      </c>
      <c r="D10312" s="15">
        <v>23.67</v>
      </c>
      <c r="E10312" s="16" t="s">
        <v>30</v>
      </c>
    </row>
    <row r="10313" spans="1:5" x14ac:dyDescent="0.25">
      <c r="A10313" s="14">
        <v>953921002</v>
      </c>
      <c r="B10313" s="14" t="s">
        <v>10412</v>
      </c>
      <c r="C10313" s="14" t="s">
        <v>13030</v>
      </c>
      <c r="D10313" s="15">
        <v>7.02</v>
      </c>
      <c r="E10313" s="16" t="s">
        <v>30</v>
      </c>
    </row>
    <row r="10314" spans="1:5" x14ac:dyDescent="0.25">
      <c r="A10314" s="14">
        <v>953922001</v>
      </c>
      <c r="B10314" s="14" t="s">
        <v>10413</v>
      </c>
      <c r="C10314" s="14" t="s">
        <v>13030</v>
      </c>
      <c r="D10314" s="15">
        <v>4.09</v>
      </c>
      <c r="E10314" s="16" t="s">
        <v>30</v>
      </c>
    </row>
    <row r="10315" spans="1:5" x14ac:dyDescent="0.25">
      <c r="A10315" s="14">
        <v>954235001</v>
      </c>
      <c r="B10315" s="14" t="s">
        <v>10414</v>
      </c>
      <c r="C10315" s="14" t="s">
        <v>13030</v>
      </c>
      <c r="D10315" s="15">
        <v>76.739999999999995</v>
      </c>
      <c r="E10315" s="16" t="s">
        <v>30</v>
      </c>
    </row>
    <row r="10316" spans="1:5" x14ac:dyDescent="0.25">
      <c r="A10316" s="14">
        <v>954235002</v>
      </c>
      <c r="B10316" s="14" t="s">
        <v>10415</v>
      </c>
      <c r="C10316" s="14" t="s">
        <v>13030</v>
      </c>
      <c r="D10316" s="15">
        <v>76.739999999999995</v>
      </c>
      <c r="E10316" s="16" t="s">
        <v>30</v>
      </c>
    </row>
    <row r="10317" spans="1:5" x14ac:dyDescent="0.25">
      <c r="A10317" s="14">
        <v>954238002</v>
      </c>
      <c r="B10317" s="14" t="s">
        <v>10416</v>
      </c>
      <c r="C10317" s="14" t="s">
        <v>13031</v>
      </c>
      <c r="D10317" s="15">
        <v>8.84</v>
      </c>
      <c r="E10317" s="16" t="s">
        <v>30</v>
      </c>
    </row>
    <row r="10318" spans="1:5" x14ac:dyDescent="0.25">
      <c r="A10318" s="14">
        <v>954238003</v>
      </c>
      <c r="B10318" s="14" t="s">
        <v>10417</v>
      </c>
      <c r="C10318" s="14" t="s">
        <v>13031</v>
      </c>
      <c r="D10318" s="15">
        <v>8.84</v>
      </c>
      <c r="E10318" s="16" t="s">
        <v>30</v>
      </c>
    </row>
    <row r="10319" spans="1:5" x14ac:dyDescent="0.25">
      <c r="A10319" s="14">
        <v>957690003</v>
      </c>
      <c r="B10319" s="14" t="s">
        <v>10418</v>
      </c>
      <c r="C10319" s="14" t="s">
        <v>13030</v>
      </c>
      <c r="D10319" s="15">
        <v>29.83</v>
      </c>
      <c r="E10319" s="16" t="s">
        <v>30</v>
      </c>
    </row>
    <row r="10320" spans="1:5" x14ac:dyDescent="0.25">
      <c r="A10320" s="14">
        <v>957753001</v>
      </c>
      <c r="B10320" s="14" t="s">
        <v>10419</v>
      </c>
      <c r="C10320" s="14" t="s">
        <v>13030</v>
      </c>
      <c r="D10320" s="15">
        <v>5.36</v>
      </c>
      <c r="E10320" s="16" t="s">
        <v>30</v>
      </c>
    </row>
    <row r="10321" spans="1:5" x14ac:dyDescent="0.25">
      <c r="A10321" s="14">
        <v>957810002</v>
      </c>
      <c r="B10321" s="14" t="s">
        <v>10420</v>
      </c>
      <c r="C10321" s="14" t="s">
        <v>13030</v>
      </c>
      <c r="D10321" s="15">
        <v>23.66</v>
      </c>
      <c r="E10321" s="16" t="s">
        <v>30</v>
      </c>
    </row>
    <row r="10322" spans="1:5" x14ac:dyDescent="0.25">
      <c r="A10322" s="14">
        <v>957811001</v>
      </c>
      <c r="B10322" s="14" t="s">
        <v>10421</v>
      </c>
      <c r="C10322" s="14" t="s">
        <v>13030</v>
      </c>
      <c r="D10322" s="15">
        <v>47.4</v>
      </c>
      <c r="E10322" s="16" t="s">
        <v>30</v>
      </c>
    </row>
    <row r="10323" spans="1:5" x14ac:dyDescent="0.25">
      <c r="A10323" s="14">
        <v>957813001</v>
      </c>
      <c r="B10323" s="14" t="s">
        <v>10422</v>
      </c>
      <c r="C10323" s="14" t="s">
        <v>13030</v>
      </c>
      <c r="D10323" s="15">
        <v>41.63</v>
      </c>
      <c r="E10323" s="16" t="s">
        <v>30</v>
      </c>
    </row>
    <row r="10324" spans="1:5" x14ac:dyDescent="0.25">
      <c r="A10324" s="14">
        <v>957813002</v>
      </c>
      <c r="B10324" s="14" t="s">
        <v>10423</v>
      </c>
      <c r="C10324" s="14" t="s">
        <v>13030</v>
      </c>
      <c r="D10324" s="15">
        <v>41.63</v>
      </c>
      <c r="E10324" s="16" t="s">
        <v>30</v>
      </c>
    </row>
    <row r="10325" spans="1:5" x14ac:dyDescent="0.25">
      <c r="A10325" s="14">
        <v>958295003</v>
      </c>
      <c r="B10325" s="14" t="s">
        <v>10424</v>
      </c>
      <c r="C10325" s="14" t="s">
        <v>13030</v>
      </c>
      <c r="D10325" s="15">
        <v>20.71</v>
      </c>
      <c r="E10325" s="16" t="s">
        <v>30</v>
      </c>
    </row>
    <row r="10326" spans="1:5" x14ac:dyDescent="0.25">
      <c r="A10326" s="14">
        <v>959692001</v>
      </c>
      <c r="B10326" s="14" t="s">
        <v>10425</v>
      </c>
      <c r="C10326" s="14" t="s">
        <v>13030</v>
      </c>
      <c r="D10326" s="15">
        <v>12.51</v>
      </c>
      <c r="E10326" s="16" t="s">
        <v>30</v>
      </c>
    </row>
    <row r="10327" spans="1:5" x14ac:dyDescent="0.25">
      <c r="A10327" s="14">
        <v>960187002</v>
      </c>
      <c r="B10327" s="14" t="s">
        <v>10426</v>
      </c>
      <c r="C10327" s="14" t="s">
        <v>13030</v>
      </c>
      <c r="D10327" s="15">
        <v>59.49</v>
      </c>
      <c r="E10327" s="16" t="s">
        <v>30</v>
      </c>
    </row>
    <row r="10328" spans="1:5" x14ac:dyDescent="0.25">
      <c r="A10328" s="14">
        <v>960203001</v>
      </c>
      <c r="B10328" s="14" t="s">
        <v>10427</v>
      </c>
      <c r="C10328" s="14" t="s">
        <v>13031</v>
      </c>
      <c r="D10328" s="15">
        <v>14.78</v>
      </c>
      <c r="E10328" s="16" t="s">
        <v>30</v>
      </c>
    </row>
    <row r="10329" spans="1:5" x14ac:dyDescent="0.25">
      <c r="A10329" s="14">
        <v>960459002</v>
      </c>
      <c r="B10329" s="14" t="s">
        <v>10428</v>
      </c>
      <c r="C10329" s="14" t="s">
        <v>13030</v>
      </c>
      <c r="D10329" s="15">
        <v>49.78</v>
      </c>
      <c r="E10329" s="16" t="s">
        <v>30</v>
      </c>
    </row>
    <row r="10330" spans="1:5" x14ac:dyDescent="0.25">
      <c r="A10330" s="14">
        <v>960460001</v>
      </c>
      <c r="B10330" s="14" t="s">
        <v>10429</v>
      </c>
      <c r="C10330" s="14" t="s">
        <v>13030</v>
      </c>
      <c r="D10330" s="15">
        <v>77.06</v>
      </c>
      <c r="E10330" s="16" t="s">
        <v>30</v>
      </c>
    </row>
    <row r="10331" spans="1:5" x14ac:dyDescent="0.25">
      <c r="A10331" s="14">
        <v>960513002</v>
      </c>
      <c r="B10331" s="14" t="s">
        <v>10430</v>
      </c>
      <c r="C10331" s="14" t="s">
        <v>13030</v>
      </c>
      <c r="D10331" s="15">
        <v>10.63</v>
      </c>
      <c r="E10331" s="16" t="s">
        <v>30</v>
      </c>
    </row>
    <row r="10332" spans="1:5" x14ac:dyDescent="0.25">
      <c r="A10332" s="14">
        <v>960513003</v>
      </c>
      <c r="B10332" s="14" t="s">
        <v>10431</v>
      </c>
      <c r="C10332" s="14" t="s">
        <v>13030</v>
      </c>
      <c r="D10332" s="15">
        <v>10.63</v>
      </c>
      <c r="E10332" s="16" t="s">
        <v>30</v>
      </c>
    </row>
    <row r="10333" spans="1:5" x14ac:dyDescent="0.25">
      <c r="A10333" s="14">
        <v>964906002</v>
      </c>
      <c r="B10333" s="14" t="s">
        <v>10432</v>
      </c>
      <c r="C10333" s="14" t="s">
        <v>13030</v>
      </c>
      <c r="D10333" s="15">
        <v>25.02</v>
      </c>
      <c r="E10333" s="16" t="s">
        <v>30</v>
      </c>
    </row>
    <row r="10334" spans="1:5" x14ac:dyDescent="0.25">
      <c r="A10334" s="14">
        <v>964907001</v>
      </c>
      <c r="B10334" s="14" t="s">
        <v>10433</v>
      </c>
      <c r="C10334" s="14" t="s">
        <v>13030</v>
      </c>
      <c r="D10334" s="15">
        <v>31.12</v>
      </c>
      <c r="E10334" s="14" t="s">
        <v>30</v>
      </c>
    </row>
    <row r="10335" spans="1:5" x14ac:dyDescent="0.25">
      <c r="A10335" s="14">
        <v>966141002</v>
      </c>
      <c r="B10335" s="14" t="s">
        <v>10434</v>
      </c>
      <c r="C10335" s="14" t="s">
        <v>13031</v>
      </c>
      <c r="D10335" s="15">
        <v>13.86</v>
      </c>
      <c r="E10335" s="16" t="s">
        <v>30</v>
      </c>
    </row>
    <row r="10336" spans="1:5" x14ac:dyDescent="0.25">
      <c r="A10336" s="14">
        <v>968506001</v>
      </c>
      <c r="B10336" s="14" t="s">
        <v>10435</v>
      </c>
      <c r="C10336" s="14" t="s">
        <v>13030</v>
      </c>
      <c r="D10336" s="15">
        <v>19.32</v>
      </c>
      <c r="E10336" s="16" t="s">
        <v>30</v>
      </c>
    </row>
    <row r="10337" spans="1:5" x14ac:dyDescent="0.25">
      <c r="A10337" s="14">
        <v>968507001</v>
      </c>
      <c r="B10337" s="14" t="s">
        <v>10436</v>
      </c>
      <c r="C10337" s="14" t="s">
        <v>13030</v>
      </c>
      <c r="D10337" s="15">
        <v>19.32</v>
      </c>
      <c r="E10337" s="16" t="s">
        <v>30</v>
      </c>
    </row>
    <row r="10338" spans="1:5" x14ac:dyDescent="0.25">
      <c r="A10338" s="14">
        <v>968507002</v>
      </c>
      <c r="B10338" s="14" t="s">
        <v>10437</v>
      </c>
      <c r="C10338" s="14" t="s">
        <v>13030</v>
      </c>
      <c r="D10338" s="15">
        <v>19.309999999999999</v>
      </c>
      <c r="E10338" s="16" t="s">
        <v>30</v>
      </c>
    </row>
    <row r="10339" spans="1:5" x14ac:dyDescent="0.25">
      <c r="A10339" s="14">
        <v>973353003</v>
      </c>
      <c r="B10339" s="14" t="s">
        <v>10438</v>
      </c>
      <c r="C10339" s="14" t="s">
        <v>13031</v>
      </c>
      <c r="D10339" s="15">
        <v>8.9499999999999993</v>
      </c>
      <c r="E10339" s="16" t="s">
        <v>30</v>
      </c>
    </row>
    <row r="10340" spans="1:5" x14ac:dyDescent="0.25">
      <c r="A10340" s="14">
        <v>975107001</v>
      </c>
      <c r="B10340" s="14" t="s">
        <v>10439</v>
      </c>
      <c r="C10340" s="14" t="s">
        <v>13031</v>
      </c>
      <c r="D10340" s="15">
        <v>8.83</v>
      </c>
      <c r="E10340" s="14" t="s">
        <v>30</v>
      </c>
    </row>
    <row r="10341" spans="1:5" x14ac:dyDescent="0.25">
      <c r="A10341" s="14">
        <v>975272002</v>
      </c>
      <c r="B10341" s="14" t="s">
        <v>10440</v>
      </c>
      <c r="C10341" s="14" t="s">
        <v>13031</v>
      </c>
      <c r="D10341" s="15">
        <v>6</v>
      </c>
      <c r="E10341" s="16" t="s">
        <v>30</v>
      </c>
    </row>
    <row r="10342" spans="1:5" x14ac:dyDescent="0.25">
      <c r="A10342" s="14">
        <v>977451001</v>
      </c>
      <c r="B10342" s="14" t="s">
        <v>10441</v>
      </c>
      <c r="C10342" s="14" t="s">
        <v>13030</v>
      </c>
      <c r="D10342" s="15">
        <v>9.5500000000000007</v>
      </c>
      <c r="E10342" s="16" t="s">
        <v>30</v>
      </c>
    </row>
    <row r="10343" spans="1:5" x14ac:dyDescent="0.25">
      <c r="A10343" s="14">
        <v>979419003</v>
      </c>
      <c r="B10343" s="14" t="s">
        <v>10442</v>
      </c>
      <c r="C10343" s="14" t="s">
        <v>13030</v>
      </c>
      <c r="D10343" s="15">
        <v>5.87</v>
      </c>
      <c r="E10343" s="14" t="s">
        <v>30</v>
      </c>
    </row>
    <row r="10344" spans="1:5" x14ac:dyDescent="0.25">
      <c r="A10344" s="14">
        <v>767909002</v>
      </c>
      <c r="B10344" s="14" t="s">
        <v>10443</v>
      </c>
      <c r="C10344" s="14" t="s">
        <v>13030</v>
      </c>
      <c r="D10344" s="15">
        <v>23.56</v>
      </c>
      <c r="E10344" s="16" t="s">
        <v>20</v>
      </c>
    </row>
    <row r="10345" spans="1:5" x14ac:dyDescent="0.25">
      <c r="A10345" s="14">
        <v>767909003</v>
      </c>
      <c r="B10345" s="14" t="s">
        <v>10444</v>
      </c>
      <c r="C10345" s="14" t="s">
        <v>13030</v>
      </c>
      <c r="D10345" s="15">
        <v>23.67</v>
      </c>
      <c r="E10345" s="16" t="s">
        <v>20</v>
      </c>
    </row>
    <row r="10346" spans="1:5" x14ac:dyDescent="0.25">
      <c r="A10346" s="14">
        <v>981136001</v>
      </c>
      <c r="B10346" s="14" t="s">
        <v>10445</v>
      </c>
      <c r="C10346" s="14" t="s">
        <v>13030</v>
      </c>
      <c r="D10346" s="15">
        <v>16.55</v>
      </c>
      <c r="E10346" s="16" t="s">
        <v>30</v>
      </c>
    </row>
    <row r="10347" spans="1:5" x14ac:dyDescent="0.25">
      <c r="A10347" s="14">
        <v>983196001</v>
      </c>
      <c r="B10347" s="14" t="s">
        <v>10446</v>
      </c>
      <c r="C10347" s="14" t="s">
        <v>13031</v>
      </c>
      <c r="D10347" s="15">
        <v>11.81</v>
      </c>
      <c r="E10347" s="16" t="s">
        <v>30</v>
      </c>
    </row>
    <row r="10348" spans="1:5" x14ac:dyDescent="0.25">
      <c r="A10348" s="14">
        <v>983196002</v>
      </c>
      <c r="B10348" s="14" t="s">
        <v>10447</v>
      </c>
      <c r="C10348" s="14" t="s">
        <v>13031</v>
      </c>
      <c r="D10348" s="15">
        <v>11.81</v>
      </c>
      <c r="E10348" s="16" t="s">
        <v>30</v>
      </c>
    </row>
    <row r="10349" spans="1:5" x14ac:dyDescent="0.25">
      <c r="A10349" s="14">
        <v>983628002</v>
      </c>
      <c r="B10349" s="14" t="s">
        <v>10448</v>
      </c>
      <c r="C10349" s="14" t="s">
        <v>13030</v>
      </c>
      <c r="D10349" s="15">
        <v>15.59</v>
      </c>
      <c r="E10349" s="16" t="s">
        <v>30</v>
      </c>
    </row>
    <row r="10350" spans="1:5" x14ac:dyDescent="0.25">
      <c r="A10350" s="14">
        <v>983628003</v>
      </c>
      <c r="B10350" s="14" t="s">
        <v>10449</v>
      </c>
      <c r="C10350" s="14" t="s">
        <v>13030</v>
      </c>
      <c r="D10350" s="15">
        <v>15.59</v>
      </c>
      <c r="E10350" s="16" t="s">
        <v>30</v>
      </c>
    </row>
    <row r="10351" spans="1:5" x14ac:dyDescent="0.25">
      <c r="A10351" s="14">
        <v>983628006</v>
      </c>
      <c r="B10351" s="14" t="s">
        <v>10450</v>
      </c>
      <c r="C10351" s="14" t="s">
        <v>13030</v>
      </c>
      <c r="D10351" s="15">
        <v>15.59</v>
      </c>
      <c r="E10351" s="16" t="s">
        <v>30</v>
      </c>
    </row>
    <row r="10352" spans="1:5" x14ac:dyDescent="0.25">
      <c r="A10352" s="14">
        <v>983628007</v>
      </c>
      <c r="B10352" s="14" t="s">
        <v>10451</v>
      </c>
      <c r="C10352" s="14" t="s">
        <v>13030</v>
      </c>
      <c r="D10352" s="15">
        <v>15.59</v>
      </c>
      <c r="E10352" s="16" t="s">
        <v>30</v>
      </c>
    </row>
    <row r="10353" spans="1:5" x14ac:dyDescent="0.25">
      <c r="A10353" s="14">
        <v>985494001</v>
      </c>
      <c r="B10353" s="14" t="s">
        <v>10452</v>
      </c>
      <c r="C10353" s="14" t="s">
        <v>13029</v>
      </c>
      <c r="D10353" s="15">
        <v>37.29</v>
      </c>
      <c r="E10353" s="16" t="s">
        <v>30</v>
      </c>
    </row>
    <row r="10354" spans="1:5" x14ac:dyDescent="0.25">
      <c r="A10354" s="14">
        <v>985494002</v>
      </c>
      <c r="B10354" s="14" t="s">
        <v>10453</v>
      </c>
      <c r="C10354" s="14" t="s">
        <v>13029</v>
      </c>
      <c r="D10354" s="15">
        <v>39.64</v>
      </c>
      <c r="E10354" s="14" t="s">
        <v>30</v>
      </c>
    </row>
    <row r="10355" spans="1:5" x14ac:dyDescent="0.25">
      <c r="A10355" s="14">
        <v>985495001</v>
      </c>
      <c r="B10355" s="14" t="s">
        <v>10454</v>
      </c>
      <c r="C10355" s="14" t="s">
        <v>13029</v>
      </c>
      <c r="D10355" s="15">
        <v>44.46</v>
      </c>
      <c r="E10355" s="14" t="s">
        <v>30</v>
      </c>
    </row>
    <row r="10356" spans="1:5" x14ac:dyDescent="0.25">
      <c r="A10356" s="14">
        <v>985495002</v>
      </c>
      <c r="B10356" s="14" t="s">
        <v>10455</v>
      </c>
      <c r="C10356" s="14" t="s">
        <v>13029</v>
      </c>
      <c r="D10356" s="15">
        <v>44.46</v>
      </c>
      <c r="E10356" s="14" t="s">
        <v>30</v>
      </c>
    </row>
    <row r="10357" spans="1:5" x14ac:dyDescent="0.25">
      <c r="A10357" s="14">
        <v>985495005</v>
      </c>
      <c r="B10357" s="14" t="s">
        <v>10456</v>
      </c>
      <c r="C10357" s="14" t="s">
        <v>13029</v>
      </c>
      <c r="D10357" s="15">
        <v>44.46</v>
      </c>
      <c r="E10357" s="14" t="s">
        <v>30</v>
      </c>
    </row>
    <row r="10358" spans="1:5" x14ac:dyDescent="0.25">
      <c r="A10358" s="14">
        <v>985495006</v>
      </c>
      <c r="B10358" s="14" t="s">
        <v>10457</v>
      </c>
      <c r="C10358" s="14" t="s">
        <v>13029</v>
      </c>
      <c r="D10358" s="15">
        <v>44.46</v>
      </c>
      <c r="E10358" s="14" t="s">
        <v>30</v>
      </c>
    </row>
    <row r="10359" spans="1:5" x14ac:dyDescent="0.25">
      <c r="A10359" s="14">
        <v>986464001</v>
      </c>
      <c r="B10359" s="14" t="s">
        <v>10458</v>
      </c>
      <c r="C10359" s="14" t="s">
        <v>13031</v>
      </c>
      <c r="D10359" s="15">
        <v>6.6</v>
      </c>
      <c r="E10359" s="16" t="s">
        <v>30</v>
      </c>
    </row>
    <row r="10360" spans="1:5" x14ac:dyDescent="0.25">
      <c r="A10360" s="14">
        <v>986464002</v>
      </c>
      <c r="B10360" s="14" t="s">
        <v>10459</v>
      </c>
      <c r="C10360" s="14" t="s">
        <v>13031</v>
      </c>
      <c r="D10360" s="15">
        <v>6.6</v>
      </c>
      <c r="E10360" s="16" t="s">
        <v>30</v>
      </c>
    </row>
    <row r="10361" spans="1:5" x14ac:dyDescent="0.25">
      <c r="A10361" s="14">
        <v>986726003</v>
      </c>
      <c r="B10361" s="14" t="s">
        <v>10460</v>
      </c>
      <c r="C10361" s="14" t="s">
        <v>13030</v>
      </c>
      <c r="D10361" s="15">
        <v>4.07</v>
      </c>
      <c r="E10361" s="16" t="s">
        <v>30</v>
      </c>
    </row>
    <row r="10362" spans="1:5" x14ac:dyDescent="0.25">
      <c r="A10362" s="14">
        <v>986726004</v>
      </c>
      <c r="B10362" s="14" t="s">
        <v>10461</v>
      </c>
      <c r="C10362" s="14" t="s">
        <v>13030</v>
      </c>
      <c r="D10362" s="15">
        <v>4.07</v>
      </c>
      <c r="E10362" s="16" t="s">
        <v>30</v>
      </c>
    </row>
    <row r="10363" spans="1:5" x14ac:dyDescent="0.25">
      <c r="A10363" s="14">
        <v>987087003</v>
      </c>
      <c r="B10363" s="14" t="s">
        <v>10462</v>
      </c>
      <c r="C10363" s="14" t="s">
        <v>13029</v>
      </c>
      <c r="D10363" s="15">
        <v>28.72</v>
      </c>
      <c r="E10363" s="14" t="s">
        <v>30</v>
      </c>
    </row>
    <row r="10364" spans="1:5" x14ac:dyDescent="0.25">
      <c r="A10364" s="14">
        <v>768373001</v>
      </c>
      <c r="B10364" s="14" t="s">
        <v>10463</v>
      </c>
      <c r="C10364" s="14" t="s">
        <v>13030</v>
      </c>
      <c r="D10364" s="15">
        <v>29.49</v>
      </c>
      <c r="E10364" s="16" t="s">
        <v>20</v>
      </c>
    </row>
    <row r="10365" spans="1:5" x14ac:dyDescent="0.25">
      <c r="A10365" s="14">
        <v>768373003</v>
      </c>
      <c r="B10365" s="14" t="s">
        <v>10464</v>
      </c>
      <c r="C10365" s="14" t="s">
        <v>13030</v>
      </c>
      <c r="D10365" s="15">
        <v>28.53</v>
      </c>
      <c r="E10365" s="16" t="s">
        <v>20</v>
      </c>
    </row>
    <row r="10366" spans="1:5" x14ac:dyDescent="0.25">
      <c r="A10366" s="14">
        <v>768379001</v>
      </c>
      <c r="B10366" s="14" t="s">
        <v>10465</v>
      </c>
      <c r="C10366" s="14" t="s">
        <v>13030</v>
      </c>
      <c r="D10366" s="15">
        <v>15.3</v>
      </c>
      <c r="E10366" s="16" t="s">
        <v>20</v>
      </c>
    </row>
    <row r="10367" spans="1:5" x14ac:dyDescent="0.25">
      <c r="A10367" s="14">
        <v>768379002</v>
      </c>
      <c r="B10367" s="14" t="s">
        <v>10466</v>
      </c>
      <c r="C10367" s="14" t="s">
        <v>13030</v>
      </c>
      <c r="D10367" s="15">
        <v>15.19</v>
      </c>
      <c r="E10367" s="16" t="s">
        <v>20</v>
      </c>
    </row>
    <row r="10368" spans="1:5" x14ac:dyDescent="0.25">
      <c r="A10368" s="14">
        <v>987087004</v>
      </c>
      <c r="B10368" s="14" t="s">
        <v>10467</v>
      </c>
      <c r="C10368" s="14" t="s">
        <v>13029</v>
      </c>
      <c r="D10368" s="15">
        <v>28.72</v>
      </c>
      <c r="E10368" s="14" t="s">
        <v>30</v>
      </c>
    </row>
    <row r="10369" spans="1:5" x14ac:dyDescent="0.25">
      <c r="A10369" s="14">
        <v>987087007</v>
      </c>
      <c r="B10369" s="14" t="s">
        <v>10468</v>
      </c>
      <c r="C10369" s="14" t="s">
        <v>13029</v>
      </c>
      <c r="D10369" s="15">
        <v>28.72</v>
      </c>
      <c r="E10369" s="14" t="s">
        <v>30</v>
      </c>
    </row>
    <row r="10370" spans="1:5" x14ac:dyDescent="0.25">
      <c r="A10370" s="14">
        <v>987087008</v>
      </c>
      <c r="B10370" s="14" t="s">
        <v>10469</v>
      </c>
      <c r="C10370" s="14" t="s">
        <v>13029</v>
      </c>
      <c r="D10370" s="15">
        <v>28.72</v>
      </c>
      <c r="E10370" s="14" t="s">
        <v>30</v>
      </c>
    </row>
    <row r="10371" spans="1:5" x14ac:dyDescent="0.25">
      <c r="A10371" s="14">
        <v>989722003</v>
      </c>
      <c r="B10371" s="14" t="s">
        <v>10470</v>
      </c>
      <c r="C10371" s="14" t="s">
        <v>13030</v>
      </c>
      <c r="D10371" s="15">
        <v>32.11</v>
      </c>
      <c r="E10371" s="16" t="s">
        <v>30</v>
      </c>
    </row>
    <row r="10372" spans="1:5" x14ac:dyDescent="0.25">
      <c r="A10372" s="14">
        <v>989723001</v>
      </c>
      <c r="B10372" s="14" t="s">
        <v>10471</v>
      </c>
      <c r="C10372" s="14" t="s">
        <v>13030</v>
      </c>
      <c r="D10372" s="15">
        <v>65.459999999999994</v>
      </c>
      <c r="E10372" s="16" t="s">
        <v>30</v>
      </c>
    </row>
    <row r="10373" spans="1:5" x14ac:dyDescent="0.25">
      <c r="A10373" s="14">
        <v>989729002</v>
      </c>
      <c r="B10373" s="14" t="s">
        <v>10472</v>
      </c>
      <c r="C10373" s="14" t="s">
        <v>13030</v>
      </c>
      <c r="D10373" s="15">
        <v>33.36</v>
      </c>
      <c r="E10373" s="16" t="s">
        <v>30</v>
      </c>
    </row>
    <row r="10374" spans="1:5" x14ac:dyDescent="0.25">
      <c r="A10374" s="14">
        <v>756566001</v>
      </c>
      <c r="B10374" s="14" t="s">
        <v>10473</v>
      </c>
      <c r="C10374" s="14" t="s">
        <v>13031</v>
      </c>
      <c r="D10374" s="15">
        <v>15.29</v>
      </c>
      <c r="E10374" s="16" t="s">
        <v>20</v>
      </c>
    </row>
    <row r="10375" spans="1:5" x14ac:dyDescent="0.25">
      <c r="A10375" s="14">
        <v>989730001</v>
      </c>
      <c r="B10375" s="14" t="s">
        <v>10474</v>
      </c>
      <c r="C10375" s="14" t="s">
        <v>13030</v>
      </c>
      <c r="D10375" s="15">
        <v>49.27</v>
      </c>
      <c r="E10375" s="16" t="s">
        <v>30</v>
      </c>
    </row>
    <row r="10376" spans="1:5" x14ac:dyDescent="0.25">
      <c r="A10376" s="14">
        <v>990577002</v>
      </c>
      <c r="B10376" s="14" t="s">
        <v>10475</v>
      </c>
      <c r="C10376" s="14" t="s">
        <v>13031</v>
      </c>
      <c r="D10376" s="15">
        <v>11.8</v>
      </c>
      <c r="E10376" s="16" t="s">
        <v>30</v>
      </c>
    </row>
    <row r="10377" spans="1:5" x14ac:dyDescent="0.25">
      <c r="A10377" s="14">
        <v>990577003</v>
      </c>
      <c r="B10377" s="14" t="s">
        <v>10476</v>
      </c>
      <c r="C10377" s="14" t="s">
        <v>13031</v>
      </c>
      <c r="D10377" s="15">
        <v>11.8</v>
      </c>
      <c r="E10377" s="16" t="s">
        <v>30</v>
      </c>
    </row>
    <row r="10378" spans="1:5" x14ac:dyDescent="0.25">
      <c r="A10378" s="14">
        <v>990877001</v>
      </c>
      <c r="B10378" s="14" t="s">
        <v>10477</v>
      </c>
      <c r="C10378" s="14" t="s">
        <v>13031</v>
      </c>
      <c r="D10378" s="15">
        <v>8.84</v>
      </c>
      <c r="E10378" s="16" t="s">
        <v>30</v>
      </c>
    </row>
    <row r="10379" spans="1:5" x14ac:dyDescent="0.25">
      <c r="A10379" s="14">
        <v>990877002</v>
      </c>
      <c r="B10379" s="14" t="s">
        <v>10478</v>
      </c>
      <c r="C10379" s="14" t="s">
        <v>13031</v>
      </c>
      <c r="D10379" s="15">
        <v>8.84</v>
      </c>
      <c r="E10379" s="16" t="s">
        <v>30</v>
      </c>
    </row>
    <row r="10380" spans="1:5" x14ac:dyDescent="0.25">
      <c r="A10380" s="14">
        <v>991151003</v>
      </c>
      <c r="B10380" s="14" t="s">
        <v>10479</v>
      </c>
      <c r="C10380" s="14" t="s">
        <v>13030</v>
      </c>
      <c r="D10380" s="15">
        <v>24.47</v>
      </c>
      <c r="E10380" s="16" t="s">
        <v>30</v>
      </c>
    </row>
    <row r="10381" spans="1:5" x14ac:dyDescent="0.25">
      <c r="A10381" s="14">
        <v>991434001</v>
      </c>
      <c r="B10381" s="14" t="s">
        <v>10480</v>
      </c>
      <c r="C10381" s="14" t="s">
        <v>13031</v>
      </c>
      <c r="D10381" s="15">
        <v>17.899999999999999</v>
      </c>
      <c r="E10381" s="16" t="s">
        <v>30</v>
      </c>
    </row>
    <row r="10382" spans="1:5" x14ac:dyDescent="0.25">
      <c r="A10382" s="14">
        <v>992552003</v>
      </c>
      <c r="B10382" s="14" t="s">
        <v>10481</v>
      </c>
      <c r="C10382" s="14" t="s">
        <v>13029</v>
      </c>
      <c r="D10382" s="15">
        <v>30.13</v>
      </c>
      <c r="E10382" s="16" t="s">
        <v>30</v>
      </c>
    </row>
    <row r="10383" spans="1:5" x14ac:dyDescent="0.25">
      <c r="A10383" s="14">
        <v>992552005</v>
      </c>
      <c r="B10383" s="14" t="s">
        <v>10482</v>
      </c>
      <c r="C10383" s="14" t="s">
        <v>13029</v>
      </c>
      <c r="D10383" s="15">
        <v>30.13</v>
      </c>
      <c r="E10383" s="16" t="s">
        <v>30</v>
      </c>
    </row>
    <row r="10384" spans="1:5" x14ac:dyDescent="0.25">
      <c r="A10384" s="14">
        <v>992692001</v>
      </c>
      <c r="B10384" s="14" t="s">
        <v>10483</v>
      </c>
      <c r="C10384" s="14" t="s">
        <v>13031</v>
      </c>
      <c r="D10384" s="15">
        <v>15.72</v>
      </c>
      <c r="E10384" s="16" t="s">
        <v>30</v>
      </c>
    </row>
    <row r="10385" spans="1:5" x14ac:dyDescent="0.25">
      <c r="A10385" s="14">
        <v>992692002</v>
      </c>
      <c r="B10385" s="14" t="s">
        <v>10484</v>
      </c>
      <c r="C10385" s="14" t="s">
        <v>13031</v>
      </c>
      <c r="D10385" s="15">
        <v>15.72</v>
      </c>
      <c r="E10385" s="16" t="s">
        <v>30</v>
      </c>
    </row>
    <row r="10386" spans="1:5" x14ac:dyDescent="0.25">
      <c r="A10386" s="14">
        <v>995295003</v>
      </c>
      <c r="B10386" s="14" t="s">
        <v>10485</v>
      </c>
      <c r="C10386" s="14" t="s">
        <v>13031</v>
      </c>
      <c r="D10386" s="15">
        <v>11.21</v>
      </c>
      <c r="E10386" s="16" t="s">
        <v>30</v>
      </c>
    </row>
    <row r="10387" spans="1:5" x14ac:dyDescent="0.25">
      <c r="A10387" s="14">
        <v>996083001</v>
      </c>
      <c r="B10387" s="14" t="s">
        <v>10486</v>
      </c>
      <c r="C10387" s="14" t="s">
        <v>13031</v>
      </c>
      <c r="D10387" s="15">
        <v>12.05</v>
      </c>
      <c r="E10387" s="16" t="s">
        <v>30</v>
      </c>
    </row>
    <row r="10388" spans="1:5" x14ac:dyDescent="0.25">
      <c r="A10388" s="14">
        <v>996622001</v>
      </c>
      <c r="B10388" s="14" t="s">
        <v>10487</v>
      </c>
      <c r="C10388" s="14" t="s">
        <v>13031</v>
      </c>
      <c r="D10388" s="15">
        <v>4.45</v>
      </c>
      <c r="E10388" s="16" t="s">
        <v>30</v>
      </c>
    </row>
    <row r="10389" spans="1:5" x14ac:dyDescent="0.25">
      <c r="A10389" s="14">
        <v>996622002</v>
      </c>
      <c r="B10389" s="14" t="s">
        <v>10488</v>
      </c>
      <c r="C10389" s="14" t="s">
        <v>13031</v>
      </c>
      <c r="D10389" s="15">
        <v>4.45</v>
      </c>
      <c r="E10389" s="16" t="s">
        <v>30</v>
      </c>
    </row>
    <row r="10390" spans="1:5" x14ac:dyDescent="0.25">
      <c r="A10390" s="14">
        <v>998074002</v>
      </c>
      <c r="B10390" s="14" t="s">
        <v>10489</v>
      </c>
      <c r="C10390" s="14" t="s">
        <v>13029</v>
      </c>
      <c r="D10390" s="15">
        <v>31.96</v>
      </c>
      <c r="E10390" s="16" t="s">
        <v>30</v>
      </c>
    </row>
    <row r="10391" spans="1:5" x14ac:dyDescent="0.25">
      <c r="A10391" s="14">
        <v>998074003</v>
      </c>
      <c r="B10391" s="14" t="s">
        <v>10490</v>
      </c>
      <c r="C10391" s="14" t="s">
        <v>13029</v>
      </c>
      <c r="D10391" s="15">
        <v>31.96</v>
      </c>
      <c r="E10391" s="16" t="s">
        <v>30</v>
      </c>
    </row>
    <row r="10392" spans="1:5" x14ac:dyDescent="0.25">
      <c r="A10392" s="14">
        <v>998074006</v>
      </c>
      <c r="B10392" s="14" t="s">
        <v>10491</v>
      </c>
      <c r="C10392" s="14" t="s">
        <v>13029</v>
      </c>
      <c r="D10392" s="15">
        <v>31.96</v>
      </c>
      <c r="E10392" s="14" t="s">
        <v>30</v>
      </c>
    </row>
    <row r="10393" spans="1:5" x14ac:dyDescent="0.25">
      <c r="A10393" s="14">
        <v>998080001</v>
      </c>
      <c r="B10393" s="14" t="s">
        <v>10492</v>
      </c>
      <c r="C10393" s="14" t="s">
        <v>13029</v>
      </c>
      <c r="D10393" s="15">
        <v>33.74</v>
      </c>
      <c r="E10393" s="16" t="s">
        <v>30</v>
      </c>
    </row>
    <row r="10394" spans="1:5" x14ac:dyDescent="0.25">
      <c r="A10394" s="14">
        <v>998413002</v>
      </c>
      <c r="B10394" s="14" t="s">
        <v>10493</v>
      </c>
      <c r="C10394" s="14" t="s">
        <v>13031</v>
      </c>
      <c r="D10394" s="15">
        <v>8.4700000000000006</v>
      </c>
      <c r="E10394" s="16" t="s">
        <v>30</v>
      </c>
    </row>
    <row r="10395" spans="1:5" x14ac:dyDescent="0.25">
      <c r="A10395" s="14">
        <v>998413003</v>
      </c>
      <c r="B10395" s="14" t="s">
        <v>10494</v>
      </c>
      <c r="C10395" s="14" t="s">
        <v>13031</v>
      </c>
      <c r="D10395" s="15">
        <v>8.4700000000000006</v>
      </c>
      <c r="E10395" s="16" t="s">
        <v>30</v>
      </c>
    </row>
    <row r="10396" spans="1:5" x14ac:dyDescent="0.25">
      <c r="A10396" s="14">
        <v>1008641003</v>
      </c>
      <c r="B10396" s="14" t="s">
        <v>10495</v>
      </c>
      <c r="C10396" s="14" t="s">
        <v>13030</v>
      </c>
      <c r="D10396" s="15">
        <v>13.38</v>
      </c>
      <c r="E10396" s="16" t="s">
        <v>30</v>
      </c>
    </row>
    <row r="10397" spans="1:5" x14ac:dyDescent="0.25">
      <c r="A10397" s="14">
        <v>1009381001</v>
      </c>
      <c r="B10397" s="14" t="s">
        <v>10496</v>
      </c>
      <c r="C10397" s="14" t="s">
        <v>13030</v>
      </c>
      <c r="D10397" s="15">
        <v>3.52</v>
      </c>
      <c r="E10397" s="16" t="s">
        <v>30</v>
      </c>
    </row>
    <row r="10398" spans="1:5" x14ac:dyDescent="0.25">
      <c r="A10398" s="14">
        <v>1009714003</v>
      </c>
      <c r="B10398" s="14" t="s">
        <v>10497</v>
      </c>
      <c r="C10398" s="14" t="s">
        <v>13031</v>
      </c>
      <c r="D10398" s="15">
        <v>1.85</v>
      </c>
      <c r="E10398" s="16" t="s">
        <v>30</v>
      </c>
    </row>
    <row r="10399" spans="1:5" x14ac:dyDescent="0.25">
      <c r="A10399" s="14">
        <v>1009714004</v>
      </c>
      <c r="B10399" s="14" t="s">
        <v>10498</v>
      </c>
      <c r="C10399" s="14" t="s">
        <v>13031</v>
      </c>
      <c r="D10399" s="15">
        <v>1.85</v>
      </c>
      <c r="E10399" s="16" t="s">
        <v>30</v>
      </c>
    </row>
    <row r="10400" spans="1:5" x14ac:dyDescent="0.25">
      <c r="A10400" s="14">
        <v>1012340003</v>
      </c>
      <c r="B10400" s="14" t="s">
        <v>10499</v>
      </c>
      <c r="C10400" s="14" t="s">
        <v>13031</v>
      </c>
      <c r="D10400" s="15">
        <v>10.1</v>
      </c>
      <c r="E10400" s="16" t="s">
        <v>30</v>
      </c>
    </row>
    <row r="10401" spans="1:5" x14ac:dyDescent="0.25">
      <c r="A10401" s="14">
        <v>1012340004</v>
      </c>
      <c r="B10401" s="14" t="s">
        <v>10500</v>
      </c>
      <c r="C10401" s="14" t="s">
        <v>13031</v>
      </c>
      <c r="D10401" s="15">
        <v>10.1</v>
      </c>
      <c r="E10401" s="16" t="s">
        <v>30</v>
      </c>
    </row>
    <row r="10402" spans="1:5" x14ac:dyDescent="0.25">
      <c r="A10402" s="14">
        <v>1015344001</v>
      </c>
      <c r="B10402" s="14" t="s">
        <v>10501</v>
      </c>
      <c r="C10402" s="14" t="s">
        <v>13030</v>
      </c>
      <c r="D10402" s="15">
        <v>2.4700000000000002</v>
      </c>
      <c r="E10402" s="16" t="s">
        <v>30</v>
      </c>
    </row>
    <row r="10403" spans="1:5" x14ac:dyDescent="0.25">
      <c r="A10403" s="14">
        <v>1015344002</v>
      </c>
      <c r="B10403" s="14" t="s">
        <v>10502</v>
      </c>
      <c r="C10403" s="14" t="s">
        <v>13030</v>
      </c>
      <c r="D10403" s="15">
        <v>2.4700000000000002</v>
      </c>
      <c r="E10403" s="16" t="s">
        <v>30</v>
      </c>
    </row>
    <row r="10404" spans="1:5" x14ac:dyDescent="0.25">
      <c r="A10404" s="14">
        <v>1015972</v>
      </c>
      <c r="B10404" s="14" t="s">
        <v>10503</v>
      </c>
      <c r="C10404" s="14" t="s">
        <v>13031</v>
      </c>
      <c r="D10404" s="15">
        <v>54.68</v>
      </c>
      <c r="E10404" s="16" t="s">
        <v>30</v>
      </c>
    </row>
    <row r="10405" spans="1:5" x14ac:dyDescent="0.25">
      <c r="A10405" s="14">
        <v>1016059</v>
      </c>
      <c r="B10405" s="14" t="s">
        <v>10504</v>
      </c>
      <c r="C10405" s="14" t="s">
        <v>13030</v>
      </c>
      <c r="D10405" s="15">
        <v>24.25</v>
      </c>
      <c r="E10405" s="16" t="s">
        <v>30</v>
      </c>
    </row>
    <row r="10406" spans="1:5" x14ac:dyDescent="0.25">
      <c r="A10406" s="14">
        <v>1016062</v>
      </c>
      <c r="B10406" s="14" t="s">
        <v>10505</v>
      </c>
      <c r="C10406" s="14" t="s">
        <v>13030</v>
      </c>
      <c r="D10406" s="15">
        <v>30.42</v>
      </c>
      <c r="E10406" s="16" t="s">
        <v>30</v>
      </c>
    </row>
    <row r="10407" spans="1:5" x14ac:dyDescent="0.25">
      <c r="A10407" s="14">
        <v>1016328</v>
      </c>
      <c r="B10407" s="14" t="s">
        <v>41</v>
      </c>
      <c r="C10407" s="14" t="s">
        <v>13029</v>
      </c>
      <c r="D10407" s="15">
        <v>4.24</v>
      </c>
      <c r="E10407" s="16" t="s">
        <v>30</v>
      </c>
    </row>
    <row r="10408" spans="1:5" x14ac:dyDescent="0.25">
      <c r="A10408" s="14">
        <v>1014155</v>
      </c>
      <c r="B10408" s="14" t="s">
        <v>10506</v>
      </c>
      <c r="C10408" s="14" t="s">
        <v>13031</v>
      </c>
      <c r="D10408" s="15">
        <v>5.52</v>
      </c>
      <c r="E10408" s="16" t="s">
        <v>30</v>
      </c>
    </row>
    <row r="10409" spans="1:5" x14ac:dyDescent="0.25">
      <c r="A10409" s="14">
        <v>1014156</v>
      </c>
      <c r="B10409" s="14" t="s">
        <v>10507</v>
      </c>
      <c r="C10409" s="14" t="s">
        <v>13031</v>
      </c>
      <c r="D10409" s="15">
        <v>4</v>
      </c>
      <c r="E10409" s="16" t="s">
        <v>30</v>
      </c>
    </row>
    <row r="10410" spans="1:5" x14ac:dyDescent="0.25">
      <c r="A10410" s="14">
        <v>1016128</v>
      </c>
      <c r="B10410" s="14" t="s">
        <v>10508</v>
      </c>
      <c r="C10410" s="14" t="s">
        <v>13031</v>
      </c>
      <c r="D10410" s="15">
        <v>22.61</v>
      </c>
      <c r="E10410" s="16" t="s">
        <v>30</v>
      </c>
    </row>
    <row r="10411" spans="1:5" x14ac:dyDescent="0.25">
      <c r="A10411" s="14">
        <v>1016129</v>
      </c>
      <c r="B10411" s="14" t="s">
        <v>10509</v>
      </c>
      <c r="C10411" s="14" t="s">
        <v>13031</v>
      </c>
      <c r="D10411" s="15">
        <v>42.67</v>
      </c>
      <c r="E10411" s="16" t="s">
        <v>30</v>
      </c>
    </row>
    <row r="10412" spans="1:5" x14ac:dyDescent="0.25">
      <c r="A10412" s="14">
        <v>1016143</v>
      </c>
      <c r="B10412" s="14" t="s">
        <v>10510</v>
      </c>
      <c r="C10412" s="14" t="s">
        <v>13029</v>
      </c>
      <c r="D10412" s="15">
        <v>9.51</v>
      </c>
      <c r="E10412" s="16" t="s">
        <v>30</v>
      </c>
    </row>
    <row r="10413" spans="1:5" x14ac:dyDescent="0.25">
      <c r="A10413" s="14">
        <v>1016165</v>
      </c>
      <c r="B10413" s="14" t="s">
        <v>10511</v>
      </c>
      <c r="C10413" s="14" t="s">
        <v>13029</v>
      </c>
      <c r="D10413" s="15">
        <v>23.44</v>
      </c>
      <c r="E10413" s="16" t="s">
        <v>30</v>
      </c>
    </row>
    <row r="10414" spans="1:5" x14ac:dyDescent="0.25">
      <c r="A10414" s="14">
        <v>1015507</v>
      </c>
      <c r="B10414" s="14" t="s">
        <v>10512</v>
      </c>
      <c r="C10414" s="14" t="s">
        <v>13029</v>
      </c>
      <c r="D10414" s="15">
        <v>3.5</v>
      </c>
      <c r="E10414" s="16" t="s">
        <v>30</v>
      </c>
    </row>
    <row r="10415" spans="1:5" x14ac:dyDescent="0.25">
      <c r="A10415" s="14">
        <v>1016334</v>
      </c>
      <c r="B10415" s="14" t="s">
        <v>10513</v>
      </c>
      <c r="C10415" s="14" t="s">
        <v>13030</v>
      </c>
      <c r="D10415" s="15">
        <v>48.76</v>
      </c>
      <c r="E10415" s="16" t="s">
        <v>30</v>
      </c>
    </row>
    <row r="10416" spans="1:5" x14ac:dyDescent="0.25">
      <c r="A10416" s="14">
        <v>1016337</v>
      </c>
      <c r="B10416" s="14" t="s">
        <v>10514</v>
      </c>
      <c r="C10416" s="14" t="s">
        <v>13030</v>
      </c>
      <c r="D10416" s="15">
        <v>82.4</v>
      </c>
      <c r="E10416" s="16" t="s">
        <v>30</v>
      </c>
    </row>
    <row r="10417" spans="1:5" x14ac:dyDescent="0.25">
      <c r="A10417" s="14">
        <v>1016338</v>
      </c>
      <c r="B10417" s="14" t="s">
        <v>10515</v>
      </c>
      <c r="C10417" s="14" t="s">
        <v>13030</v>
      </c>
      <c r="D10417" s="15">
        <v>53.06</v>
      </c>
      <c r="E10417" s="16" t="s">
        <v>30</v>
      </c>
    </row>
    <row r="10418" spans="1:5" x14ac:dyDescent="0.25">
      <c r="A10418" s="14">
        <v>1016365</v>
      </c>
      <c r="B10418" s="14" t="s">
        <v>10516</v>
      </c>
      <c r="C10418" s="14" t="s">
        <v>13029</v>
      </c>
      <c r="D10418" s="15">
        <v>17.739999999999998</v>
      </c>
      <c r="E10418" s="16" t="s">
        <v>30</v>
      </c>
    </row>
    <row r="10419" spans="1:5" x14ac:dyDescent="0.25">
      <c r="A10419" s="14">
        <v>1016064</v>
      </c>
      <c r="B10419" s="14" t="s">
        <v>10517</v>
      </c>
      <c r="C10419" s="14" t="s">
        <v>13030</v>
      </c>
      <c r="D10419" s="15">
        <v>6.37</v>
      </c>
      <c r="E10419" s="16" t="s">
        <v>30</v>
      </c>
    </row>
    <row r="10420" spans="1:5" x14ac:dyDescent="0.25">
      <c r="A10420" s="14">
        <v>1016681</v>
      </c>
      <c r="B10420" s="14" t="s">
        <v>10518</v>
      </c>
      <c r="C10420" s="14" t="s">
        <v>13029</v>
      </c>
      <c r="D10420" s="15">
        <v>18.84</v>
      </c>
      <c r="E10420" s="16" t="s">
        <v>30</v>
      </c>
    </row>
    <row r="10421" spans="1:5" x14ac:dyDescent="0.25">
      <c r="A10421" s="14">
        <v>1016682</v>
      </c>
      <c r="B10421" s="14" t="s">
        <v>10519</v>
      </c>
      <c r="C10421" s="14" t="s">
        <v>13029</v>
      </c>
      <c r="D10421" s="15">
        <v>13.38</v>
      </c>
      <c r="E10421" s="16" t="s">
        <v>30</v>
      </c>
    </row>
    <row r="10422" spans="1:5" x14ac:dyDescent="0.25">
      <c r="A10422" s="14">
        <v>1013828</v>
      </c>
      <c r="B10422" s="14" t="s">
        <v>10520</v>
      </c>
      <c r="C10422" s="14" t="s">
        <v>13029</v>
      </c>
      <c r="D10422" s="15">
        <v>9.0299999999999994</v>
      </c>
      <c r="E10422" s="14" t="s">
        <v>30</v>
      </c>
    </row>
    <row r="10423" spans="1:5" x14ac:dyDescent="0.25">
      <c r="A10423" s="14">
        <v>1013829</v>
      </c>
      <c r="B10423" s="14" t="s">
        <v>10521</v>
      </c>
      <c r="C10423" s="14" t="s">
        <v>13029</v>
      </c>
      <c r="D10423" s="15">
        <v>9.0299999999999994</v>
      </c>
      <c r="E10423" s="14" t="s">
        <v>30</v>
      </c>
    </row>
    <row r="10424" spans="1:5" x14ac:dyDescent="0.25">
      <c r="A10424" s="14">
        <v>1014623001</v>
      </c>
      <c r="B10424" s="14" t="s">
        <v>10522</v>
      </c>
      <c r="C10424" s="14" t="s">
        <v>13031</v>
      </c>
      <c r="D10424" s="15">
        <v>24.85</v>
      </c>
      <c r="E10424" s="14" t="s">
        <v>30</v>
      </c>
    </row>
    <row r="10425" spans="1:5" x14ac:dyDescent="0.25">
      <c r="A10425" s="14">
        <v>1014623002</v>
      </c>
      <c r="B10425" s="14" t="s">
        <v>10523</v>
      </c>
      <c r="C10425" s="14" t="s">
        <v>13031</v>
      </c>
      <c r="D10425" s="15">
        <v>24.85</v>
      </c>
      <c r="E10425" s="14" t="s">
        <v>30</v>
      </c>
    </row>
    <row r="10426" spans="1:5" x14ac:dyDescent="0.25">
      <c r="A10426" s="14">
        <v>1011397</v>
      </c>
      <c r="B10426" s="14" t="s">
        <v>10524</v>
      </c>
      <c r="C10426" s="14" t="s">
        <v>13029</v>
      </c>
      <c r="D10426" s="15">
        <v>3.6</v>
      </c>
      <c r="E10426" s="14" t="s">
        <v>30</v>
      </c>
    </row>
    <row r="10427" spans="1:5" x14ac:dyDescent="0.25">
      <c r="A10427" s="14">
        <v>1011398</v>
      </c>
      <c r="B10427" s="14" t="s">
        <v>10525</v>
      </c>
      <c r="C10427" s="14" t="s">
        <v>13029</v>
      </c>
      <c r="D10427" s="15">
        <v>3.73</v>
      </c>
      <c r="E10427" s="14" t="s">
        <v>30</v>
      </c>
    </row>
    <row r="10428" spans="1:5" x14ac:dyDescent="0.25">
      <c r="A10428" s="14">
        <v>1015942</v>
      </c>
      <c r="B10428" s="14" t="s">
        <v>10526</v>
      </c>
      <c r="C10428" s="14" t="s">
        <v>13029</v>
      </c>
      <c r="D10428" s="15">
        <v>5.4</v>
      </c>
      <c r="E10428" s="14" t="s">
        <v>30</v>
      </c>
    </row>
    <row r="10429" spans="1:5" x14ac:dyDescent="0.25">
      <c r="A10429" s="14">
        <v>1015943</v>
      </c>
      <c r="B10429" s="14" t="s">
        <v>10527</v>
      </c>
      <c r="C10429" s="14" t="s">
        <v>13029</v>
      </c>
      <c r="D10429" s="15">
        <v>2.2999999999999998</v>
      </c>
      <c r="E10429" s="14" t="s">
        <v>30</v>
      </c>
    </row>
    <row r="10430" spans="1:5" x14ac:dyDescent="0.25">
      <c r="A10430" s="14">
        <v>1015969</v>
      </c>
      <c r="B10430" s="14" t="s">
        <v>10528</v>
      </c>
      <c r="C10430" s="14" t="s">
        <v>13031</v>
      </c>
      <c r="D10430" s="15">
        <v>29.17</v>
      </c>
      <c r="E10430" s="14" t="s">
        <v>30</v>
      </c>
    </row>
    <row r="10431" spans="1:5" x14ac:dyDescent="0.25">
      <c r="A10431" s="14">
        <v>1016685</v>
      </c>
      <c r="B10431" s="14" t="s">
        <v>10529</v>
      </c>
      <c r="C10431" s="14" t="s">
        <v>13029</v>
      </c>
      <c r="D10431" s="15">
        <v>38.07</v>
      </c>
      <c r="E10431" s="14" t="s">
        <v>30</v>
      </c>
    </row>
    <row r="10432" spans="1:5" x14ac:dyDescent="0.25">
      <c r="A10432" s="14">
        <v>1014987</v>
      </c>
      <c r="B10432" s="14" t="s">
        <v>10530</v>
      </c>
      <c r="C10432" s="14" t="s">
        <v>13029</v>
      </c>
      <c r="D10432" s="15">
        <v>3.42</v>
      </c>
      <c r="E10432" s="14" t="s">
        <v>30</v>
      </c>
    </row>
    <row r="10433" spans="1:5" x14ac:dyDescent="0.25">
      <c r="A10433" s="14">
        <v>1014988</v>
      </c>
      <c r="B10433" s="14" t="s">
        <v>10531</v>
      </c>
      <c r="C10433" s="14" t="s">
        <v>13029</v>
      </c>
      <c r="D10433" s="15">
        <v>3.42</v>
      </c>
      <c r="E10433" s="14" t="s">
        <v>30</v>
      </c>
    </row>
    <row r="10434" spans="1:5" x14ac:dyDescent="0.25">
      <c r="A10434" s="14">
        <v>1015002</v>
      </c>
      <c r="B10434" s="14" t="s">
        <v>10532</v>
      </c>
      <c r="C10434" s="14" t="s">
        <v>13029</v>
      </c>
      <c r="D10434" s="15">
        <v>40.24</v>
      </c>
      <c r="E10434" s="14" t="s">
        <v>30</v>
      </c>
    </row>
    <row r="10435" spans="1:5" x14ac:dyDescent="0.25">
      <c r="A10435" s="14">
        <v>1015003</v>
      </c>
      <c r="B10435" s="14" t="s">
        <v>10533</v>
      </c>
      <c r="C10435" s="14" t="s">
        <v>13029</v>
      </c>
      <c r="D10435" s="15">
        <v>40.24</v>
      </c>
      <c r="E10435" s="14" t="s">
        <v>30</v>
      </c>
    </row>
    <row r="10436" spans="1:5" x14ac:dyDescent="0.25">
      <c r="A10436" s="14">
        <v>1015685</v>
      </c>
      <c r="B10436" s="14" t="s">
        <v>10534</v>
      </c>
      <c r="C10436" s="14" t="s">
        <v>13030</v>
      </c>
      <c r="D10436" s="15">
        <v>56.31</v>
      </c>
      <c r="E10436" s="14" t="s">
        <v>30</v>
      </c>
    </row>
    <row r="10437" spans="1:5" x14ac:dyDescent="0.25">
      <c r="A10437" s="14">
        <v>1017363</v>
      </c>
      <c r="B10437" s="14" t="s">
        <v>10535</v>
      </c>
      <c r="C10437" s="14" t="s">
        <v>13030</v>
      </c>
      <c r="D10437" s="15">
        <v>59.7</v>
      </c>
      <c r="E10437" s="14" t="s">
        <v>30</v>
      </c>
    </row>
    <row r="10438" spans="1:5" x14ac:dyDescent="0.25">
      <c r="A10438" s="14">
        <v>1017602</v>
      </c>
      <c r="B10438" s="14" t="s">
        <v>10536</v>
      </c>
      <c r="C10438" s="14" t="s">
        <v>13031</v>
      </c>
      <c r="D10438" s="15">
        <v>4.7699999999999996</v>
      </c>
      <c r="E10438" s="14" t="s">
        <v>30</v>
      </c>
    </row>
    <row r="10439" spans="1:5" x14ac:dyDescent="0.25">
      <c r="A10439" s="14">
        <v>1017622</v>
      </c>
      <c r="B10439" s="14" t="s">
        <v>10537</v>
      </c>
      <c r="C10439" s="14" t="s">
        <v>13031</v>
      </c>
      <c r="D10439" s="15">
        <v>5.17</v>
      </c>
      <c r="E10439" s="14" t="s">
        <v>30</v>
      </c>
    </row>
    <row r="10440" spans="1:5" x14ac:dyDescent="0.25">
      <c r="A10440" s="14">
        <v>1017642</v>
      </c>
      <c r="B10440" s="14" t="s">
        <v>10538</v>
      </c>
      <c r="C10440" s="14" t="s">
        <v>13030</v>
      </c>
      <c r="D10440" s="15">
        <v>21.13</v>
      </c>
      <c r="E10440" s="14" t="s">
        <v>30</v>
      </c>
    </row>
    <row r="10441" spans="1:5" x14ac:dyDescent="0.25">
      <c r="A10441" s="14">
        <v>1017738</v>
      </c>
      <c r="B10441" s="14" t="s">
        <v>10539</v>
      </c>
      <c r="C10441" s="14" t="s">
        <v>13031</v>
      </c>
      <c r="D10441" s="15">
        <v>18.829999999999998</v>
      </c>
      <c r="E10441" s="14" t="s">
        <v>30</v>
      </c>
    </row>
    <row r="10442" spans="1:5" x14ac:dyDescent="0.25">
      <c r="A10442" s="14">
        <v>1017758</v>
      </c>
      <c r="B10442" s="14" t="s">
        <v>10540</v>
      </c>
      <c r="C10442" s="14" t="s">
        <v>13029</v>
      </c>
      <c r="D10442" s="15">
        <v>34.11</v>
      </c>
      <c r="E10442" s="14" t="s">
        <v>30</v>
      </c>
    </row>
    <row r="10443" spans="1:5" x14ac:dyDescent="0.25">
      <c r="A10443" s="14">
        <v>1017759</v>
      </c>
      <c r="B10443" s="14" t="s">
        <v>10541</v>
      </c>
      <c r="C10443" s="14" t="s">
        <v>13029</v>
      </c>
      <c r="D10443" s="15">
        <v>34.11</v>
      </c>
      <c r="E10443" s="14" t="s">
        <v>30</v>
      </c>
    </row>
    <row r="10444" spans="1:5" x14ac:dyDescent="0.25">
      <c r="A10444" s="14">
        <v>1017770</v>
      </c>
      <c r="B10444" s="14" t="s">
        <v>10542</v>
      </c>
      <c r="C10444" s="14" t="s">
        <v>13031</v>
      </c>
      <c r="D10444" s="15">
        <v>16.91</v>
      </c>
      <c r="E10444" s="14" t="s">
        <v>30</v>
      </c>
    </row>
    <row r="10445" spans="1:5" x14ac:dyDescent="0.25">
      <c r="A10445" s="14">
        <v>1017771</v>
      </c>
      <c r="B10445" s="14" t="s">
        <v>10543</v>
      </c>
      <c r="C10445" s="14" t="s">
        <v>13031</v>
      </c>
      <c r="D10445" s="15">
        <v>3.7</v>
      </c>
      <c r="E10445" s="14" t="s">
        <v>30</v>
      </c>
    </row>
    <row r="10446" spans="1:5" x14ac:dyDescent="0.25">
      <c r="A10446" s="14">
        <v>1015689</v>
      </c>
      <c r="B10446" s="14" t="s">
        <v>10544</v>
      </c>
      <c r="C10446" s="14" t="s">
        <v>13031</v>
      </c>
      <c r="D10446" s="15">
        <v>10.53</v>
      </c>
      <c r="E10446" s="14" t="s">
        <v>30</v>
      </c>
    </row>
    <row r="10447" spans="1:5" x14ac:dyDescent="0.25">
      <c r="A10447" s="14">
        <v>1015690</v>
      </c>
      <c r="B10447" s="14" t="s">
        <v>10545</v>
      </c>
      <c r="C10447" s="14" t="s">
        <v>13031</v>
      </c>
      <c r="D10447" s="15">
        <v>10.53</v>
      </c>
      <c r="E10447" s="14" t="s">
        <v>30</v>
      </c>
    </row>
    <row r="10448" spans="1:5" x14ac:dyDescent="0.25">
      <c r="A10448" s="14">
        <v>756566003</v>
      </c>
      <c r="B10448" s="14" t="s">
        <v>10546</v>
      </c>
      <c r="C10448" s="14" t="s">
        <v>13031</v>
      </c>
      <c r="D10448" s="15">
        <v>15.29</v>
      </c>
      <c r="E10448" s="16" t="s">
        <v>20</v>
      </c>
    </row>
    <row r="10449" spans="1:5" x14ac:dyDescent="0.25">
      <c r="A10449" s="14">
        <v>768379003</v>
      </c>
      <c r="B10449" s="14" t="s">
        <v>10547</v>
      </c>
      <c r="C10449" s="14" t="s">
        <v>13030</v>
      </c>
      <c r="D10449" s="15">
        <v>15.35</v>
      </c>
      <c r="E10449" s="16" t="s">
        <v>20</v>
      </c>
    </row>
    <row r="10450" spans="1:5" x14ac:dyDescent="0.25">
      <c r="A10450" s="14">
        <v>1015962</v>
      </c>
      <c r="B10450" s="14" t="s">
        <v>10548</v>
      </c>
      <c r="C10450" s="14" t="s">
        <v>13030</v>
      </c>
      <c r="D10450" s="15">
        <v>143.22</v>
      </c>
      <c r="E10450" s="14" t="s">
        <v>30</v>
      </c>
    </row>
    <row r="10451" spans="1:5" x14ac:dyDescent="0.25">
      <c r="A10451" s="14">
        <v>1015963</v>
      </c>
      <c r="B10451" s="14" t="s">
        <v>10549</v>
      </c>
      <c r="C10451" s="14" t="s">
        <v>13030</v>
      </c>
      <c r="D10451" s="15">
        <v>207.62</v>
      </c>
      <c r="E10451" s="14" t="s">
        <v>30</v>
      </c>
    </row>
    <row r="10452" spans="1:5" x14ac:dyDescent="0.25">
      <c r="A10452" s="14">
        <v>1016148</v>
      </c>
      <c r="B10452" s="14" t="s">
        <v>10550</v>
      </c>
      <c r="C10452" s="14" t="s">
        <v>13029</v>
      </c>
      <c r="D10452" s="15">
        <v>31.96</v>
      </c>
      <c r="E10452" s="14" t="s">
        <v>30</v>
      </c>
    </row>
    <row r="10453" spans="1:5" x14ac:dyDescent="0.25">
      <c r="A10453" s="14">
        <v>1016362</v>
      </c>
      <c r="B10453" s="14" t="s">
        <v>10551</v>
      </c>
      <c r="C10453" s="14" t="s">
        <v>13029</v>
      </c>
      <c r="D10453" s="15">
        <v>47.4</v>
      </c>
      <c r="E10453" s="14" t="s">
        <v>30</v>
      </c>
    </row>
    <row r="10454" spans="1:5" x14ac:dyDescent="0.25">
      <c r="A10454" s="14">
        <v>1016898</v>
      </c>
      <c r="B10454" s="14" t="s">
        <v>10552</v>
      </c>
      <c r="C10454" s="14" t="s">
        <v>13029</v>
      </c>
      <c r="D10454" s="15">
        <v>19.170000000000002</v>
      </c>
      <c r="E10454" s="14" t="s">
        <v>30</v>
      </c>
    </row>
    <row r="10455" spans="1:5" x14ac:dyDescent="0.25">
      <c r="A10455" s="14">
        <v>1016932</v>
      </c>
      <c r="B10455" s="14" t="s">
        <v>10553</v>
      </c>
      <c r="C10455" s="14" t="s">
        <v>13030</v>
      </c>
      <c r="D10455" s="15">
        <v>20.79</v>
      </c>
      <c r="E10455" s="14" t="s">
        <v>30</v>
      </c>
    </row>
    <row r="10456" spans="1:5" x14ac:dyDescent="0.25">
      <c r="A10456" s="14">
        <v>770808</v>
      </c>
      <c r="B10456" s="14" t="s">
        <v>10554</v>
      </c>
      <c r="C10456" s="14" t="s">
        <v>13029</v>
      </c>
      <c r="D10456" s="15">
        <v>7.2</v>
      </c>
      <c r="E10456" s="14" t="s">
        <v>30</v>
      </c>
    </row>
    <row r="10457" spans="1:5" x14ac:dyDescent="0.25">
      <c r="A10457" s="14">
        <v>770809</v>
      </c>
      <c r="B10457" s="14" t="s">
        <v>10555</v>
      </c>
      <c r="C10457" s="14" t="s">
        <v>13029</v>
      </c>
      <c r="D10457" s="15">
        <v>4.97</v>
      </c>
      <c r="E10457" s="14" t="s">
        <v>30</v>
      </c>
    </row>
    <row r="10458" spans="1:5" x14ac:dyDescent="0.25">
      <c r="A10458" s="14">
        <v>1003700</v>
      </c>
      <c r="B10458" s="14" t="s">
        <v>10556</v>
      </c>
      <c r="C10458" s="14" t="s">
        <v>13031</v>
      </c>
      <c r="D10458" s="15">
        <v>6.1</v>
      </c>
      <c r="E10458" s="14" t="s">
        <v>30</v>
      </c>
    </row>
    <row r="10459" spans="1:5" x14ac:dyDescent="0.25">
      <c r="A10459" s="14">
        <v>1003701</v>
      </c>
      <c r="B10459" s="14" t="s">
        <v>10557</v>
      </c>
      <c r="C10459" s="14" t="s">
        <v>13031</v>
      </c>
      <c r="D10459" s="15">
        <v>4.4400000000000004</v>
      </c>
      <c r="E10459" s="14" t="s">
        <v>30</v>
      </c>
    </row>
    <row r="10460" spans="1:5" x14ac:dyDescent="0.25">
      <c r="A10460" s="14">
        <v>1003704</v>
      </c>
      <c r="B10460" s="14" t="s">
        <v>10558</v>
      </c>
      <c r="C10460" s="14" t="s">
        <v>13031</v>
      </c>
      <c r="D10460" s="15">
        <v>5</v>
      </c>
      <c r="E10460" s="14" t="s">
        <v>30</v>
      </c>
    </row>
    <row r="10461" spans="1:5" x14ac:dyDescent="0.25">
      <c r="A10461" s="14">
        <v>1003705</v>
      </c>
      <c r="B10461" s="14" t="s">
        <v>10559</v>
      </c>
      <c r="C10461" s="14" t="s">
        <v>13031</v>
      </c>
      <c r="D10461" s="15">
        <v>4.0999999999999996</v>
      </c>
      <c r="E10461" s="14" t="s">
        <v>30</v>
      </c>
    </row>
    <row r="10462" spans="1:5" x14ac:dyDescent="0.25">
      <c r="A10462" s="14">
        <v>1016070</v>
      </c>
      <c r="B10462" s="14" t="s">
        <v>10560</v>
      </c>
      <c r="C10462" s="14" t="s">
        <v>13031</v>
      </c>
      <c r="D10462" s="15">
        <v>1.62</v>
      </c>
      <c r="E10462" s="14" t="s">
        <v>30</v>
      </c>
    </row>
    <row r="10463" spans="1:5" x14ac:dyDescent="0.25">
      <c r="A10463" s="14">
        <v>1016554</v>
      </c>
      <c r="B10463" s="14" t="s">
        <v>10561</v>
      </c>
      <c r="C10463" s="14" t="s">
        <v>13029</v>
      </c>
      <c r="D10463" s="15">
        <v>10.029999999999999</v>
      </c>
      <c r="E10463" s="14" t="s">
        <v>30</v>
      </c>
    </row>
    <row r="10464" spans="1:5" x14ac:dyDescent="0.25">
      <c r="A10464" s="14">
        <v>1016644</v>
      </c>
      <c r="B10464" s="14" t="s">
        <v>10562</v>
      </c>
      <c r="C10464" s="14" t="s">
        <v>13030</v>
      </c>
      <c r="D10464" s="15">
        <v>42.57</v>
      </c>
      <c r="E10464" s="14" t="s">
        <v>30</v>
      </c>
    </row>
    <row r="10465" spans="1:5" x14ac:dyDescent="0.25">
      <c r="A10465" s="14">
        <v>768380001</v>
      </c>
      <c r="B10465" s="14" t="s">
        <v>10563</v>
      </c>
      <c r="C10465" s="14" t="s">
        <v>13030</v>
      </c>
      <c r="D10465" s="15">
        <v>14.33</v>
      </c>
      <c r="E10465" s="16" t="s">
        <v>20</v>
      </c>
    </row>
    <row r="10466" spans="1:5" x14ac:dyDescent="0.25">
      <c r="A10466" s="14">
        <v>1016645</v>
      </c>
      <c r="B10466" s="14" t="s">
        <v>10564</v>
      </c>
      <c r="C10466" s="14" t="s">
        <v>13030</v>
      </c>
      <c r="D10466" s="15">
        <v>42.57</v>
      </c>
      <c r="E10466" s="14" t="s">
        <v>30</v>
      </c>
    </row>
    <row r="10467" spans="1:5" x14ac:dyDescent="0.25">
      <c r="A10467" s="14">
        <v>1016893</v>
      </c>
      <c r="B10467" s="14" t="s">
        <v>10565</v>
      </c>
      <c r="C10467" s="14" t="s">
        <v>13029</v>
      </c>
      <c r="D10467" s="15">
        <v>23.89</v>
      </c>
      <c r="E10467" s="14" t="s">
        <v>30</v>
      </c>
    </row>
    <row r="10468" spans="1:5" x14ac:dyDescent="0.25">
      <c r="A10468" s="14">
        <v>1016895</v>
      </c>
      <c r="B10468" s="14" t="s">
        <v>10566</v>
      </c>
      <c r="C10468" s="14" t="s">
        <v>13029</v>
      </c>
      <c r="D10468" s="15">
        <v>23.89</v>
      </c>
      <c r="E10468" s="14" t="s">
        <v>30</v>
      </c>
    </row>
    <row r="10469" spans="1:5" x14ac:dyDescent="0.25">
      <c r="A10469" s="14">
        <v>768389001</v>
      </c>
      <c r="B10469" s="14" t="s">
        <v>10567</v>
      </c>
      <c r="C10469" s="14" t="s">
        <v>13030</v>
      </c>
      <c r="D10469" s="15">
        <v>49.74</v>
      </c>
      <c r="E10469" s="16" t="s">
        <v>20</v>
      </c>
    </row>
    <row r="10470" spans="1:5" x14ac:dyDescent="0.25">
      <c r="A10470" s="14">
        <v>1017364</v>
      </c>
      <c r="B10470" s="14" t="s">
        <v>10568</v>
      </c>
      <c r="C10470" s="14" t="s">
        <v>13030</v>
      </c>
      <c r="D10470" s="15">
        <v>5.4</v>
      </c>
      <c r="E10470" s="14" t="s">
        <v>30</v>
      </c>
    </row>
    <row r="10471" spans="1:5" x14ac:dyDescent="0.25">
      <c r="A10471" s="14">
        <v>5525</v>
      </c>
      <c r="B10471" s="14" t="s">
        <v>10569</v>
      </c>
      <c r="C10471" s="14" t="s">
        <v>13031</v>
      </c>
      <c r="D10471" s="15">
        <v>2.5299999999999998</v>
      </c>
      <c r="E10471" s="14" t="s">
        <v>30</v>
      </c>
    </row>
    <row r="10472" spans="1:5" x14ac:dyDescent="0.25">
      <c r="A10472" s="14">
        <v>1016319</v>
      </c>
      <c r="B10472" s="14" t="s">
        <v>10570</v>
      </c>
      <c r="C10472" s="14" t="s">
        <v>13029</v>
      </c>
      <c r="D10472" s="15">
        <v>10.029999999999999</v>
      </c>
      <c r="E10472" s="14" t="s">
        <v>30</v>
      </c>
    </row>
    <row r="10473" spans="1:5" x14ac:dyDescent="0.25">
      <c r="A10473" s="14">
        <v>1016331</v>
      </c>
      <c r="B10473" s="14" t="s">
        <v>10571</v>
      </c>
      <c r="C10473" s="14" t="s">
        <v>13030</v>
      </c>
      <c r="D10473" s="15">
        <v>51.79</v>
      </c>
      <c r="E10473" s="14" t="s">
        <v>30</v>
      </c>
    </row>
    <row r="10474" spans="1:5" x14ac:dyDescent="0.25">
      <c r="A10474" s="14">
        <v>1017402</v>
      </c>
      <c r="B10474" s="14" t="s">
        <v>10572</v>
      </c>
      <c r="C10474" s="14" t="s">
        <v>13030</v>
      </c>
      <c r="D10474" s="15">
        <v>27.06</v>
      </c>
      <c r="E10474" s="14" t="s">
        <v>30</v>
      </c>
    </row>
    <row r="10475" spans="1:5" x14ac:dyDescent="0.25">
      <c r="A10475" s="14">
        <v>1017403</v>
      </c>
      <c r="B10475" s="14" t="s">
        <v>10573</v>
      </c>
      <c r="C10475" s="14" t="s">
        <v>13030</v>
      </c>
      <c r="D10475" s="15">
        <v>27.06</v>
      </c>
      <c r="E10475" s="14" t="s">
        <v>30</v>
      </c>
    </row>
    <row r="10476" spans="1:5" x14ac:dyDescent="0.25">
      <c r="A10476" s="14">
        <v>1017384</v>
      </c>
      <c r="B10476" s="14" t="s">
        <v>10574</v>
      </c>
      <c r="C10476" s="14" t="s">
        <v>13029</v>
      </c>
      <c r="D10476" s="15">
        <v>22.2</v>
      </c>
      <c r="E10476" s="14" t="s">
        <v>30</v>
      </c>
    </row>
    <row r="10477" spans="1:5" x14ac:dyDescent="0.25">
      <c r="A10477" s="14">
        <v>1017385</v>
      </c>
      <c r="B10477" s="14" t="s">
        <v>10575</v>
      </c>
      <c r="C10477" s="14" t="s">
        <v>13029</v>
      </c>
      <c r="D10477" s="15">
        <v>22.2</v>
      </c>
      <c r="E10477" s="14" t="s">
        <v>30</v>
      </c>
    </row>
    <row r="10478" spans="1:5" x14ac:dyDescent="0.25">
      <c r="A10478" s="14">
        <v>1017388</v>
      </c>
      <c r="B10478" s="14" t="s">
        <v>10576</v>
      </c>
      <c r="C10478" s="14" t="s">
        <v>13029</v>
      </c>
      <c r="D10478" s="15">
        <v>39.17</v>
      </c>
      <c r="E10478" s="14" t="s">
        <v>30</v>
      </c>
    </row>
    <row r="10479" spans="1:5" x14ac:dyDescent="0.25">
      <c r="A10479" s="14">
        <v>1017389</v>
      </c>
      <c r="B10479" s="14" t="s">
        <v>10577</v>
      </c>
      <c r="C10479" s="14" t="s">
        <v>13029</v>
      </c>
      <c r="D10479" s="15">
        <v>39.17</v>
      </c>
      <c r="E10479" s="14" t="s">
        <v>30</v>
      </c>
    </row>
    <row r="10480" spans="1:5" x14ac:dyDescent="0.25">
      <c r="A10480" s="14">
        <v>199233002</v>
      </c>
      <c r="B10480" s="14" t="s">
        <v>10578</v>
      </c>
      <c r="C10480" s="14" t="s">
        <v>13029</v>
      </c>
      <c r="D10480" s="15">
        <v>9.5500000000000007</v>
      </c>
      <c r="E10480" s="14" t="s">
        <v>30</v>
      </c>
    </row>
    <row r="10481" spans="1:5" x14ac:dyDescent="0.25">
      <c r="A10481" s="14">
        <v>23581</v>
      </c>
      <c r="B10481" s="14" t="s">
        <v>10579</v>
      </c>
      <c r="C10481" s="14" t="s">
        <v>13029</v>
      </c>
      <c r="D10481" s="15">
        <v>28.75</v>
      </c>
      <c r="E10481" s="14" t="s">
        <v>30</v>
      </c>
    </row>
    <row r="10482" spans="1:5" x14ac:dyDescent="0.25">
      <c r="A10482" s="14">
        <v>1001399</v>
      </c>
      <c r="B10482" s="14" t="s">
        <v>10580</v>
      </c>
      <c r="C10482" s="14" t="s">
        <v>13030</v>
      </c>
      <c r="D10482" s="15">
        <v>108.25</v>
      </c>
      <c r="E10482" s="14" t="s">
        <v>30</v>
      </c>
    </row>
    <row r="10483" spans="1:5" x14ac:dyDescent="0.25">
      <c r="A10483" s="14">
        <v>1014466</v>
      </c>
      <c r="B10483" s="14" t="s">
        <v>10581</v>
      </c>
      <c r="C10483" s="14" t="s">
        <v>13031</v>
      </c>
      <c r="D10483" s="15">
        <v>3.61</v>
      </c>
      <c r="E10483" s="14" t="s">
        <v>30</v>
      </c>
    </row>
    <row r="10484" spans="1:5" x14ac:dyDescent="0.25">
      <c r="A10484" s="14">
        <v>1016140</v>
      </c>
      <c r="B10484" s="14" t="s">
        <v>10582</v>
      </c>
      <c r="C10484" s="14" t="s">
        <v>13031</v>
      </c>
      <c r="D10484" s="15">
        <v>44.64</v>
      </c>
      <c r="E10484" s="14" t="s">
        <v>30</v>
      </c>
    </row>
    <row r="10485" spans="1:5" x14ac:dyDescent="0.25">
      <c r="A10485" s="14">
        <v>1016151</v>
      </c>
      <c r="B10485" s="14" t="s">
        <v>10583</v>
      </c>
      <c r="C10485" s="14" t="s">
        <v>13029</v>
      </c>
      <c r="D10485" s="15">
        <v>49.77</v>
      </c>
      <c r="E10485" s="14" t="s">
        <v>30</v>
      </c>
    </row>
    <row r="10486" spans="1:5" x14ac:dyDescent="0.25">
      <c r="A10486" s="14">
        <v>1016154</v>
      </c>
      <c r="B10486" s="14" t="s">
        <v>10584</v>
      </c>
      <c r="C10486" s="14" t="s">
        <v>13029</v>
      </c>
      <c r="D10486" s="15">
        <v>49.77</v>
      </c>
      <c r="E10486" s="14" t="s">
        <v>30</v>
      </c>
    </row>
    <row r="10487" spans="1:5" x14ac:dyDescent="0.25">
      <c r="A10487" s="14">
        <v>1016155</v>
      </c>
      <c r="B10487" s="14" t="s">
        <v>10585</v>
      </c>
      <c r="C10487" s="14" t="s">
        <v>13029</v>
      </c>
      <c r="D10487" s="15">
        <v>49.77</v>
      </c>
      <c r="E10487" s="14" t="s">
        <v>30</v>
      </c>
    </row>
    <row r="10488" spans="1:5" x14ac:dyDescent="0.25">
      <c r="A10488" s="14">
        <v>1016158</v>
      </c>
      <c r="B10488" s="14" t="s">
        <v>10586</v>
      </c>
      <c r="C10488" s="14" t="s">
        <v>13029</v>
      </c>
      <c r="D10488" s="15">
        <v>49.77</v>
      </c>
      <c r="E10488" s="14" t="s">
        <v>30</v>
      </c>
    </row>
    <row r="10489" spans="1:5" x14ac:dyDescent="0.25">
      <c r="A10489" s="14">
        <v>1016332</v>
      </c>
      <c r="B10489" s="14" t="s">
        <v>10587</v>
      </c>
      <c r="C10489" s="14" t="s">
        <v>13030</v>
      </c>
      <c r="D10489" s="15">
        <v>82.76</v>
      </c>
      <c r="E10489" s="14" t="s">
        <v>30</v>
      </c>
    </row>
    <row r="10490" spans="1:5" x14ac:dyDescent="0.25">
      <c r="A10490" s="14">
        <v>1017857</v>
      </c>
      <c r="B10490" s="14" t="s">
        <v>10588</v>
      </c>
      <c r="C10490" s="14" t="s">
        <v>13029</v>
      </c>
      <c r="D10490" s="15">
        <v>25.67</v>
      </c>
      <c r="E10490" s="14" t="s">
        <v>30</v>
      </c>
    </row>
    <row r="10491" spans="1:5" x14ac:dyDescent="0.25">
      <c r="A10491" s="14">
        <v>1018011</v>
      </c>
      <c r="B10491" s="14" t="s">
        <v>10589</v>
      </c>
      <c r="C10491" s="14" t="s">
        <v>13031</v>
      </c>
      <c r="D10491" s="15">
        <v>7.65</v>
      </c>
      <c r="E10491" s="14" t="s">
        <v>30</v>
      </c>
    </row>
    <row r="10492" spans="1:5" x14ac:dyDescent="0.25">
      <c r="A10492" s="14">
        <v>1016845</v>
      </c>
      <c r="B10492" s="14" t="s">
        <v>10590</v>
      </c>
      <c r="C10492" s="14" t="s">
        <v>13031</v>
      </c>
      <c r="D10492" s="15">
        <v>7.99</v>
      </c>
      <c r="E10492" s="14" t="s">
        <v>30</v>
      </c>
    </row>
    <row r="10493" spans="1:5" x14ac:dyDescent="0.25">
      <c r="A10493" s="14">
        <v>1016846</v>
      </c>
      <c r="B10493" s="14" t="s">
        <v>10591</v>
      </c>
      <c r="C10493" s="14" t="s">
        <v>13031</v>
      </c>
      <c r="D10493" s="15">
        <v>7.9</v>
      </c>
      <c r="E10493" s="14" t="s">
        <v>30</v>
      </c>
    </row>
    <row r="10494" spans="1:5" x14ac:dyDescent="0.25">
      <c r="A10494" s="14">
        <v>1018263</v>
      </c>
      <c r="B10494" s="14" t="s">
        <v>10592</v>
      </c>
      <c r="C10494" s="14" t="s">
        <v>13030</v>
      </c>
      <c r="D10494" s="15">
        <v>76.37</v>
      </c>
      <c r="E10494" s="14" t="s">
        <v>30</v>
      </c>
    </row>
    <row r="10495" spans="1:5" x14ac:dyDescent="0.25">
      <c r="A10495" s="14">
        <v>1017890001</v>
      </c>
      <c r="B10495" s="14" t="s">
        <v>10593</v>
      </c>
      <c r="C10495" s="14" t="s">
        <v>13030</v>
      </c>
      <c r="D10495" s="15">
        <v>3.52</v>
      </c>
      <c r="E10495" s="14" t="s">
        <v>30</v>
      </c>
    </row>
    <row r="10496" spans="1:5" x14ac:dyDescent="0.25">
      <c r="A10496" s="14">
        <v>975304</v>
      </c>
      <c r="B10496" s="14" t="s">
        <v>10594</v>
      </c>
      <c r="C10496" s="14" t="s">
        <v>13031</v>
      </c>
      <c r="D10496" s="15">
        <v>24.56</v>
      </c>
      <c r="E10496" s="14" t="s">
        <v>30</v>
      </c>
    </row>
    <row r="10497" spans="1:5" x14ac:dyDescent="0.25">
      <c r="A10497" s="14">
        <v>1016139</v>
      </c>
      <c r="B10497" s="14" t="s">
        <v>10595</v>
      </c>
      <c r="C10497" s="14" t="s">
        <v>13031</v>
      </c>
      <c r="D10497" s="15">
        <v>34.520000000000003</v>
      </c>
      <c r="E10497" s="14" t="s">
        <v>30</v>
      </c>
    </row>
    <row r="10498" spans="1:5" x14ac:dyDescent="0.25">
      <c r="A10498" s="14">
        <v>1016159</v>
      </c>
      <c r="B10498" s="14" t="s">
        <v>10596</v>
      </c>
      <c r="C10498" s="14" t="s">
        <v>13029</v>
      </c>
      <c r="D10498" s="15">
        <v>28</v>
      </c>
      <c r="E10498" s="14" t="s">
        <v>30</v>
      </c>
    </row>
    <row r="10499" spans="1:5" x14ac:dyDescent="0.25">
      <c r="A10499" s="14">
        <v>1016160</v>
      </c>
      <c r="B10499" s="14" t="s">
        <v>10597</v>
      </c>
      <c r="C10499" s="14" t="s">
        <v>13029</v>
      </c>
      <c r="D10499" s="15">
        <v>28</v>
      </c>
      <c r="E10499" s="14" t="s">
        <v>30</v>
      </c>
    </row>
    <row r="10500" spans="1:5" x14ac:dyDescent="0.25">
      <c r="A10500" s="14">
        <v>981902</v>
      </c>
      <c r="B10500" s="14" t="s">
        <v>10598</v>
      </c>
      <c r="C10500" s="14" t="s">
        <v>13031</v>
      </c>
      <c r="D10500" s="15">
        <v>6.02</v>
      </c>
      <c r="E10500" s="14" t="s">
        <v>30</v>
      </c>
    </row>
    <row r="10501" spans="1:5" x14ac:dyDescent="0.25">
      <c r="A10501" s="14">
        <v>768389002</v>
      </c>
      <c r="B10501" s="14" t="s">
        <v>10599</v>
      </c>
      <c r="C10501" s="14" t="s">
        <v>13030</v>
      </c>
      <c r="D10501" s="15">
        <v>52.22</v>
      </c>
      <c r="E10501" s="16" t="s">
        <v>20</v>
      </c>
    </row>
    <row r="10502" spans="1:5" x14ac:dyDescent="0.25">
      <c r="A10502" s="14">
        <v>768390001</v>
      </c>
      <c r="B10502" s="14" t="s">
        <v>10600</v>
      </c>
      <c r="C10502" s="14" t="s">
        <v>13030</v>
      </c>
      <c r="D10502" s="15">
        <v>34.56</v>
      </c>
      <c r="E10502" s="16" t="s">
        <v>20</v>
      </c>
    </row>
    <row r="10503" spans="1:5" x14ac:dyDescent="0.25">
      <c r="A10503" s="14">
        <v>768390002</v>
      </c>
      <c r="B10503" s="14" t="s">
        <v>10601</v>
      </c>
      <c r="C10503" s="14" t="s">
        <v>13030</v>
      </c>
      <c r="D10503" s="15">
        <v>37.979999999999997</v>
      </c>
      <c r="E10503" s="16" t="s">
        <v>20</v>
      </c>
    </row>
    <row r="10504" spans="1:5" x14ac:dyDescent="0.25">
      <c r="A10504" s="14">
        <v>768392001</v>
      </c>
      <c r="B10504" s="14" t="s">
        <v>10602</v>
      </c>
      <c r="C10504" s="14" t="s">
        <v>13030</v>
      </c>
      <c r="D10504" s="15">
        <v>23.56</v>
      </c>
      <c r="E10504" s="16" t="s">
        <v>20</v>
      </c>
    </row>
    <row r="10505" spans="1:5" x14ac:dyDescent="0.25">
      <c r="A10505" s="14">
        <v>768392002</v>
      </c>
      <c r="B10505" s="14" t="s">
        <v>10603</v>
      </c>
      <c r="C10505" s="14" t="s">
        <v>13030</v>
      </c>
      <c r="D10505" s="15">
        <v>23.56</v>
      </c>
      <c r="E10505" s="16" t="s">
        <v>20</v>
      </c>
    </row>
    <row r="10506" spans="1:5" x14ac:dyDescent="0.25">
      <c r="A10506" s="14">
        <v>768393001</v>
      </c>
      <c r="B10506" s="14" t="s">
        <v>10604</v>
      </c>
      <c r="C10506" s="14" t="s">
        <v>13030</v>
      </c>
      <c r="D10506" s="15">
        <v>23.56</v>
      </c>
      <c r="E10506" s="16" t="s">
        <v>20</v>
      </c>
    </row>
    <row r="10507" spans="1:5" x14ac:dyDescent="0.25">
      <c r="A10507" s="14">
        <v>772708001</v>
      </c>
      <c r="B10507" s="14" t="s">
        <v>10605</v>
      </c>
      <c r="C10507" s="14" t="s">
        <v>13030</v>
      </c>
      <c r="D10507" s="15">
        <v>36.47</v>
      </c>
      <c r="E10507" s="16" t="s">
        <v>20</v>
      </c>
    </row>
    <row r="10508" spans="1:5" x14ac:dyDescent="0.25">
      <c r="A10508" s="14">
        <v>772708002</v>
      </c>
      <c r="B10508" s="14" t="s">
        <v>10606</v>
      </c>
      <c r="C10508" s="14" t="s">
        <v>13030</v>
      </c>
      <c r="D10508" s="15">
        <v>36.450000000000003</v>
      </c>
      <c r="E10508" s="16" t="s">
        <v>20</v>
      </c>
    </row>
    <row r="10509" spans="1:5" x14ac:dyDescent="0.25">
      <c r="A10509" s="14">
        <v>768637001</v>
      </c>
      <c r="B10509" s="14" t="s">
        <v>10607</v>
      </c>
      <c r="C10509" s="14" t="s">
        <v>13031</v>
      </c>
      <c r="D10509" s="15">
        <v>9.75</v>
      </c>
      <c r="E10509" s="16" t="s">
        <v>20</v>
      </c>
    </row>
    <row r="10510" spans="1:5" x14ac:dyDescent="0.25">
      <c r="A10510" s="14">
        <v>768637002</v>
      </c>
      <c r="B10510" s="14" t="s">
        <v>10608</v>
      </c>
      <c r="C10510" s="14" t="s">
        <v>13031</v>
      </c>
      <c r="D10510" s="15">
        <v>9.75</v>
      </c>
      <c r="E10510" s="16" t="s">
        <v>20</v>
      </c>
    </row>
    <row r="10511" spans="1:5" x14ac:dyDescent="0.25">
      <c r="A10511" s="14">
        <v>990600</v>
      </c>
      <c r="B10511" s="14" t="s">
        <v>10609</v>
      </c>
      <c r="C10511" s="14" t="s">
        <v>13033</v>
      </c>
      <c r="D10511" s="15">
        <v>23.67</v>
      </c>
      <c r="E10511" s="14" t="s">
        <v>30</v>
      </c>
    </row>
    <row r="10512" spans="1:5" x14ac:dyDescent="0.25">
      <c r="A10512" s="14">
        <v>1017934</v>
      </c>
      <c r="B10512" s="14" t="s">
        <v>10610</v>
      </c>
      <c r="C10512" s="14" t="s">
        <v>13029</v>
      </c>
      <c r="D10512" s="15">
        <v>41.53</v>
      </c>
      <c r="E10512" s="14" t="s">
        <v>30</v>
      </c>
    </row>
    <row r="10513" spans="1:5" x14ac:dyDescent="0.25">
      <c r="A10513" s="14">
        <v>1017935</v>
      </c>
      <c r="B10513" s="14" t="s">
        <v>10611</v>
      </c>
      <c r="C10513" s="14" t="s">
        <v>13029</v>
      </c>
      <c r="D10513" s="15">
        <v>41.53</v>
      </c>
      <c r="E10513" s="14" t="s">
        <v>30</v>
      </c>
    </row>
    <row r="10514" spans="1:5" x14ac:dyDescent="0.25">
      <c r="A10514" s="14">
        <v>1017939</v>
      </c>
      <c r="B10514" s="14" t="s">
        <v>10612</v>
      </c>
      <c r="C10514" s="14" t="s">
        <v>13029</v>
      </c>
      <c r="D10514" s="15">
        <v>42.71</v>
      </c>
      <c r="E10514" s="14" t="s">
        <v>30</v>
      </c>
    </row>
    <row r="10515" spans="1:5" x14ac:dyDescent="0.25">
      <c r="A10515" s="14">
        <v>1017972</v>
      </c>
      <c r="B10515" s="14" t="s">
        <v>10613</v>
      </c>
      <c r="C10515" s="14" t="s">
        <v>13029</v>
      </c>
      <c r="D10515" s="15">
        <v>20.56</v>
      </c>
      <c r="E10515" s="14" t="s">
        <v>30</v>
      </c>
    </row>
    <row r="10516" spans="1:5" x14ac:dyDescent="0.25">
      <c r="A10516" s="14">
        <v>1019409</v>
      </c>
      <c r="B10516" s="14" t="s">
        <v>10614</v>
      </c>
      <c r="C10516" s="14" t="s">
        <v>13030</v>
      </c>
      <c r="D10516" s="15">
        <v>38.92</v>
      </c>
      <c r="E10516" s="14" t="s">
        <v>30</v>
      </c>
    </row>
    <row r="10517" spans="1:5" x14ac:dyDescent="0.25">
      <c r="A10517" s="14">
        <v>522205</v>
      </c>
      <c r="B10517" s="14" t="s">
        <v>10615</v>
      </c>
      <c r="C10517" s="14" t="s">
        <v>13029</v>
      </c>
      <c r="D10517" s="15">
        <v>13.83</v>
      </c>
      <c r="E10517" s="14" t="s">
        <v>30</v>
      </c>
    </row>
    <row r="10518" spans="1:5" x14ac:dyDescent="0.25">
      <c r="A10518" s="14">
        <v>750413</v>
      </c>
      <c r="B10518" s="14" t="s">
        <v>10616</v>
      </c>
      <c r="C10518" s="14" t="s">
        <v>13029</v>
      </c>
      <c r="D10518" s="15">
        <v>16.5</v>
      </c>
      <c r="E10518" s="14" t="s">
        <v>30</v>
      </c>
    </row>
    <row r="10519" spans="1:5" x14ac:dyDescent="0.25">
      <c r="A10519" s="14">
        <v>768405</v>
      </c>
      <c r="B10519" s="14" t="s">
        <v>10617</v>
      </c>
      <c r="C10519" s="14" t="s">
        <v>13029</v>
      </c>
      <c r="D10519" s="15">
        <v>10.96</v>
      </c>
      <c r="E10519" s="14" t="s">
        <v>30</v>
      </c>
    </row>
    <row r="10520" spans="1:5" x14ac:dyDescent="0.25">
      <c r="A10520" s="14">
        <v>1018027</v>
      </c>
      <c r="B10520" s="14" t="s">
        <v>10618</v>
      </c>
      <c r="C10520" s="14" t="s">
        <v>13029</v>
      </c>
      <c r="D10520" s="15">
        <v>6.7</v>
      </c>
      <c r="E10520" s="14" t="s">
        <v>30</v>
      </c>
    </row>
    <row r="10521" spans="1:5" x14ac:dyDescent="0.25">
      <c r="A10521" s="14">
        <v>1018028</v>
      </c>
      <c r="B10521" s="14" t="s">
        <v>10619</v>
      </c>
      <c r="C10521" s="14" t="s">
        <v>13029</v>
      </c>
      <c r="D10521" s="15">
        <v>7</v>
      </c>
      <c r="E10521" s="14" t="s">
        <v>30</v>
      </c>
    </row>
    <row r="10522" spans="1:5" x14ac:dyDescent="0.25">
      <c r="A10522" s="14">
        <v>1018031</v>
      </c>
      <c r="B10522" s="14" t="s">
        <v>10620</v>
      </c>
      <c r="C10522" s="14" t="s">
        <v>13029</v>
      </c>
      <c r="D10522" s="15">
        <v>12</v>
      </c>
      <c r="E10522" s="14" t="s">
        <v>30</v>
      </c>
    </row>
    <row r="10523" spans="1:5" x14ac:dyDescent="0.25">
      <c r="A10523" s="14">
        <v>1018032</v>
      </c>
      <c r="B10523" s="14" t="s">
        <v>10621</v>
      </c>
      <c r="C10523" s="14" t="s">
        <v>13029</v>
      </c>
      <c r="D10523" s="15">
        <v>10.1</v>
      </c>
      <c r="E10523" s="14" t="s">
        <v>30</v>
      </c>
    </row>
    <row r="10524" spans="1:5" x14ac:dyDescent="0.25">
      <c r="A10524" s="14">
        <v>1018035</v>
      </c>
      <c r="B10524" s="14" t="s">
        <v>10622</v>
      </c>
      <c r="C10524" s="14" t="s">
        <v>13029</v>
      </c>
      <c r="D10524" s="15">
        <v>5.0999999999999996</v>
      </c>
      <c r="E10524" s="14" t="s">
        <v>30</v>
      </c>
    </row>
    <row r="10525" spans="1:5" x14ac:dyDescent="0.25">
      <c r="A10525" s="14">
        <v>1018036</v>
      </c>
      <c r="B10525" s="14" t="s">
        <v>10623</v>
      </c>
      <c r="C10525" s="14" t="s">
        <v>13029</v>
      </c>
      <c r="D10525" s="15">
        <v>6.8</v>
      </c>
      <c r="E10525" s="14" t="s">
        <v>30</v>
      </c>
    </row>
    <row r="10526" spans="1:5" x14ac:dyDescent="0.25">
      <c r="A10526" s="14">
        <v>1018039</v>
      </c>
      <c r="B10526" s="14" t="s">
        <v>10624</v>
      </c>
      <c r="C10526" s="14" t="s">
        <v>13029</v>
      </c>
      <c r="D10526" s="15">
        <v>7</v>
      </c>
      <c r="E10526" s="14" t="s">
        <v>30</v>
      </c>
    </row>
    <row r="10527" spans="1:5" x14ac:dyDescent="0.25">
      <c r="A10527" s="14">
        <v>1018266</v>
      </c>
      <c r="B10527" s="14" t="s">
        <v>10625</v>
      </c>
      <c r="C10527" s="14" t="s">
        <v>13031</v>
      </c>
      <c r="D10527" s="15">
        <v>8.83</v>
      </c>
      <c r="E10527" s="14" t="s">
        <v>30</v>
      </c>
    </row>
    <row r="10528" spans="1:5" x14ac:dyDescent="0.25">
      <c r="A10528" s="14">
        <v>1018656</v>
      </c>
      <c r="B10528" s="14" t="s">
        <v>10626</v>
      </c>
      <c r="C10528" s="14" t="s">
        <v>13029</v>
      </c>
      <c r="D10528" s="15">
        <v>19.29</v>
      </c>
      <c r="E10528" s="14" t="s">
        <v>30</v>
      </c>
    </row>
    <row r="10529" spans="1:5" x14ac:dyDescent="0.25">
      <c r="A10529" s="14">
        <v>1018657</v>
      </c>
      <c r="B10529" s="14" t="s">
        <v>10627</v>
      </c>
      <c r="C10529" s="14" t="s">
        <v>13029</v>
      </c>
      <c r="D10529" s="15">
        <v>19.29</v>
      </c>
      <c r="E10529" s="14" t="s">
        <v>30</v>
      </c>
    </row>
    <row r="10530" spans="1:5" x14ac:dyDescent="0.25">
      <c r="A10530" s="14">
        <v>1019083</v>
      </c>
      <c r="B10530" s="14" t="s">
        <v>10628</v>
      </c>
      <c r="C10530" s="14" t="s">
        <v>13031</v>
      </c>
      <c r="D10530" s="15">
        <v>14.42</v>
      </c>
      <c r="E10530" s="14" t="s">
        <v>30</v>
      </c>
    </row>
    <row r="10531" spans="1:5" x14ac:dyDescent="0.25">
      <c r="A10531" s="14">
        <v>1019084</v>
      </c>
      <c r="B10531" s="14" t="s">
        <v>10629</v>
      </c>
      <c r="C10531" s="14" t="s">
        <v>13031</v>
      </c>
      <c r="D10531" s="15">
        <v>9.2100000000000009</v>
      </c>
      <c r="E10531" s="14" t="s">
        <v>30</v>
      </c>
    </row>
    <row r="10532" spans="1:5" x14ac:dyDescent="0.25">
      <c r="A10532" s="14">
        <v>1019397</v>
      </c>
      <c r="B10532" s="14" t="s">
        <v>10630</v>
      </c>
      <c r="C10532" s="14" t="s">
        <v>13029</v>
      </c>
      <c r="D10532" s="15">
        <v>6.04</v>
      </c>
      <c r="E10532" s="14" t="s">
        <v>30</v>
      </c>
    </row>
    <row r="10533" spans="1:5" x14ac:dyDescent="0.25">
      <c r="A10533" s="14">
        <v>1019427</v>
      </c>
      <c r="B10533" s="14" t="s">
        <v>10631</v>
      </c>
      <c r="C10533" s="14" t="s">
        <v>13031</v>
      </c>
      <c r="D10533" s="15">
        <v>3.81</v>
      </c>
      <c r="E10533" s="14" t="s">
        <v>30</v>
      </c>
    </row>
    <row r="10534" spans="1:5" x14ac:dyDescent="0.25">
      <c r="A10534" s="14">
        <v>1019786</v>
      </c>
      <c r="B10534" s="14" t="s">
        <v>10632</v>
      </c>
      <c r="C10534" s="14" t="s">
        <v>13031</v>
      </c>
      <c r="D10534" s="15">
        <v>3.78</v>
      </c>
      <c r="E10534" s="14" t="s">
        <v>30</v>
      </c>
    </row>
    <row r="10535" spans="1:5" x14ac:dyDescent="0.25">
      <c r="A10535" s="14">
        <v>1019788</v>
      </c>
      <c r="B10535" s="14" t="s">
        <v>10633</v>
      </c>
      <c r="C10535" s="14" t="s">
        <v>13031</v>
      </c>
      <c r="D10535" s="15">
        <v>3.3</v>
      </c>
      <c r="E10535" s="14" t="s">
        <v>30</v>
      </c>
    </row>
    <row r="10536" spans="1:5" x14ac:dyDescent="0.25">
      <c r="A10536" s="14">
        <v>1020080</v>
      </c>
      <c r="B10536" s="14" t="s">
        <v>10634</v>
      </c>
      <c r="C10536" s="14" t="s">
        <v>13030</v>
      </c>
      <c r="D10536" s="15">
        <v>32.590000000000003</v>
      </c>
      <c r="E10536" s="14" t="s">
        <v>30</v>
      </c>
    </row>
    <row r="10537" spans="1:5" x14ac:dyDescent="0.25">
      <c r="A10537" s="14">
        <v>1021509</v>
      </c>
      <c r="B10537" s="14" t="s">
        <v>10635</v>
      </c>
      <c r="C10537" s="14" t="s">
        <v>13029</v>
      </c>
      <c r="D10537" s="15">
        <v>10.77</v>
      </c>
      <c r="E10537" s="14" t="s">
        <v>30</v>
      </c>
    </row>
    <row r="10538" spans="1:5" x14ac:dyDescent="0.25">
      <c r="A10538" s="14">
        <v>1018841</v>
      </c>
      <c r="B10538" s="14" t="s">
        <v>10636</v>
      </c>
      <c r="C10538" s="14" t="s">
        <v>13031</v>
      </c>
      <c r="D10538" s="15">
        <v>3.52</v>
      </c>
      <c r="E10538" s="14" t="s">
        <v>30</v>
      </c>
    </row>
    <row r="10539" spans="1:5" x14ac:dyDescent="0.25">
      <c r="A10539" s="14">
        <v>1018842</v>
      </c>
      <c r="B10539" s="14" t="s">
        <v>10637</v>
      </c>
      <c r="C10539" s="14" t="s">
        <v>13031</v>
      </c>
      <c r="D10539" s="15">
        <v>3.01</v>
      </c>
      <c r="E10539" s="14" t="s">
        <v>30</v>
      </c>
    </row>
    <row r="10540" spans="1:5" x14ac:dyDescent="0.25">
      <c r="A10540" s="14">
        <v>1019779</v>
      </c>
      <c r="B10540" s="14" t="s">
        <v>10638</v>
      </c>
      <c r="C10540" s="14" t="s">
        <v>13030</v>
      </c>
      <c r="D10540" s="15">
        <v>22.01</v>
      </c>
      <c r="E10540" s="14" t="s">
        <v>30</v>
      </c>
    </row>
    <row r="10541" spans="1:5" x14ac:dyDescent="0.25">
      <c r="A10541" s="14">
        <v>520898</v>
      </c>
      <c r="B10541" s="14" t="s">
        <v>10639</v>
      </c>
      <c r="C10541" s="14" t="s">
        <v>13029</v>
      </c>
      <c r="D10541" s="15">
        <v>8.83</v>
      </c>
      <c r="E10541" s="14" t="s">
        <v>30</v>
      </c>
    </row>
    <row r="10542" spans="1:5" x14ac:dyDescent="0.25">
      <c r="A10542" s="14">
        <v>199233005</v>
      </c>
      <c r="B10542" s="14" t="s">
        <v>10640</v>
      </c>
      <c r="C10542" s="14" t="s">
        <v>13029</v>
      </c>
      <c r="D10542" s="15">
        <v>10.15</v>
      </c>
      <c r="E10542" s="14" t="s">
        <v>30</v>
      </c>
    </row>
    <row r="10543" spans="1:5" x14ac:dyDescent="0.25">
      <c r="A10543" s="14">
        <v>509310</v>
      </c>
      <c r="B10543" s="14" t="s">
        <v>10641</v>
      </c>
      <c r="C10543" s="14" t="s">
        <v>13029</v>
      </c>
      <c r="D10543" s="15">
        <v>7.65</v>
      </c>
      <c r="E10543" s="14" t="s">
        <v>30</v>
      </c>
    </row>
    <row r="10544" spans="1:5" x14ac:dyDescent="0.25">
      <c r="A10544" s="14">
        <v>1019804</v>
      </c>
      <c r="B10544" s="14" t="s">
        <v>10642</v>
      </c>
      <c r="C10544" s="14" t="s">
        <v>13031</v>
      </c>
      <c r="D10544" s="15">
        <v>5.04</v>
      </c>
      <c r="E10544" s="14" t="s">
        <v>30</v>
      </c>
    </row>
    <row r="10545" spans="1:5" x14ac:dyDescent="0.25">
      <c r="A10545" s="14">
        <v>1019805</v>
      </c>
      <c r="B10545" s="14" t="s">
        <v>10643</v>
      </c>
      <c r="C10545" s="14" t="s">
        <v>13031</v>
      </c>
      <c r="D10545" s="15">
        <v>7.36</v>
      </c>
      <c r="E10545" s="14" t="s">
        <v>30</v>
      </c>
    </row>
    <row r="10546" spans="1:5" x14ac:dyDescent="0.25">
      <c r="A10546" s="14">
        <v>1019424003</v>
      </c>
      <c r="B10546" s="14" t="s">
        <v>10644</v>
      </c>
      <c r="C10546" s="14" t="s">
        <v>13031</v>
      </c>
      <c r="D10546" s="15">
        <v>11.81</v>
      </c>
      <c r="E10546" s="14" t="s">
        <v>30</v>
      </c>
    </row>
    <row r="10547" spans="1:5" x14ac:dyDescent="0.25">
      <c r="A10547" s="14">
        <v>1019424004</v>
      </c>
      <c r="B10547" s="14" t="s">
        <v>10645</v>
      </c>
      <c r="C10547" s="14" t="s">
        <v>13031</v>
      </c>
      <c r="D10547" s="15">
        <v>11.81</v>
      </c>
      <c r="E10547" s="14" t="s">
        <v>30</v>
      </c>
    </row>
    <row r="10548" spans="1:5" x14ac:dyDescent="0.25">
      <c r="A10548" s="14">
        <v>1019425001</v>
      </c>
      <c r="B10548" s="14" t="s">
        <v>10646</v>
      </c>
      <c r="C10548" s="14" t="s">
        <v>13031</v>
      </c>
      <c r="D10548" s="15">
        <v>11.81</v>
      </c>
      <c r="E10548" s="14" t="s">
        <v>30</v>
      </c>
    </row>
    <row r="10549" spans="1:5" x14ac:dyDescent="0.25">
      <c r="A10549" s="14">
        <v>1019425002</v>
      </c>
      <c r="B10549" s="14" t="s">
        <v>10647</v>
      </c>
      <c r="C10549" s="14" t="s">
        <v>13031</v>
      </c>
      <c r="D10549" s="15">
        <v>11.81</v>
      </c>
      <c r="E10549" s="14" t="s">
        <v>30</v>
      </c>
    </row>
    <row r="10550" spans="1:5" x14ac:dyDescent="0.25">
      <c r="A10550" s="14">
        <v>1019425005</v>
      </c>
      <c r="B10550" s="14" t="s">
        <v>10648</v>
      </c>
      <c r="C10550" s="14" t="s">
        <v>13031</v>
      </c>
      <c r="D10550" s="15">
        <v>11.81</v>
      </c>
      <c r="E10550" s="14" t="s">
        <v>30</v>
      </c>
    </row>
    <row r="10551" spans="1:5" x14ac:dyDescent="0.25">
      <c r="A10551" s="14">
        <v>1019425006</v>
      </c>
      <c r="B10551" s="14" t="s">
        <v>10649</v>
      </c>
      <c r="C10551" s="14" t="s">
        <v>13031</v>
      </c>
      <c r="D10551" s="15">
        <v>11.81</v>
      </c>
      <c r="E10551" s="14" t="s">
        <v>30</v>
      </c>
    </row>
    <row r="10552" spans="1:5" x14ac:dyDescent="0.25">
      <c r="A10552" s="14">
        <v>1020074</v>
      </c>
      <c r="B10552" s="14" t="s">
        <v>10650</v>
      </c>
      <c r="C10552" s="14" t="s">
        <v>13029</v>
      </c>
      <c r="D10552" s="15">
        <v>23.93</v>
      </c>
      <c r="E10552" s="14" t="s">
        <v>30</v>
      </c>
    </row>
    <row r="10553" spans="1:5" x14ac:dyDescent="0.25">
      <c r="A10553" s="14">
        <v>1020075</v>
      </c>
      <c r="B10553" s="14" t="s">
        <v>10651</v>
      </c>
      <c r="C10553" s="14" t="s">
        <v>13029</v>
      </c>
      <c r="D10553" s="15">
        <v>21.31</v>
      </c>
      <c r="E10553" s="14" t="s">
        <v>30</v>
      </c>
    </row>
    <row r="10554" spans="1:5" x14ac:dyDescent="0.25">
      <c r="A10554" s="14">
        <v>1021539</v>
      </c>
      <c r="B10554" s="14" t="s">
        <v>10652</v>
      </c>
      <c r="C10554" s="14" t="s">
        <v>13031</v>
      </c>
      <c r="D10554" s="15">
        <v>10.25</v>
      </c>
      <c r="E10554" s="14" t="s">
        <v>30</v>
      </c>
    </row>
    <row r="10555" spans="1:5" x14ac:dyDescent="0.25">
      <c r="A10555" s="14">
        <v>1021540</v>
      </c>
      <c r="B10555" s="14" t="s">
        <v>10653</v>
      </c>
      <c r="C10555" s="14" t="s">
        <v>13031</v>
      </c>
      <c r="D10555" s="15">
        <v>10.25</v>
      </c>
      <c r="E10555" s="14" t="s">
        <v>30</v>
      </c>
    </row>
    <row r="10556" spans="1:5" x14ac:dyDescent="0.25">
      <c r="A10556" s="14">
        <v>1009737</v>
      </c>
      <c r="B10556" s="14" t="s">
        <v>10654</v>
      </c>
      <c r="C10556" s="14" t="s">
        <v>13029</v>
      </c>
      <c r="D10556" s="15">
        <v>38.76</v>
      </c>
      <c r="E10556" s="14" t="s">
        <v>30</v>
      </c>
    </row>
    <row r="10557" spans="1:5" x14ac:dyDescent="0.25">
      <c r="A10557" s="14">
        <v>1009738</v>
      </c>
      <c r="B10557" s="14" t="s">
        <v>10655</v>
      </c>
      <c r="C10557" s="14" t="s">
        <v>13029</v>
      </c>
      <c r="D10557" s="15">
        <v>38.76</v>
      </c>
      <c r="E10557" s="14" t="s">
        <v>30</v>
      </c>
    </row>
    <row r="10558" spans="1:5" x14ac:dyDescent="0.25">
      <c r="A10558" s="14">
        <v>1014997</v>
      </c>
      <c r="B10558" s="14" t="s">
        <v>10656</v>
      </c>
      <c r="C10558" s="14" t="s">
        <v>13029</v>
      </c>
      <c r="D10558" s="15">
        <v>37.31</v>
      </c>
      <c r="E10558" s="14" t="s">
        <v>30</v>
      </c>
    </row>
    <row r="10559" spans="1:5" x14ac:dyDescent="0.25">
      <c r="A10559" s="14">
        <v>1014998</v>
      </c>
      <c r="B10559" s="14" t="s">
        <v>10657</v>
      </c>
      <c r="C10559" s="14" t="s">
        <v>13029</v>
      </c>
      <c r="D10559" s="15">
        <v>37.31</v>
      </c>
      <c r="E10559" s="14" t="s">
        <v>30</v>
      </c>
    </row>
    <row r="10560" spans="1:5" x14ac:dyDescent="0.25">
      <c r="A10560" s="14">
        <v>1019033</v>
      </c>
      <c r="B10560" s="14" t="s">
        <v>10658</v>
      </c>
      <c r="C10560" s="14" t="s">
        <v>13029</v>
      </c>
      <c r="D10560" s="15">
        <v>9.31</v>
      </c>
      <c r="E10560" s="14" t="s">
        <v>30</v>
      </c>
    </row>
    <row r="10561" spans="1:5" x14ac:dyDescent="0.25">
      <c r="A10561" s="14">
        <v>1019034</v>
      </c>
      <c r="B10561" s="14" t="s">
        <v>10659</v>
      </c>
      <c r="C10561" s="14" t="s">
        <v>13029</v>
      </c>
      <c r="D10561" s="15">
        <v>13.72</v>
      </c>
      <c r="E10561" s="14" t="s">
        <v>30</v>
      </c>
    </row>
    <row r="10562" spans="1:5" x14ac:dyDescent="0.25">
      <c r="A10562" s="14">
        <v>1021522</v>
      </c>
      <c r="B10562" s="14" t="s">
        <v>10660</v>
      </c>
      <c r="C10562" s="14" t="s">
        <v>13030</v>
      </c>
      <c r="D10562" s="15">
        <v>28.74</v>
      </c>
      <c r="E10562" s="14" t="s">
        <v>30</v>
      </c>
    </row>
    <row r="10563" spans="1:5" x14ac:dyDescent="0.25">
      <c r="A10563" s="14">
        <v>1022069</v>
      </c>
      <c r="B10563" s="14" t="s">
        <v>10661</v>
      </c>
      <c r="C10563" s="14" t="s">
        <v>13030</v>
      </c>
      <c r="D10563" s="15">
        <v>20.78</v>
      </c>
      <c r="E10563" s="14" t="s">
        <v>30</v>
      </c>
    </row>
    <row r="10564" spans="1:5" x14ac:dyDescent="0.25">
      <c r="A10564" s="14">
        <v>768638001</v>
      </c>
      <c r="B10564" s="14" t="s">
        <v>10662</v>
      </c>
      <c r="C10564" s="14" t="s">
        <v>13031</v>
      </c>
      <c r="D10564" s="15">
        <v>11.8</v>
      </c>
      <c r="E10564" s="16" t="s">
        <v>20</v>
      </c>
    </row>
    <row r="10565" spans="1:5" x14ac:dyDescent="0.25">
      <c r="A10565" s="14">
        <v>768638002</v>
      </c>
      <c r="B10565" s="14" t="s">
        <v>10663</v>
      </c>
      <c r="C10565" s="14" t="s">
        <v>13031</v>
      </c>
      <c r="D10565" s="15">
        <v>11.8</v>
      </c>
      <c r="E10565" s="16" t="s">
        <v>20</v>
      </c>
    </row>
    <row r="10566" spans="1:5" x14ac:dyDescent="0.25">
      <c r="A10566" s="14">
        <v>768638003</v>
      </c>
      <c r="B10566" s="14" t="s">
        <v>10664</v>
      </c>
      <c r="C10566" s="14" t="s">
        <v>13031</v>
      </c>
      <c r="D10566" s="15">
        <v>11.8</v>
      </c>
      <c r="E10566" s="16" t="s">
        <v>20</v>
      </c>
    </row>
    <row r="10567" spans="1:5" x14ac:dyDescent="0.25">
      <c r="A10567" s="14">
        <v>792341001</v>
      </c>
      <c r="B10567" s="14" t="s">
        <v>10665</v>
      </c>
      <c r="C10567" s="14" t="s">
        <v>13031</v>
      </c>
      <c r="D10567" s="15">
        <v>17.350000000000001</v>
      </c>
      <c r="E10567" s="16" t="s">
        <v>20</v>
      </c>
    </row>
    <row r="10568" spans="1:5" x14ac:dyDescent="0.25">
      <c r="A10568" s="14">
        <v>792341002</v>
      </c>
      <c r="B10568" s="14" t="s">
        <v>10666</v>
      </c>
      <c r="C10568" s="14" t="s">
        <v>13031</v>
      </c>
      <c r="D10568" s="15">
        <v>17.350000000000001</v>
      </c>
      <c r="E10568" s="16" t="s">
        <v>20</v>
      </c>
    </row>
    <row r="10569" spans="1:5" x14ac:dyDescent="0.25">
      <c r="A10569" s="14">
        <v>792341003</v>
      </c>
      <c r="B10569" s="14" t="s">
        <v>10667</v>
      </c>
      <c r="C10569" s="14" t="s">
        <v>13031</v>
      </c>
      <c r="D10569" s="15">
        <v>17.350000000000001</v>
      </c>
      <c r="E10569" s="16" t="s">
        <v>20</v>
      </c>
    </row>
    <row r="10570" spans="1:5" x14ac:dyDescent="0.25">
      <c r="A10570" s="14">
        <v>1022075</v>
      </c>
      <c r="B10570" s="14" t="s">
        <v>10668</v>
      </c>
      <c r="C10570" s="14" t="s">
        <v>13030</v>
      </c>
      <c r="D10570" s="15">
        <v>27.73</v>
      </c>
      <c r="E10570" s="14" t="s">
        <v>30</v>
      </c>
    </row>
    <row r="10571" spans="1:5" x14ac:dyDescent="0.25">
      <c r="A10571" s="14">
        <v>1022076</v>
      </c>
      <c r="B10571" s="14" t="s">
        <v>10669</v>
      </c>
      <c r="C10571" s="14" t="s">
        <v>13030</v>
      </c>
      <c r="D10571" s="15">
        <v>34.68</v>
      </c>
      <c r="E10571" s="14" t="s">
        <v>30</v>
      </c>
    </row>
    <row r="10572" spans="1:5" x14ac:dyDescent="0.25">
      <c r="A10572" s="14">
        <v>1022347</v>
      </c>
      <c r="B10572" s="14" t="s">
        <v>10670</v>
      </c>
      <c r="C10572" s="14" t="s">
        <v>13030</v>
      </c>
      <c r="D10572" s="15">
        <v>228.81</v>
      </c>
      <c r="E10572" s="14" t="s">
        <v>30</v>
      </c>
    </row>
    <row r="10573" spans="1:5" x14ac:dyDescent="0.25">
      <c r="A10573" s="14">
        <v>577067</v>
      </c>
      <c r="B10573" s="14" t="s">
        <v>10671</v>
      </c>
      <c r="C10573" s="14" t="s">
        <v>13029</v>
      </c>
      <c r="D10573" s="15">
        <v>2.0299999999999998</v>
      </c>
      <c r="E10573" s="14" t="s">
        <v>30</v>
      </c>
    </row>
    <row r="10574" spans="1:5" x14ac:dyDescent="0.25">
      <c r="A10574" s="14">
        <v>1018695</v>
      </c>
      <c r="B10574" s="14" t="s">
        <v>10672</v>
      </c>
      <c r="C10574" s="14" t="s">
        <v>13030</v>
      </c>
      <c r="D10574" s="15">
        <v>80.510000000000005</v>
      </c>
      <c r="E10574" s="14" t="s">
        <v>30</v>
      </c>
    </row>
    <row r="10575" spans="1:5" x14ac:dyDescent="0.25">
      <c r="A10575" s="14">
        <v>1019037</v>
      </c>
      <c r="B10575" s="14" t="s">
        <v>10673</v>
      </c>
      <c r="C10575" s="14" t="s">
        <v>13029</v>
      </c>
      <c r="D10575" s="15">
        <v>26.44</v>
      </c>
      <c r="E10575" s="14" t="s">
        <v>30</v>
      </c>
    </row>
    <row r="10576" spans="1:5" x14ac:dyDescent="0.25">
      <c r="A10576" s="14">
        <v>1019334</v>
      </c>
      <c r="B10576" s="14" t="s">
        <v>10674</v>
      </c>
      <c r="C10576" s="14" t="s">
        <v>13031</v>
      </c>
      <c r="D10576" s="15">
        <v>9</v>
      </c>
      <c r="E10576" s="14" t="s">
        <v>30</v>
      </c>
    </row>
    <row r="10577" spans="1:5" x14ac:dyDescent="0.25">
      <c r="A10577" s="14">
        <v>1019337</v>
      </c>
      <c r="B10577" s="14" t="s">
        <v>10675</v>
      </c>
      <c r="C10577" s="14" t="s">
        <v>13033</v>
      </c>
      <c r="D10577" s="15">
        <v>9.93</v>
      </c>
      <c r="E10577" s="14" t="s">
        <v>30</v>
      </c>
    </row>
    <row r="10578" spans="1:5" x14ac:dyDescent="0.25">
      <c r="A10578" s="14">
        <v>1020055</v>
      </c>
      <c r="B10578" s="14" t="s">
        <v>10676</v>
      </c>
      <c r="C10578" s="14" t="s">
        <v>13029</v>
      </c>
      <c r="D10578" s="15">
        <v>15.9</v>
      </c>
      <c r="E10578" s="14" t="s">
        <v>30</v>
      </c>
    </row>
    <row r="10579" spans="1:5" x14ac:dyDescent="0.25">
      <c r="A10579" s="14">
        <v>1020056</v>
      </c>
      <c r="B10579" s="14" t="s">
        <v>10677</v>
      </c>
      <c r="C10579" s="14" t="s">
        <v>13029</v>
      </c>
      <c r="D10579" s="15">
        <v>18.68</v>
      </c>
      <c r="E10579" s="14" t="s">
        <v>30</v>
      </c>
    </row>
    <row r="10580" spans="1:5" x14ac:dyDescent="0.25">
      <c r="A10580" s="14">
        <v>1020059</v>
      </c>
      <c r="B10580" s="14" t="s">
        <v>10678</v>
      </c>
      <c r="C10580" s="14" t="s">
        <v>13029</v>
      </c>
      <c r="D10580" s="15">
        <v>17.559999999999999</v>
      </c>
      <c r="E10580" s="14" t="s">
        <v>30</v>
      </c>
    </row>
    <row r="10581" spans="1:5" x14ac:dyDescent="0.25">
      <c r="A10581" s="14">
        <v>1020082</v>
      </c>
      <c r="B10581" s="14" t="s">
        <v>10679</v>
      </c>
      <c r="C10581" s="14" t="s">
        <v>13029</v>
      </c>
      <c r="D10581" s="15">
        <v>15.74</v>
      </c>
      <c r="E10581" s="14" t="s">
        <v>30</v>
      </c>
    </row>
    <row r="10582" spans="1:5" x14ac:dyDescent="0.25">
      <c r="A10582" s="14">
        <v>913487002</v>
      </c>
      <c r="B10582" s="14" t="s">
        <v>10680</v>
      </c>
      <c r="C10582" s="14" t="s">
        <v>13030</v>
      </c>
      <c r="D10582" s="15">
        <v>4.12</v>
      </c>
      <c r="E10582" s="16" t="s">
        <v>20</v>
      </c>
    </row>
    <row r="10583" spans="1:5" x14ac:dyDescent="0.25">
      <c r="A10583" s="14">
        <v>929129001</v>
      </c>
      <c r="B10583" s="14" t="s">
        <v>10681</v>
      </c>
      <c r="C10583" s="14" t="s">
        <v>13030</v>
      </c>
      <c r="D10583" s="15">
        <v>30.25</v>
      </c>
      <c r="E10583" s="16" t="s">
        <v>20</v>
      </c>
    </row>
    <row r="10584" spans="1:5" x14ac:dyDescent="0.25">
      <c r="A10584" s="14">
        <v>929129002</v>
      </c>
      <c r="B10584" s="14" t="s">
        <v>10682</v>
      </c>
      <c r="C10584" s="14" t="s">
        <v>13030</v>
      </c>
      <c r="D10584" s="15">
        <v>29.75</v>
      </c>
      <c r="E10584" s="16" t="s">
        <v>20</v>
      </c>
    </row>
    <row r="10585" spans="1:5" x14ac:dyDescent="0.25">
      <c r="A10585" s="14">
        <v>929130001</v>
      </c>
      <c r="B10585" s="14" t="s">
        <v>10683</v>
      </c>
      <c r="C10585" s="14" t="s">
        <v>13030</v>
      </c>
      <c r="D10585" s="15">
        <v>52.66</v>
      </c>
      <c r="E10585" s="16" t="s">
        <v>20</v>
      </c>
    </row>
    <row r="10586" spans="1:5" x14ac:dyDescent="0.25">
      <c r="A10586" s="14">
        <v>1022080</v>
      </c>
      <c r="B10586" s="14" t="s">
        <v>10684</v>
      </c>
      <c r="C10586" s="14" t="s">
        <v>13030</v>
      </c>
      <c r="D10586" s="15">
        <v>69.430000000000007</v>
      </c>
      <c r="E10586" s="14" t="s">
        <v>30</v>
      </c>
    </row>
    <row r="10587" spans="1:5" x14ac:dyDescent="0.25">
      <c r="A10587" s="14">
        <v>1022081</v>
      </c>
      <c r="B10587" s="14" t="s">
        <v>10685</v>
      </c>
      <c r="C10587" s="14" t="s">
        <v>13030</v>
      </c>
      <c r="D10587" s="15">
        <v>60.39</v>
      </c>
      <c r="E10587" s="14" t="s">
        <v>30</v>
      </c>
    </row>
    <row r="10588" spans="1:5" x14ac:dyDescent="0.25">
      <c r="A10588" s="14">
        <v>1022090</v>
      </c>
      <c r="B10588" s="14" t="s">
        <v>10686</v>
      </c>
      <c r="C10588" s="14" t="s">
        <v>13030</v>
      </c>
      <c r="D10588" s="15">
        <v>69.430000000000007</v>
      </c>
      <c r="E10588" s="14" t="s">
        <v>30</v>
      </c>
    </row>
    <row r="10589" spans="1:5" x14ac:dyDescent="0.25">
      <c r="A10589" s="14">
        <v>1022091</v>
      </c>
      <c r="B10589" s="14" t="s">
        <v>10687</v>
      </c>
      <c r="C10589" s="14" t="s">
        <v>13030</v>
      </c>
      <c r="D10589" s="15">
        <v>69.430000000000007</v>
      </c>
      <c r="E10589" s="14" t="s">
        <v>30</v>
      </c>
    </row>
    <row r="10590" spans="1:5" x14ac:dyDescent="0.25">
      <c r="A10590" s="14">
        <v>1022169</v>
      </c>
      <c r="B10590" s="14" t="s">
        <v>10688</v>
      </c>
      <c r="C10590" s="14" t="s">
        <v>13031</v>
      </c>
      <c r="D10590" s="15">
        <v>7.11</v>
      </c>
      <c r="E10590" s="14" t="s">
        <v>30</v>
      </c>
    </row>
    <row r="10591" spans="1:5" x14ac:dyDescent="0.25">
      <c r="A10591" s="14">
        <v>1022170</v>
      </c>
      <c r="B10591" s="14" t="s">
        <v>10689</v>
      </c>
      <c r="C10591" s="14" t="s">
        <v>13031</v>
      </c>
      <c r="D10591" s="15">
        <v>7.05</v>
      </c>
      <c r="E10591" s="14" t="s">
        <v>30</v>
      </c>
    </row>
    <row r="10592" spans="1:5" x14ac:dyDescent="0.25">
      <c r="A10592" s="14">
        <v>906055004</v>
      </c>
      <c r="B10592" s="14" t="s">
        <v>10690</v>
      </c>
      <c r="C10592" s="14" t="s">
        <v>13029</v>
      </c>
      <c r="D10592" s="15">
        <v>9.31</v>
      </c>
      <c r="E10592" s="14" t="s">
        <v>30</v>
      </c>
    </row>
    <row r="10593" spans="1:5" x14ac:dyDescent="0.25">
      <c r="A10593" s="14">
        <v>1019405</v>
      </c>
      <c r="B10593" s="14" t="s">
        <v>10691</v>
      </c>
      <c r="C10593" s="14" t="s">
        <v>13029</v>
      </c>
      <c r="D10593" s="15">
        <v>1.1200000000000001</v>
      </c>
      <c r="E10593" s="14" t="s">
        <v>30</v>
      </c>
    </row>
    <row r="10594" spans="1:5" x14ac:dyDescent="0.25">
      <c r="A10594" s="14">
        <v>1019507</v>
      </c>
      <c r="B10594" s="14" t="s">
        <v>10692</v>
      </c>
      <c r="C10594" s="14" t="s">
        <v>13031</v>
      </c>
      <c r="D10594" s="15">
        <v>18.25</v>
      </c>
      <c r="E10594" s="14" t="s">
        <v>30</v>
      </c>
    </row>
    <row r="10595" spans="1:5" x14ac:dyDescent="0.25">
      <c r="A10595" s="14">
        <v>1019508</v>
      </c>
      <c r="B10595" s="14" t="s">
        <v>10693</v>
      </c>
      <c r="C10595" s="14" t="s">
        <v>13031</v>
      </c>
      <c r="D10595" s="15">
        <v>18.25</v>
      </c>
      <c r="E10595" s="14" t="s">
        <v>30</v>
      </c>
    </row>
    <row r="10596" spans="1:5" x14ac:dyDescent="0.25">
      <c r="A10596" s="14">
        <v>1022297</v>
      </c>
      <c r="B10596" s="14" t="s">
        <v>10694</v>
      </c>
      <c r="C10596" s="14" t="s">
        <v>13029</v>
      </c>
      <c r="D10596" s="15">
        <v>9.86</v>
      </c>
      <c r="E10596" s="14" t="s">
        <v>30</v>
      </c>
    </row>
    <row r="10597" spans="1:5" x14ac:dyDescent="0.25">
      <c r="A10597" s="14">
        <v>1022301</v>
      </c>
      <c r="B10597" s="14" t="s">
        <v>10695</v>
      </c>
      <c r="C10597" s="14" t="s">
        <v>13029</v>
      </c>
      <c r="D10597" s="15">
        <v>14.27</v>
      </c>
      <c r="E10597" s="14" t="s">
        <v>30</v>
      </c>
    </row>
    <row r="10598" spans="1:5" x14ac:dyDescent="0.25">
      <c r="A10598" s="14">
        <v>1022307</v>
      </c>
      <c r="B10598" s="14" t="s">
        <v>10696</v>
      </c>
      <c r="C10598" s="14" t="s">
        <v>13029</v>
      </c>
      <c r="D10598" s="15">
        <v>1.76</v>
      </c>
      <c r="E10598" s="14" t="s">
        <v>30</v>
      </c>
    </row>
    <row r="10599" spans="1:5" x14ac:dyDescent="0.25">
      <c r="A10599" s="14">
        <v>1019391</v>
      </c>
      <c r="B10599" s="14" t="s">
        <v>10697</v>
      </c>
      <c r="C10599" s="14" t="s">
        <v>13030</v>
      </c>
      <c r="D10599" s="15">
        <v>3.11</v>
      </c>
      <c r="E10599" s="14" t="s">
        <v>30</v>
      </c>
    </row>
    <row r="10600" spans="1:5" x14ac:dyDescent="0.25">
      <c r="A10600" s="14">
        <v>1019797</v>
      </c>
      <c r="B10600" s="14" t="s">
        <v>10698</v>
      </c>
      <c r="C10600" s="14" t="s">
        <v>13031</v>
      </c>
      <c r="D10600" s="15">
        <v>4.13</v>
      </c>
      <c r="E10600" s="14" t="s">
        <v>30</v>
      </c>
    </row>
    <row r="10601" spans="1:5" x14ac:dyDescent="0.25">
      <c r="A10601" s="14">
        <v>929130002</v>
      </c>
      <c r="B10601" s="14" t="s">
        <v>10699</v>
      </c>
      <c r="C10601" s="14" t="s">
        <v>13030</v>
      </c>
      <c r="D10601" s="15">
        <v>51.21</v>
      </c>
      <c r="E10601" s="16" t="s">
        <v>20</v>
      </c>
    </row>
    <row r="10602" spans="1:5" x14ac:dyDescent="0.25">
      <c r="A10602" s="14">
        <v>929130003</v>
      </c>
      <c r="B10602" s="14" t="s">
        <v>10700</v>
      </c>
      <c r="C10602" s="14" t="s">
        <v>13030</v>
      </c>
      <c r="D10602" s="15">
        <v>51.1</v>
      </c>
      <c r="E10602" s="16" t="s">
        <v>20</v>
      </c>
    </row>
    <row r="10603" spans="1:5" x14ac:dyDescent="0.25">
      <c r="A10603" s="14">
        <v>938023002</v>
      </c>
      <c r="B10603" s="14" t="s">
        <v>10701</v>
      </c>
      <c r="C10603" s="14" t="s">
        <v>13031</v>
      </c>
      <c r="D10603" s="15">
        <v>19.8</v>
      </c>
      <c r="E10603" s="16" t="s">
        <v>20</v>
      </c>
    </row>
    <row r="10604" spans="1:5" x14ac:dyDescent="0.25">
      <c r="A10604" s="14">
        <v>938023003</v>
      </c>
      <c r="B10604" s="14" t="s">
        <v>10702</v>
      </c>
      <c r="C10604" s="14" t="s">
        <v>13031</v>
      </c>
      <c r="D10604" s="15">
        <v>19.8</v>
      </c>
      <c r="E10604" s="16" t="s">
        <v>20</v>
      </c>
    </row>
    <row r="10605" spans="1:5" x14ac:dyDescent="0.25">
      <c r="A10605" s="14">
        <v>938023004</v>
      </c>
      <c r="B10605" s="14" t="s">
        <v>10703</v>
      </c>
      <c r="C10605" s="14" t="s">
        <v>13031</v>
      </c>
      <c r="D10605" s="15">
        <v>19.8</v>
      </c>
      <c r="E10605" s="16" t="s">
        <v>20</v>
      </c>
    </row>
    <row r="10606" spans="1:5" x14ac:dyDescent="0.25">
      <c r="A10606" s="14">
        <v>938023005</v>
      </c>
      <c r="B10606" s="14" t="s">
        <v>10704</v>
      </c>
      <c r="C10606" s="14" t="s">
        <v>13031</v>
      </c>
      <c r="D10606" s="15">
        <v>19.8</v>
      </c>
      <c r="E10606" s="16" t="s">
        <v>20</v>
      </c>
    </row>
    <row r="10607" spans="1:5" x14ac:dyDescent="0.25">
      <c r="A10607" s="14">
        <v>1019798</v>
      </c>
      <c r="B10607" s="14" t="s">
        <v>10705</v>
      </c>
      <c r="C10607" s="14" t="s">
        <v>13031</v>
      </c>
      <c r="D10607" s="15">
        <v>5.66</v>
      </c>
      <c r="E10607" s="14" t="s">
        <v>30</v>
      </c>
    </row>
    <row r="10608" spans="1:5" x14ac:dyDescent="0.25">
      <c r="A10608" s="14">
        <v>1019801</v>
      </c>
      <c r="B10608" s="14" t="s">
        <v>10706</v>
      </c>
      <c r="C10608" s="14" t="s">
        <v>13031</v>
      </c>
      <c r="D10608" s="15">
        <v>7.31</v>
      </c>
      <c r="E10608" s="14" t="s">
        <v>30</v>
      </c>
    </row>
    <row r="10609" spans="1:5" x14ac:dyDescent="0.25">
      <c r="A10609" s="14">
        <v>1019802</v>
      </c>
      <c r="B10609" s="14" t="s">
        <v>10707</v>
      </c>
      <c r="C10609" s="14" t="s">
        <v>13031</v>
      </c>
      <c r="D10609" s="15">
        <v>7.31</v>
      </c>
      <c r="E10609" s="14" t="s">
        <v>30</v>
      </c>
    </row>
    <row r="10610" spans="1:5" x14ac:dyDescent="0.25">
      <c r="A10610" s="14">
        <v>1020634</v>
      </c>
      <c r="B10610" s="14" t="s">
        <v>10708</v>
      </c>
      <c r="C10610" s="14" t="s">
        <v>13033</v>
      </c>
      <c r="D10610" s="15">
        <v>20.7</v>
      </c>
      <c r="E10610" s="14" t="s">
        <v>30</v>
      </c>
    </row>
    <row r="10611" spans="1:5" x14ac:dyDescent="0.25">
      <c r="A10611" s="14">
        <v>1022296</v>
      </c>
      <c r="B10611" s="14" t="s">
        <v>10709</v>
      </c>
      <c r="C10611" s="14" t="s">
        <v>13029</v>
      </c>
      <c r="D10611" s="15">
        <v>10.96</v>
      </c>
      <c r="E10611" s="14" t="s">
        <v>30</v>
      </c>
    </row>
    <row r="10612" spans="1:5" x14ac:dyDescent="0.25">
      <c r="A10612" s="14">
        <v>1022394</v>
      </c>
      <c r="B10612" s="14" t="s">
        <v>10710</v>
      </c>
      <c r="C10612" s="14" t="s">
        <v>13030</v>
      </c>
      <c r="D10612" s="15">
        <v>63.99</v>
      </c>
      <c r="E10612" s="14" t="s">
        <v>30</v>
      </c>
    </row>
    <row r="10613" spans="1:5" x14ac:dyDescent="0.25">
      <c r="A10613" s="14">
        <v>1022395</v>
      </c>
      <c r="B10613" s="14" t="s">
        <v>10711</v>
      </c>
      <c r="C10613" s="14" t="s">
        <v>13030</v>
      </c>
      <c r="D10613" s="15">
        <v>63.99</v>
      </c>
      <c r="E10613" s="14" t="s">
        <v>30</v>
      </c>
    </row>
    <row r="10614" spans="1:5" x14ac:dyDescent="0.25">
      <c r="A10614" s="14">
        <v>1022864</v>
      </c>
      <c r="B10614" s="14" t="s">
        <v>10712</v>
      </c>
      <c r="C10614" s="14" t="s">
        <v>13030</v>
      </c>
      <c r="D10614" s="15">
        <v>115.18</v>
      </c>
      <c r="E10614" s="14" t="s">
        <v>30</v>
      </c>
    </row>
    <row r="10615" spans="1:5" x14ac:dyDescent="0.25">
      <c r="A10615" s="14">
        <v>1022865</v>
      </c>
      <c r="B10615" s="14" t="s">
        <v>10713</v>
      </c>
      <c r="C10615" s="14" t="s">
        <v>13030</v>
      </c>
      <c r="D10615" s="15">
        <v>100.78</v>
      </c>
      <c r="E10615" s="14" t="s">
        <v>30</v>
      </c>
    </row>
    <row r="10616" spans="1:5" x14ac:dyDescent="0.25">
      <c r="A10616" s="14">
        <v>1023001</v>
      </c>
      <c r="B10616" s="14" t="s">
        <v>10714</v>
      </c>
      <c r="C10616" s="14" t="s">
        <v>13030</v>
      </c>
      <c r="D10616" s="15">
        <v>49.52</v>
      </c>
      <c r="E10616" s="14" t="s">
        <v>30</v>
      </c>
    </row>
    <row r="10617" spans="1:5" x14ac:dyDescent="0.25">
      <c r="A10617" s="14">
        <v>1023005</v>
      </c>
      <c r="B10617" s="14" t="s">
        <v>10715</v>
      </c>
      <c r="C10617" s="14" t="s">
        <v>13030</v>
      </c>
      <c r="D10617" s="15">
        <v>43.15</v>
      </c>
      <c r="E10617" s="14" t="s">
        <v>30</v>
      </c>
    </row>
    <row r="10618" spans="1:5" x14ac:dyDescent="0.25">
      <c r="A10618" s="14">
        <v>1023466</v>
      </c>
      <c r="B10618" s="14" t="s">
        <v>10716</v>
      </c>
      <c r="C10618" s="14" t="s">
        <v>13029</v>
      </c>
      <c r="D10618" s="15">
        <v>7.66</v>
      </c>
      <c r="E10618" s="14" t="s">
        <v>30</v>
      </c>
    </row>
    <row r="10619" spans="1:5" x14ac:dyDescent="0.25">
      <c r="A10619" s="14">
        <v>1023467</v>
      </c>
      <c r="B10619" s="14" t="s">
        <v>10717</v>
      </c>
      <c r="C10619" s="14" t="s">
        <v>13029</v>
      </c>
      <c r="D10619" s="15">
        <v>7.66</v>
      </c>
      <c r="E10619" s="14" t="s">
        <v>30</v>
      </c>
    </row>
    <row r="10620" spans="1:5" x14ac:dyDescent="0.25">
      <c r="A10620" s="14">
        <v>1019513</v>
      </c>
      <c r="B10620" s="14" t="s">
        <v>10718</v>
      </c>
      <c r="C10620" s="14" t="s">
        <v>13031</v>
      </c>
      <c r="D10620" s="15">
        <v>9.1</v>
      </c>
      <c r="E10620" s="14" t="s">
        <v>30</v>
      </c>
    </row>
    <row r="10621" spans="1:5" x14ac:dyDescent="0.25">
      <c r="A10621" s="14">
        <v>1019514</v>
      </c>
      <c r="B10621" s="14" t="s">
        <v>10719</v>
      </c>
      <c r="C10621" s="14" t="s">
        <v>13031</v>
      </c>
      <c r="D10621" s="15">
        <v>9.1</v>
      </c>
      <c r="E10621" s="14" t="s">
        <v>30</v>
      </c>
    </row>
    <row r="10622" spans="1:5" x14ac:dyDescent="0.25">
      <c r="A10622" s="14">
        <v>1019517</v>
      </c>
      <c r="B10622" s="14" t="s">
        <v>10720</v>
      </c>
      <c r="C10622" s="14" t="s">
        <v>13031</v>
      </c>
      <c r="D10622" s="15">
        <v>17.7</v>
      </c>
      <c r="E10622" s="14" t="s">
        <v>30</v>
      </c>
    </row>
    <row r="10623" spans="1:5" x14ac:dyDescent="0.25">
      <c r="A10623" s="14">
        <v>1019796</v>
      </c>
      <c r="B10623" s="14" t="s">
        <v>10721</v>
      </c>
      <c r="C10623" s="14" t="s">
        <v>13031</v>
      </c>
      <c r="D10623" s="15">
        <v>4.83</v>
      </c>
      <c r="E10623" s="14" t="s">
        <v>30</v>
      </c>
    </row>
    <row r="10624" spans="1:5" x14ac:dyDescent="0.25">
      <c r="A10624" s="14">
        <v>1020089</v>
      </c>
      <c r="B10624" s="14" t="s">
        <v>10722</v>
      </c>
      <c r="C10624" s="14" t="s">
        <v>13029</v>
      </c>
      <c r="D10624" s="15">
        <v>3.96</v>
      </c>
      <c r="E10624" s="14" t="s">
        <v>30</v>
      </c>
    </row>
    <row r="10625" spans="1:5" x14ac:dyDescent="0.25">
      <c r="A10625" s="14">
        <v>1020629</v>
      </c>
      <c r="B10625" s="14" t="s">
        <v>10723</v>
      </c>
      <c r="C10625" s="14" t="s">
        <v>13030</v>
      </c>
      <c r="D10625" s="15">
        <v>1.9</v>
      </c>
      <c r="E10625" s="14" t="s">
        <v>30</v>
      </c>
    </row>
    <row r="10626" spans="1:5" x14ac:dyDescent="0.25">
      <c r="A10626" s="14">
        <v>1022102</v>
      </c>
      <c r="B10626" s="14" t="s">
        <v>10724</v>
      </c>
      <c r="C10626" s="14" t="s">
        <v>13030</v>
      </c>
      <c r="D10626" s="15">
        <v>34.68</v>
      </c>
      <c r="E10626" s="14" t="s">
        <v>30</v>
      </c>
    </row>
    <row r="10627" spans="1:5" x14ac:dyDescent="0.25">
      <c r="A10627" s="14">
        <v>1022103</v>
      </c>
      <c r="B10627" s="14" t="s">
        <v>10725</v>
      </c>
      <c r="C10627" s="14" t="s">
        <v>13030</v>
      </c>
      <c r="D10627" s="15">
        <v>34.68</v>
      </c>
      <c r="E10627" s="14" t="s">
        <v>30</v>
      </c>
    </row>
    <row r="10628" spans="1:5" x14ac:dyDescent="0.25">
      <c r="A10628" s="14">
        <v>1022361</v>
      </c>
      <c r="B10628" s="14" t="s">
        <v>10726</v>
      </c>
      <c r="C10628" s="14" t="s">
        <v>13031</v>
      </c>
      <c r="D10628" s="15">
        <v>14.18</v>
      </c>
      <c r="E10628" s="14" t="s">
        <v>30</v>
      </c>
    </row>
    <row r="10629" spans="1:5" x14ac:dyDescent="0.25">
      <c r="A10629" s="14">
        <v>1022818</v>
      </c>
      <c r="B10629" s="14" t="s">
        <v>10727</v>
      </c>
      <c r="C10629" s="14" t="s">
        <v>13031</v>
      </c>
      <c r="D10629" s="15">
        <v>21.65</v>
      </c>
      <c r="E10629" s="14" t="s">
        <v>30</v>
      </c>
    </row>
    <row r="10630" spans="1:5" x14ac:dyDescent="0.25">
      <c r="A10630" s="14">
        <v>1022854</v>
      </c>
      <c r="B10630" s="14" t="s">
        <v>10728</v>
      </c>
      <c r="C10630" s="14" t="s">
        <v>13030</v>
      </c>
      <c r="D10630" s="15">
        <v>40.21</v>
      </c>
      <c r="E10630" s="14" t="s">
        <v>30</v>
      </c>
    </row>
    <row r="10631" spans="1:5" x14ac:dyDescent="0.25">
      <c r="A10631" s="14">
        <v>1022855</v>
      </c>
      <c r="B10631" s="14" t="s">
        <v>10729</v>
      </c>
      <c r="C10631" s="14" t="s">
        <v>13030</v>
      </c>
      <c r="D10631" s="15">
        <v>40.21</v>
      </c>
      <c r="E10631" s="14" t="s">
        <v>30</v>
      </c>
    </row>
    <row r="10632" spans="1:5" x14ac:dyDescent="0.25">
      <c r="A10632" s="14">
        <v>1022992</v>
      </c>
      <c r="B10632" s="14" t="s">
        <v>10730</v>
      </c>
      <c r="C10632" s="14" t="s">
        <v>13030</v>
      </c>
      <c r="D10632" s="15">
        <v>4.45</v>
      </c>
      <c r="E10632" s="14" t="s">
        <v>30</v>
      </c>
    </row>
    <row r="10633" spans="1:5" x14ac:dyDescent="0.25">
      <c r="A10633" s="14">
        <v>1022993</v>
      </c>
      <c r="B10633" s="14" t="s">
        <v>10731</v>
      </c>
      <c r="C10633" s="14" t="s">
        <v>13030</v>
      </c>
      <c r="D10633" s="15">
        <v>58.3</v>
      </c>
      <c r="E10633" s="14" t="s">
        <v>30</v>
      </c>
    </row>
    <row r="10634" spans="1:5" x14ac:dyDescent="0.25">
      <c r="A10634" s="14">
        <v>1022999</v>
      </c>
      <c r="B10634" s="14" t="s">
        <v>10732</v>
      </c>
      <c r="C10634" s="14" t="s">
        <v>13030</v>
      </c>
      <c r="D10634" s="15">
        <v>548.14</v>
      </c>
      <c r="E10634" s="14" t="s">
        <v>30</v>
      </c>
    </row>
    <row r="10635" spans="1:5" x14ac:dyDescent="0.25">
      <c r="A10635" s="14">
        <v>1023891</v>
      </c>
      <c r="B10635" s="14" t="s">
        <v>10733</v>
      </c>
      <c r="C10635" s="14" t="s">
        <v>13029</v>
      </c>
      <c r="D10635" s="15">
        <v>8.17</v>
      </c>
      <c r="E10635" s="14" t="s">
        <v>30</v>
      </c>
    </row>
    <row r="10636" spans="1:5" x14ac:dyDescent="0.25">
      <c r="A10636" s="14">
        <v>459904</v>
      </c>
      <c r="B10636" s="14" t="s">
        <v>10734</v>
      </c>
      <c r="C10636" s="14" t="s">
        <v>13031</v>
      </c>
      <c r="D10636" s="15">
        <v>14.83</v>
      </c>
      <c r="E10636" s="14" t="s">
        <v>30</v>
      </c>
    </row>
    <row r="10637" spans="1:5" x14ac:dyDescent="0.25">
      <c r="A10637" s="14">
        <v>929107</v>
      </c>
      <c r="B10637" s="14" t="s">
        <v>10735</v>
      </c>
      <c r="C10637" s="14" t="s">
        <v>13031</v>
      </c>
      <c r="D10637" s="15">
        <v>20.34</v>
      </c>
      <c r="E10637" s="14" t="s">
        <v>30</v>
      </c>
    </row>
    <row r="10638" spans="1:5" x14ac:dyDescent="0.25">
      <c r="A10638" s="14">
        <v>1016692</v>
      </c>
      <c r="B10638" s="14" t="s">
        <v>10736</v>
      </c>
      <c r="C10638" s="14" t="s">
        <v>13029</v>
      </c>
      <c r="D10638" s="15">
        <v>23.11</v>
      </c>
      <c r="E10638" s="14" t="s">
        <v>30</v>
      </c>
    </row>
    <row r="10639" spans="1:5" x14ac:dyDescent="0.25">
      <c r="A10639" s="14">
        <v>1019794</v>
      </c>
      <c r="B10639" s="14" t="s">
        <v>10737</v>
      </c>
      <c r="C10639" s="14" t="s">
        <v>13031</v>
      </c>
      <c r="D10639" s="15">
        <v>4.5999999999999996</v>
      </c>
      <c r="E10639" s="14" t="s">
        <v>30</v>
      </c>
    </row>
    <row r="10640" spans="1:5" x14ac:dyDescent="0.25">
      <c r="A10640" s="14">
        <v>1022083</v>
      </c>
      <c r="B10640" s="14" t="s">
        <v>10738</v>
      </c>
      <c r="C10640" s="14" t="s">
        <v>13030</v>
      </c>
      <c r="D10640" s="15">
        <v>83.33</v>
      </c>
      <c r="E10640" s="14" t="s">
        <v>30</v>
      </c>
    </row>
    <row r="10641" spans="1:5" x14ac:dyDescent="0.25">
      <c r="A10641" s="14">
        <v>1022084</v>
      </c>
      <c r="B10641" s="14" t="s">
        <v>10739</v>
      </c>
      <c r="C10641" s="14" t="s">
        <v>13030</v>
      </c>
      <c r="D10641" s="15">
        <v>121.54</v>
      </c>
      <c r="E10641" s="14" t="s">
        <v>30</v>
      </c>
    </row>
    <row r="10642" spans="1:5" x14ac:dyDescent="0.25">
      <c r="A10642" s="14">
        <v>949167001</v>
      </c>
      <c r="B10642" s="14" t="s">
        <v>10740</v>
      </c>
      <c r="C10642" s="14" t="s">
        <v>13031</v>
      </c>
      <c r="D10642" s="15">
        <v>18.98</v>
      </c>
      <c r="E10642" s="16" t="s">
        <v>20</v>
      </c>
    </row>
    <row r="10643" spans="1:5" x14ac:dyDescent="0.25">
      <c r="A10643" s="14">
        <v>949167002</v>
      </c>
      <c r="B10643" s="14" t="s">
        <v>10741</v>
      </c>
      <c r="C10643" s="14" t="s">
        <v>13031</v>
      </c>
      <c r="D10643" s="15">
        <v>18.98</v>
      </c>
      <c r="E10643" s="16" t="s">
        <v>20</v>
      </c>
    </row>
    <row r="10644" spans="1:5" x14ac:dyDescent="0.25">
      <c r="A10644" s="14">
        <v>952079001</v>
      </c>
      <c r="B10644" s="14" t="s">
        <v>10742</v>
      </c>
      <c r="C10644" s="14" t="s">
        <v>13030</v>
      </c>
      <c r="D10644" s="15">
        <v>58.34</v>
      </c>
      <c r="E10644" s="16" t="s">
        <v>20</v>
      </c>
    </row>
    <row r="10645" spans="1:5" x14ac:dyDescent="0.25">
      <c r="A10645" s="14">
        <v>952079002</v>
      </c>
      <c r="B10645" s="14" t="s">
        <v>10743</v>
      </c>
      <c r="C10645" s="14" t="s">
        <v>13030</v>
      </c>
      <c r="D10645" s="15">
        <v>59.15</v>
      </c>
      <c r="E10645" s="16" t="s">
        <v>20</v>
      </c>
    </row>
    <row r="10646" spans="1:5" x14ac:dyDescent="0.25">
      <c r="A10646" s="14">
        <v>952079003</v>
      </c>
      <c r="B10646" s="14" t="s">
        <v>10744</v>
      </c>
      <c r="C10646" s="14" t="s">
        <v>13030</v>
      </c>
      <c r="D10646" s="15">
        <v>58.28</v>
      </c>
      <c r="E10646" s="16" t="s">
        <v>20</v>
      </c>
    </row>
    <row r="10647" spans="1:5" x14ac:dyDescent="0.25">
      <c r="A10647" s="14">
        <v>952081002</v>
      </c>
      <c r="B10647" s="14" t="s">
        <v>10745</v>
      </c>
      <c r="C10647" s="14" t="s">
        <v>13030</v>
      </c>
      <c r="D10647" s="15">
        <v>30.9</v>
      </c>
      <c r="E10647" s="16" t="s">
        <v>20</v>
      </c>
    </row>
    <row r="10648" spans="1:5" x14ac:dyDescent="0.25">
      <c r="A10648" s="14">
        <v>1022094</v>
      </c>
      <c r="B10648" s="14" t="s">
        <v>10746</v>
      </c>
      <c r="C10648" s="14" t="s">
        <v>13030</v>
      </c>
      <c r="D10648" s="15">
        <v>165.61</v>
      </c>
      <c r="E10648" s="14" t="s">
        <v>30</v>
      </c>
    </row>
    <row r="10649" spans="1:5" x14ac:dyDescent="0.25">
      <c r="A10649" s="14">
        <v>956390001</v>
      </c>
      <c r="B10649" s="14" t="s">
        <v>10747</v>
      </c>
      <c r="C10649" s="14" t="s">
        <v>13030</v>
      </c>
      <c r="D10649" s="15">
        <v>29.9</v>
      </c>
      <c r="E10649" s="16" t="s">
        <v>20</v>
      </c>
    </row>
    <row r="10650" spans="1:5" x14ac:dyDescent="0.25">
      <c r="A10650" s="14">
        <v>956390002</v>
      </c>
      <c r="B10650" s="14" t="s">
        <v>10748</v>
      </c>
      <c r="C10650" s="14" t="s">
        <v>13030</v>
      </c>
      <c r="D10650" s="15">
        <v>34.909999999999997</v>
      </c>
      <c r="E10650" s="16" t="s">
        <v>20</v>
      </c>
    </row>
    <row r="10651" spans="1:5" x14ac:dyDescent="0.25">
      <c r="A10651" s="14">
        <v>956390003</v>
      </c>
      <c r="B10651" s="14" t="s">
        <v>10749</v>
      </c>
      <c r="C10651" s="14" t="s">
        <v>13030</v>
      </c>
      <c r="D10651" s="15">
        <v>34.72</v>
      </c>
      <c r="E10651" s="16" t="s">
        <v>20</v>
      </c>
    </row>
    <row r="10652" spans="1:5" x14ac:dyDescent="0.25">
      <c r="A10652" s="14">
        <v>1022096</v>
      </c>
      <c r="B10652" s="14" t="s">
        <v>10750</v>
      </c>
      <c r="C10652" s="14" t="s">
        <v>13030</v>
      </c>
      <c r="D10652" s="15">
        <v>107.99</v>
      </c>
      <c r="E10652" s="14" t="s">
        <v>30</v>
      </c>
    </row>
    <row r="10653" spans="1:5" x14ac:dyDescent="0.25">
      <c r="A10653" s="14">
        <v>1022099</v>
      </c>
      <c r="B10653" s="14" t="s">
        <v>10751</v>
      </c>
      <c r="C10653" s="14" t="s">
        <v>13030</v>
      </c>
      <c r="D10653" s="15">
        <v>52.01</v>
      </c>
      <c r="E10653" s="14" t="s">
        <v>30</v>
      </c>
    </row>
    <row r="10654" spans="1:5" x14ac:dyDescent="0.25">
      <c r="A10654" s="14">
        <v>1022100</v>
      </c>
      <c r="B10654" s="14" t="s">
        <v>10752</v>
      </c>
      <c r="C10654" s="14" t="s">
        <v>13030</v>
      </c>
      <c r="D10654" s="15">
        <v>52.05</v>
      </c>
      <c r="E10654" s="14" t="s">
        <v>30</v>
      </c>
    </row>
    <row r="10655" spans="1:5" x14ac:dyDescent="0.25">
      <c r="A10655" s="14">
        <v>1022106</v>
      </c>
      <c r="B10655" s="14" t="s">
        <v>10753</v>
      </c>
      <c r="C10655" s="14" t="s">
        <v>13030</v>
      </c>
      <c r="D10655" s="15">
        <v>21.33</v>
      </c>
      <c r="E10655" s="14" t="s">
        <v>30</v>
      </c>
    </row>
    <row r="10656" spans="1:5" x14ac:dyDescent="0.25">
      <c r="A10656" s="14">
        <v>1022140</v>
      </c>
      <c r="B10656" s="14" t="s">
        <v>10754</v>
      </c>
      <c r="C10656" s="14" t="s">
        <v>13030</v>
      </c>
      <c r="D10656" s="15">
        <v>118.64</v>
      </c>
      <c r="E10656" s="14" t="s">
        <v>30</v>
      </c>
    </row>
    <row r="10657" spans="1:5" x14ac:dyDescent="0.25">
      <c r="A10657" s="14">
        <v>1022335</v>
      </c>
      <c r="B10657" s="14" t="s">
        <v>10755</v>
      </c>
      <c r="C10657" s="14" t="s">
        <v>13030</v>
      </c>
      <c r="D10657" s="15">
        <v>99.66</v>
      </c>
      <c r="E10657" s="14" t="s">
        <v>30</v>
      </c>
    </row>
    <row r="10658" spans="1:5" x14ac:dyDescent="0.25">
      <c r="A10658" s="14">
        <v>1022336</v>
      </c>
      <c r="B10658" s="14" t="s">
        <v>10756</v>
      </c>
      <c r="C10658" s="14" t="s">
        <v>13030</v>
      </c>
      <c r="D10658" s="15">
        <v>121.01</v>
      </c>
      <c r="E10658" s="14" t="s">
        <v>30</v>
      </c>
    </row>
    <row r="10659" spans="1:5" x14ac:dyDescent="0.25">
      <c r="A10659" s="14">
        <v>1022387</v>
      </c>
      <c r="B10659" s="14" t="s">
        <v>10757</v>
      </c>
      <c r="C10659" s="14" t="s">
        <v>13030</v>
      </c>
      <c r="D10659" s="15">
        <v>50.06</v>
      </c>
      <c r="E10659" s="14" t="s">
        <v>30</v>
      </c>
    </row>
    <row r="10660" spans="1:5" x14ac:dyDescent="0.25">
      <c r="A10660" s="14">
        <v>1022388</v>
      </c>
      <c r="B10660" s="14" t="s">
        <v>10758</v>
      </c>
      <c r="C10660" s="14" t="s">
        <v>13030</v>
      </c>
      <c r="D10660" s="15">
        <v>50.06</v>
      </c>
      <c r="E10660" s="14" t="s">
        <v>30</v>
      </c>
    </row>
    <row r="10661" spans="1:5" x14ac:dyDescent="0.25">
      <c r="A10661" s="14">
        <v>1022391</v>
      </c>
      <c r="B10661" s="14" t="s">
        <v>10759</v>
      </c>
      <c r="C10661" s="14" t="s">
        <v>13030</v>
      </c>
      <c r="D10661" s="15">
        <v>50.06</v>
      </c>
      <c r="E10661" s="14" t="s">
        <v>30</v>
      </c>
    </row>
    <row r="10662" spans="1:5" x14ac:dyDescent="0.25">
      <c r="A10662" s="14">
        <v>1022392</v>
      </c>
      <c r="B10662" s="14" t="s">
        <v>10760</v>
      </c>
      <c r="C10662" s="14" t="s">
        <v>13030</v>
      </c>
      <c r="D10662" s="15">
        <v>50.06</v>
      </c>
      <c r="E10662" s="14" t="s">
        <v>30</v>
      </c>
    </row>
    <row r="10663" spans="1:5" x14ac:dyDescent="0.25">
      <c r="A10663" s="14">
        <v>1022398</v>
      </c>
      <c r="B10663" s="14" t="s">
        <v>10761</v>
      </c>
      <c r="C10663" s="14" t="s">
        <v>13030</v>
      </c>
      <c r="D10663" s="15">
        <v>37.03</v>
      </c>
      <c r="E10663" s="14" t="s">
        <v>30</v>
      </c>
    </row>
    <row r="10664" spans="1:5" x14ac:dyDescent="0.25">
      <c r="A10664" s="14">
        <v>1022399</v>
      </c>
      <c r="B10664" s="14" t="s">
        <v>10762</v>
      </c>
      <c r="C10664" s="14" t="s">
        <v>13031</v>
      </c>
      <c r="D10664" s="15">
        <v>45.3</v>
      </c>
      <c r="E10664" s="14" t="s">
        <v>30</v>
      </c>
    </row>
    <row r="10665" spans="1:5" x14ac:dyDescent="0.25">
      <c r="A10665" s="14">
        <v>1022411</v>
      </c>
      <c r="B10665" s="14" t="s">
        <v>10763</v>
      </c>
      <c r="C10665" s="14" t="s">
        <v>13029</v>
      </c>
      <c r="D10665" s="15">
        <v>10.24</v>
      </c>
      <c r="E10665" s="14" t="s">
        <v>30</v>
      </c>
    </row>
    <row r="10666" spans="1:5" x14ac:dyDescent="0.25">
      <c r="A10666" s="14">
        <v>1022412</v>
      </c>
      <c r="B10666" s="14" t="s">
        <v>10764</v>
      </c>
      <c r="C10666" s="14" t="s">
        <v>13029</v>
      </c>
      <c r="D10666" s="15">
        <v>10.24</v>
      </c>
      <c r="E10666" s="14" t="s">
        <v>30</v>
      </c>
    </row>
    <row r="10667" spans="1:5" x14ac:dyDescent="0.25">
      <c r="A10667" s="14">
        <v>1022415</v>
      </c>
      <c r="B10667" s="14" t="s">
        <v>10765</v>
      </c>
      <c r="C10667" s="14" t="s">
        <v>13029</v>
      </c>
      <c r="D10667" s="15">
        <v>10.24</v>
      </c>
      <c r="E10667" s="14" t="s">
        <v>30</v>
      </c>
    </row>
    <row r="10668" spans="1:5" x14ac:dyDescent="0.25">
      <c r="A10668" s="14">
        <v>1022829</v>
      </c>
      <c r="B10668" s="14" t="s">
        <v>10766</v>
      </c>
      <c r="C10668" s="14" t="s">
        <v>13030</v>
      </c>
      <c r="D10668" s="15">
        <v>106.72</v>
      </c>
      <c r="E10668" s="14" t="s">
        <v>30</v>
      </c>
    </row>
    <row r="10669" spans="1:5" x14ac:dyDescent="0.25">
      <c r="A10669" s="14">
        <v>1022842</v>
      </c>
      <c r="B10669" s="14" t="s">
        <v>10767</v>
      </c>
      <c r="C10669" s="14" t="s">
        <v>13030</v>
      </c>
      <c r="D10669" s="15">
        <v>156.29</v>
      </c>
      <c r="E10669" s="14" t="s">
        <v>30</v>
      </c>
    </row>
    <row r="10670" spans="1:5" x14ac:dyDescent="0.25">
      <c r="A10670" s="14">
        <v>1022843</v>
      </c>
      <c r="B10670" s="14" t="s">
        <v>10768</v>
      </c>
      <c r="C10670" s="14" t="s">
        <v>13030</v>
      </c>
      <c r="D10670" s="15">
        <v>131.96</v>
      </c>
      <c r="E10670" s="14" t="s">
        <v>30</v>
      </c>
    </row>
    <row r="10671" spans="1:5" x14ac:dyDescent="0.25">
      <c r="A10671" s="14">
        <v>1022848</v>
      </c>
      <c r="B10671" s="14" t="s">
        <v>10769</v>
      </c>
      <c r="C10671" s="14" t="s">
        <v>13030</v>
      </c>
      <c r="D10671" s="15">
        <v>76.37</v>
      </c>
      <c r="E10671" s="14" t="s">
        <v>30</v>
      </c>
    </row>
    <row r="10672" spans="1:5" x14ac:dyDescent="0.25">
      <c r="A10672" s="14">
        <v>1022849</v>
      </c>
      <c r="B10672" s="14" t="s">
        <v>10770</v>
      </c>
      <c r="C10672" s="14" t="s">
        <v>13030</v>
      </c>
      <c r="D10672" s="15">
        <v>69.23</v>
      </c>
      <c r="E10672" s="14" t="s">
        <v>30</v>
      </c>
    </row>
    <row r="10673" spans="1:5" x14ac:dyDescent="0.25">
      <c r="A10673" s="14">
        <v>1022979</v>
      </c>
      <c r="B10673" s="14" t="s">
        <v>10771</v>
      </c>
      <c r="C10673" s="14" t="s">
        <v>13029</v>
      </c>
      <c r="D10673" s="15">
        <v>18.920000000000002</v>
      </c>
      <c r="E10673" s="14" t="s">
        <v>30</v>
      </c>
    </row>
    <row r="10674" spans="1:5" x14ac:dyDescent="0.25">
      <c r="A10674" s="14">
        <v>1022980</v>
      </c>
      <c r="B10674" s="14" t="s">
        <v>10772</v>
      </c>
      <c r="C10674" s="14" t="s">
        <v>13029</v>
      </c>
      <c r="D10674" s="15">
        <v>8.84</v>
      </c>
      <c r="E10674" s="14" t="s">
        <v>30</v>
      </c>
    </row>
    <row r="10675" spans="1:5" x14ac:dyDescent="0.25">
      <c r="A10675" s="14">
        <v>1022998</v>
      </c>
      <c r="B10675" s="14" t="s">
        <v>10773</v>
      </c>
      <c r="C10675" s="14" t="s">
        <v>13030</v>
      </c>
      <c r="D10675" s="15">
        <v>508.47</v>
      </c>
      <c r="E10675" s="14" t="s">
        <v>30</v>
      </c>
    </row>
    <row r="10676" spans="1:5" x14ac:dyDescent="0.25">
      <c r="A10676" s="14">
        <v>1023579</v>
      </c>
      <c r="B10676" s="14" t="s">
        <v>10774</v>
      </c>
      <c r="C10676" s="14" t="s">
        <v>13030</v>
      </c>
      <c r="D10676" s="15">
        <v>57.55</v>
      </c>
      <c r="E10676" s="14" t="s">
        <v>30</v>
      </c>
    </row>
    <row r="10677" spans="1:5" x14ac:dyDescent="0.25">
      <c r="A10677" s="14">
        <v>1023883</v>
      </c>
      <c r="B10677" s="14" t="s">
        <v>10775</v>
      </c>
      <c r="C10677" s="14" t="s">
        <v>13030</v>
      </c>
      <c r="D10677" s="15">
        <v>38.5</v>
      </c>
      <c r="E10677" s="14" t="s">
        <v>30</v>
      </c>
    </row>
    <row r="10678" spans="1:5" x14ac:dyDescent="0.25">
      <c r="A10678" s="14">
        <v>1023884</v>
      </c>
      <c r="B10678" s="14" t="s">
        <v>10776</v>
      </c>
      <c r="C10678" s="14" t="s">
        <v>13030</v>
      </c>
      <c r="D10678" s="15">
        <v>38.5</v>
      </c>
      <c r="E10678" s="14" t="s">
        <v>30</v>
      </c>
    </row>
    <row r="10679" spans="1:5" x14ac:dyDescent="0.25">
      <c r="A10679" s="14">
        <v>1023887</v>
      </c>
      <c r="B10679" s="14" t="s">
        <v>10777</v>
      </c>
      <c r="C10679" s="14" t="s">
        <v>13030</v>
      </c>
      <c r="D10679" s="15">
        <v>104.61</v>
      </c>
      <c r="E10679" s="14" t="s">
        <v>30</v>
      </c>
    </row>
    <row r="10680" spans="1:5" x14ac:dyDescent="0.25">
      <c r="A10680" s="14">
        <v>1024271</v>
      </c>
      <c r="B10680" s="14" t="s">
        <v>10778</v>
      </c>
      <c r="C10680" s="14" t="s">
        <v>13031</v>
      </c>
      <c r="D10680" s="15">
        <v>33</v>
      </c>
      <c r="E10680" s="14" t="s">
        <v>30</v>
      </c>
    </row>
    <row r="10681" spans="1:5" x14ac:dyDescent="0.25">
      <c r="A10681" s="14">
        <v>432995002</v>
      </c>
      <c r="B10681" s="14" t="s">
        <v>10779</v>
      </c>
      <c r="C10681" s="14" t="s">
        <v>13031</v>
      </c>
      <c r="D10681" s="15">
        <v>14.83</v>
      </c>
      <c r="E10681" s="14" t="s">
        <v>30</v>
      </c>
    </row>
    <row r="10682" spans="1:5" x14ac:dyDescent="0.25">
      <c r="A10682" s="14">
        <v>432995003</v>
      </c>
      <c r="B10682" s="14" t="s">
        <v>10780</v>
      </c>
      <c r="C10682" s="14" t="s">
        <v>13031</v>
      </c>
      <c r="D10682" s="15">
        <v>14.83</v>
      </c>
      <c r="E10682" s="14" t="s">
        <v>30</v>
      </c>
    </row>
    <row r="10683" spans="1:5" x14ac:dyDescent="0.25">
      <c r="A10683" s="14">
        <v>3249</v>
      </c>
      <c r="B10683" s="14" t="s">
        <v>10781</v>
      </c>
      <c r="C10683" s="14" t="s">
        <v>13031</v>
      </c>
      <c r="D10683" s="15">
        <v>5.56</v>
      </c>
      <c r="E10683" s="14" t="s">
        <v>30</v>
      </c>
    </row>
    <row r="10684" spans="1:5" x14ac:dyDescent="0.25">
      <c r="A10684" s="14">
        <v>5551</v>
      </c>
      <c r="B10684" s="14" t="s">
        <v>10782</v>
      </c>
      <c r="C10684" s="14" t="s">
        <v>13031</v>
      </c>
      <c r="D10684" s="15">
        <v>14.65</v>
      </c>
      <c r="E10684" s="14" t="s">
        <v>30</v>
      </c>
    </row>
    <row r="10685" spans="1:5" x14ac:dyDescent="0.25">
      <c r="A10685" s="14">
        <v>25772</v>
      </c>
      <c r="B10685" s="14" t="s">
        <v>10783</v>
      </c>
      <c r="C10685" s="14" t="s">
        <v>13033</v>
      </c>
      <c r="D10685" s="15">
        <v>14.6</v>
      </c>
      <c r="E10685" s="14" t="s">
        <v>30</v>
      </c>
    </row>
    <row r="10686" spans="1:5" x14ac:dyDescent="0.25">
      <c r="A10686" s="14">
        <v>27619</v>
      </c>
      <c r="B10686" s="14" t="s">
        <v>10784</v>
      </c>
      <c r="C10686" s="14" t="s">
        <v>13030</v>
      </c>
      <c r="D10686" s="15">
        <v>65.819999999999993</v>
      </c>
      <c r="E10686" s="14" t="s">
        <v>30</v>
      </c>
    </row>
    <row r="10687" spans="1:5" x14ac:dyDescent="0.25">
      <c r="A10687" s="14">
        <v>68260</v>
      </c>
      <c r="B10687" s="14" t="s">
        <v>10785</v>
      </c>
      <c r="C10687" s="14" t="s">
        <v>13033</v>
      </c>
      <c r="D10687" s="15">
        <v>14.27</v>
      </c>
      <c r="E10687" s="14" t="s">
        <v>30</v>
      </c>
    </row>
    <row r="10688" spans="1:5" x14ac:dyDescent="0.25">
      <c r="A10688" s="14">
        <v>92545</v>
      </c>
      <c r="B10688" s="14" t="s">
        <v>10786</v>
      </c>
      <c r="C10688" s="14" t="s">
        <v>13031</v>
      </c>
      <c r="D10688" s="15">
        <v>17.149999999999999</v>
      </c>
      <c r="E10688" s="14" t="s">
        <v>30</v>
      </c>
    </row>
    <row r="10689" spans="1:5" x14ac:dyDescent="0.25">
      <c r="A10689" s="14">
        <v>163858</v>
      </c>
      <c r="B10689" s="14" t="s">
        <v>10787</v>
      </c>
      <c r="C10689" s="14" t="s">
        <v>13031</v>
      </c>
      <c r="D10689" s="15">
        <v>5.55</v>
      </c>
      <c r="E10689" s="14" t="s">
        <v>30</v>
      </c>
    </row>
    <row r="10690" spans="1:5" x14ac:dyDescent="0.25">
      <c r="A10690" s="14">
        <v>172843</v>
      </c>
      <c r="B10690" s="14" t="s">
        <v>10788</v>
      </c>
      <c r="C10690" s="14" t="s">
        <v>13031</v>
      </c>
      <c r="D10690" s="15">
        <v>5.55</v>
      </c>
      <c r="E10690" s="14" t="s">
        <v>30</v>
      </c>
    </row>
    <row r="10691" spans="1:5" x14ac:dyDescent="0.25">
      <c r="A10691" s="14">
        <v>230492</v>
      </c>
      <c r="B10691" s="14" t="s">
        <v>10789</v>
      </c>
      <c r="C10691" s="14" t="s">
        <v>13031</v>
      </c>
      <c r="D10691" s="15">
        <v>10.09</v>
      </c>
      <c r="E10691" s="14" t="s">
        <v>30</v>
      </c>
    </row>
    <row r="10692" spans="1:5" x14ac:dyDescent="0.25">
      <c r="A10692" s="14">
        <v>238058</v>
      </c>
      <c r="B10692" s="14" t="s">
        <v>10790</v>
      </c>
      <c r="C10692" s="14" t="s">
        <v>13031</v>
      </c>
      <c r="D10692" s="15">
        <v>3.71</v>
      </c>
      <c r="E10692" s="14" t="s">
        <v>30</v>
      </c>
    </row>
    <row r="10693" spans="1:5" x14ac:dyDescent="0.25">
      <c r="A10693" s="14">
        <v>280886</v>
      </c>
      <c r="B10693" s="14" t="s">
        <v>10791</v>
      </c>
      <c r="C10693" s="14" t="s">
        <v>13031</v>
      </c>
      <c r="D10693" s="15">
        <v>18.5</v>
      </c>
      <c r="E10693" s="14" t="s">
        <v>30</v>
      </c>
    </row>
    <row r="10694" spans="1:5" x14ac:dyDescent="0.25">
      <c r="A10694" s="14">
        <v>956391001</v>
      </c>
      <c r="B10694" s="14" t="s">
        <v>10792</v>
      </c>
      <c r="C10694" s="14" t="s">
        <v>13030</v>
      </c>
      <c r="D10694" s="15">
        <v>135.59</v>
      </c>
      <c r="E10694" s="16" t="s">
        <v>20</v>
      </c>
    </row>
    <row r="10695" spans="1:5" x14ac:dyDescent="0.25">
      <c r="A10695" s="14">
        <v>956395001</v>
      </c>
      <c r="B10695" s="14" t="s">
        <v>10793</v>
      </c>
      <c r="C10695" s="14" t="s">
        <v>13030</v>
      </c>
      <c r="D10695" s="15">
        <v>46.19</v>
      </c>
      <c r="E10695" s="16" t="s">
        <v>20</v>
      </c>
    </row>
    <row r="10696" spans="1:5" x14ac:dyDescent="0.25">
      <c r="A10696" s="14">
        <v>293799</v>
      </c>
      <c r="B10696" s="14" t="s">
        <v>10794</v>
      </c>
      <c r="C10696" s="14" t="s">
        <v>13031</v>
      </c>
      <c r="D10696" s="15">
        <v>2.1</v>
      </c>
      <c r="E10696" s="14" t="s">
        <v>30</v>
      </c>
    </row>
    <row r="10697" spans="1:5" x14ac:dyDescent="0.25">
      <c r="A10697" s="14">
        <v>329998</v>
      </c>
      <c r="B10697" s="14" t="s">
        <v>10795</v>
      </c>
      <c r="C10697" s="14" t="s">
        <v>13033</v>
      </c>
      <c r="D10697" s="15">
        <v>40.25</v>
      </c>
      <c r="E10697" s="14" t="s">
        <v>30</v>
      </c>
    </row>
    <row r="10698" spans="1:5" x14ac:dyDescent="0.25">
      <c r="A10698" s="14">
        <v>329999</v>
      </c>
      <c r="B10698" s="14" t="s">
        <v>10796</v>
      </c>
      <c r="C10698" s="14" t="s">
        <v>13033</v>
      </c>
      <c r="D10698" s="15">
        <v>14.27</v>
      </c>
      <c r="E10698" s="14" t="s">
        <v>30</v>
      </c>
    </row>
    <row r="10699" spans="1:5" x14ac:dyDescent="0.25">
      <c r="A10699" s="14">
        <v>335628</v>
      </c>
      <c r="B10699" s="14" t="s">
        <v>10797</v>
      </c>
      <c r="C10699" s="14" t="s">
        <v>13033</v>
      </c>
      <c r="D10699" s="15">
        <v>7.44</v>
      </c>
      <c r="E10699" s="14" t="s">
        <v>30</v>
      </c>
    </row>
    <row r="10700" spans="1:5" x14ac:dyDescent="0.25">
      <c r="A10700" s="14">
        <v>357182</v>
      </c>
      <c r="B10700" s="14" t="s">
        <v>10798</v>
      </c>
      <c r="C10700" s="14" t="s">
        <v>13031</v>
      </c>
      <c r="D10700" s="15">
        <v>1.92</v>
      </c>
      <c r="E10700" s="14" t="s">
        <v>30</v>
      </c>
    </row>
    <row r="10701" spans="1:5" x14ac:dyDescent="0.25">
      <c r="A10701" s="14">
        <v>371883</v>
      </c>
      <c r="B10701" s="14" t="s">
        <v>10799</v>
      </c>
      <c r="C10701" s="14" t="s">
        <v>13033</v>
      </c>
      <c r="D10701" s="15">
        <v>7.8</v>
      </c>
      <c r="E10701" s="14" t="s">
        <v>30</v>
      </c>
    </row>
    <row r="10702" spans="1:5" x14ac:dyDescent="0.25">
      <c r="A10702" s="14">
        <v>372058</v>
      </c>
      <c r="B10702" s="14" t="s">
        <v>10800</v>
      </c>
      <c r="C10702" s="14" t="s">
        <v>13031</v>
      </c>
      <c r="D10702" s="15">
        <v>6.05</v>
      </c>
      <c r="E10702" s="14" t="s">
        <v>30</v>
      </c>
    </row>
    <row r="10703" spans="1:5" x14ac:dyDescent="0.25">
      <c r="A10703" s="14">
        <v>383334</v>
      </c>
      <c r="B10703" s="14" t="s">
        <v>10801</v>
      </c>
      <c r="C10703" s="14" t="s">
        <v>13031</v>
      </c>
      <c r="D10703" s="15">
        <v>3.78</v>
      </c>
      <c r="E10703" s="14" t="s">
        <v>30</v>
      </c>
    </row>
    <row r="10704" spans="1:5" x14ac:dyDescent="0.25">
      <c r="A10704" s="14">
        <v>383335</v>
      </c>
      <c r="B10704" s="14" t="s">
        <v>10802</v>
      </c>
      <c r="C10704" s="14" t="s">
        <v>13031</v>
      </c>
      <c r="D10704" s="15">
        <v>3.78</v>
      </c>
      <c r="E10704" s="14" t="s">
        <v>30</v>
      </c>
    </row>
    <row r="10705" spans="1:5" x14ac:dyDescent="0.25">
      <c r="A10705" s="14">
        <v>400950</v>
      </c>
      <c r="B10705" s="14" t="s">
        <v>10803</v>
      </c>
      <c r="C10705" s="14" t="s">
        <v>13031</v>
      </c>
      <c r="D10705" s="15">
        <v>3.83</v>
      </c>
      <c r="E10705" s="14" t="s">
        <v>30</v>
      </c>
    </row>
    <row r="10706" spans="1:5" x14ac:dyDescent="0.25">
      <c r="A10706" s="14">
        <v>422748</v>
      </c>
      <c r="B10706" s="14" t="s">
        <v>10804</v>
      </c>
      <c r="C10706" s="14" t="s">
        <v>13031</v>
      </c>
      <c r="D10706" s="15">
        <v>30.75</v>
      </c>
      <c r="E10706" s="14" t="s">
        <v>30</v>
      </c>
    </row>
    <row r="10707" spans="1:5" x14ac:dyDescent="0.25">
      <c r="A10707" s="14">
        <v>462297</v>
      </c>
      <c r="B10707" s="14" t="s">
        <v>10805</v>
      </c>
      <c r="C10707" s="14" t="s">
        <v>13033</v>
      </c>
      <c r="D10707" s="15">
        <v>16.899999999999999</v>
      </c>
      <c r="E10707" s="14" t="s">
        <v>30</v>
      </c>
    </row>
    <row r="10708" spans="1:5" x14ac:dyDescent="0.25">
      <c r="A10708" s="14">
        <v>485454</v>
      </c>
      <c r="B10708" s="14" t="s">
        <v>10806</v>
      </c>
      <c r="C10708" s="14" t="s">
        <v>13031</v>
      </c>
      <c r="D10708" s="15">
        <v>4.07</v>
      </c>
      <c r="E10708" s="14" t="s">
        <v>30</v>
      </c>
    </row>
    <row r="10709" spans="1:5" x14ac:dyDescent="0.25">
      <c r="A10709" s="14">
        <v>512952</v>
      </c>
      <c r="B10709" s="14" t="s">
        <v>10807</v>
      </c>
      <c r="C10709" s="14" t="s">
        <v>13031</v>
      </c>
      <c r="D10709" s="15">
        <v>2.57</v>
      </c>
      <c r="E10709" s="14" t="s">
        <v>30</v>
      </c>
    </row>
    <row r="10710" spans="1:5" x14ac:dyDescent="0.25">
      <c r="A10710" s="14">
        <v>956395002</v>
      </c>
      <c r="B10710" s="14" t="s">
        <v>10808</v>
      </c>
      <c r="C10710" s="14" t="s">
        <v>13030</v>
      </c>
      <c r="D10710" s="15">
        <v>46.19</v>
      </c>
      <c r="E10710" s="16" t="s">
        <v>20</v>
      </c>
    </row>
    <row r="10711" spans="1:5" x14ac:dyDescent="0.25">
      <c r="A10711" s="14">
        <v>968244001</v>
      </c>
      <c r="B10711" s="14" t="s">
        <v>10809</v>
      </c>
      <c r="C10711" s="14" t="s">
        <v>13030</v>
      </c>
      <c r="D10711" s="15">
        <v>90.14</v>
      </c>
      <c r="E10711" s="16" t="s">
        <v>20</v>
      </c>
    </row>
    <row r="10712" spans="1:5" x14ac:dyDescent="0.25">
      <c r="A10712" s="14">
        <v>512953</v>
      </c>
      <c r="B10712" s="14" t="s">
        <v>10810</v>
      </c>
      <c r="C10712" s="14" t="s">
        <v>13031</v>
      </c>
      <c r="D10712" s="15">
        <v>2.57</v>
      </c>
      <c r="E10712" s="14" t="s">
        <v>30</v>
      </c>
    </row>
    <row r="10713" spans="1:5" x14ac:dyDescent="0.25">
      <c r="A10713" s="14">
        <v>525893</v>
      </c>
      <c r="B10713" s="14" t="s">
        <v>10811</v>
      </c>
      <c r="C10713" s="14" t="s">
        <v>13031</v>
      </c>
      <c r="D10713" s="15">
        <v>21</v>
      </c>
      <c r="E10713" s="14" t="s">
        <v>30</v>
      </c>
    </row>
    <row r="10714" spans="1:5" x14ac:dyDescent="0.25">
      <c r="A10714" s="14">
        <v>525894</v>
      </c>
      <c r="B10714" s="14" t="s">
        <v>10812</v>
      </c>
      <c r="C10714" s="14" t="s">
        <v>13031</v>
      </c>
      <c r="D10714" s="15">
        <v>21.1</v>
      </c>
      <c r="E10714" s="14" t="s">
        <v>30</v>
      </c>
    </row>
    <row r="10715" spans="1:5" x14ac:dyDescent="0.25">
      <c r="A10715" s="14">
        <v>546545</v>
      </c>
      <c r="B10715" s="14" t="s">
        <v>10813</v>
      </c>
      <c r="C10715" s="14" t="s">
        <v>13031</v>
      </c>
      <c r="D10715" s="15">
        <v>17.52</v>
      </c>
      <c r="E10715" s="14" t="s">
        <v>30</v>
      </c>
    </row>
    <row r="10716" spans="1:5" x14ac:dyDescent="0.25">
      <c r="A10716" s="14">
        <v>560730</v>
      </c>
      <c r="B10716" s="14" t="s">
        <v>10814</v>
      </c>
      <c r="C10716" s="14" t="s">
        <v>13036</v>
      </c>
      <c r="D10716" s="15">
        <v>3.69</v>
      </c>
      <c r="E10716" s="14" t="s">
        <v>30</v>
      </c>
    </row>
    <row r="10717" spans="1:5" x14ac:dyDescent="0.25">
      <c r="A10717" s="14">
        <v>566247</v>
      </c>
      <c r="B10717" s="14" t="s">
        <v>10815</v>
      </c>
      <c r="C10717" s="14" t="s">
        <v>13031</v>
      </c>
      <c r="D10717" s="15">
        <v>9.6999999999999993</v>
      </c>
      <c r="E10717" s="14" t="s">
        <v>30</v>
      </c>
    </row>
    <row r="10718" spans="1:5" x14ac:dyDescent="0.25">
      <c r="A10718" s="14">
        <v>566278</v>
      </c>
      <c r="B10718" s="14" t="s">
        <v>10816</v>
      </c>
      <c r="C10718" s="14" t="s">
        <v>13031</v>
      </c>
      <c r="D10718" s="15">
        <v>9.6999999999999993</v>
      </c>
      <c r="E10718" s="14" t="s">
        <v>30</v>
      </c>
    </row>
    <row r="10719" spans="1:5" x14ac:dyDescent="0.25">
      <c r="A10719" s="14">
        <v>574348</v>
      </c>
      <c r="B10719" s="14" t="s">
        <v>10817</v>
      </c>
      <c r="C10719" s="14" t="s">
        <v>13031</v>
      </c>
      <c r="D10719" s="15">
        <v>16.600000000000001</v>
      </c>
      <c r="E10719" s="14" t="s">
        <v>30</v>
      </c>
    </row>
    <row r="10720" spans="1:5" x14ac:dyDescent="0.25">
      <c r="A10720" s="14">
        <v>574349</v>
      </c>
      <c r="B10720" s="14" t="s">
        <v>10818</v>
      </c>
      <c r="C10720" s="14" t="s">
        <v>13031</v>
      </c>
      <c r="D10720" s="15">
        <v>26.91</v>
      </c>
      <c r="E10720" s="14" t="s">
        <v>30</v>
      </c>
    </row>
    <row r="10721" spans="1:5" x14ac:dyDescent="0.25">
      <c r="A10721" s="14">
        <v>968244002</v>
      </c>
      <c r="B10721" s="14" t="s">
        <v>10819</v>
      </c>
      <c r="C10721" s="14" t="s">
        <v>13030</v>
      </c>
      <c r="D10721" s="15">
        <v>89.6</v>
      </c>
      <c r="E10721" s="16" t="s">
        <v>20</v>
      </c>
    </row>
    <row r="10722" spans="1:5" x14ac:dyDescent="0.25">
      <c r="A10722" s="14">
        <v>968244003</v>
      </c>
      <c r="B10722" s="14" t="s">
        <v>10820</v>
      </c>
      <c r="C10722" s="14" t="s">
        <v>13030</v>
      </c>
      <c r="D10722" s="15">
        <v>89.98</v>
      </c>
      <c r="E10722" s="16" t="s">
        <v>20</v>
      </c>
    </row>
    <row r="10723" spans="1:5" x14ac:dyDescent="0.25">
      <c r="A10723" s="14">
        <v>953943002</v>
      </c>
      <c r="B10723" s="14" t="s">
        <v>10821</v>
      </c>
      <c r="C10723" s="14" t="s">
        <v>13031</v>
      </c>
      <c r="D10723" s="15">
        <v>9</v>
      </c>
      <c r="E10723" s="16" t="s">
        <v>20</v>
      </c>
    </row>
    <row r="10724" spans="1:5" x14ac:dyDescent="0.25">
      <c r="A10724" s="14">
        <v>954239001</v>
      </c>
      <c r="B10724" s="14" t="s">
        <v>10822</v>
      </c>
      <c r="C10724" s="14" t="s">
        <v>13031</v>
      </c>
      <c r="D10724" s="15">
        <v>12.4</v>
      </c>
      <c r="E10724" s="16" t="s">
        <v>20</v>
      </c>
    </row>
    <row r="10725" spans="1:5" x14ac:dyDescent="0.25">
      <c r="A10725" s="14">
        <v>954239002</v>
      </c>
      <c r="B10725" s="14" t="s">
        <v>10823</v>
      </c>
      <c r="C10725" s="14" t="s">
        <v>13031</v>
      </c>
      <c r="D10725" s="15">
        <v>12.4</v>
      </c>
      <c r="E10725" s="16" t="s">
        <v>20</v>
      </c>
    </row>
    <row r="10726" spans="1:5" x14ac:dyDescent="0.25">
      <c r="A10726" s="14">
        <v>757291</v>
      </c>
      <c r="B10726" s="14" t="s">
        <v>10824</v>
      </c>
      <c r="C10726" s="14" t="s">
        <v>13036</v>
      </c>
      <c r="D10726" s="15">
        <v>2.8</v>
      </c>
      <c r="E10726" s="14" t="s">
        <v>30</v>
      </c>
    </row>
    <row r="10727" spans="1:5" x14ac:dyDescent="0.25">
      <c r="A10727" s="14">
        <v>763688</v>
      </c>
      <c r="B10727" s="14" t="s">
        <v>10825</v>
      </c>
      <c r="C10727" s="14" t="s">
        <v>13036</v>
      </c>
      <c r="D10727" s="15">
        <v>79.3</v>
      </c>
      <c r="E10727" s="14" t="s">
        <v>30</v>
      </c>
    </row>
    <row r="10728" spans="1:5" x14ac:dyDescent="0.25">
      <c r="A10728" s="14">
        <v>768647</v>
      </c>
      <c r="B10728" s="14" t="s">
        <v>10826</v>
      </c>
      <c r="C10728" s="14" t="s">
        <v>13030</v>
      </c>
      <c r="D10728" s="15">
        <v>40.729999999999997</v>
      </c>
      <c r="E10728" s="14" t="s">
        <v>30</v>
      </c>
    </row>
    <row r="10729" spans="1:5" x14ac:dyDescent="0.25">
      <c r="A10729" s="14">
        <v>769025</v>
      </c>
      <c r="B10729" s="14" t="s">
        <v>10827</v>
      </c>
      <c r="C10729" s="14" t="s">
        <v>13030</v>
      </c>
      <c r="D10729" s="15">
        <v>75.540000000000006</v>
      </c>
      <c r="E10729" s="14" t="s">
        <v>30</v>
      </c>
    </row>
    <row r="10730" spans="1:5" x14ac:dyDescent="0.25">
      <c r="A10730" s="14">
        <v>782404</v>
      </c>
      <c r="B10730" s="14" t="s">
        <v>10828</v>
      </c>
      <c r="C10730" s="14" t="s">
        <v>13031</v>
      </c>
      <c r="D10730" s="15">
        <v>9.5500000000000007</v>
      </c>
      <c r="E10730" s="14" t="s">
        <v>30</v>
      </c>
    </row>
    <row r="10731" spans="1:5" x14ac:dyDescent="0.25">
      <c r="A10731" s="14">
        <v>886892</v>
      </c>
      <c r="B10731" s="14" t="s">
        <v>10829</v>
      </c>
      <c r="C10731" s="14" t="s">
        <v>13029</v>
      </c>
      <c r="D10731" s="15">
        <v>7.46</v>
      </c>
      <c r="E10731" s="14" t="s">
        <v>30</v>
      </c>
    </row>
    <row r="10732" spans="1:5" x14ac:dyDescent="0.25">
      <c r="A10732" s="14">
        <v>912755</v>
      </c>
      <c r="B10732" s="14" t="s">
        <v>10830</v>
      </c>
      <c r="C10732" s="14" t="s">
        <v>13030</v>
      </c>
      <c r="D10732" s="15">
        <v>21.88</v>
      </c>
      <c r="E10732" s="14" t="s">
        <v>30</v>
      </c>
    </row>
    <row r="10733" spans="1:5" x14ac:dyDescent="0.25">
      <c r="A10733" s="14">
        <v>916699</v>
      </c>
      <c r="B10733" s="14" t="s">
        <v>10831</v>
      </c>
      <c r="C10733" s="14" t="s">
        <v>13030</v>
      </c>
      <c r="D10733" s="15">
        <v>0</v>
      </c>
      <c r="E10733" s="14" t="s">
        <v>30</v>
      </c>
    </row>
    <row r="10734" spans="1:5" x14ac:dyDescent="0.25">
      <c r="A10734" s="14">
        <v>932689</v>
      </c>
      <c r="B10734" s="14" t="s">
        <v>10832</v>
      </c>
      <c r="C10734" s="14" t="s">
        <v>13029</v>
      </c>
      <c r="D10734" s="15">
        <v>61.45</v>
      </c>
      <c r="E10734" s="14" t="s">
        <v>30</v>
      </c>
    </row>
    <row r="10735" spans="1:5" x14ac:dyDescent="0.25">
      <c r="A10735" s="14">
        <v>932696</v>
      </c>
      <c r="B10735" s="14" t="s">
        <v>10833</v>
      </c>
      <c r="C10735" s="14" t="s">
        <v>13031</v>
      </c>
      <c r="D10735" s="15">
        <v>147.46</v>
      </c>
      <c r="E10735" s="14" t="s">
        <v>30</v>
      </c>
    </row>
    <row r="10736" spans="1:5" x14ac:dyDescent="0.25">
      <c r="A10736" s="14">
        <v>951033</v>
      </c>
      <c r="B10736" s="14" t="s">
        <v>10834</v>
      </c>
      <c r="C10736" s="14" t="s">
        <v>13031</v>
      </c>
      <c r="D10736" s="15">
        <v>22.54</v>
      </c>
      <c r="E10736" s="14" t="s">
        <v>30</v>
      </c>
    </row>
    <row r="10737" spans="1:5" x14ac:dyDescent="0.25">
      <c r="A10737" s="14">
        <v>964094</v>
      </c>
      <c r="B10737" s="14" t="s">
        <v>10835</v>
      </c>
      <c r="C10737" s="14" t="s">
        <v>13029</v>
      </c>
      <c r="D10737" s="15">
        <v>34.43</v>
      </c>
      <c r="E10737" s="14" t="s">
        <v>30</v>
      </c>
    </row>
    <row r="10738" spans="1:5" x14ac:dyDescent="0.25">
      <c r="A10738" s="14">
        <v>964097</v>
      </c>
      <c r="B10738" s="14" t="s">
        <v>10836</v>
      </c>
      <c r="C10738" s="14" t="s">
        <v>13029</v>
      </c>
      <c r="D10738" s="15">
        <v>17.63</v>
      </c>
      <c r="E10738" s="14" t="s">
        <v>30</v>
      </c>
    </row>
    <row r="10739" spans="1:5" x14ac:dyDescent="0.25">
      <c r="A10739" s="14">
        <v>964098</v>
      </c>
      <c r="B10739" s="14" t="s">
        <v>10837</v>
      </c>
      <c r="C10739" s="14" t="s">
        <v>13029</v>
      </c>
      <c r="D10739" s="15">
        <v>17.63</v>
      </c>
      <c r="E10739" s="14" t="s">
        <v>30</v>
      </c>
    </row>
    <row r="10740" spans="1:5" x14ac:dyDescent="0.25">
      <c r="A10740" s="14">
        <v>972639</v>
      </c>
      <c r="B10740" s="14" t="s">
        <v>10838</v>
      </c>
      <c r="C10740" s="14" t="s">
        <v>13033</v>
      </c>
      <c r="D10740" s="15">
        <v>6.55</v>
      </c>
      <c r="E10740" s="14" t="s">
        <v>30</v>
      </c>
    </row>
    <row r="10741" spans="1:5" x14ac:dyDescent="0.25">
      <c r="A10741" s="14">
        <v>975378</v>
      </c>
      <c r="B10741" s="14" t="s">
        <v>10839</v>
      </c>
      <c r="C10741" s="14" t="s">
        <v>13037</v>
      </c>
      <c r="D10741" s="15">
        <v>7.0000000000000007E-2</v>
      </c>
      <c r="E10741" s="14" t="s">
        <v>30</v>
      </c>
    </row>
    <row r="10742" spans="1:5" x14ac:dyDescent="0.25">
      <c r="A10742" s="14">
        <v>992684</v>
      </c>
      <c r="B10742" s="14" t="s">
        <v>10840</v>
      </c>
      <c r="C10742" s="14" t="s">
        <v>13031</v>
      </c>
      <c r="D10742" s="15">
        <v>14.18</v>
      </c>
      <c r="E10742" s="14" t="s">
        <v>30</v>
      </c>
    </row>
    <row r="10743" spans="1:5" x14ac:dyDescent="0.25">
      <c r="A10743" s="14">
        <v>998455</v>
      </c>
      <c r="B10743" s="14" t="s">
        <v>10841</v>
      </c>
      <c r="C10743" s="14" t="s">
        <v>13033</v>
      </c>
      <c r="D10743" s="15">
        <v>6.55</v>
      </c>
      <c r="E10743" s="14" t="s">
        <v>30</v>
      </c>
    </row>
    <row r="10744" spans="1:5" x14ac:dyDescent="0.25">
      <c r="A10744" s="14">
        <v>998458</v>
      </c>
      <c r="B10744" s="14" t="s">
        <v>10842</v>
      </c>
      <c r="C10744" s="14" t="s">
        <v>13033</v>
      </c>
      <c r="D10744" s="15">
        <v>10.5</v>
      </c>
      <c r="E10744" s="14" t="s">
        <v>30</v>
      </c>
    </row>
    <row r="10745" spans="1:5" x14ac:dyDescent="0.25">
      <c r="A10745" s="14">
        <v>1004633</v>
      </c>
      <c r="B10745" s="14" t="s">
        <v>10843</v>
      </c>
      <c r="C10745" s="14" t="s">
        <v>13031</v>
      </c>
      <c r="D10745" s="15">
        <v>6.17</v>
      </c>
      <c r="E10745" s="14" t="s">
        <v>30</v>
      </c>
    </row>
    <row r="10746" spans="1:5" x14ac:dyDescent="0.25">
      <c r="A10746" s="14">
        <v>1016588</v>
      </c>
      <c r="B10746" s="14" t="s">
        <v>10844</v>
      </c>
      <c r="C10746" s="14" t="s">
        <v>13031</v>
      </c>
      <c r="D10746" s="15">
        <v>4.74</v>
      </c>
      <c r="E10746" s="14" t="s">
        <v>30</v>
      </c>
    </row>
    <row r="10747" spans="1:5" x14ac:dyDescent="0.25">
      <c r="A10747" s="14">
        <v>48339001</v>
      </c>
      <c r="B10747" s="14" t="s">
        <v>10845</v>
      </c>
      <c r="C10747" s="14" t="s">
        <v>13031</v>
      </c>
      <c r="D10747" s="15">
        <v>9.19</v>
      </c>
      <c r="E10747" s="14" t="s">
        <v>30</v>
      </c>
    </row>
    <row r="10748" spans="1:5" x14ac:dyDescent="0.25">
      <c r="A10748" s="14">
        <v>48406001</v>
      </c>
      <c r="B10748" s="14" t="s">
        <v>10846</v>
      </c>
      <c r="C10748" s="14" t="s">
        <v>13031</v>
      </c>
      <c r="D10748" s="15">
        <v>1.82</v>
      </c>
      <c r="E10748" s="14" t="s">
        <v>30</v>
      </c>
    </row>
    <row r="10749" spans="1:5" x14ac:dyDescent="0.25">
      <c r="A10749" s="14">
        <v>48406004</v>
      </c>
      <c r="B10749" s="14" t="s">
        <v>10847</v>
      </c>
      <c r="C10749" s="14" t="s">
        <v>13031</v>
      </c>
      <c r="D10749" s="15">
        <v>1.82</v>
      </c>
      <c r="E10749" s="14" t="s">
        <v>30</v>
      </c>
    </row>
    <row r="10750" spans="1:5" x14ac:dyDescent="0.25">
      <c r="A10750" s="14">
        <v>48406008</v>
      </c>
      <c r="B10750" s="14" t="s">
        <v>10848</v>
      </c>
      <c r="C10750" s="14" t="s">
        <v>13031</v>
      </c>
      <c r="D10750" s="15">
        <v>1.82</v>
      </c>
      <c r="E10750" s="14" t="s">
        <v>30</v>
      </c>
    </row>
    <row r="10751" spans="1:5" x14ac:dyDescent="0.25">
      <c r="A10751" s="14">
        <v>48406010</v>
      </c>
      <c r="B10751" s="14" t="s">
        <v>10849</v>
      </c>
      <c r="C10751" s="14" t="s">
        <v>13031</v>
      </c>
      <c r="D10751" s="15">
        <v>1.81</v>
      </c>
      <c r="E10751" s="14" t="s">
        <v>30</v>
      </c>
    </row>
    <row r="10752" spans="1:5" x14ac:dyDescent="0.25">
      <c r="A10752" s="14">
        <v>48407002</v>
      </c>
      <c r="B10752" s="14" t="s">
        <v>10850</v>
      </c>
      <c r="C10752" s="14" t="s">
        <v>13031</v>
      </c>
      <c r="D10752" s="15">
        <v>1.79</v>
      </c>
      <c r="E10752" s="14" t="s">
        <v>30</v>
      </c>
    </row>
    <row r="10753" spans="1:5" x14ac:dyDescent="0.25">
      <c r="A10753" s="14">
        <v>48485001</v>
      </c>
      <c r="B10753" s="14" t="s">
        <v>10851</v>
      </c>
      <c r="C10753" s="14" t="s">
        <v>13031</v>
      </c>
      <c r="D10753" s="15">
        <v>0.96</v>
      </c>
      <c r="E10753" s="14" t="s">
        <v>30</v>
      </c>
    </row>
    <row r="10754" spans="1:5" x14ac:dyDescent="0.25">
      <c r="A10754" s="14">
        <v>48495002</v>
      </c>
      <c r="B10754" s="14" t="s">
        <v>10852</v>
      </c>
      <c r="C10754" s="14" t="s">
        <v>13031</v>
      </c>
      <c r="D10754" s="15">
        <v>8.7799999999999994</v>
      </c>
      <c r="E10754" s="14" t="s">
        <v>30</v>
      </c>
    </row>
    <row r="10755" spans="1:5" x14ac:dyDescent="0.25">
      <c r="A10755" s="14">
        <v>48495007</v>
      </c>
      <c r="B10755" s="14" t="s">
        <v>10853</v>
      </c>
      <c r="C10755" s="14" t="s">
        <v>13031</v>
      </c>
      <c r="D10755" s="15">
        <v>8.77</v>
      </c>
      <c r="E10755" s="14" t="s">
        <v>30</v>
      </c>
    </row>
    <row r="10756" spans="1:5" x14ac:dyDescent="0.25">
      <c r="A10756" s="14">
        <v>48495013</v>
      </c>
      <c r="B10756" s="14" t="s">
        <v>10854</v>
      </c>
      <c r="C10756" s="14" t="s">
        <v>13031</v>
      </c>
      <c r="D10756" s="15">
        <v>8.7799999999999994</v>
      </c>
      <c r="E10756" s="14" t="s">
        <v>30</v>
      </c>
    </row>
    <row r="10757" spans="1:5" x14ac:dyDescent="0.25">
      <c r="A10757" s="14">
        <v>48495016</v>
      </c>
      <c r="B10757" s="14" t="s">
        <v>10855</v>
      </c>
      <c r="C10757" s="14" t="s">
        <v>13031</v>
      </c>
      <c r="D10757" s="15">
        <v>8.77</v>
      </c>
      <c r="E10757" s="14" t="s">
        <v>30</v>
      </c>
    </row>
    <row r="10758" spans="1:5" x14ac:dyDescent="0.25">
      <c r="A10758" s="14">
        <v>206811006</v>
      </c>
      <c r="B10758" s="14" t="s">
        <v>10856</v>
      </c>
      <c r="C10758" s="14" t="s">
        <v>13031</v>
      </c>
      <c r="D10758" s="15">
        <v>8.7799999999999994</v>
      </c>
      <c r="E10758" s="14" t="s">
        <v>30</v>
      </c>
    </row>
    <row r="10759" spans="1:5" x14ac:dyDescent="0.25">
      <c r="A10759" s="14">
        <v>397684001</v>
      </c>
      <c r="B10759" s="14" t="s">
        <v>10857</v>
      </c>
      <c r="C10759" s="14" t="s">
        <v>13031</v>
      </c>
      <c r="D10759" s="15">
        <v>9.5500000000000007</v>
      </c>
      <c r="E10759" s="14" t="s">
        <v>30</v>
      </c>
    </row>
    <row r="10760" spans="1:5" x14ac:dyDescent="0.25">
      <c r="A10760" s="14">
        <v>397684006</v>
      </c>
      <c r="B10760" s="14" t="s">
        <v>10858</v>
      </c>
      <c r="C10760" s="14" t="s">
        <v>13031</v>
      </c>
      <c r="D10760" s="15">
        <v>9.5500000000000007</v>
      </c>
      <c r="E10760" s="14" t="s">
        <v>30</v>
      </c>
    </row>
    <row r="10761" spans="1:5" x14ac:dyDescent="0.25">
      <c r="A10761" s="14">
        <v>450569001</v>
      </c>
      <c r="B10761" s="14" t="s">
        <v>10859</v>
      </c>
      <c r="C10761" s="14" t="s">
        <v>13031</v>
      </c>
      <c r="D10761" s="15">
        <v>10</v>
      </c>
      <c r="E10761" s="14" t="s">
        <v>30</v>
      </c>
    </row>
    <row r="10762" spans="1:5" x14ac:dyDescent="0.25">
      <c r="A10762" s="14">
        <v>454713002</v>
      </c>
      <c r="B10762" s="14" t="s">
        <v>10860</v>
      </c>
      <c r="C10762" s="14" t="s">
        <v>13029</v>
      </c>
      <c r="D10762" s="15">
        <v>2.64</v>
      </c>
      <c r="E10762" s="14" t="s">
        <v>30</v>
      </c>
    </row>
    <row r="10763" spans="1:5" x14ac:dyDescent="0.25">
      <c r="A10763" s="14">
        <v>454713003</v>
      </c>
      <c r="B10763" s="14" t="s">
        <v>10861</v>
      </c>
      <c r="C10763" s="14" t="s">
        <v>13029</v>
      </c>
      <c r="D10763" s="15">
        <v>2.64</v>
      </c>
      <c r="E10763" s="14" t="s">
        <v>30</v>
      </c>
    </row>
    <row r="10764" spans="1:5" x14ac:dyDescent="0.25">
      <c r="A10764" s="14">
        <v>454714003</v>
      </c>
      <c r="B10764" s="14" t="s">
        <v>10862</v>
      </c>
      <c r="C10764" s="14" t="s">
        <v>13029</v>
      </c>
      <c r="D10764" s="15">
        <v>5.08</v>
      </c>
      <c r="E10764" s="14" t="s">
        <v>30</v>
      </c>
    </row>
    <row r="10765" spans="1:5" x14ac:dyDescent="0.25">
      <c r="A10765" s="14">
        <v>954239003</v>
      </c>
      <c r="B10765" s="14" t="s">
        <v>10863</v>
      </c>
      <c r="C10765" s="14" t="s">
        <v>13031</v>
      </c>
      <c r="D10765" s="15">
        <v>12.4</v>
      </c>
      <c r="E10765" s="16" t="s">
        <v>20</v>
      </c>
    </row>
    <row r="10766" spans="1:5" x14ac:dyDescent="0.25">
      <c r="A10766" s="14">
        <v>969802001</v>
      </c>
      <c r="B10766" s="14" t="s">
        <v>10864</v>
      </c>
      <c r="C10766" s="14" t="s">
        <v>13031</v>
      </c>
      <c r="D10766" s="15">
        <v>7.62</v>
      </c>
      <c r="E10766" s="16" t="s">
        <v>20</v>
      </c>
    </row>
    <row r="10767" spans="1:5" x14ac:dyDescent="0.25">
      <c r="A10767" s="14">
        <v>460093001</v>
      </c>
      <c r="B10767" s="14" t="s">
        <v>10865</v>
      </c>
      <c r="C10767" s="14" t="s">
        <v>13031</v>
      </c>
      <c r="D10767" s="15">
        <v>1.64</v>
      </c>
      <c r="E10767" s="14" t="s">
        <v>30</v>
      </c>
    </row>
    <row r="10768" spans="1:5" x14ac:dyDescent="0.25">
      <c r="A10768" s="14">
        <v>470943001</v>
      </c>
      <c r="B10768" s="14" t="s">
        <v>10866</v>
      </c>
      <c r="C10768" s="14" t="s">
        <v>13031</v>
      </c>
      <c r="D10768" s="15">
        <v>8.9</v>
      </c>
      <c r="E10768" s="14" t="s">
        <v>30</v>
      </c>
    </row>
    <row r="10769" spans="1:5" x14ac:dyDescent="0.25">
      <c r="A10769" s="14">
        <v>470943002</v>
      </c>
      <c r="B10769" s="14" t="s">
        <v>10867</v>
      </c>
      <c r="C10769" s="14" t="s">
        <v>13031</v>
      </c>
      <c r="D10769" s="15">
        <v>8.9</v>
      </c>
      <c r="E10769" s="14" t="s">
        <v>30</v>
      </c>
    </row>
    <row r="10770" spans="1:5" x14ac:dyDescent="0.25">
      <c r="A10770" s="14">
        <v>477432001</v>
      </c>
      <c r="B10770" s="14" t="s">
        <v>10868</v>
      </c>
      <c r="C10770" s="14" t="s">
        <v>13031</v>
      </c>
      <c r="D10770" s="15">
        <v>5.73</v>
      </c>
      <c r="E10770" s="14" t="s">
        <v>30</v>
      </c>
    </row>
    <row r="10771" spans="1:5" x14ac:dyDescent="0.25">
      <c r="A10771" s="14">
        <v>477432002</v>
      </c>
      <c r="B10771" s="14" t="s">
        <v>10869</v>
      </c>
      <c r="C10771" s="14" t="s">
        <v>13031</v>
      </c>
      <c r="D10771" s="15">
        <v>5.73</v>
      </c>
      <c r="E10771" s="14" t="s">
        <v>30</v>
      </c>
    </row>
    <row r="10772" spans="1:5" x14ac:dyDescent="0.25">
      <c r="A10772" s="14">
        <v>541669002</v>
      </c>
      <c r="B10772" s="14" t="s">
        <v>10870</v>
      </c>
      <c r="C10772" s="14" t="s">
        <v>13031</v>
      </c>
      <c r="D10772" s="15">
        <v>4.1100000000000003</v>
      </c>
      <c r="E10772" s="14" t="s">
        <v>30</v>
      </c>
    </row>
    <row r="10773" spans="1:5" x14ac:dyDescent="0.25">
      <c r="A10773" s="14">
        <v>541669003</v>
      </c>
      <c r="B10773" s="14" t="s">
        <v>10871</v>
      </c>
      <c r="C10773" s="14" t="s">
        <v>13031</v>
      </c>
      <c r="D10773" s="15">
        <v>4.1100000000000003</v>
      </c>
      <c r="E10773" s="14" t="s">
        <v>30</v>
      </c>
    </row>
    <row r="10774" spans="1:5" x14ac:dyDescent="0.25">
      <c r="A10774" s="14">
        <v>773608003</v>
      </c>
      <c r="B10774" s="14" t="s">
        <v>10872</v>
      </c>
      <c r="C10774" s="14" t="s">
        <v>13031</v>
      </c>
      <c r="D10774" s="15">
        <v>13.6</v>
      </c>
      <c r="E10774" s="14" t="s">
        <v>30</v>
      </c>
    </row>
    <row r="10775" spans="1:5" x14ac:dyDescent="0.25">
      <c r="A10775" s="14">
        <v>773608004</v>
      </c>
      <c r="B10775" s="14" t="s">
        <v>10873</v>
      </c>
      <c r="C10775" s="14" t="s">
        <v>13031</v>
      </c>
      <c r="D10775" s="15">
        <v>13.6</v>
      </c>
      <c r="E10775" s="14" t="s">
        <v>30</v>
      </c>
    </row>
    <row r="10776" spans="1:5" x14ac:dyDescent="0.25">
      <c r="A10776" s="14" t="s">
        <v>10874</v>
      </c>
      <c r="B10776" s="14" t="s">
        <v>10875</v>
      </c>
      <c r="C10776" s="14" t="s">
        <v>13038</v>
      </c>
      <c r="D10776" s="15">
        <v>7.77</v>
      </c>
      <c r="E10776" s="14" t="s">
        <v>30</v>
      </c>
    </row>
    <row r="10777" spans="1:5" x14ac:dyDescent="0.25">
      <c r="A10777" s="14">
        <v>781067</v>
      </c>
      <c r="B10777" s="14" t="s">
        <v>10876</v>
      </c>
      <c r="C10777" s="14" t="s">
        <v>13030</v>
      </c>
      <c r="D10777" s="15">
        <v>7.65</v>
      </c>
      <c r="E10777" s="14" t="s">
        <v>30</v>
      </c>
    </row>
    <row r="10778" spans="1:5" x14ac:dyDescent="0.25">
      <c r="A10778" s="14">
        <v>1022417</v>
      </c>
      <c r="B10778" s="14" t="s">
        <v>10877</v>
      </c>
      <c r="C10778" s="14" t="s">
        <v>13029</v>
      </c>
      <c r="D10778" s="15">
        <v>10.24</v>
      </c>
      <c r="E10778" s="14" t="s">
        <v>30</v>
      </c>
    </row>
    <row r="10779" spans="1:5" x14ac:dyDescent="0.25">
      <c r="A10779" s="14">
        <v>1022983</v>
      </c>
      <c r="B10779" s="14" t="s">
        <v>10878</v>
      </c>
      <c r="C10779" s="14" t="s">
        <v>13029</v>
      </c>
      <c r="D10779" s="15">
        <v>8.25</v>
      </c>
      <c r="E10779" s="14" t="s">
        <v>30</v>
      </c>
    </row>
    <row r="10780" spans="1:5" x14ac:dyDescent="0.25">
      <c r="A10780" s="14">
        <v>1022093</v>
      </c>
      <c r="B10780" s="14" t="s">
        <v>10879</v>
      </c>
      <c r="C10780" s="14" t="s">
        <v>13030</v>
      </c>
      <c r="D10780" s="15">
        <v>155.25</v>
      </c>
      <c r="E10780" s="14" t="s">
        <v>30</v>
      </c>
    </row>
    <row r="10781" spans="1:5" x14ac:dyDescent="0.25">
      <c r="A10781" s="14">
        <v>1022346</v>
      </c>
      <c r="B10781" s="14" t="s">
        <v>10880</v>
      </c>
      <c r="C10781" s="14" t="s">
        <v>13030</v>
      </c>
      <c r="D10781" s="15">
        <v>33.82</v>
      </c>
      <c r="E10781" s="14" t="s">
        <v>30</v>
      </c>
    </row>
    <row r="10782" spans="1:5" x14ac:dyDescent="0.25">
      <c r="A10782" s="14">
        <v>1022838</v>
      </c>
      <c r="B10782" s="14" t="s">
        <v>10881</v>
      </c>
      <c r="C10782" s="14" t="s">
        <v>13030</v>
      </c>
      <c r="D10782" s="15">
        <v>125.02</v>
      </c>
      <c r="E10782" s="14" t="s">
        <v>30</v>
      </c>
    </row>
    <row r="10783" spans="1:5" x14ac:dyDescent="0.25">
      <c r="A10783" s="14">
        <v>1022839</v>
      </c>
      <c r="B10783" s="14" t="s">
        <v>10882</v>
      </c>
      <c r="C10783" s="14" t="s">
        <v>13030</v>
      </c>
      <c r="D10783" s="15">
        <v>125.02</v>
      </c>
      <c r="E10783" s="14" t="s">
        <v>30</v>
      </c>
    </row>
    <row r="10784" spans="1:5" x14ac:dyDescent="0.25">
      <c r="A10784" s="14">
        <v>948488003</v>
      </c>
      <c r="B10784" s="14" t="s">
        <v>10883</v>
      </c>
      <c r="C10784" s="14" t="s">
        <v>13030</v>
      </c>
      <c r="D10784" s="15">
        <v>3.75</v>
      </c>
      <c r="E10784" s="14" t="s">
        <v>30</v>
      </c>
    </row>
    <row r="10785" spans="1:5" x14ac:dyDescent="0.25">
      <c r="A10785" s="14">
        <v>933108</v>
      </c>
      <c r="B10785" s="14" t="s">
        <v>10884</v>
      </c>
      <c r="C10785" s="14" t="s">
        <v>13030</v>
      </c>
      <c r="D10785" s="15">
        <v>4.09</v>
      </c>
      <c r="E10785" s="14" t="s">
        <v>30</v>
      </c>
    </row>
    <row r="10786" spans="1:5" x14ac:dyDescent="0.25">
      <c r="A10786" s="14">
        <v>1016745</v>
      </c>
      <c r="B10786" s="14" t="s">
        <v>10885</v>
      </c>
      <c r="C10786" s="14" t="s">
        <v>13031</v>
      </c>
      <c r="D10786" s="15">
        <v>3.14</v>
      </c>
      <c r="E10786" s="14" t="s">
        <v>30</v>
      </c>
    </row>
    <row r="10787" spans="1:5" x14ac:dyDescent="0.25">
      <c r="A10787" s="14">
        <v>1022095</v>
      </c>
      <c r="B10787" s="14" t="s">
        <v>10886</v>
      </c>
      <c r="C10787" s="14" t="s">
        <v>13030</v>
      </c>
      <c r="D10787" s="15">
        <v>35.229999999999997</v>
      </c>
      <c r="E10787" s="14" t="s">
        <v>30</v>
      </c>
    </row>
    <row r="10788" spans="1:5" x14ac:dyDescent="0.25">
      <c r="A10788" s="14">
        <v>1022851</v>
      </c>
      <c r="B10788" s="14" t="s">
        <v>10887</v>
      </c>
      <c r="C10788" s="14" t="s">
        <v>13030</v>
      </c>
      <c r="D10788" s="15">
        <v>32.1</v>
      </c>
      <c r="E10788" s="14" t="s">
        <v>30</v>
      </c>
    </row>
    <row r="10789" spans="1:5" x14ac:dyDescent="0.25">
      <c r="A10789" s="14">
        <v>1022975</v>
      </c>
      <c r="B10789" s="14" t="s">
        <v>10888</v>
      </c>
      <c r="C10789" s="14" t="s">
        <v>13031</v>
      </c>
      <c r="D10789" s="15">
        <v>9.5299999999999994</v>
      </c>
      <c r="E10789" s="14" t="s">
        <v>30</v>
      </c>
    </row>
    <row r="10790" spans="1:5" x14ac:dyDescent="0.25">
      <c r="A10790" s="14">
        <v>1023326</v>
      </c>
      <c r="B10790" s="14" t="s">
        <v>10889</v>
      </c>
      <c r="C10790" s="14" t="s">
        <v>13031</v>
      </c>
      <c r="D10790" s="15">
        <v>8.84</v>
      </c>
      <c r="E10790" s="14" t="s">
        <v>30</v>
      </c>
    </row>
    <row r="10791" spans="1:5" x14ac:dyDescent="0.25">
      <c r="A10791" s="14">
        <v>1024537</v>
      </c>
      <c r="B10791" s="14" t="s">
        <v>10890</v>
      </c>
      <c r="C10791" s="14" t="s">
        <v>13031</v>
      </c>
      <c r="D10791" s="15">
        <v>23.43</v>
      </c>
      <c r="E10791" s="14" t="s">
        <v>30</v>
      </c>
    </row>
    <row r="10792" spans="1:5" x14ac:dyDescent="0.25">
      <c r="A10792" s="14">
        <v>1024556</v>
      </c>
      <c r="B10792" s="14" t="s">
        <v>10891</v>
      </c>
      <c r="C10792" s="14" t="s">
        <v>13029</v>
      </c>
      <c r="D10792" s="15">
        <v>34.11</v>
      </c>
      <c r="E10792" s="14" t="s">
        <v>30</v>
      </c>
    </row>
    <row r="10793" spans="1:5" x14ac:dyDescent="0.25">
      <c r="A10793" s="14">
        <v>1014654001</v>
      </c>
      <c r="B10793" s="14" t="s">
        <v>10892</v>
      </c>
      <c r="C10793" s="14" t="s">
        <v>13030</v>
      </c>
      <c r="D10793" s="15">
        <v>30.46</v>
      </c>
      <c r="E10793" s="14" t="s">
        <v>30</v>
      </c>
    </row>
    <row r="10794" spans="1:5" x14ac:dyDescent="0.25">
      <c r="A10794" s="14">
        <v>461917</v>
      </c>
      <c r="B10794" s="14" t="s">
        <v>10893</v>
      </c>
      <c r="C10794" s="14" t="s">
        <v>13029</v>
      </c>
      <c r="D10794" s="15">
        <v>24.26</v>
      </c>
      <c r="E10794" s="14" t="s">
        <v>30</v>
      </c>
    </row>
    <row r="10795" spans="1:5" x14ac:dyDescent="0.25">
      <c r="A10795" s="14">
        <v>577521</v>
      </c>
      <c r="B10795" s="14" t="s">
        <v>10894</v>
      </c>
      <c r="C10795" s="14" t="s">
        <v>13029</v>
      </c>
      <c r="D10795" s="15">
        <v>37.31</v>
      </c>
      <c r="E10795" s="14" t="s">
        <v>30</v>
      </c>
    </row>
    <row r="10796" spans="1:5" x14ac:dyDescent="0.25">
      <c r="A10796" s="14">
        <v>975933</v>
      </c>
      <c r="B10796" s="14" t="s">
        <v>10895</v>
      </c>
      <c r="C10796" s="14" t="s">
        <v>13029</v>
      </c>
      <c r="D10796" s="15">
        <v>25.45</v>
      </c>
      <c r="E10796" s="14" t="s">
        <v>30</v>
      </c>
    </row>
    <row r="10797" spans="1:5" x14ac:dyDescent="0.25">
      <c r="A10797" s="14">
        <v>1024320</v>
      </c>
      <c r="B10797" s="14" t="s">
        <v>10896</v>
      </c>
      <c r="C10797" s="14" t="s">
        <v>13031</v>
      </c>
      <c r="D10797" s="15">
        <v>7.05</v>
      </c>
      <c r="E10797" s="14" t="s">
        <v>30</v>
      </c>
    </row>
    <row r="10798" spans="1:5" x14ac:dyDescent="0.25">
      <c r="A10798" s="14">
        <v>1024742</v>
      </c>
      <c r="B10798" s="14" t="s">
        <v>10897</v>
      </c>
      <c r="C10798" s="14" t="s">
        <v>13029</v>
      </c>
      <c r="D10798" s="15">
        <v>47.99</v>
      </c>
      <c r="E10798" s="14" t="s">
        <v>30</v>
      </c>
    </row>
    <row r="10799" spans="1:5" x14ac:dyDescent="0.25">
      <c r="A10799" s="14">
        <v>1024743</v>
      </c>
      <c r="B10799" s="14" t="s">
        <v>10898</v>
      </c>
      <c r="C10799" s="14" t="s">
        <v>13029</v>
      </c>
      <c r="D10799" s="15">
        <v>23.61</v>
      </c>
      <c r="E10799" s="14" t="s">
        <v>30</v>
      </c>
    </row>
    <row r="10800" spans="1:5" x14ac:dyDescent="0.25">
      <c r="A10800" s="14">
        <v>1022340</v>
      </c>
      <c r="B10800" s="14" t="s">
        <v>10899</v>
      </c>
      <c r="C10800" s="14" t="s">
        <v>13030</v>
      </c>
      <c r="D10800" s="15">
        <v>87.74</v>
      </c>
      <c r="E10800" s="14" t="s">
        <v>30</v>
      </c>
    </row>
    <row r="10801" spans="1:5" x14ac:dyDescent="0.25">
      <c r="A10801" s="14">
        <v>1022341</v>
      </c>
      <c r="B10801" s="14" t="s">
        <v>10900</v>
      </c>
      <c r="C10801" s="14" t="s">
        <v>13030</v>
      </c>
      <c r="D10801" s="15">
        <v>87.74</v>
      </c>
      <c r="E10801" s="14" t="s">
        <v>30</v>
      </c>
    </row>
    <row r="10802" spans="1:5" x14ac:dyDescent="0.25">
      <c r="A10802" s="14">
        <v>1022844</v>
      </c>
      <c r="B10802" s="14" t="s">
        <v>10901</v>
      </c>
      <c r="C10802" s="14" t="s">
        <v>13030</v>
      </c>
      <c r="D10802" s="15">
        <v>299.08</v>
      </c>
      <c r="E10802" s="14" t="s">
        <v>30</v>
      </c>
    </row>
    <row r="10803" spans="1:5" x14ac:dyDescent="0.25">
      <c r="A10803" s="14">
        <v>1024379</v>
      </c>
      <c r="B10803" s="14" t="s">
        <v>10902</v>
      </c>
      <c r="C10803" s="14" t="s">
        <v>13031</v>
      </c>
      <c r="D10803" s="15">
        <v>3.56</v>
      </c>
      <c r="E10803" s="14" t="s">
        <v>30</v>
      </c>
    </row>
    <row r="10804" spans="1:5" x14ac:dyDescent="0.25">
      <c r="A10804" s="14">
        <v>969802002</v>
      </c>
      <c r="B10804" s="14" t="s">
        <v>10903</v>
      </c>
      <c r="C10804" s="14" t="s">
        <v>13031</v>
      </c>
      <c r="D10804" s="15">
        <v>7.62</v>
      </c>
      <c r="E10804" s="16" t="s">
        <v>20</v>
      </c>
    </row>
    <row r="10805" spans="1:5" x14ac:dyDescent="0.25">
      <c r="A10805" s="14">
        <v>1024745</v>
      </c>
      <c r="B10805" s="14" t="s">
        <v>10904</v>
      </c>
      <c r="C10805" s="14" t="s">
        <v>13029</v>
      </c>
      <c r="D10805" s="15">
        <v>21.75</v>
      </c>
      <c r="E10805" s="14" t="s">
        <v>30</v>
      </c>
    </row>
    <row r="10806" spans="1:5" x14ac:dyDescent="0.25">
      <c r="A10806" s="14">
        <v>1024781</v>
      </c>
      <c r="B10806" s="14" t="s">
        <v>10905</v>
      </c>
      <c r="C10806" s="14" t="s">
        <v>13030</v>
      </c>
      <c r="D10806" s="15">
        <v>69.42</v>
      </c>
      <c r="E10806" s="14" t="s">
        <v>30</v>
      </c>
    </row>
    <row r="10807" spans="1:5" x14ac:dyDescent="0.25">
      <c r="A10807" s="14">
        <v>1024784</v>
      </c>
      <c r="B10807" s="14" t="s">
        <v>10906</v>
      </c>
      <c r="C10807" s="14" t="s">
        <v>13030</v>
      </c>
      <c r="D10807" s="15">
        <v>69.44</v>
      </c>
      <c r="E10807" s="14" t="s">
        <v>30</v>
      </c>
    </row>
    <row r="10808" spans="1:5" x14ac:dyDescent="0.25">
      <c r="A10808" s="14">
        <v>1024785</v>
      </c>
      <c r="B10808" s="14" t="s">
        <v>10907</v>
      </c>
      <c r="C10808" s="14" t="s">
        <v>13030</v>
      </c>
      <c r="D10808" s="15">
        <v>69.44</v>
      </c>
      <c r="E10808" s="14" t="s">
        <v>30</v>
      </c>
    </row>
    <row r="10809" spans="1:5" x14ac:dyDescent="0.25">
      <c r="A10809" s="14">
        <v>1024287</v>
      </c>
      <c r="B10809" s="14" t="s">
        <v>10908</v>
      </c>
      <c r="C10809" s="14" t="s">
        <v>13031</v>
      </c>
      <c r="D10809" s="15">
        <v>4.1500000000000004</v>
      </c>
      <c r="E10809" s="14" t="s">
        <v>30</v>
      </c>
    </row>
    <row r="10810" spans="1:5" x14ac:dyDescent="0.25">
      <c r="A10810" s="14">
        <v>1024288</v>
      </c>
      <c r="B10810" s="14" t="s">
        <v>10909</v>
      </c>
      <c r="C10810" s="14" t="s">
        <v>13031</v>
      </c>
      <c r="D10810" s="15">
        <v>10.68</v>
      </c>
      <c r="E10810" s="14" t="s">
        <v>30</v>
      </c>
    </row>
    <row r="10811" spans="1:5" x14ac:dyDescent="0.25">
      <c r="A10811" s="14">
        <v>1024292</v>
      </c>
      <c r="B10811" s="14" t="s">
        <v>10910</v>
      </c>
      <c r="C10811" s="14" t="s">
        <v>13031</v>
      </c>
      <c r="D10811" s="15">
        <v>5.87</v>
      </c>
      <c r="E10811" s="14" t="s">
        <v>30</v>
      </c>
    </row>
    <row r="10812" spans="1:5" x14ac:dyDescent="0.25">
      <c r="A10812" s="14">
        <v>1024297</v>
      </c>
      <c r="B10812" s="14" t="s">
        <v>10911</v>
      </c>
      <c r="C10812" s="14" t="s">
        <v>13031</v>
      </c>
      <c r="D10812" s="15">
        <v>6.67</v>
      </c>
      <c r="E10812" s="14" t="s">
        <v>30</v>
      </c>
    </row>
    <row r="10813" spans="1:5" x14ac:dyDescent="0.25">
      <c r="A10813" s="14">
        <v>1021547</v>
      </c>
      <c r="B10813" s="14" t="s">
        <v>10912</v>
      </c>
      <c r="C10813" s="14" t="s">
        <v>13031</v>
      </c>
      <c r="D10813" s="15">
        <v>9.7100000000000009</v>
      </c>
      <c r="E10813" s="14" t="s">
        <v>30</v>
      </c>
    </row>
    <row r="10814" spans="1:5" x14ac:dyDescent="0.25">
      <c r="A10814" s="14">
        <v>1021548</v>
      </c>
      <c r="B10814" s="14" t="s">
        <v>10913</v>
      </c>
      <c r="C10814" s="14" t="s">
        <v>13031</v>
      </c>
      <c r="D10814" s="15">
        <v>9.7100000000000009</v>
      </c>
      <c r="E10814" s="14" t="s">
        <v>30</v>
      </c>
    </row>
    <row r="10815" spans="1:5" x14ac:dyDescent="0.25">
      <c r="A10815" s="14">
        <v>1023829</v>
      </c>
      <c r="B10815" s="14" t="s">
        <v>10914</v>
      </c>
      <c r="C10815" s="14" t="s">
        <v>13029</v>
      </c>
      <c r="D10815" s="15">
        <v>18.98</v>
      </c>
      <c r="E10815" s="14" t="s">
        <v>30</v>
      </c>
    </row>
    <row r="10816" spans="1:5" x14ac:dyDescent="0.25">
      <c r="A10816" s="14">
        <v>1023830</v>
      </c>
      <c r="B10816" s="14" t="s">
        <v>10915</v>
      </c>
      <c r="C10816" s="14" t="s">
        <v>13029</v>
      </c>
      <c r="D10816" s="15">
        <v>10.67</v>
      </c>
      <c r="E10816" s="14" t="s">
        <v>30</v>
      </c>
    </row>
    <row r="10817" spans="1:5" x14ac:dyDescent="0.25">
      <c r="A10817" s="14">
        <v>1024836</v>
      </c>
      <c r="B10817" s="14" t="s">
        <v>10916</v>
      </c>
      <c r="C10817" s="14" t="s">
        <v>13029</v>
      </c>
      <c r="D10817" s="15">
        <v>14.16</v>
      </c>
      <c r="E10817" s="16" t="s">
        <v>30</v>
      </c>
    </row>
    <row r="10818" spans="1:5" x14ac:dyDescent="0.25">
      <c r="A10818" s="14">
        <v>1023844</v>
      </c>
      <c r="B10818" s="14" t="s">
        <v>10917</v>
      </c>
      <c r="C10818" s="14" t="s">
        <v>13029</v>
      </c>
      <c r="D10818" s="15">
        <v>43.1</v>
      </c>
      <c r="E10818" s="16" t="s">
        <v>30</v>
      </c>
    </row>
    <row r="10819" spans="1:5" x14ac:dyDescent="0.25">
      <c r="A10819" s="14">
        <v>1025626</v>
      </c>
      <c r="B10819" s="14" t="s">
        <v>10918</v>
      </c>
      <c r="C10819" s="14" t="s">
        <v>13030</v>
      </c>
      <c r="D10819" s="15">
        <v>23.7</v>
      </c>
      <c r="E10819" s="16" t="s">
        <v>30</v>
      </c>
    </row>
    <row r="10820" spans="1:5" x14ac:dyDescent="0.25">
      <c r="A10820" s="14">
        <v>1025627</v>
      </c>
      <c r="B10820" s="14" t="s">
        <v>10919</v>
      </c>
      <c r="C10820" s="14" t="s">
        <v>13030</v>
      </c>
      <c r="D10820" s="15">
        <v>23.7</v>
      </c>
      <c r="E10820" s="16" t="s">
        <v>30</v>
      </c>
    </row>
    <row r="10821" spans="1:5" x14ac:dyDescent="0.25">
      <c r="A10821" s="14">
        <v>1025659</v>
      </c>
      <c r="B10821" s="14" t="s">
        <v>10920</v>
      </c>
      <c r="C10821" s="14" t="s">
        <v>13029</v>
      </c>
      <c r="D10821" s="15">
        <v>29.08</v>
      </c>
      <c r="E10821" s="16" t="s">
        <v>30</v>
      </c>
    </row>
    <row r="10822" spans="1:5" x14ac:dyDescent="0.25">
      <c r="A10822" s="14">
        <v>1025660</v>
      </c>
      <c r="B10822" s="14" t="s">
        <v>10921</v>
      </c>
      <c r="C10822" s="14" t="s">
        <v>13029</v>
      </c>
      <c r="D10822" s="15">
        <v>29.08</v>
      </c>
      <c r="E10822" s="16" t="s">
        <v>30</v>
      </c>
    </row>
    <row r="10823" spans="1:5" x14ac:dyDescent="0.25">
      <c r="A10823" s="14">
        <v>1025919</v>
      </c>
      <c r="B10823" s="14" t="s">
        <v>10922</v>
      </c>
      <c r="C10823" s="14" t="s">
        <v>13029</v>
      </c>
      <c r="D10823" s="15">
        <v>27.82</v>
      </c>
      <c r="E10823" s="16" t="s">
        <v>30</v>
      </c>
    </row>
    <row r="10824" spans="1:5" x14ac:dyDescent="0.25">
      <c r="A10824" s="14">
        <v>1025920</v>
      </c>
      <c r="B10824" s="14" t="s">
        <v>10923</v>
      </c>
      <c r="C10824" s="14" t="s">
        <v>13029</v>
      </c>
      <c r="D10824" s="15">
        <v>27.82</v>
      </c>
      <c r="E10824" s="16" t="s">
        <v>30</v>
      </c>
    </row>
    <row r="10825" spans="1:5" x14ac:dyDescent="0.25">
      <c r="A10825" s="14">
        <v>946421</v>
      </c>
      <c r="B10825" s="14" t="s">
        <v>10924</v>
      </c>
      <c r="C10825" s="14" t="s">
        <v>13029</v>
      </c>
      <c r="D10825" s="15">
        <v>41.47</v>
      </c>
      <c r="E10825" s="16" t="s">
        <v>30</v>
      </c>
    </row>
    <row r="10826" spans="1:5" x14ac:dyDescent="0.25">
      <c r="A10826" s="14">
        <v>1022343</v>
      </c>
      <c r="B10826" s="14" t="s">
        <v>10925</v>
      </c>
      <c r="C10826" s="14" t="s">
        <v>13030</v>
      </c>
      <c r="D10826" s="15">
        <v>87.74</v>
      </c>
      <c r="E10826" s="16" t="s">
        <v>30</v>
      </c>
    </row>
    <row r="10827" spans="1:5" x14ac:dyDescent="0.25">
      <c r="A10827" s="14">
        <v>1024834</v>
      </c>
      <c r="B10827" s="14" t="s">
        <v>10926</v>
      </c>
      <c r="C10827" s="14" t="s">
        <v>13029</v>
      </c>
      <c r="D10827" s="15">
        <v>10.029999999999999</v>
      </c>
      <c r="E10827" s="16" t="s">
        <v>30</v>
      </c>
    </row>
    <row r="10828" spans="1:5" x14ac:dyDescent="0.25">
      <c r="A10828" s="14">
        <v>1025822</v>
      </c>
      <c r="B10828" s="14" t="s">
        <v>10927</v>
      </c>
      <c r="C10828" s="14" t="s">
        <v>13029</v>
      </c>
      <c r="D10828" s="15">
        <v>39.090000000000003</v>
      </c>
      <c r="E10828" s="16" t="s">
        <v>30</v>
      </c>
    </row>
    <row r="10829" spans="1:5" x14ac:dyDescent="0.25">
      <c r="A10829" s="14">
        <v>1024283</v>
      </c>
      <c r="B10829" s="14" t="s">
        <v>10928</v>
      </c>
      <c r="C10829" s="14" t="s">
        <v>13031</v>
      </c>
      <c r="D10829" s="15">
        <v>4.07</v>
      </c>
      <c r="E10829" s="16" t="s">
        <v>30</v>
      </c>
    </row>
    <row r="10830" spans="1:5" x14ac:dyDescent="0.25">
      <c r="A10830" s="14">
        <v>1024284</v>
      </c>
      <c r="B10830" s="14" t="s">
        <v>10929</v>
      </c>
      <c r="C10830" s="14" t="s">
        <v>13031</v>
      </c>
      <c r="D10830" s="15">
        <v>20.59</v>
      </c>
      <c r="E10830" s="16" t="s">
        <v>30</v>
      </c>
    </row>
    <row r="10831" spans="1:5" x14ac:dyDescent="0.25">
      <c r="A10831" s="14">
        <v>1024294</v>
      </c>
      <c r="B10831" s="14" t="s">
        <v>10930</v>
      </c>
      <c r="C10831" s="14" t="s">
        <v>13031</v>
      </c>
      <c r="D10831" s="15">
        <v>0.77</v>
      </c>
      <c r="E10831" s="16" t="s">
        <v>30</v>
      </c>
    </row>
    <row r="10832" spans="1:5" x14ac:dyDescent="0.25">
      <c r="A10832" s="14">
        <v>1024296</v>
      </c>
      <c r="B10832" s="14" t="s">
        <v>10931</v>
      </c>
      <c r="C10832" s="14" t="s">
        <v>13031</v>
      </c>
      <c r="D10832" s="15">
        <v>9.19</v>
      </c>
      <c r="E10832" s="16" t="s">
        <v>30</v>
      </c>
    </row>
    <row r="10833" spans="1:5" x14ac:dyDescent="0.25">
      <c r="A10833" s="14">
        <v>135248</v>
      </c>
      <c r="B10833" s="14" t="s">
        <v>10932</v>
      </c>
      <c r="C10833" s="14" t="s">
        <v>13034</v>
      </c>
      <c r="D10833" s="15">
        <v>8.8699999999999992</v>
      </c>
      <c r="E10833" s="16" t="s">
        <v>30</v>
      </c>
    </row>
    <row r="10834" spans="1:5" x14ac:dyDescent="0.25">
      <c r="A10834" s="14">
        <v>269070</v>
      </c>
      <c r="B10834" s="14" t="s">
        <v>10933</v>
      </c>
      <c r="C10834" s="14" t="s">
        <v>13034</v>
      </c>
      <c r="D10834" s="15">
        <v>13.69</v>
      </c>
      <c r="E10834" s="16" t="s">
        <v>30</v>
      </c>
    </row>
    <row r="10835" spans="1:5" x14ac:dyDescent="0.25">
      <c r="A10835" s="14">
        <v>365856</v>
      </c>
      <c r="B10835" s="14" t="s">
        <v>10934</v>
      </c>
      <c r="C10835" s="14" t="s">
        <v>13034</v>
      </c>
      <c r="D10835" s="15">
        <v>7.04</v>
      </c>
      <c r="E10835" s="16" t="s">
        <v>30</v>
      </c>
    </row>
    <row r="10836" spans="1:5" x14ac:dyDescent="0.25">
      <c r="A10836" s="14">
        <v>791338</v>
      </c>
      <c r="B10836" s="14" t="s">
        <v>10935</v>
      </c>
      <c r="C10836" s="14" t="s">
        <v>13034</v>
      </c>
      <c r="D10836" s="15">
        <v>52.28</v>
      </c>
      <c r="E10836" s="16" t="s">
        <v>30</v>
      </c>
    </row>
    <row r="10837" spans="1:5" x14ac:dyDescent="0.25">
      <c r="A10837" s="14">
        <v>946403</v>
      </c>
      <c r="B10837" s="14" t="s">
        <v>10936</v>
      </c>
      <c r="C10837" s="14" t="s">
        <v>13034</v>
      </c>
      <c r="D10837" s="15">
        <v>4.0199999999999996</v>
      </c>
      <c r="E10837" s="16" t="s">
        <v>30</v>
      </c>
    </row>
    <row r="10838" spans="1:5" x14ac:dyDescent="0.25">
      <c r="A10838" s="14">
        <v>947059</v>
      </c>
      <c r="B10838" s="14" t="s">
        <v>10937</v>
      </c>
      <c r="C10838" s="14" t="s">
        <v>13034</v>
      </c>
      <c r="D10838" s="15">
        <v>6.22</v>
      </c>
      <c r="E10838" s="16" t="s">
        <v>30</v>
      </c>
    </row>
    <row r="10839" spans="1:5" x14ac:dyDescent="0.25">
      <c r="A10839" s="14">
        <v>1024319</v>
      </c>
      <c r="B10839" s="14" t="s">
        <v>10938</v>
      </c>
      <c r="C10839" s="14" t="s">
        <v>13031</v>
      </c>
      <c r="D10839" s="15">
        <v>7.11</v>
      </c>
      <c r="E10839" s="16" t="s">
        <v>30</v>
      </c>
    </row>
    <row r="10840" spans="1:5" x14ac:dyDescent="0.25">
      <c r="A10840" s="14">
        <v>1025586</v>
      </c>
      <c r="B10840" s="14" t="s">
        <v>10939</v>
      </c>
      <c r="C10840" s="14" t="s">
        <v>13031</v>
      </c>
      <c r="D10840" s="15">
        <v>9.2200000000000006</v>
      </c>
      <c r="E10840" s="16" t="s">
        <v>30</v>
      </c>
    </row>
    <row r="10841" spans="1:5" x14ac:dyDescent="0.25">
      <c r="A10841" s="14">
        <v>1025645</v>
      </c>
      <c r="B10841" s="14" t="s">
        <v>10940</v>
      </c>
      <c r="C10841" s="14" t="s">
        <v>13029</v>
      </c>
      <c r="D10841" s="15">
        <v>33.380000000000003</v>
      </c>
      <c r="E10841" s="16" t="s">
        <v>30</v>
      </c>
    </row>
    <row r="10842" spans="1:5" x14ac:dyDescent="0.25">
      <c r="A10842" s="14">
        <v>4837</v>
      </c>
      <c r="B10842" s="14" t="s">
        <v>10941</v>
      </c>
      <c r="C10842" s="14" t="s">
        <v>13031</v>
      </c>
      <c r="D10842" s="15">
        <v>21.5</v>
      </c>
      <c r="E10842" s="16" t="s">
        <v>30</v>
      </c>
    </row>
    <row r="10843" spans="1:5" x14ac:dyDescent="0.25">
      <c r="A10843" s="14">
        <v>990574</v>
      </c>
      <c r="B10843" s="14" t="s">
        <v>10942</v>
      </c>
      <c r="C10843" s="14" t="s">
        <v>13029</v>
      </c>
      <c r="D10843" s="15">
        <v>1.7</v>
      </c>
      <c r="E10843" s="16" t="s">
        <v>30</v>
      </c>
    </row>
    <row r="10844" spans="1:5" x14ac:dyDescent="0.25">
      <c r="A10844" s="14">
        <v>1013152</v>
      </c>
      <c r="B10844" s="14" t="s">
        <v>10943</v>
      </c>
      <c r="C10844" s="14" t="s">
        <v>13029</v>
      </c>
      <c r="D10844" s="15">
        <v>38.5</v>
      </c>
      <c r="E10844" s="16" t="s">
        <v>30</v>
      </c>
    </row>
    <row r="10845" spans="1:5" x14ac:dyDescent="0.25">
      <c r="A10845" s="14">
        <v>1023476</v>
      </c>
      <c r="B10845" s="14" t="s">
        <v>10944</v>
      </c>
      <c r="C10845" s="14" t="s">
        <v>13030</v>
      </c>
      <c r="D10845" s="15">
        <v>505.08</v>
      </c>
      <c r="E10845" s="16" t="s">
        <v>30</v>
      </c>
    </row>
    <row r="10846" spans="1:5" x14ac:dyDescent="0.25">
      <c r="A10846" s="14">
        <v>415322002</v>
      </c>
      <c r="B10846" s="14" t="s">
        <v>10945</v>
      </c>
      <c r="C10846" s="14" t="s">
        <v>13031</v>
      </c>
      <c r="D10846" s="15">
        <v>6.96</v>
      </c>
      <c r="E10846" s="16" t="s">
        <v>30</v>
      </c>
    </row>
    <row r="10847" spans="1:5" x14ac:dyDescent="0.25">
      <c r="A10847" s="14">
        <v>418904001</v>
      </c>
      <c r="B10847" s="14" t="s">
        <v>10946</v>
      </c>
      <c r="C10847" s="14" t="s">
        <v>13031</v>
      </c>
      <c r="D10847" s="15">
        <v>15.37</v>
      </c>
      <c r="E10847" s="16" t="s">
        <v>30</v>
      </c>
    </row>
    <row r="10848" spans="1:5" x14ac:dyDescent="0.25">
      <c r="A10848" s="14">
        <v>421346001</v>
      </c>
      <c r="B10848" s="14" t="s">
        <v>10947</v>
      </c>
      <c r="C10848" s="14" t="s">
        <v>13029</v>
      </c>
      <c r="D10848" s="15">
        <v>36.11</v>
      </c>
      <c r="E10848" s="16" t="s">
        <v>30</v>
      </c>
    </row>
    <row r="10849" spans="1:5" x14ac:dyDescent="0.25">
      <c r="A10849" s="14">
        <v>422772004</v>
      </c>
      <c r="B10849" s="14" t="s">
        <v>10948</v>
      </c>
      <c r="C10849" s="14" t="s">
        <v>13031</v>
      </c>
      <c r="D10849" s="15">
        <v>16.14</v>
      </c>
      <c r="E10849" s="16" t="s">
        <v>30</v>
      </c>
    </row>
    <row r="10850" spans="1:5" x14ac:dyDescent="0.25">
      <c r="A10850" s="14">
        <v>422772008</v>
      </c>
      <c r="B10850" s="14" t="s">
        <v>10949</v>
      </c>
      <c r="C10850" s="14" t="s">
        <v>13031</v>
      </c>
      <c r="D10850" s="15">
        <v>11.1</v>
      </c>
      <c r="E10850" s="16" t="s">
        <v>30</v>
      </c>
    </row>
    <row r="10851" spans="1:5" x14ac:dyDescent="0.25">
      <c r="A10851" s="14">
        <v>430596003</v>
      </c>
      <c r="B10851" s="14" t="s">
        <v>10950</v>
      </c>
      <c r="C10851" s="14" t="s">
        <v>13029</v>
      </c>
      <c r="D10851" s="15">
        <v>34.92</v>
      </c>
      <c r="E10851" s="16" t="s">
        <v>30</v>
      </c>
    </row>
    <row r="10852" spans="1:5" x14ac:dyDescent="0.25">
      <c r="A10852" s="14">
        <v>969802003</v>
      </c>
      <c r="B10852" s="14" t="s">
        <v>10951</v>
      </c>
      <c r="C10852" s="14" t="s">
        <v>13031</v>
      </c>
      <c r="D10852" s="15">
        <v>7.62</v>
      </c>
      <c r="E10852" s="16" t="s">
        <v>20</v>
      </c>
    </row>
    <row r="10853" spans="1:5" x14ac:dyDescent="0.25">
      <c r="A10853" s="14">
        <v>434122001</v>
      </c>
      <c r="B10853" s="14" t="s">
        <v>10952</v>
      </c>
      <c r="C10853" s="14" t="s">
        <v>13031</v>
      </c>
      <c r="D10853" s="15">
        <v>10.34</v>
      </c>
      <c r="E10853" s="16" t="s">
        <v>30</v>
      </c>
    </row>
    <row r="10854" spans="1:5" x14ac:dyDescent="0.25">
      <c r="A10854" s="14">
        <v>434122005</v>
      </c>
      <c r="B10854" s="14" t="s">
        <v>10953</v>
      </c>
      <c r="C10854" s="14" t="s">
        <v>13031</v>
      </c>
      <c r="D10854" s="15">
        <v>10.34</v>
      </c>
      <c r="E10854" s="16" t="s">
        <v>30</v>
      </c>
    </row>
    <row r="10855" spans="1:5" x14ac:dyDescent="0.25">
      <c r="A10855" s="14">
        <v>439168002</v>
      </c>
      <c r="B10855" s="14" t="s">
        <v>10954</v>
      </c>
      <c r="C10855" s="14" t="s">
        <v>13031</v>
      </c>
      <c r="D10855" s="15">
        <v>5.12</v>
      </c>
      <c r="E10855" s="16" t="s">
        <v>30</v>
      </c>
    </row>
    <row r="10856" spans="1:5" x14ac:dyDescent="0.25">
      <c r="A10856" s="14">
        <v>989736001</v>
      </c>
      <c r="B10856" s="14" t="s">
        <v>10955</v>
      </c>
      <c r="C10856" s="14" t="s">
        <v>13030</v>
      </c>
      <c r="D10856" s="15">
        <v>13.21</v>
      </c>
      <c r="E10856" s="16" t="s">
        <v>20</v>
      </c>
    </row>
    <row r="10857" spans="1:5" x14ac:dyDescent="0.25">
      <c r="A10857" s="14">
        <v>989736002</v>
      </c>
      <c r="B10857" s="14" t="s">
        <v>10956</v>
      </c>
      <c r="C10857" s="14" t="s">
        <v>13030</v>
      </c>
      <c r="D10857" s="15">
        <v>13.21</v>
      </c>
      <c r="E10857" s="16" t="s">
        <v>20</v>
      </c>
    </row>
    <row r="10858" spans="1:5" x14ac:dyDescent="0.25">
      <c r="A10858" s="14">
        <v>989736003</v>
      </c>
      <c r="B10858" s="14" t="s">
        <v>10957</v>
      </c>
      <c r="C10858" s="14" t="s">
        <v>13030</v>
      </c>
      <c r="D10858" s="15">
        <v>13.21</v>
      </c>
      <c r="E10858" s="16" t="s">
        <v>20</v>
      </c>
    </row>
    <row r="10859" spans="1:5" x14ac:dyDescent="0.25">
      <c r="A10859" s="14">
        <v>989736004</v>
      </c>
      <c r="B10859" s="14" t="s">
        <v>10958</v>
      </c>
      <c r="C10859" s="14" t="s">
        <v>13030</v>
      </c>
      <c r="D10859" s="15">
        <v>14.33</v>
      </c>
      <c r="E10859" s="16" t="s">
        <v>20</v>
      </c>
    </row>
    <row r="10860" spans="1:5" x14ac:dyDescent="0.25">
      <c r="A10860" s="14">
        <v>443871001</v>
      </c>
      <c r="B10860" s="14" t="s">
        <v>10959</v>
      </c>
      <c r="C10860" s="14" t="s">
        <v>13029</v>
      </c>
      <c r="D10860" s="15">
        <v>1.67</v>
      </c>
      <c r="E10860" s="16" t="s">
        <v>30</v>
      </c>
    </row>
    <row r="10861" spans="1:5" x14ac:dyDescent="0.25">
      <c r="A10861" s="14">
        <v>989736005</v>
      </c>
      <c r="B10861" s="14" t="s">
        <v>10960</v>
      </c>
      <c r="C10861" s="14" t="s">
        <v>13030</v>
      </c>
      <c r="D10861" s="15">
        <v>14.23</v>
      </c>
      <c r="E10861" s="16" t="s">
        <v>20</v>
      </c>
    </row>
    <row r="10862" spans="1:5" x14ac:dyDescent="0.25">
      <c r="A10862" s="14">
        <v>445688005</v>
      </c>
      <c r="B10862" s="14" t="s">
        <v>10961</v>
      </c>
      <c r="C10862" s="14" t="s">
        <v>13031</v>
      </c>
      <c r="D10862" s="15">
        <v>3</v>
      </c>
      <c r="E10862" s="16" t="s">
        <v>30</v>
      </c>
    </row>
    <row r="10863" spans="1:5" x14ac:dyDescent="0.25">
      <c r="A10863" s="14">
        <v>446457002</v>
      </c>
      <c r="B10863" s="14" t="s">
        <v>10962</v>
      </c>
      <c r="C10863" s="14" t="s">
        <v>13030</v>
      </c>
      <c r="D10863" s="15">
        <v>104.41</v>
      </c>
      <c r="E10863" s="16" t="s">
        <v>30</v>
      </c>
    </row>
    <row r="10864" spans="1:5" x14ac:dyDescent="0.25">
      <c r="A10864" s="14">
        <v>451641001</v>
      </c>
      <c r="B10864" s="14" t="s">
        <v>10963</v>
      </c>
      <c r="C10864" s="14" t="s">
        <v>13031</v>
      </c>
      <c r="D10864" s="15">
        <v>11.24</v>
      </c>
      <c r="E10864" s="16" t="s">
        <v>30</v>
      </c>
    </row>
    <row r="10865" spans="1:5" x14ac:dyDescent="0.25">
      <c r="A10865" s="14">
        <v>452768004</v>
      </c>
      <c r="B10865" s="14" t="s">
        <v>10964</v>
      </c>
      <c r="C10865" s="14" t="s">
        <v>13029</v>
      </c>
      <c r="D10865" s="15">
        <v>9.8800000000000008</v>
      </c>
      <c r="E10865" s="16" t="s">
        <v>30</v>
      </c>
    </row>
    <row r="10866" spans="1:5" x14ac:dyDescent="0.25">
      <c r="A10866" s="14">
        <v>452845002</v>
      </c>
      <c r="B10866" s="14" t="s">
        <v>10965</v>
      </c>
      <c r="C10866" s="14" t="s">
        <v>13029</v>
      </c>
      <c r="D10866" s="15">
        <v>27.08</v>
      </c>
      <c r="E10866" s="16" t="s">
        <v>30</v>
      </c>
    </row>
    <row r="10867" spans="1:5" x14ac:dyDescent="0.25">
      <c r="A10867" s="14">
        <v>454357002</v>
      </c>
      <c r="B10867" s="14" t="s">
        <v>10966</v>
      </c>
      <c r="C10867" s="14" t="s">
        <v>13030</v>
      </c>
      <c r="D10867" s="15">
        <v>8.84</v>
      </c>
      <c r="E10867" s="16" t="s">
        <v>30</v>
      </c>
    </row>
    <row r="10868" spans="1:5" x14ac:dyDescent="0.25">
      <c r="A10868" s="14">
        <v>454563007</v>
      </c>
      <c r="B10868" s="14" t="s">
        <v>10967</v>
      </c>
      <c r="C10868" s="14" t="s">
        <v>13031</v>
      </c>
      <c r="D10868" s="15">
        <v>6.65</v>
      </c>
      <c r="E10868" s="16" t="s">
        <v>30</v>
      </c>
    </row>
    <row r="10869" spans="1:5" x14ac:dyDescent="0.25">
      <c r="A10869" s="14">
        <v>454885003</v>
      </c>
      <c r="B10869" s="14" t="s">
        <v>10968</v>
      </c>
      <c r="C10869" s="14" t="s">
        <v>13029</v>
      </c>
      <c r="D10869" s="15">
        <v>31.96</v>
      </c>
      <c r="E10869" s="14" t="s">
        <v>30</v>
      </c>
    </row>
    <row r="10870" spans="1:5" x14ac:dyDescent="0.25">
      <c r="A10870" s="14">
        <v>456834005</v>
      </c>
      <c r="B10870" s="14" t="s">
        <v>10969</v>
      </c>
      <c r="C10870" s="14" t="s">
        <v>13029</v>
      </c>
      <c r="D10870" s="15">
        <v>14.01</v>
      </c>
      <c r="E10870" s="14" t="s">
        <v>30</v>
      </c>
    </row>
    <row r="10871" spans="1:5" x14ac:dyDescent="0.25">
      <c r="A10871" s="14">
        <v>457824004</v>
      </c>
      <c r="B10871" s="14" t="s">
        <v>10970</v>
      </c>
      <c r="C10871" s="14" t="s">
        <v>13029</v>
      </c>
      <c r="D10871" s="15">
        <v>7.66</v>
      </c>
      <c r="E10871" s="16" t="s">
        <v>30</v>
      </c>
    </row>
    <row r="10872" spans="1:5" x14ac:dyDescent="0.25">
      <c r="A10872" s="14">
        <v>457826004</v>
      </c>
      <c r="B10872" s="14" t="s">
        <v>10971</v>
      </c>
      <c r="C10872" s="14" t="s">
        <v>13029</v>
      </c>
      <c r="D10872" s="15">
        <v>13.1</v>
      </c>
      <c r="E10872" s="16" t="s">
        <v>30</v>
      </c>
    </row>
    <row r="10873" spans="1:5" x14ac:dyDescent="0.25">
      <c r="A10873" s="14">
        <v>461136001</v>
      </c>
      <c r="B10873" s="14" t="s">
        <v>10972</v>
      </c>
      <c r="C10873" s="14" t="s">
        <v>13029</v>
      </c>
      <c r="D10873" s="15">
        <v>42.04</v>
      </c>
      <c r="E10873" s="16" t="s">
        <v>30</v>
      </c>
    </row>
    <row r="10874" spans="1:5" x14ac:dyDescent="0.25">
      <c r="A10874" s="14">
        <v>462128004</v>
      </c>
      <c r="B10874" s="14" t="s">
        <v>10973</v>
      </c>
      <c r="C10874" s="14" t="s">
        <v>13029</v>
      </c>
      <c r="D10874" s="15">
        <v>42.01</v>
      </c>
      <c r="E10874" s="16" t="s">
        <v>30</v>
      </c>
    </row>
    <row r="10875" spans="1:5" x14ac:dyDescent="0.25">
      <c r="A10875" s="14">
        <v>464260003</v>
      </c>
      <c r="B10875" s="14" t="s">
        <v>10974</v>
      </c>
      <c r="C10875" s="14" t="s">
        <v>13030</v>
      </c>
      <c r="D10875" s="15">
        <v>59.06</v>
      </c>
      <c r="E10875" s="16" t="s">
        <v>30</v>
      </c>
    </row>
    <row r="10876" spans="1:5" x14ac:dyDescent="0.25">
      <c r="A10876" s="14">
        <v>465881003</v>
      </c>
      <c r="B10876" s="14" t="s">
        <v>10975</v>
      </c>
      <c r="C10876" s="14" t="s">
        <v>13031</v>
      </c>
      <c r="D10876" s="15">
        <v>18.829999999999998</v>
      </c>
      <c r="E10876" s="16" t="s">
        <v>30</v>
      </c>
    </row>
    <row r="10877" spans="1:5" x14ac:dyDescent="0.25">
      <c r="A10877" s="14">
        <v>473168002</v>
      </c>
      <c r="B10877" s="14" t="s">
        <v>10976</v>
      </c>
      <c r="C10877" s="14" t="s">
        <v>13031</v>
      </c>
      <c r="D10877" s="15">
        <v>7.49</v>
      </c>
      <c r="E10877" s="16" t="s">
        <v>30</v>
      </c>
    </row>
    <row r="10878" spans="1:5" x14ac:dyDescent="0.25">
      <c r="A10878" s="14">
        <v>474734002</v>
      </c>
      <c r="B10878" s="14" t="s">
        <v>10977</v>
      </c>
      <c r="C10878" s="14" t="s">
        <v>13029</v>
      </c>
      <c r="D10878" s="15">
        <v>3.83</v>
      </c>
      <c r="E10878" s="16" t="s">
        <v>30</v>
      </c>
    </row>
    <row r="10879" spans="1:5" x14ac:dyDescent="0.25">
      <c r="A10879" s="14">
        <v>476274001</v>
      </c>
      <c r="B10879" s="14" t="s">
        <v>10978</v>
      </c>
      <c r="C10879" s="14" t="s">
        <v>13031</v>
      </c>
      <c r="D10879" s="15">
        <v>21.5</v>
      </c>
      <c r="E10879" s="16" t="s">
        <v>30</v>
      </c>
    </row>
    <row r="10880" spans="1:5" x14ac:dyDescent="0.25">
      <c r="A10880" s="14">
        <v>476957001</v>
      </c>
      <c r="B10880" s="14" t="s">
        <v>10979</v>
      </c>
      <c r="C10880" s="14" t="s">
        <v>13029</v>
      </c>
      <c r="D10880" s="15">
        <v>23.67</v>
      </c>
      <c r="E10880" s="16" t="s">
        <v>30</v>
      </c>
    </row>
    <row r="10881" spans="1:5" x14ac:dyDescent="0.25">
      <c r="A10881" s="14">
        <v>476964001</v>
      </c>
      <c r="B10881" s="14" t="s">
        <v>10980</v>
      </c>
      <c r="C10881" s="14" t="s">
        <v>13030</v>
      </c>
      <c r="D10881" s="15">
        <v>71.97</v>
      </c>
      <c r="E10881" s="16" t="s">
        <v>30</v>
      </c>
    </row>
    <row r="10882" spans="1:5" x14ac:dyDescent="0.25">
      <c r="A10882" s="14">
        <v>477188001</v>
      </c>
      <c r="B10882" s="14" t="s">
        <v>10981</v>
      </c>
      <c r="C10882" s="14" t="s">
        <v>13029</v>
      </c>
      <c r="D10882" s="15">
        <v>29.24</v>
      </c>
      <c r="E10882" s="16" t="s">
        <v>30</v>
      </c>
    </row>
    <row r="10883" spans="1:5" x14ac:dyDescent="0.25">
      <c r="A10883" s="14">
        <v>477417001</v>
      </c>
      <c r="B10883" s="14" t="s">
        <v>10982</v>
      </c>
      <c r="C10883" s="14" t="s">
        <v>13031</v>
      </c>
      <c r="D10883" s="15">
        <v>12.2</v>
      </c>
      <c r="E10883" s="16" t="s">
        <v>30</v>
      </c>
    </row>
    <row r="10884" spans="1:5" x14ac:dyDescent="0.25">
      <c r="A10884" s="14">
        <v>477507004</v>
      </c>
      <c r="B10884" s="14" t="s">
        <v>10983</v>
      </c>
      <c r="C10884" s="14" t="s">
        <v>13030</v>
      </c>
      <c r="D10884" s="15">
        <v>148.25</v>
      </c>
      <c r="E10884" s="16" t="s">
        <v>30</v>
      </c>
    </row>
    <row r="10885" spans="1:5" x14ac:dyDescent="0.25">
      <c r="A10885" s="14">
        <v>477796002</v>
      </c>
      <c r="B10885" s="14" t="s">
        <v>10984</v>
      </c>
      <c r="C10885" s="14" t="s">
        <v>13035</v>
      </c>
      <c r="D10885" s="15">
        <v>10.25</v>
      </c>
      <c r="E10885" s="16" t="s">
        <v>30</v>
      </c>
    </row>
    <row r="10886" spans="1:5" x14ac:dyDescent="0.25">
      <c r="A10886" s="14">
        <v>477992001</v>
      </c>
      <c r="B10886" s="14" t="s">
        <v>10985</v>
      </c>
      <c r="C10886" s="14" t="s">
        <v>13031</v>
      </c>
      <c r="D10886" s="15">
        <v>13.6</v>
      </c>
      <c r="E10886" s="16" t="s">
        <v>30</v>
      </c>
    </row>
    <row r="10887" spans="1:5" x14ac:dyDescent="0.25">
      <c r="A10887" s="14">
        <v>478016004</v>
      </c>
      <c r="B10887" s="14" t="s">
        <v>10986</v>
      </c>
      <c r="C10887" s="14" t="s">
        <v>13030</v>
      </c>
      <c r="D10887" s="15">
        <v>47.93</v>
      </c>
      <c r="E10887" s="16" t="s">
        <v>30</v>
      </c>
    </row>
    <row r="10888" spans="1:5" x14ac:dyDescent="0.25">
      <c r="A10888" s="14">
        <v>969802004</v>
      </c>
      <c r="B10888" s="14" t="s">
        <v>10987</v>
      </c>
      <c r="C10888" s="14" t="s">
        <v>13031</v>
      </c>
      <c r="D10888" s="15">
        <v>7.62</v>
      </c>
      <c r="E10888" s="16" t="s">
        <v>20</v>
      </c>
    </row>
    <row r="10889" spans="1:5" x14ac:dyDescent="0.25">
      <c r="A10889" s="14">
        <v>986695001</v>
      </c>
      <c r="B10889" s="14" t="s">
        <v>10988</v>
      </c>
      <c r="C10889" s="14" t="s">
        <v>13031</v>
      </c>
      <c r="D10889" s="15">
        <v>10</v>
      </c>
      <c r="E10889" s="16" t="s">
        <v>20</v>
      </c>
    </row>
    <row r="10890" spans="1:5" x14ac:dyDescent="0.25">
      <c r="A10890" s="14">
        <v>986695002</v>
      </c>
      <c r="B10890" s="14" t="s">
        <v>10989</v>
      </c>
      <c r="C10890" s="14" t="s">
        <v>13031</v>
      </c>
      <c r="D10890" s="15">
        <v>10</v>
      </c>
      <c r="E10890" s="16" t="s">
        <v>20</v>
      </c>
    </row>
    <row r="10891" spans="1:5" x14ac:dyDescent="0.25">
      <c r="A10891" s="14">
        <v>478301001</v>
      </c>
      <c r="B10891" s="14" t="s">
        <v>10990</v>
      </c>
      <c r="C10891" s="14" t="s">
        <v>13030</v>
      </c>
      <c r="D10891" s="15">
        <v>3.9</v>
      </c>
      <c r="E10891" s="16" t="s">
        <v>30</v>
      </c>
    </row>
    <row r="10892" spans="1:5" x14ac:dyDescent="0.25">
      <c r="A10892" s="14">
        <v>479428002</v>
      </c>
      <c r="B10892" s="14" t="s">
        <v>10991</v>
      </c>
      <c r="C10892" s="14" t="s">
        <v>13031</v>
      </c>
      <c r="D10892" s="15">
        <v>10.39</v>
      </c>
      <c r="E10892" s="16" t="s">
        <v>30</v>
      </c>
    </row>
    <row r="10893" spans="1:5" x14ac:dyDescent="0.25">
      <c r="A10893" s="14">
        <v>479513001</v>
      </c>
      <c r="B10893" s="14" t="s">
        <v>10992</v>
      </c>
      <c r="C10893" s="14" t="s">
        <v>13030</v>
      </c>
      <c r="D10893" s="15">
        <v>28.49</v>
      </c>
      <c r="E10893" s="16" t="s">
        <v>30</v>
      </c>
    </row>
    <row r="10894" spans="1:5" x14ac:dyDescent="0.25">
      <c r="A10894" s="14">
        <v>479516002</v>
      </c>
      <c r="B10894" s="14" t="s">
        <v>10993</v>
      </c>
      <c r="C10894" s="14" t="s">
        <v>13030</v>
      </c>
      <c r="D10894" s="15">
        <v>43.9</v>
      </c>
      <c r="E10894" s="16" t="s">
        <v>30</v>
      </c>
    </row>
    <row r="10895" spans="1:5" x14ac:dyDescent="0.25">
      <c r="A10895" s="14">
        <v>480337001</v>
      </c>
      <c r="B10895" s="14" t="s">
        <v>10994</v>
      </c>
      <c r="C10895" s="14" t="s">
        <v>13030</v>
      </c>
      <c r="D10895" s="15">
        <v>30.9</v>
      </c>
      <c r="E10895" s="16" t="s">
        <v>30</v>
      </c>
    </row>
    <row r="10896" spans="1:5" x14ac:dyDescent="0.25">
      <c r="A10896" s="14">
        <v>480908001</v>
      </c>
      <c r="B10896" s="14" t="s">
        <v>10995</v>
      </c>
      <c r="C10896" s="14" t="s">
        <v>13031</v>
      </c>
      <c r="D10896" s="15">
        <v>7.63</v>
      </c>
      <c r="E10896" s="16" t="s">
        <v>30</v>
      </c>
    </row>
    <row r="10897" spans="1:5" x14ac:dyDescent="0.25">
      <c r="A10897" s="14">
        <v>480908005</v>
      </c>
      <c r="B10897" s="14" t="s">
        <v>10996</v>
      </c>
      <c r="C10897" s="14" t="s">
        <v>13031</v>
      </c>
      <c r="D10897" s="15">
        <v>7.63</v>
      </c>
      <c r="E10897" s="16" t="s">
        <v>30</v>
      </c>
    </row>
    <row r="10898" spans="1:5" x14ac:dyDescent="0.25">
      <c r="A10898" s="14">
        <v>482294001</v>
      </c>
      <c r="B10898" s="14" t="s">
        <v>10997</v>
      </c>
      <c r="C10898" s="14" t="s">
        <v>13031</v>
      </c>
      <c r="D10898" s="15">
        <v>7.46</v>
      </c>
      <c r="E10898" s="16" t="s">
        <v>30</v>
      </c>
    </row>
    <row r="10899" spans="1:5" x14ac:dyDescent="0.25">
      <c r="A10899" s="14">
        <v>482877007</v>
      </c>
      <c r="B10899" s="14" t="s">
        <v>10998</v>
      </c>
      <c r="C10899" s="14" t="s">
        <v>13029</v>
      </c>
      <c r="D10899" s="15">
        <v>4.8499999999999996</v>
      </c>
      <c r="E10899" s="16" t="s">
        <v>30</v>
      </c>
    </row>
    <row r="10900" spans="1:5" x14ac:dyDescent="0.25">
      <c r="A10900" s="14">
        <v>483783001</v>
      </c>
      <c r="B10900" s="14" t="s">
        <v>10999</v>
      </c>
      <c r="C10900" s="14" t="s">
        <v>13029</v>
      </c>
      <c r="D10900" s="15">
        <v>34.11</v>
      </c>
      <c r="E10900" s="16" t="s">
        <v>30</v>
      </c>
    </row>
    <row r="10901" spans="1:5" x14ac:dyDescent="0.25">
      <c r="A10901" s="14">
        <v>484315002</v>
      </c>
      <c r="B10901" s="14" t="s">
        <v>11000</v>
      </c>
      <c r="C10901" s="14" t="s">
        <v>13029</v>
      </c>
      <c r="D10901" s="15">
        <v>19.77</v>
      </c>
      <c r="E10901" s="16" t="s">
        <v>30</v>
      </c>
    </row>
    <row r="10902" spans="1:5" x14ac:dyDescent="0.25">
      <c r="A10902" s="14">
        <v>484736002</v>
      </c>
      <c r="B10902" s="14" t="s">
        <v>11001</v>
      </c>
      <c r="C10902" s="14" t="s">
        <v>13030</v>
      </c>
      <c r="D10902" s="15">
        <v>23.08</v>
      </c>
      <c r="E10902" s="16" t="s">
        <v>30</v>
      </c>
    </row>
    <row r="10903" spans="1:5" x14ac:dyDescent="0.25">
      <c r="A10903" s="14">
        <v>485159001</v>
      </c>
      <c r="B10903" s="14" t="s">
        <v>11002</v>
      </c>
      <c r="C10903" s="14" t="s">
        <v>13029</v>
      </c>
      <c r="D10903" s="15">
        <v>30</v>
      </c>
      <c r="E10903" s="16" t="s">
        <v>30</v>
      </c>
    </row>
    <row r="10904" spans="1:5" x14ac:dyDescent="0.25">
      <c r="A10904" s="14">
        <v>487239005</v>
      </c>
      <c r="B10904" s="14" t="s">
        <v>11003</v>
      </c>
      <c r="C10904" s="14" t="s">
        <v>13031</v>
      </c>
      <c r="D10904" s="15">
        <v>5.73</v>
      </c>
      <c r="E10904" s="16" t="s">
        <v>30</v>
      </c>
    </row>
    <row r="10905" spans="1:5" x14ac:dyDescent="0.25">
      <c r="A10905" s="14">
        <v>1017365</v>
      </c>
      <c r="B10905" s="14" t="s">
        <v>11004</v>
      </c>
      <c r="C10905" s="14" t="s">
        <v>13030</v>
      </c>
      <c r="D10905" s="15">
        <v>138.12</v>
      </c>
      <c r="E10905" s="14" t="s">
        <v>20</v>
      </c>
    </row>
    <row r="10906" spans="1:5" x14ac:dyDescent="0.25">
      <c r="A10906" s="14">
        <v>989426001</v>
      </c>
      <c r="B10906" s="14" t="s">
        <v>11005</v>
      </c>
      <c r="C10906" s="14" t="s">
        <v>13031</v>
      </c>
      <c r="D10906" s="15">
        <v>10</v>
      </c>
      <c r="E10906" s="16" t="s">
        <v>20</v>
      </c>
    </row>
    <row r="10907" spans="1:5" x14ac:dyDescent="0.25">
      <c r="A10907" s="14">
        <v>488676003</v>
      </c>
      <c r="B10907" s="14" t="s">
        <v>11006</v>
      </c>
      <c r="C10907" s="14" t="s">
        <v>13030</v>
      </c>
      <c r="D10907" s="15">
        <v>51.21</v>
      </c>
      <c r="E10907" s="16" t="s">
        <v>30</v>
      </c>
    </row>
    <row r="10908" spans="1:5" x14ac:dyDescent="0.25">
      <c r="A10908" s="14">
        <v>488774003</v>
      </c>
      <c r="B10908" s="14" t="s">
        <v>11007</v>
      </c>
      <c r="C10908" s="14" t="s">
        <v>13029</v>
      </c>
      <c r="D10908" s="15">
        <v>13.61</v>
      </c>
      <c r="E10908" s="16" t="s">
        <v>30</v>
      </c>
    </row>
    <row r="10909" spans="1:5" x14ac:dyDescent="0.25">
      <c r="A10909" s="14">
        <v>488774009</v>
      </c>
      <c r="B10909" s="14" t="s">
        <v>11008</v>
      </c>
      <c r="C10909" s="14" t="s">
        <v>13029</v>
      </c>
      <c r="D10909" s="15">
        <v>13.61</v>
      </c>
      <c r="E10909" s="16" t="s">
        <v>30</v>
      </c>
    </row>
    <row r="10910" spans="1:5" x14ac:dyDescent="0.25">
      <c r="A10910" s="14">
        <v>490187001</v>
      </c>
      <c r="B10910" s="14" t="s">
        <v>11009</v>
      </c>
      <c r="C10910" s="14" t="s">
        <v>13030</v>
      </c>
      <c r="D10910" s="15">
        <v>2.2200000000000002</v>
      </c>
      <c r="E10910" s="16" t="s">
        <v>30</v>
      </c>
    </row>
    <row r="10911" spans="1:5" x14ac:dyDescent="0.25">
      <c r="A10911" s="14">
        <v>491097001</v>
      </c>
      <c r="B10911" s="14" t="s">
        <v>11010</v>
      </c>
      <c r="C10911" s="14" t="s">
        <v>13030</v>
      </c>
      <c r="D10911" s="15">
        <v>22.24</v>
      </c>
      <c r="E10911" s="14" t="s">
        <v>30</v>
      </c>
    </row>
    <row r="10912" spans="1:5" x14ac:dyDescent="0.25">
      <c r="A10912" s="14">
        <v>491821009</v>
      </c>
      <c r="B10912" s="14" t="s">
        <v>11011</v>
      </c>
      <c r="C10912" s="14" t="s">
        <v>13029</v>
      </c>
      <c r="D10912" s="15">
        <v>16.41</v>
      </c>
      <c r="E10912" s="16" t="s">
        <v>30</v>
      </c>
    </row>
    <row r="10913" spans="1:5" x14ac:dyDescent="0.25">
      <c r="A10913" s="14">
        <v>491821016</v>
      </c>
      <c r="B10913" s="14" t="s">
        <v>11012</v>
      </c>
      <c r="C10913" s="14" t="s">
        <v>13029</v>
      </c>
      <c r="D10913" s="15">
        <v>16.41</v>
      </c>
      <c r="E10913" s="16" t="s">
        <v>30</v>
      </c>
    </row>
    <row r="10914" spans="1:5" x14ac:dyDescent="0.25">
      <c r="A10914" s="14">
        <v>492156002</v>
      </c>
      <c r="B10914" s="14" t="s">
        <v>11013</v>
      </c>
      <c r="C10914" s="14" t="s">
        <v>13029</v>
      </c>
      <c r="D10914" s="15">
        <v>3.86</v>
      </c>
      <c r="E10914" s="16" t="s">
        <v>30</v>
      </c>
    </row>
    <row r="10915" spans="1:5" x14ac:dyDescent="0.25">
      <c r="A10915" s="14">
        <v>493209003</v>
      </c>
      <c r="B10915" s="14" t="s">
        <v>11014</v>
      </c>
      <c r="C10915" s="14" t="s">
        <v>13031</v>
      </c>
      <c r="D10915" s="15">
        <v>9.1</v>
      </c>
      <c r="E10915" s="16" t="s">
        <v>30</v>
      </c>
    </row>
    <row r="10916" spans="1:5" x14ac:dyDescent="0.25">
      <c r="A10916" s="14">
        <v>494090002</v>
      </c>
      <c r="B10916" s="14" t="s">
        <v>11015</v>
      </c>
      <c r="C10916" s="14" t="s">
        <v>13030</v>
      </c>
      <c r="D10916" s="15">
        <v>23.72</v>
      </c>
      <c r="E10916" s="14" t="s">
        <v>30</v>
      </c>
    </row>
    <row r="10917" spans="1:5" x14ac:dyDescent="0.25">
      <c r="A10917" s="14">
        <v>494098003</v>
      </c>
      <c r="B10917" s="14" t="s">
        <v>11016</v>
      </c>
      <c r="C10917" s="14" t="s">
        <v>13031</v>
      </c>
      <c r="D10917" s="15">
        <v>15.32</v>
      </c>
      <c r="E10917" s="16" t="s">
        <v>30</v>
      </c>
    </row>
    <row r="10918" spans="1:5" x14ac:dyDescent="0.25">
      <c r="A10918" s="14">
        <v>497192004</v>
      </c>
      <c r="B10918" s="14" t="s">
        <v>11017</v>
      </c>
      <c r="C10918" s="14" t="s">
        <v>13030</v>
      </c>
      <c r="D10918" s="15">
        <v>4.47</v>
      </c>
      <c r="E10918" s="16" t="s">
        <v>30</v>
      </c>
    </row>
    <row r="10919" spans="1:5" x14ac:dyDescent="0.25">
      <c r="A10919" s="14">
        <v>497998002</v>
      </c>
      <c r="B10919" s="14" t="s">
        <v>11018</v>
      </c>
      <c r="C10919" s="14" t="s">
        <v>13031</v>
      </c>
      <c r="D10919" s="15">
        <v>11.5</v>
      </c>
      <c r="E10919" s="16" t="s">
        <v>30</v>
      </c>
    </row>
    <row r="10920" spans="1:5" x14ac:dyDescent="0.25">
      <c r="A10920" s="14">
        <v>499440003</v>
      </c>
      <c r="B10920" s="14" t="s">
        <v>11019</v>
      </c>
      <c r="C10920" s="14" t="s">
        <v>13030</v>
      </c>
      <c r="D10920" s="15">
        <v>10</v>
      </c>
      <c r="E10920" s="16" t="s">
        <v>30</v>
      </c>
    </row>
    <row r="10921" spans="1:5" x14ac:dyDescent="0.25">
      <c r="A10921" s="14">
        <v>506558001</v>
      </c>
      <c r="B10921" s="14" t="s">
        <v>11020</v>
      </c>
      <c r="C10921" s="14" t="s">
        <v>13029</v>
      </c>
      <c r="D10921" s="15">
        <v>5.23</v>
      </c>
      <c r="E10921" s="16" t="s">
        <v>30</v>
      </c>
    </row>
    <row r="10922" spans="1:5" x14ac:dyDescent="0.25">
      <c r="A10922" s="14">
        <v>506563002</v>
      </c>
      <c r="B10922" s="14" t="s">
        <v>11021</v>
      </c>
      <c r="C10922" s="14" t="s">
        <v>13030</v>
      </c>
      <c r="D10922" s="15">
        <v>27.06</v>
      </c>
      <c r="E10922" s="16" t="s">
        <v>30</v>
      </c>
    </row>
    <row r="10923" spans="1:5" x14ac:dyDescent="0.25">
      <c r="A10923" s="14">
        <v>507035001</v>
      </c>
      <c r="B10923" s="14" t="s">
        <v>11022</v>
      </c>
      <c r="C10923" s="14" t="s">
        <v>13031</v>
      </c>
      <c r="D10923" s="15">
        <v>18.5</v>
      </c>
      <c r="E10923" s="16" t="s">
        <v>30</v>
      </c>
    </row>
    <row r="10924" spans="1:5" x14ac:dyDescent="0.25">
      <c r="A10924" s="14">
        <v>508768003</v>
      </c>
      <c r="B10924" s="14" t="s">
        <v>11023</v>
      </c>
      <c r="C10924" s="14" t="s">
        <v>13031</v>
      </c>
      <c r="D10924" s="15">
        <v>8.0399999999999991</v>
      </c>
      <c r="E10924" s="16" t="s">
        <v>30</v>
      </c>
    </row>
    <row r="10925" spans="1:5" x14ac:dyDescent="0.25">
      <c r="A10925" s="14">
        <v>509197003</v>
      </c>
      <c r="B10925" s="14" t="s">
        <v>11024</v>
      </c>
      <c r="C10925" s="14" t="s">
        <v>13030</v>
      </c>
      <c r="D10925" s="15">
        <v>66.92</v>
      </c>
      <c r="E10925" s="16" t="s">
        <v>30</v>
      </c>
    </row>
    <row r="10926" spans="1:5" x14ac:dyDescent="0.25">
      <c r="A10926" s="14">
        <v>511243003</v>
      </c>
      <c r="B10926" s="14" t="s">
        <v>11025</v>
      </c>
      <c r="C10926" s="14" t="s">
        <v>13029</v>
      </c>
      <c r="D10926" s="15">
        <v>14.05</v>
      </c>
      <c r="E10926" s="16" t="s">
        <v>30</v>
      </c>
    </row>
    <row r="10927" spans="1:5" x14ac:dyDescent="0.25">
      <c r="A10927" s="14">
        <v>512954002</v>
      </c>
      <c r="B10927" s="14" t="s">
        <v>11026</v>
      </c>
      <c r="C10927" s="14" t="s">
        <v>13031</v>
      </c>
      <c r="D10927" s="15">
        <v>2.21</v>
      </c>
      <c r="E10927" s="16" t="s">
        <v>30</v>
      </c>
    </row>
    <row r="10928" spans="1:5" x14ac:dyDescent="0.25">
      <c r="A10928" s="14">
        <v>515766003</v>
      </c>
      <c r="B10928" s="14" t="s">
        <v>11027</v>
      </c>
      <c r="C10928" s="14" t="s">
        <v>13031</v>
      </c>
      <c r="D10928" s="15">
        <v>3.06</v>
      </c>
      <c r="E10928" s="16" t="s">
        <v>30</v>
      </c>
    </row>
    <row r="10929" spans="1:5" x14ac:dyDescent="0.25">
      <c r="A10929" s="14">
        <v>517518002</v>
      </c>
      <c r="B10929" s="14" t="s">
        <v>11028</v>
      </c>
      <c r="C10929" s="14" t="s">
        <v>13029</v>
      </c>
      <c r="D10929" s="15">
        <v>37.880000000000003</v>
      </c>
      <c r="E10929" s="14" t="s">
        <v>30</v>
      </c>
    </row>
    <row r="10930" spans="1:5" x14ac:dyDescent="0.25">
      <c r="A10930" s="14">
        <v>518078001</v>
      </c>
      <c r="B10930" s="14" t="s">
        <v>11029</v>
      </c>
      <c r="C10930" s="14" t="s">
        <v>13029</v>
      </c>
      <c r="D10930" s="15">
        <v>24.73</v>
      </c>
      <c r="E10930" s="16" t="s">
        <v>30</v>
      </c>
    </row>
    <row r="10931" spans="1:5" x14ac:dyDescent="0.25">
      <c r="A10931" s="14">
        <v>518078009</v>
      </c>
      <c r="B10931" s="14" t="s">
        <v>11030</v>
      </c>
      <c r="C10931" s="14" t="s">
        <v>13029</v>
      </c>
      <c r="D10931" s="15">
        <v>24.73</v>
      </c>
      <c r="E10931" s="16" t="s">
        <v>30</v>
      </c>
    </row>
    <row r="10932" spans="1:5" x14ac:dyDescent="0.25">
      <c r="A10932" s="14">
        <v>518078020</v>
      </c>
      <c r="B10932" s="14" t="s">
        <v>11031</v>
      </c>
      <c r="C10932" s="14" t="s">
        <v>13029</v>
      </c>
      <c r="D10932" s="15">
        <v>24.73</v>
      </c>
      <c r="E10932" s="16" t="s">
        <v>30</v>
      </c>
    </row>
    <row r="10933" spans="1:5" x14ac:dyDescent="0.25">
      <c r="A10933" s="14">
        <v>518078032</v>
      </c>
      <c r="B10933" s="14" t="s">
        <v>11032</v>
      </c>
      <c r="C10933" s="14" t="s">
        <v>13029</v>
      </c>
      <c r="D10933" s="15">
        <v>27.03</v>
      </c>
      <c r="E10933" s="16" t="s">
        <v>30</v>
      </c>
    </row>
    <row r="10934" spans="1:5" x14ac:dyDescent="0.25">
      <c r="A10934" s="14">
        <v>518078040</v>
      </c>
      <c r="B10934" s="14" t="s">
        <v>11033</v>
      </c>
      <c r="C10934" s="14" t="s">
        <v>13029</v>
      </c>
      <c r="D10934" s="15">
        <v>24.73</v>
      </c>
      <c r="E10934" s="16" t="s">
        <v>30</v>
      </c>
    </row>
    <row r="10935" spans="1:5" x14ac:dyDescent="0.25">
      <c r="A10935" s="14">
        <v>518353003</v>
      </c>
      <c r="B10935" s="14" t="s">
        <v>11034</v>
      </c>
      <c r="C10935" s="14" t="s">
        <v>13030</v>
      </c>
      <c r="D10935" s="15">
        <v>16.61</v>
      </c>
      <c r="E10935" s="16" t="s">
        <v>30</v>
      </c>
    </row>
    <row r="10936" spans="1:5" x14ac:dyDescent="0.25">
      <c r="A10936" s="14">
        <v>520702004</v>
      </c>
      <c r="B10936" s="14" t="s">
        <v>11035</v>
      </c>
      <c r="C10936" s="14" t="s">
        <v>13030</v>
      </c>
      <c r="D10936" s="15">
        <v>22.26</v>
      </c>
      <c r="E10936" s="16" t="s">
        <v>30</v>
      </c>
    </row>
    <row r="10937" spans="1:5" x14ac:dyDescent="0.25">
      <c r="A10937" s="14">
        <v>521833002</v>
      </c>
      <c r="B10937" s="14" t="s">
        <v>11036</v>
      </c>
      <c r="C10937" s="14" t="s">
        <v>13031</v>
      </c>
      <c r="D10937" s="15">
        <v>18.53</v>
      </c>
      <c r="E10937" s="16" t="s">
        <v>30</v>
      </c>
    </row>
    <row r="10938" spans="1:5" x14ac:dyDescent="0.25">
      <c r="A10938" s="14">
        <v>522199005</v>
      </c>
      <c r="B10938" s="14" t="s">
        <v>11037</v>
      </c>
      <c r="C10938" s="14" t="s">
        <v>13029</v>
      </c>
      <c r="D10938" s="15">
        <v>28.78</v>
      </c>
      <c r="E10938" s="16" t="s">
        <v>30</v>
      </c>
    </row>
    <row r="10939" spans="1:5" x14ac:dyDescent="0.25">
      <c r="A10939" s="14">
        <v>526703002</v>
      </c>
      <c r="B10939" s="14" t="s">
        <v>11038</v>
      </c>
      <c r="C10939" s="14" t="s">
        <v>13031</v>
      </c>
      <c r="D10939" s="15">
        <v>11.65</v>
      </c>
      <c r="E10939" s="16" t="s">
        <v>30</v>
      </c>
    </row>
    <row r="10940" spans="1:5" x14ac:dyDescent="0.25">
      <c r="A10940" s="14">
        <v>532180001</v>
      </c>
      <c r="B10940" s="14" t="s">
        <v>11039</v>
      </c>
      <c r="C10940" s="14" t="s">
        <v>13030</v>
      </c>
      <c r="D10940" s="15">
        <v>6.65</v>
      </c>
      <c r="E10940" s="16" t="s">
        <v>30</v>
      </c>
    </row>
    <row r="10941" spans="1:5" x14ac:dyDescent="0.25">
      <c r="A10941" s="14">
        <v>989426002</v>
      </c>
      <c r="B10941" s="14" t="s">
        <v>11040</v>
      </c>
      <c r="C10941" s="14" t="s">
        <v>13031</v>
      </c>
      <c r="D10941" s="15">
        <v>10</v>
      </c>
      <c r="E10941" s="16" t="s">
        <v>20</v>
      </c>
    </row>
    <row r="10942" spans="1:5" x14ac:dyDescent="0.25">
      <c r="A10942" s="14">
        <v>533993002</v>
      </c>
      <c r="B10942" s="14" t="s">
        <v>11041</v>
      </c>
      <c r="C10942" s="14" t="s">
        <v>13029</v>
      </c>
      <c r="D10942" s="15">
        <v>27.08</v>
      </c>
      <c r="E10942" s="16" t="s">
        <v>30</v>
      </c>
    </row>
    <row r="10943" spans="1:5" x14ac:dyDescent="0.25">
      <c r="A10943" s="14">
        <v>534206002</v>
      </c>
      <c r="B10943" s="14" t="s">
        <v>11042</v>
      </c>
      <c r="C10943" s="14" t="s">
        <v>13031</v>
      </c>
      <c r="D10943" s="15">
        <v>11.55</v>
      </c>
      <c r="E10943" s="16" t="s">
        <v>30</v>
      </c>
    </row>
    <row r="10944" spans="1:5" x14ac:dyDescent="0.25">
      <c r="A10944" s="14">
        <v>534206006</v>
      </c>
      <c r="B10944" s="14" t="s">
        <v>11043</v>
      </c>
      <c r="C10944" s="14" t="s">
        <v>13031</v>
      </c>
      <c r="D10944" s="15">
        <v>11.55</v>
      </c>
      <c r="E10944" s="16" t="s">
        <v>30</v>
      </c>
    </row>
    <row r="10945" spans="1:5" x14ac:dyDescent="0.25">
      <c r="A10945" s="14">
        <v>1007878001</v>
      </c>
      <c r="B10945" s="14" t="s">
        <v>11044</v>
      </c>
      <c r="C10945" s="14" t="s">
        <v>13031</v>
      </c>
      <c r="D10945" s="15">
        <v>14.77</v>
      </c>
      <c r="E10945" s="16" t="s">
        <v>20</v>
      </c>
    </row>
    <row r="10946" spans="1:5" x14ac:dyDescent="0.25">
      <c r="A10946" s="14">
        <v>534650001</v>
      </c>
      <c r="B10946" s="14" t="s">
        <v>11045</v>
      </c>
      <c r="C10946" s="14" t="s">
        <v>13029</v>
      </c>
      <c r="D10946" s="15">
        <v>16.78</v>
      </c>
      <c r="E10946" s="16" t="s">
        <v>30</v>
      </c>
    </row>
    <row r="10947" spans="1:5" x14ac:dyDescent="0.25">
      <c r="A10947" s="14">
        <v>534886003</v>
      </c>
      <c r="B10947" s="14" t="s">
        <v>11046</v>
      </c>
      <c r="C10947" s="14" t="s">
        <v>13030</v>
      </c>
      <c r="D10947" s="15">
        <v>4.62</v>
      </c>
      <c r="E10947" s="16" t="s">
        <v>30</v>
      </c>
    </row>
    <row r="10948" spans="1:5" x14ac:dyDescent="0.25">
      <c r="A10948" s="14">
        <v>535932002</v>
      </c>
      <c r="B10948" s="14" t="s">
        <v>11047</v>
      </c>
      <c r="C10948" s="14" t="s">
        <v>13030</v>
      </c>
      <c r="D10948" s="15">
        <v>19.21</v>
      </c>
      <c r="E10948" s="16" t="s">
        <v>30</v>
      </c>
    </row>
    <row r="10949" spans="1:5" x14ac:dyDescent="0.25">
      <c r="A10949" s="14">
        <v>542617004</v>
      </c>
      <c r="B10949" s="14" t="s">
        <v>11048</v>
      </c>
      <c r="C10949" s="14" t="s">
        <v>13030</v>
      </c>
      <c r="D10949" s="15">
        <v>2.2799999999999998</v>
      </c>
      <c r="E10949" s="16" t="s">
        <v>30</v>
      </c>
    </row>
    <row r="10950" spans="1:5" x14ac:dyDescent="0.25">
      <c r="A10950" s="14">
        <v>542959006</v>
      </c>
      <c r="B10950" s="14" t="s">
        <v>11049</v>
      </c>
      <c r="C10950" s="14" t="s">
        <v>13029</v>
      </c>
      <c r="D10950" s="15">
        <v>25.64</v>
      </c>
      <c r="E10950" s="14" t="s">
        <v>30</v>
      </c>
    </row>
    <row r="10951" spans="1:5" x14ac:dyDescent="0.25">
      <c r="A10951" s="14">
        <v>543956002</v>
      </c>
      <c r="B10951" s="14" t="s">
        <v>11050</v>
      </c>
      <c r="C10951" s="14" t="s">
        <v>13030</v>
      </c>
      <c r="D10951" s="15">
        <v>11.81</v>
      </c>
      <c r="E10951" s="16" t="s">
        <v>30</v>
      </c>
    </row>
    <row r="10952" spans="1:5" x14ac:dyDescent="0.25">
      <c r="A10952" s="14">
        <v>543956007</v>
      </c>
      <c r="B10952" s="14" t="s">
        <v>11051</v>
      </c>
      <c r="C10952" s="14" t="s">
        <v>13030</v>
      </c>
      <c r="D10952" s="15">
        <v>11.81</v>
      </c>
      <c r="E10952" s="16" t="s">
        <v>30</v>
      </c>
    </row>
    <row r="10953" spans="1:5" x14ac:dyDescent="0.25">
      <c r="A10953" s="14">
        <v>544685004</v>
      </c>
      <c r="B10953" s="14" t="s">
        <v>11052</v>
      </c>
      <c r="C10953" s="14" t="s">
        <v>13030</v>
      </c>
      <c r="D10953" s="15">
        <v>4.26</v>
      </c>
      <c r="E10953" s="14" t="s">
        <v>30</v>
      </c>
    </row>
    <row r="10954" spans="1:5" x14ac:dyDescent="0.25">
      <c r="A10954" s="14">
        <v>544959002</v>
      </c>
      <c r="B10954" s="14" t="s">
        <v>11053</v>
      </c>
      <c r="C10954" s="14" t="s">
        <v>13029</v>
      </c>
      <c r="D10954" s="15">
        <v>16.399999999999999</v>
      </c>
      <c r="E10954" s="14" t="s">
        <v>30</v>
      </c>
    </row>
    <row r="10955" spans="1:5" x14ac:dyDescent="0.25">
      <c r="A10955" s="14">
        <v>547016002</v>
      </c>
      <c r="B10955" s="14" t="s">
        <v>11054</v>
      </c>
      <c r="C10955" s="14" t="s">
        <v>13029</v>
      </c>
      <c r="D10955" s="15">
        <v>17.739999999999998</v>
      </c>
      <c r="E10955" s="16" t="s">
        <v>30</v>
      </c>
    </row>
    <row r="10956" spans="1:5" x14ac:dyDescent="0.25">
      <c r="A10956" s="14">
        <v>549423003</v>
      </c>
      <c r="B10956" s="14" t="s">
        <v>11055</v>
      </c>
      <c r="C10956" s="14" t="s">
        <v>13029</v>
      </c>
      <c r="D10956" s="15">
        <v>12.68</v>
      </c>
      <c r="E10956" s="16" t="s">
        <v>30</v>
      </c>
    </row>
    <row r="10957" spans="1:5" x14ac:dyDescent="0.25">
      <c r="A10957" s="14">
        <v>549423017</v>
      </c>
      <c r="B10957" s="14" t="s">
        <v>11056</v>
      </c>
      <c r="C10957" s="14" t="s">
        <v>13029</v>
      </c>
      <c r="D10957" s="15">
        <v>13.72</v>
      </c>
      <c r="E10957" s="16" t="s">
        <v>30</v>
      </c>
    </row>
    <row r="10958" spans="1:5" x14ac:dyDescent="0.25">
      <c r="A10958" s="14">
        <v>550533003</v>
      </c>
      <c r="B10958" s="14" t="s">
        <v>11057</v>
      </c>
      <c r="C10958" s="14" t="s">
        <v>13030</v>
      </c>
      <c r="D10958" s="15">
        <v>1.27</v>
      </c>
      <c r="E10958" s="16" t="s">
        <v>30</v>
      </c>
    </row>
    <row r="10959" spans="1:5" x14ac:dyDescent="0.25">
      <c r="A10959" s="14">
        <v>559232001</v>
      </c>
      <c r="B10959" s="14" t="s">
        <v>11058</v>
      </c>
      <c r="C10959" s="14" t="s">
        <v>13029</v>
      </c>
      <c r="D10959" s="15">
        <v>4.63</v>
      </c>
      <c r="E10959" s="16" t="s">
        <v>30</v>
      </c>
    </row>
    <row r="10960" spans="1:5" x14ac:dyDescent="0.25">
      <c r="A10960" s="14">
        <v>559278001</v>
      </c>
      <c r="B10960" s="14" t="s">
        <v>11059</v>
      </c>
      <c r="C10960" s="14" t="s">
        <v>13029</v>
      </c>
      <c r="D10960" s="15">
        <v>20.420000000000002</v>
      </c>
      <c r="E10960" s="16" t="s">
        <v>30</v>
      </c>
    </row>
    <row r="10961" spans="1:5" x14ac:dyDescent="0.25">
      <c r="A10961" s="14">
        <v>560585003</v>
      </c>
      <c r="B10961" s="14" t="s">
        <v>11060</v>
      </c>
      <c r="C10961" s="14" t="s">
        <v>13031</v>
      </c>
      <c r="D10961" s="15">
        <v>11.82</v>
      </c>
      <c r="E10961" s="16" t="s">
        <v>30</v>
      </c>
    </row>
    <row r="10962" spans="1:5" x14ac:dyDescent="0.25">
      <c r="A10962" s="14">
        <v>560585008</v>
      </c>
      <c r="B10962" s="14" t="s">
        <v>11061</v>
      </c>
      <c r="C10962" s="14" t="s">
        <v>13031</v>
      </c>
      <c r="D10962" s="15">
        <v>11.82</v>
      </c>
      <c r="E10962" s="16" t="s">
        <v>30</v>
      </c>
    </row>
    <row r="10963" spans="1:5" x14ac:dyDescent="0.25">
      <c r="A10963" s="14">
        <v>560744002</v>
      </c>
      <c r="B10963" s="14" t="s">
        <v>11062</v>
      </c>
      <c r="C10963" s="14" t="s">
        <v>13029</v>
      </c>
      <c r="D10963" s="15">
        <v>10.1</v>
      </c>
      <c r="E10963" s="16" t="s">
        <v>30</v>
      </c>
    </row>
    <row r="10964" spans="1:5" x14ac:dyDescent="0.25">
      <c r="A10964" s="14">
        <v>564584002</v>
      </c>
      <c r="B10964" s="14" t="s">
        <v>11063</v>
      </c>
      <c r="C10964" s="14" t="s">
        <v>13031</v>
      </c>
      <c r="D10964" s="15">
        <v>16.53</v>
      </c>
      <c r="E10964" s="14" t="s">
        <v>30</v>
      </c>
    </row>
    <row r="10965" spans="1:5" x14ac:dyDescent="0.25">
      <c r="A10965" s="14">
        <v>567185004</v>
      </c>
      <c r="B10965" s="14" t="s">
        <v>11064</v>
      </c>
      <c r="C10965" s="14" t="s">
        <v>13030</v>
      </c>
      <c r="D10965" s="15">
        <v>3.64</v>
      </c>
      <c r="E10965" s="16" t="s">
        <v>30</v>
      </c>
    </row>
    <row r="10966" spans="1:5" x14ac:dyDescent="0.25">
      <c r="A10966" s="14">
        <v>567862001</v>
      </c>
      <c r="B10966" s="14" t="s">
        <v>11065</v>
      </c>
      <c r="C10966" s="14" t="s">
        <v>13030</v>
      </c>
      <c r="D10966" s="15">
        <v>3.1</v>
      </c>
      <c r="E10966" s="16" t="s">
        <v>30</v>
      </c>
    </row>
    <row r="10967" spans="1:5" x14ac:dyDescent="0.25">
      <c r="A10967" s="14">
        <v>567864003</v>
      </c>
      <c r="B10967" s="14" t="s">
        <v>11066</v>
      </c>
      <c r="C10967" s="14" t="s">
        <v>13029</v>
      </c>
      <c r="D10967" s="15">
        <v>11.12</v>
      </c>
      <c r="E10967" s="16" t="s">
        <v>30</v>
      </c>
    </row>
    <row r="10968" spans="1:5" x14ac:dyDescent="0.25">
      <c r="A10968" s="14">
        <v>569507002</v>
      </c>
      <c r="B10968" s="14" t="s">
        <v>11067</v>
      </c>
      <c r="C10968" s="14" t="s">
        <v>13029</v>
      </c>
      <c r="D10968" s="15">
        <v>9.74</v>
      </c>
      <c r="E10968" s="16" t="s">
        <v>30</v>
      </c>
    </row>
    <row r="10969" spans="1:5" x14ac:dyDescent="0.25">
      <c r="A10969" s="14">
        <v>569596005</v>
      </c>
      <c r="B10969" s="14" t="s">
        <v>11068</v>
      </c>
      <c r="C10969" s="14" t="s">
        <v>13029</v>
      </c>
      <c r="D10969" s="15">
        <v>10.130000000000001</v>
      </c>
      <c r="E10969" s="16" t="s">
        <v>30</v>
      </c>
    </row>
    <row r="10970" spans="1:5" x14ac:dyDescent="0.25">
      <c r="A10970" s="14">
        <v>575997001</v>
      </c>
      <c r="B10970" s="14" t="s">
        <v>11069</v>
      </c>
      <c r="C10970" s="14" t="s">
        <v>13029</v>
      </c>
      <c r="D10970" s="15">
        <v>25.49</v>
      </c>
      <c r="E10970" s="14" t="s">
        <v>30</v>
      </c>
    </row>
    <row r="10971" spans="1:5" x14ac:dyDescent="0.25">
      <c r="A10971" s="14">
        <v>577101001</v>
      </c>
      <c r="B10971" s="14" t="s">
        <v>11070</v>
      </c>
      <c r="C10971" s="14" t="s">
        <v>13030</v>
      </c>
      <c r="D10971" s="15">
        <v>7.3</v>
      </c>
      <c r="E10971" s="16" t="s">
        <v>30</v>
      </c>
    </row>
    <row r="10972" spans="1:5" x14ac:dyDescent="0.25">
      <c r="A10972" s="14">
        <v>1007878002</v>
      </c>
      <c r="B10972" s="14" t="s">
        <v>11071</v>
      </c>
      <c r="C10972" s="14" t="s">
        <v>13031</v>
      </c>
      <c r="D10972" s="15">
        <v>14.77</v>
      </c>
      <c r="E10972" s="16" t="s">
        <v>20</v>
      </c>
    </row>
    <row r="10973" spans="1:5" x14ac:dyDescent="0.25">
      <c r="A10973" s="14">
        <v>577137002</v>
      </c>
      <c r="B10973" s="14" t="s">
        <v>11072</v>
      </c>
      <c r="C10973" s="14" t="s">
        <v>13030</v>
      </c>
      <c r="D10973" s="15">
        <v>5.82</v>
      </c>
      <c r="E10973" s="16" t="s">
        <v>30</v>
      </c>
    </row>
    <row r="10974" spans="1:5" x14ac:dyDescent="0.25">
      <c r="A10974" s="14">
        <v>577137006</v>
      </c>
      <c r="B10974" s="14" t="s">
        <v>11073</v>
      </c>
      <c r="C10974" s="14" t="s">
        <v>13030</v>
      </c>
      <c r="D10974" s="15">
        <v>5.82</v>
      </c>
      <c r="E10974" s="16" t="s">
        <v>30</v>
      </c>
    </row>
    <row r="10975" spans="1:5" x14ac:dyDescent="0.25">
      <c r="A10975" s="14">
        <v>577197001</v>
      </c>
      <c r="B10975" s="14" t="s">
        <v>11074</v>
      </c>
      <c r="C10975" s="14" t="s">
        <v>13029</v>
      </c>
      <c r="D10975" s="15">
        <v>9.64</v>
      </c>
      <c r="E10975" s="16" t="s">
        <v>30</v>
      </c>
    </row>
    <row r="10976" spans="1:5" x14ac:dyDescent="0.25">
      <c r="A10976" s="14">
        <v>577202002</v>
      </c>
      <c r="B10976" s="14" t="s">
        <v>11075</v>
      </c>
      <c r="C10976" s="14" t="s">
        <v>13029</v>
      </c>
      <c r="D10976" s="15">
        <v>7.03</v>
      </c>
      <c r="E10976" s="16" t="s">
        <v>30</v>
      </c>
    </row>
    <row r="10977" spans="1:5" x14ac:dyDescent="0.25">
      <c r="A10977" s="14">
        <v>577204002</v>
      </c>
      <c r="B10977" s="14" t="s">
        <v>11076</v>
      </c>
      <c r="C10977" s="14" t="s">
        <v>13029</v>
      </c>
      <c r="D10977" s="15">
        <v>9.64</v>
      </c>
      <c r="E10977" s="16" t="s">
        <v>30</v>
      </c>
    </row>
    <row r="10978" spans="1:5" x14ac:dyDescent="0.25">
      <c r="A10978" s="14">
        <v>577268003</v>
      </c>
      <c r="B10978" s="14" t="s">
        <v>11077</v>
      </c>
      <c r="C10978" s="14" t="s">
        <v>13030</v>
      </c>
      <c r="D10978" s="15">
        <v>55.37</v>
      </c>
      <c r="E10978" s="16" t="s">
        <v>30</v>
      </c>
    </row>
    <row r="10979" spans="1:5" x14ac:dyDescent="0.25">
      <c r="A10979" s="14">
        <v>577268007</v>
      </c>
      <c r="B10979" s="14" t="s">
        <v>11078</v>
      </c>
      <c r="C10979" s="14" t="s">
        <v>13030</v>
      </c>
      <c r="D10979" s="15">
        <v>55.36</v>
      </c>
      <c r="E10979" s="16" t="s">
        <v>30</v>
      </c>
    </row>
    <row r="10980" spans="1:5" x14ac:dyDescent="0.25">
      <c r="A10980" s="14">
        <v>700198003</v>
      </c>
      <c r="B10980" s="14" t="s">
        <v>11079</v>
      </c>
      <c r="C10980" s="14" t="s">
        <v>13030</v>
      </c>
      <c r="D10980" s="15">
        <v>12.12</v>
      </c>
      <c r="E10980" s="16" t="s">
        <v>30</v>
      </c>
    </row>
    <row r="10981" spans="1:5" x14ac:dyDescent="0.25">
      <c r="A10981" s="14">
        <v>700200003</v>
      </c>
      <c r="B10981" s="14" t="s">
        <v>11080</v>
      </c>
      <c r="C10981" s="14" t="s">
        <v>13030</v>
      </c>
      <c r="D10981" s="15">
        <v>51.43</v>
      </c>
      <c r="E10981" s="16" t="s">
        <v>30</v>
      </c>
    </row>
    <row r="10982" spans="1:5" x14ac:dyDescent="0.25">
      <c r="A10982" s="14">
        <v>700202003</v>
      </c>
      <c r="B10982" s="14" t="s">
        <v>11081</v>
      </c>
      <c r="C10982" s="14" t="s">
        <v>13030</v>
      </c>
      <c r="D10982" s="15">
        <v>75.33</v>
      </c>
      <c r="E10982" s="16" t="s">
        <v>30</v>
      </c>
    </row>
    <row r="10983" spans="1:5" x14ac:dyDescent="0.25">
      <c r="A10983" s="14">
        <v>700627004</v>
      </c>
      <c r="B10983" s="14" t="s">
        <v>11082</v>
      </c>
      <c r="C10983" s="14" t="s">
        <v>13029</v>
      </c>
      <c r="D10983" s="15">
        <v>3.05</v>
      </c>
      <c r="E10983" s="16" t="s">
        <v>30</v>
      </c>
    </row>
    <row r="10984" spans="1:5" x14ac:dyDescent="0.25">
      <c r="A10984" s="14">
        <v>1007878003</v>
      </c>
      <c r="B10984" s="14" t="s">
        <v>11083</v>
      </c>
      <c r="C10984" s="14" t="s">
        <v>13031</v>
      </c>
      <c r="D10984" s="15">
        <v>14.77</v>
      </c>
      <c r="E10984" s="16" t="s">
        <v>20</v>
      </c>
    </row>
    <row r="10985" spans="1:5" x14ac:dyDescent="0.25">
      <c r="A10985" s="14">
        <v>700628004</v>
      </c>
      <c r="B10985" s="14" t="s">
        <v>11084</v>
      </c>
      <c r="C10985" s="14" t="s">
        <v>13029</v>
      </c>
      <c r="D10985" s="15">
        <v>5.65</v>
      </c>
      <c r="E10985" s="16" t="s">
        <v>30</v>
      </c>
    </row>
    <row r="10986" spans="1:5" x14ac:dyDescent="0.25">
      <c r="A10986" s="14">
        <v>701996001</v>
      </c>
      <c r="B10986" s="14" t="s">
        <v>11085</v>
      </c>
      <c r="C10986" s="14" t="s">
        <v>13030</v>
      </c>
      <c r="D10986" s="15">
        <v>29.83</v>
      </c>
      <c r="E10986" s="16" t="s">
        <v>30</v>
      </c>
    </row>
    <row r="10987" spans="1:5" x14ac:dyDescent="0.25">
      <c r="A10987" s="14">
        <v>704706001</v>
      </c>
      <c r="B10987" s="14" t="s">
        <v>11086</v>
      </c>
      <c r="C10987" s="14" t="s">
        <v>13030</v>
      </c>
      <c r="D10987" s="15">
        <v>5.87</v>
      </c>
      <c r="E10987" s="16" t="s">
        <v>30</v>
      </c>
    </row>
    <row r="10988" spans="1:5" x14ac:dyDescent="0.25">
      <c r="A10988" s="14">
        <v>704920001</v>
      </c>
      <c r="B10988" s="14" t="s">
        <v>7501</v>
      </c>
      <c r="C10988" s="14" t="s">
        <v>13030</v>
      </c>
      <c r="D10988" s="15">
        <v>13.55</v>
      </c>
      <c r="E10988" s="16" t="s">
        <v>30</v>
      </c>
    </row>
    <row r="10989" spans="1:5" x14ac:dyDescent="0.25">
      <c r="A10989" s="14">
        <v>704920005</v>
      </c>
      <c r="B10989" s="14" t="s">
        <v>11087</v>
      </c>
      <c r="C10989" s="14" t="s">
        <v>13030</v>
      </c>
      <c r="D10989" s="15">
        <v>16.03</v>
      </c>
      <c r="E10989" s="16" t="s">
        <v>30</v>
      </c>
    </row>
    <row r="10990" spans="1:5" x14ac:dyDescent="0.25">
      <c r="A10990" s="14">
        <v>704988002</v>
      </c>
      <c r="B10990" s="14" t="s">
        <v>11088</v>
      </c>
      <c r="C10990" s="14" t="s">
        <v>13029</v>
      </c>
      <c r="D10990" s="15">
        <v>37.29</v>
      </c>
      <c r="E10990" s="14" t="s">
        <v>30</v>
      </c>
    </row>
    <row r="10991" spans="1:5" x14ac:dyDescent="0.25">
      <c r="A10991" s="14">
        <v>714146002</v>
      </c>
      <c r="B10991" s="14" t="s">
        <v>11089</v>
      </c>
      <c r="C10991" s="14" t="s">
        <v>13029</v>
      </c>
      <c r="D10991" s="15">
        <v>27.4</v>
      </c>
      <c r="E10991" s="16" t="s">
        <v>30</v>
      </c>
    </row>
    <row r="10992" spans="1:5" x14ac:dyDescent="0.25">
      <c r="A10992" s="14">
        <v>714270001</v>
      </c>
      <c r="B10992" s="14" t="s">
        <v>11090</v>
      </c>
      <c r="C10992" s="14" t="s">
        <v>13030</v>
      </c>
      <c r="D10992" s="15">
        <v>3.48</v>
      </c>
      <c r="E10992" s="16" t="s">
        <v>30</v>
      </c>
    </row>
    <row r="10993" spans="1:5" x14ac:dyDescent="0.25">
      <c r="A10993" s="14">
        <v>719981002</v>
      </c>
      <c r="B10993" s="14" t="s">
        <v>11091</v>
      </c>
      <c r="C10993" s="14" t="s">
        <v>13029</v>
      </c>
      <c r="D10993" s="15">
        <v>18</v>
      </c>
      <c r="E10993" s="16" t="s">
        <v>30</v>
      </c>
    </row>
    <row r="10994" spans="1:5" x14ac:dyDescent="0.25">
      <c r="A10994" s="14">
        <v>721865006</v>
      </c>
      <c r="B10994" s="14" t="s">
        <v>11092</v>
      </c>
      <c r="C10994" s="14" t="s">
        <v>13029</v>
      </c>
      <c r="D10994" s="15">
        <v>7.68</v>
      </c>
      <c r="E10994" s="16" t="s">
        <v>30</v>
      </c>
    </row>
    <row r="10995" spans="1:5" x14ac:dyDescent="0.25">
      <c r="A10995" s="14">
        <v>724009002</v>
      </c>
      <c r="B10995" s="14" t="s">
        <v>11093</v>
      </c>
      <c r="C10995" s="14" t="s">
        <v>13029</v>
      </c>
      <c r="D10995" s="15">
        <v>10.1</v>
      </c>
      <c r="E10995" s="16" t="s">
        <v>30</v>
      </c>
    </row>
    <row r="10996" spans="1:5" x14ac:dyDescent="0.25">
      <c r="A10996" s="14">
        <v>727695001</v>
      </c>
      <c r="B10996" s="14" t="s">
        <v>11094</v>
      </c>
      <c r="C10996" s="14" t="s">
        <v>13030</v>
      </c>
      <c r="D10996" s="15">
        <v>12.34</v>
      </c>
      <c r="E10996" s="16" t="s">
        <v>30</v>
      </c>
    </row>
    <row r="10997" spans="1:5" x14ac:dyDescent="0.25">
      <c r="A10997" s="14">
        <v>1017623</v>
      </c>
      <c r="B10997" s="14" t="s">
        <v>11095</v>
      </c>
      <c r="C10997" s="14" t="s">
        <v>13031</v>
      </c>
      <c r="D10997" s="15">
        <v>15.4</v>
      </c>
      <c r="E10997" s="14" t="s">
        <v>20</v>
      </c>
    </row>
    <row r="10998" spans="1:5" x14ac:dyDescent="0.25">
      <c r="A10998" s="14">
        <v>727945002</v>
      </c>
      <c r="B10998" s="14" t="s">
        <v>11096</v>
      </c>
      <c r="C10998" s="14" t="s">
        <v>13029</v>
      </c>
      <c r="D10998" s="15">
        <v>46.23</v>
      </c>
      <c r="E10998" s="16" t="s">
        <v>30</v>
      </c>
    </row>
    <row r="10999" spans="1:5" x14ac:dyDescent="0.25">
      <c r="A10999" s="14">
        <v>731716001</v>
      </c>
      <c r="B10999" s="14" t="s">
        <v>11097</v>
      </c>
      <c r="C10999" s="14" t="s">
        <v>13029</v>
      </c>
      <c r="D10999" s="15">
        <v>21.9</v>
      </c>
      <c r="E10999" s="16" t="s">
        <v>30</v>
      </c>
    </row>
    <row r="11000" spans="1:5" x14ac:dyDescent="0.25">
      <c r="A11000" s="14">
        <v>731717002</v>
      </c>
      <c r="B11000" s="14" t="s">
        <v>11098</v>
      </c>
      <c r="C11000" s="14" t="s">
        <v>13029</v>
      </c>
      <c r="D11000" s="15">
        <v>37.29</v>
      </c>
      <c r="E11000" s="14" t="s">
        <v>30</v>
      </c>
    </row>
    <row r="11001" spans="1:5" x14ac:dyDescent="0.25">
      <c r="A11001" s="14">
        <v>731996003</v>
      </c>
      <c r="B11001" s="14" t="s">
        <v>11099</v>
      </c>
      <c r="C11001" s="14" t="s">
        <v>13029</v>
      </c>
      <c r="D11001" s="15">
        <v>23.44</v>
      </c>
      <c r="E11001" s="16" t="s">
        <v>30</v>
      </c>
    </row>
    <row r="11002" spans="1:5" x14ac:dyDescent="0.25">
      <c r="A11002" s="14">
        <v>732120002</v>
      </c>
      <c r="B11002" s="14" t="s">
        <v>11100</v>
      </c>
      <c r="C11002" s="14" t="s">
        <v>13029</v>
      </c>
      <c r="D11002" s="15">
        <v>14.35</v>
      </c>
      <c r="E11002" s="16" t="s">
        <v>30</v>
      </c>
    </row>
    <row r="11003" spans="1:5" x14ac:dyDescent="0.25">
      <c r="A11003" s="14">
        <v>732121003</v>
      </c>
      <c r="B11003" s="14" t="s">
        <v>11101</v>
      </c>
      <c r="C11003" s="14" t="s">
        <v>13029</v>
      </c>
      <c r="D11003" s="15">
        <v>14.35</v>
      </c>
      <c r="E11003" s="16" t="s">
        <v>30</v>
      </c>
    </row>
    <row r="11004" spans="1:5" x14ac:dyDescent="0.25">
      <c r="A11004" s="14">
        <v>732123001</v>
      </c>
      <c r="B11004" s="14" t="s">
        <v>11102</v>
      </c>
      <c r="C11004" s="14" t="s">
        <v>13029</v>
      </c>
      <c r="D11004" s="15">
        <v>12</v>
      </c>
      <c r="E11004" s="16" t="s">
        <v>30</v>
      </c>
    </row>
    <row r="11005" spans="1:5" x14ac:dyDescent="0.25">
      <c r="A11005" s="14">
        <v>732176003</v>
      </c>
      <c r="B11005" s="14" t="s">
        <v>11103</v>
      </c>
      <c r="C11005" s="14" t="s">
        <v>13029</v>
      </c>
      <c r="D11005" s="15">
        <v>24.85</v>
      </c>
      <c r="E11005" s="16" t="s">
        <v>30</v>
      </c>
    </row>
    <row r="11006" spans="1:5" x14ac:dyDescent="0.25">
      <c r="A11006" s="14">
        <v>732177002</v>
      </c>
      <c r="B11006" s="14" t="s">
        <v>11104</v>
      </c>
      <c r="C11006" s="14" t="s">
        <v>13029</v>
      </c>
      <c r="D11006" s="15">
        <v>24.85</v>
      </c>
      <c r="E11006" s="16" t="s">
        <v>30</v>
      </c>
    </row>
    <row r="11007" spans="1:5" x14ac:dyDescent="0.25">
      <c r="A11007" s="14">
        <v>732332003</v>
      </c>
      <c r="B11007" s="14" t="s">
        <v>11105</v>
      </c>
      <c r="C11007" s="14" t="s">
        <v>13029</v>
      </c>
      <c r="D11007" s="15">
        <v>12.04</v>
      </c>
      <c r="E11007" s="16" t="s">
        <v>30</v>
      </c>
    </row>
    <row r="11008" spans="1:5" x14ac:dyDescent="0.25">
      <c r="A11008" s="14">
        <v>732366001</v>
      </c>
      <c r="B11008" s="14" t="s">
        <v>11106</v>
      </c>
      <c r="C11008" s="14" t="s">
        <v>13029</v>
      </c>
      <c r="D11008" s="15">
        <v>34.33</v>
      </c>
      <c r="E11008" s="16" t="s">
        <v>30</v>
      </c>
    </row>
    <row r="11009" spans="1:5" x14ac:dyDescent="0.25">
      <c r="A11009" s="14">
        <v>733129003</v>
      </c>
      <c r="B11009" s="14" t="s">
        <v>11107</v>
      </c>
      <c r="C11009" s="14" t="s">
        <v>13031</v>
      </c>
      <c r="D11009" s="15">
        <v>4.4000000000000004</v>
      </c>
      <c r="E11009" s="16" t="s">
        <v>30</v>
      </c>
    </row>
    <row r="11010" spans="1:5" x14ac:dyDescent="0.25">
      <c r="A11010" s="14">
        <v>733224003</v>
      </c>
      <c r="B11010" s="14" t="s">
        <v>11108</v>
      </c>
      <c r="C11010" s="14" t="s">
        <v>13029</v>
      </c>
      <c r="D11010" s="15">
        <v>8.27</v>
      </c>
      <c r="E11010" s="14" t="s">
        <v>30</v>
      </c>
    </row>
    <row r="11011" spans="1:5" x14ac:dyDescent="0.25">
      <c r="A11011" s="14">
        <v>733489002</v>
      </c>
      <c r="B11011" s="14" t="s">
        <v>11109</v>
      </c>
      <c r="C11011" s="14" t="s">
        <v>13030</v>
      </c>
      <c r="D11011" s="15">
        <v>62.47</v>
      </c>
      <c r="E11011" s="16" t="s">
        <v>30</v>
      </c>
    </row>
    <row r="11012" spans="1:5" x14ac:dyDescent="0.25">
      <c r="A11012" s="14">
        <v>733610002</v>
      </c>
      <c r="B11012" s="14" t="s">
        <v>11110</v>
      </c>
      <c r="C11012" s="14" t="s">
        <v>13030</v>
      </c>
      <c r="D11012" s="15">
        <v>45.31</v>
      </c>
      <c r="E11012" s="14" t="s">
        <v>30</v>
      </c>
    </row>
    <row r="11013" spans="1:5" x14ac:dyDescent="0.25">
      <c r="A11013" s="14">
        <v>733617002</v>
      </c>
      <c r="B11013" s="14" t="s">
        <v>11111</v>
      </c>
      <c r="C11013" s="14" t="s">
        <v>13030</v>
      </c>
      <c r="D11013" s="15">
        <v>104.38</v>
      </c>
      <c r="E11013" s="14" t="s">
        <v>30</v>
      </c>
    </row>
    <row r="11014" spans="1:5" x14ac:dyDescent="0.25">
      <c r="A11014" s="14">
        <v>733619001</v>
      </c>
      <c r="B11014" s="14" t="s">
        <v>11112</v>
      </c>
      <c r="C11014" s="14" t="s">
        <v>13030</v>
      </c>
      <c r="D11014" s="15">
        <v>43.16</v>
      </c>
      <c r="E11014" s="14" t="s">
        <v>30</v>
      </c>
    </row>
    <row r="11015" spans="1:5" x14ac:dyDescent="0.25">
      <c r="A11015" s="14">
        <v>733620003</v>
      </c>
      <c r="B11015" s="14" t="s">
        <v>11113</v>
      </c>
      <c r="C11015" s="14" t="s">
        <v>13030</v>
      </c>
      <c r="D11015" s="15">
        <v>35.950000000000003</v>
      </c>
      <c r="E11015" s="14" t="s">
        <v>30</v>
      </c>
    </row>
    <row r="11016" spans="1:5" x14ac:dyDescent="0.25">
      <c r="A11016" s="14">
        <v>733623002</v>
      </c>
      <c r="B11016" s="14" t="s">
        <v>11114</v>
      </c>
      <c r="C11016" s="14" t="s">
        <v>13030</v>
      </c>
      <c r="D11016" s="15">
        <v>47.47</v>
      </c>
      <c r="E11016" s="14" t="s">
        <v>30</v>
      </c>
    </row>
    <row r="11017" spans="1:5" x14ac:dyDescent="0.25">
      <c r="A11017" s="14">
        <v>733632001</v>
      </c>
      <c r="B11017" s="14" t="s">
        <v>11115</v>
      </c>
      <c r="C11017" s="14" t="s">
        <v>13030</v>
      </c>
      <c r="D11017" s="15">
        <v>29.6</v>
      </c>
      <c r="E11017" s="16" t="s">
        <v>30</v>
      </c>
    </row>
    <row r="11018" spans="1:5" x14ac:dyDescent="0.25">
      <c r="A11018" s="14">
        <v>733698001</v>
      </c>
      <c r="B11018" s="14" t="s">
        <v>11116</v>
      </c>
      <c r="C11018" s="14" t="s">
        <v>13030</v>
      </c>
      <c r="D11018" s="15">
        <v>100.78</v>
      </c>
      <c r="E11018" s="14" t="s">
        <v>30</v>
      </c>
    </row>
    <row r="11019" spans="1:5" x14ac:dyDescent="0.25">
      <c r="A11019" s="14">
        <v>733700001</v>
      </c>
      <c r="B11019" s="14" t="s">
        <v>11117</v>
      </c>
      <c r="C11019" s="14" t="s">
        <v>13030</v>
      </c>
      <c r="D11019" s="15">
        <v>21.54</v>
      </c>
      <c r="E11019" s="14" t="s">
        <v>30</v>
      </c>
    </row>
    <row r="11020" spans="1:5" x14ac:dyDescent="0.25">
      <c r="A11020" s="14">
        <v>733864003</v>
      </c>
      <c r="B11020" s="14" t="s">
        <v>11118</v>
      </c>
      <c r="C11020" s="14" t="s">
        <v>13029</v>
      </c>
      <c r="D11020" s="15">
        <v>13.17</v>
      </c>
      <c r="E11020" s="16" t="s">
        <v>30</v>
      </c>
    </row>
    <row r="11021" spans="1:5" x14ac:dyDescent="0.25">
      <c r="A11021" s="14">
        <v>737067001</v>
      </c>
      <c r="B11021" s="14" t="s">
        <v>11119</v>
      </c>
      <c r="C11021" s="14" t="s">
        <v>13029</v>
      </c>
      <c r="D11021" s="15">
        <v>12.4</v>
      </c>
      <c r="E11021" s="16" t="s">
        <v>30</v>
      </c>
    </row>
    <row r="11022" spans="1:5" x14ac:dyDescent="0.25">
      <c r="A11022" s="14">
        <v>737859002</v>
      </c>
      <c r="B11022" s="14" t="s">
        <v>11120</v>
      </c>
      <c r="C11022" s="14" t="s">
        <v>13031</v>
      </c>
      <c r="D11022" s="15">
        <v>4.68</v>
      </c>
      <c r="E11022" s="16" t="s">
        <v>30</v>
      </c>
    </row>
    <row r="11023" spans="1:5" x14ac:dyDescent="0.25">
      <c r="A11023" s="14">
        <v>739436002</v>
      </c>
      <c r="B11023" s="14" t="s">
        <v>11121</v>
      </c>
      <c r="C11023" s="14" t="s">
        <v>13031</v>
      </c>
      <c r="D11023" s="15">
        <v>1.57</v>
      </c>
      <c r="E11023" s="16" t="s">
        <v>30</v>
      </c>
    </row>
    <row r="11024" spans="1:5" x14ac:dyDescent="0.25">
      <c r="A11024" s="14">
        <v>741553002</v>
      </c>
      <c r="B11024" s="14" t="s">
        <v>11122</v>
      </c>
      <c r="C11024" s="14" t="s">
        <v>13031</v>
      </c>
      <c r="D11024" s="15">
        <v>9.5</v>
      </c>
      <c r="E11024" s="16" t="s">
        <v>30</v>
      </c>
    </row>
    <row r="11025" spans="1:5" x14ac:dyDescent="0.25">
      <c r="A11025" s="14">
        <v>746010005</v>
      </c>
      <c r="B11025" s="14" t="s">
        <v>11123</v>
      </c>
      <c r="C11025" s="14" t="s">
        <v>13029</v>
      </c>
      <c r="D11025" s="15">
        <v>15.96</v>
      </c>
      <c r="E11025" s="16" t="s">
        <v>30</v>
      </c>
    </row>
    <row r="11026" spans="1:5" x14ac:dyDescent="0.25">
      <c r="A11026" s="14">
        <v>752253004</v>
      </c>
      <c r="B11026" s="14" t="s">
        <v>11124</v>
      </c>
      <c r="C11026" s="14" t="s">
        <v>13030</v>
      </c>
      <c r="D11026" s="15">
        <v>77.06</v>
      </c>
      <c r="E11026" s="16" t="s">
        <v>30</v>
      </c>
    </row>
    <row r="11027" spans="1:5" x14ac:dyDescent="0.25">
      <c r="A11027" s="14">
        <v>752692002</v>
      </c>
      <c r="B11027" s="14" t="s">
        <v>11125</v>
      </c>
      <c r="C11027" s="14" t="s">
        <v>13031</v>
      </c>
      <c r="D11027" s="15">
        <v>11.8</v>
      </c>
      <c r="E11027" s="16" t="s">
        <v>30</v>
      </c>
    </row>
    <row r="11028" spans="1:5" x14ac:dyDescent="0.25">
      <c r="A11028" s="14">
        <v>752692006</v>
      </c>
      <c r="B11028" s="14" t="s">
        <v>11126</v>
      </c>
      <c r="C11028" s="14" t="s">
        <v>13031</v>
      </c>
      <c r="D11028" s="15">
        <v>11.8</v>
      </c>
      <c r="E11028" s="16" t="s">
        <v>30</v>
      </c>
    </row>
    <row r="11029" spans="1:5" x14ac:dyDescent="0.25">
      <c r="A11029" s="14">
        <v>753108003</v>
      </c>
      <c r="B11029" s="14" t="s">
        <v>11127</v>
      </c>
      <c r="C11029" s="14" t="s">
        <v>13030</v>
      </c>
      <c r="D11029" s="15">
        <v>4.66</v>
      </c>
      <c r="E11029" s="16" t="s">
        <v>30</v>
      </c>
    </row>
    <row r="11030" spans="1:5" x14ac:dyDescent="0.25">
      <c r="A11030" s="14">
        <v>753538005</v>
      </c>
      <c r="B11030" s="14" t="s">
        <v>11128</v>
      </c>
      <c r="C11030" s="14" t="s">
        <v>13030</v>
      </c>
      <c r="D11030" s="15">
        <v>7.12</v>
      </c>
      <c r="E11030" s="16" t="s">
        <v>30</v>
      </c>
    </row>
    <row r="11031" spans="1:5" x14ac:dyDescent="0.25">
      <c r="A11031" s="14">
        <v>753538009</v>
      </c>
      <c r="B11031" s="14" t="s">
        <v>11129</v>
      </c>
      <c r="C11031" s="14" t="s">
        <v>13030</v>
      </c>
      <c r="D11031" s="15">
        <v>7.12</v>
      </c>
      <c r="E11031" s="16" t="s">
        <v>30</v>
      </c>
    </row>
    <row r="11032" spans="1:5" x14ac:dyDescent="0.25">
      <c r="A11032" s="14">
        <v>753605003</v>
      </c>
      <c r="B11032" s="14" t="s">
        <v>11130</v>
      </c>
      <c r="C11032" s="14" t="s">
        <v>13029</v>
      </c>
      <c r="D11032" s="15">
        <v>6.18</v>
      </c>
      <c r="E11032" s="16" t="s">
        <v>30</v>
      </c>
    </row>
    <row r="11033" spans="1:5" x14ac:dyDescent="0.25">
      <c r="A11033" s="14">
        <v>753608003</v>
      </c>
      <c r="B11033" s="14" t="s">
        <v>11131</v>
      </c>
      <c r="C11033" s="14" t="s">
        <v>13029</v>
      </c>
      <c r="D11033" s="15">
        <v>6.18</v>
      </c>
      <c r="E11033" s="16" t="s">
        <v>30</v>
      </c>
    </row>
    <row r="11034" spans="1:5" x14ac:dyDescent="0.25">
      <c r="A11034" s="14">
        <v>753913003</v>
      </c>
      <c r="B11034" s="14" t="s">
        <v>11132</v>
      </c>
      <c r="C11034" s="14" t="s">
        <v>13029</v>
      </c>
      <c r="D11034" s="15">
        <v>33.86</v>
      </c>
      <c r="E11034" s="16" t="s">
        <v>30</v>
      </c>
    </row>
    <row r="11035" spans="1:5" x14ac:dyDescent="0.25">
      <c r="A11035" s="14">
        <v>753915002</v>
      </c>
      <c r="B11035" s="14" t="s">
        <v>11133</v>
      </c>
      <c r="C11035" s="14" t="s">
        <v>13029</v>
      </c>
      <c r="D11035" s="15">
        <v>30.47</v>
      </c>
      <c r="E11035" s="16" t="s">
        <v>30</v>
      </c>
    </row>
    <row r="11036" spans="1:5" x14ac:dyDescent="0.25">
      <c r="A11036" s="14">
        <v>753916003</v>
      </c>
      <c r="B11036" s="14" t="s">
        <v>11134</v>
      </c>
      <c r="C11036" s="14" t="s">
        <v>13029</v>
      </c>
      <c r="D11036" s="15">
        <v>30.34</v>
      </c>
      <c r="E11036" s="16" t="s">
        <v>30</v>
      </c>
    </row>
    <row r="11037" spans="1:5" x14ac:dyDescent="0.25">
      <c r="A11037" s="14">
        <v>753918001</v>
      </c>
      <c r="B11037" s="14" t="s">
        <v>11135</v>
      </c>
      <c r="C11037" s="14" t="s">
        <v>13029</v>
      </c>
      <c r="D11037" s="15">
        <v>19.73</v>
      </c>
      <c r="E11037" s="16" t="s">
        <v>30</v>
      </c>
    </row>
    <row r="11038" spans="1:5" x14ac:dyDescent="0.25">
      <c r="A11038" s="14">
        <v>753919003</v>
      </c>
      <c r="B11038" s="14" t="s">
        <v>11136</v>
      </c>
      <c r="C11038" s="14" t="s">
        <v>13029</v>
      </c>
      <c r="D11038" s="15">
        <v>19.77</v>
      </c>
      <c r="E11038" s="16" t="s">
        <v>30</v>
      </c>
    </row>
    <row r="11039" spans="1:5" x14ac:dyDescent="0.25">
      <c r="A11039" s="14">
        <v>753920003</v>
      </c>
      <c r="B11039" s="14" t="s">
        <v>11137</v>
      </c>
      <c r="C11039" s="14" t="s">
        <v>13029</v>
      </c>
      <c r="D11039" s="15">
        <v>19.73</v>
      </c>
      <c r="E11039" s="16" t="s">
        <v>30</v>
      </c>
    </row>
    <row r="11040" spans="1:5" x14ac:dyDescent="0.25">
      <c r="A11040" s="14">
        <v>753922002</v>
      </c>
      <c r="B11040" s="14" t="s">
        <v>11138</v>
      </c>
      <c r="C11040" s="14" t="s">
        <v>13029</v>
      </c>
      <c r="D11040" s="15">
        <v>12.32</v>
      </c>
      <c r="E11040" s="16" t="s">
        <v>30</v>
      </c>
    </row>
    <row r="11041" spans="1:5" x14ac:dyDescent="0.25">
      <c r="A11041" s="14">
        <v>1016856</v>
      </c>
      <c r="B11041" s="14" t="s">
        <v>11139</v>
      </c>
      <c r="C11041" s="14" t="s">
        <v>13031</v>
      </c>
      <c r="D11041" s="15">
        <v>17.43</v>
      </c>
      <c r="E11041" s="14" t="s">
        <v>20</v>
      </c>
    </row>
    <row r="11042" spans="1:5" x14ac:dyDescent="0.25">
      <c r="A11042" s="14">
        <v>1016857</v>
      </c>
      <c r="B11042" s="14" t="s">
        <v>11140</v>
      </c>
      <c r="C11042" s="14" t="s">
        <v>13031</v>
      </c>
      <c r="D11042" s="15">
        <v>17.43</v>
      </c>
      <c r="E11042" s="14" t="s">
        <v>20</v>
      </c>
    </row>
    <row r="11043" spans="1:5" x14ac:dyDescent="0.25">
      <c r="A11043" s="14">
        <v>1016858</v>
      </c>
      <c r="B11043" s="14" t="s">
        <v>11141</v>
      </c>
      <c r="C11043" s="14" t="s">
        <v>13031</v>
      </c>
      <c r="D11043" s="15">
        <v>17.43</v>
      </c>
      <c r="E11043" s="14" t="s">
        <v>20</v>
      </c>
    </row>
    <row r="11044" spans="1:5" x14ac:dyDescent="0.25">
      <c r="A11044" s="14">
        <v>753923003</v>
      </c>
      <c r="B11044" s="14" t="s">
        <v>11142</v>
      </c>
      <c r="C11044" s="14" t="s">
        <v>13029</v>
      </c>
      <c r="D11044" s="15">
        <v>9.07</v>
      </c>
      <c r="E11044" s="16" t="s">
        <v>30</v>
      </c>
    </row>
    <row r="11045" spans="1:5" x14ac:dyDescent="0.25">
      <c r="A11045" s="14">
        <v>753925001</v>
      </c>
      <c r="B11045" s="14" t="s">
        <v>11143</v>
      </c>
      <c r="C11045" s="14" t="s">
        <v>13029</v>
      </c>
      <c r="D11045" s="15">
        <v>32.22</v>
      </c>
      <c r="E11045" s="16" t="s">
        <v>30</v>
      </c>
    </row>
    <row r="11046" spans="1:5" x14ac:dyDescent="0.25">
      <c r="A11046" s="14">
        <v>753927004</v>
      </c>
      <c r="B11046" s="14" t="s">
        <v>11144</v>
      </c>
      <c r="C11046" s="14" t="s">
        <v>13029</v>
      </c>
      <c r="D11046" s="15">
        <v>19.14</v>
      </c>
      <c r="E11046" s="16" t="s">
        <v>30</v>
      </c>
    </row>
    <row r="11047" spans="1:5" x14ac:dyDescent="0.25">
      <c r="A11047" s="14">
        <v>753928004</v>
      </c>
      <c r="B11047" s="14" t="s">
        <v>11145</v>
      </c>
      <c r="C11047" s="14" t="s">
        <v>13029</v>
      </c>
      <c r="D11047" s="15">
        <v>8.25</v>
      </c>
      <c r="E11047" s="16" t="s">
        <v>30</v>
      </c>
    </row>
    <row r="11048" spans="1:5" x14ac:dyDescent="0.25">
      <c r="A11048" s="14">
        <v>756995001</v>
      </c>
      <c r="B11048" s="14" t="s">
        <v>11146</v>
      </c>
      <c r="C11048" s="14" t="s">
        <v>13031</v>
      </c>
      <c r="D11048" s="15">
        <v>10</v>
      </c>
      <c r="E11048" s="16" t="s">
        <v>30</v>
      </c>
    </row>
    <row r="11049" spans="1:5" x14ac:dyDescent="0.25">
      <c r="A11049" s="14">
        <v>759829001</v>
      </c>
      <c r="B11049" s="14" t="s">
        <v>11147</v>
      </c>
      <c r="C11049" s="14" t="s">
        <v>13030</v>
      </c>
      <c r="D11049" s="15">
        <v>3.64</v>
      </c>
      <c r="E11049" s="16" t="s">
        <v>30</v>
      </c>
    </row>
    <row r="11050" spans="1:5" x14ac:dyDescent="0.25">
      <c r="A11050" s="14">
        <v>760029001</v>
      </c>
      <c r="B11050" s="14" t="s">
        <v>11148</v>
      </c>
      <c r="C11050" s="14" t="s">
        <v>13029</v>
      </c>
      <c r="D11050" s="15">
        <v>76.3</v>
      </c>
      <c r="E11050" s="16" t="s">
        <v>30</v>
      </c>
    </row>
    <row r="11051" spans="1:5" x14ac:dyDescent="0.25">
      <c r="A11051" s="14">
        <v>760281002</v>
      </c>
      <c r="B11051" s="14" t="s">
        <v>11149</v>
      </c>
      <c r="C11051" s="14" t="s">
        <v>13030</v>
      </c>
      <c r="D11051" s="15">
        <v>46.02</v>
      </c>
      <c r="E11051" s="16" t="s">
        <v>30</v>
      </c>
    </row>
    <row r="11052" spans="1:5" x14ac:dyDescent="0.25">
      <c r="A11052" s="14">
        <v>760283001</v>
      </c>
      <c r="B11052" s="14" t="s">
        <v>11150</v>
      </c>
      <c r="C11052" s="14" t="s">
        <v>13030</v>
      </c>
      <c r="D11052" s="15">
        <v>18</v>
      </c>
      <c r="E11052" s="16" t="s">
        <v>30</v>
      </c>
    </row>
    <row r="11053" spans="1:5" x14ac:dyDescent="0.25">
      <c r="A11053" s="14">
        <v>760288002</v>
      </c>
      <c r="B11053" s="14" t="s">
        <v>11151</v>
      </c>
      <c r="C11053" s="14" t="s">
        <v>13029</v>
      </c>
      <c r="D11053" s="15">
        <v>3.7</v>
      </c>
      <c r="E11053" s="16" t="s">
        <v>30</v>
      </c>
    </row>
    <row r="11054" spans="1:5" x14ac:dyDescent="0.25">
      <c r="A11054" s="14">
        <v>768384001</v>
      </c>
      <c r="B11054" s="14" t="s">
        <v>11152</v>
      </c>
      <c r="C11054" s="14" t="s">
        <v>13030</v>
      </c>
      <c r="D11054" s="15">
        <v>29.85</v>
      </c>
      <c r="E11054" s="16" t="s">
        <v>30</v>
      </c>
    </row>
    <row r="11055" spans="1:5" x14ac:dyDescent="0.25">
      <c r="A11055" s="14">
        <v>768395001</v>
      </c>
      <c r="B11055" s="14" t="s">
        <v>11153</v>
      </c>
      <c r="C11055" s="14" t="s">
        <v>13030</v>
      </c>
      <c r="D11055" s="15">
        <v>45.38</v>
      </c>
      <c r="E11055" s="16" t="s">
        <v>30</v>
      </c>
    </row>
    <row r="11056" spans="1:5" x14ac:dyDescent="0.25">
      <c r="A11056" s="14">
        <v>1014461</v>
      </c>
      <c r="B11056" s="14" t="s">
        <v>11154</v>
      </c>
      <c r="C11056" s="14" t="s">
        <v>13031</v>
      </c>
      <c r="D11056" s="15">
        <v>0.81</v>
      </c>
      <c r="E11056" s="14" t="s">
        <v>20</v>
      </c>
    </row>
    <row r="11057" spans="1:5" x14ac:dyDescent="0.25">
      <c r="A11057" s="14">
        <v>768639003</v>
      </c>
      <c r="B11057" s="14" t="s">
        <v>11155</v>
      </c>
      <c r="C11057" s="14" t="s">
        <v>13030</v>
      </c>
      <c r="D11057" s="15">
        <v>100.79</v>
      </c>
      <c r="E11057" s="16" t="s">
        <v>30</v>
      </c>
    </row>
    <row r="11058" spans="1:5" x14ac:dyDescent="0.25">
      <c r="A11058" s="14">
        <v>768652002</v>
      </c>
      <c r="B11058" s="14" t="s">
        <v>11156</v>
      </c>
      <c r="C11058" s="14" t="s">
        <v>13030</v>
      </c>
      <c r="D11058" s="15">
        <v>15.05</v>
      </c>
      <c r="E11058" s="16" t="s">
        <v>30</v>
      </c>
    </row>
    <row r="11059" spans="1:5" x14ac:dyDescent="0.25">
      <c r="A11059" s="14">
        <v>768753001</v>
      </c>
      <c r="B11059" s="14" t="s">
        <v>11157</v>
      </c>
      <c r="C11059" s="14" t="s">
        <v>13030</v>
      </c>
      <c r="D11059" s="15">
        <v>45.13</v>
      </c>
      <c r="E11059" s="16" t="s">
        <v>30</v>
      </c>
    </row>
    <row r="11060" spans="1:5" x14ac:dyDescent="0.25">
      <c r="A11060" s="14">
        <v>1014462</v>
      </c>
      <c r="B11060" s="14" t="s">
        <v>11158</v>
      </c>
      <c r="C11060" s="14" t="s">
        <v>13031</v>
      </c>
      <c r="D11060" s="15">
        <v>0.95</v>
      </c>
      <c r="E11060" s="14" t="s">
        <v>20</v>
      </c>
    </row>
    <row r="11061" spans="1:5" x14ac:dyDescent="0.25">
      <c r="A11061" s="14">
        <v>770421</v>
      </c>
      <c r="B11061" s="14" t="s">
        <v>11159</v>
      </c>
      <c r="C11061" s="14" t="s">
        <v>13031</v>
      </c>
      <c r="D11061" s="15">
        <v>10.11</v>
      </c>
      <c r="E11061" s="14" t="s">
        <v>20</v>
      </c>
    </row>
    <row r="11062" spans="1:5" x14ac:dyDescent="0.25">
      <c r="A11062" s="14">
        <v>1019075</v>
      </c>
      <c r="B11062" s="14" t="s">
        <v>11160</v>
      </c>
      <c r="C11062" s="14" t="s">
        <v>13031</v>
      </c>
      <c r="D11062" s="15">
        <v>11.81</v>
      </c>
      <c r="E11062" s="14" t="s">
        <v>20</v>
      </c>
    </row>
    <row r="11063" spans="1:5" x14ac:dyDescent="0.25">
      <c r="A11063" s="14">
        <v>1019074001</v>
      </c>
      <c r="B11063" s="14" t="s">
        <v>11161</v>
      </c>
      <c r="C11063" s="14" t="s">
        <v>13031</v>
      </c>
      <c r="D11063" s="15">
        <v>10.029999999999999</v>
      </c>
      <c r="E11063" s="14" t="s">
        <v>20</v>
      </c>
    </row>
    <row r="11064" spans="1:5" x14ac:dyDescent="0.25">
      <c r="A11064" s="14">
        <v>1019074002</v>
      </c>
      <c r="B11064" s="14" t="s">
        <v>11162</v>
      </c>
      <c r="C11064" s="14" t="s">
        <v>13031</v>
      </c>
      <c r="D11064" s="15">
        <v>10.029999999999999</v>
      </c>
      <c r="E11064" s="14" t="s">
        <v>20</v>
      </c>
    </row>
    <row r="11065" spans="1:5" x14ac:dyDescent="0.25">
      <c r="A11065" s="14">
        <v>1019074003</v>
      </c>
      <c r="B11065" s="14" t="s">
        <v>11163</v>
      </c>
      <c r="C11065" s="14" t="s">
        <v>13031</v>
      </c>
      <c r="D11065" s="15">
        <v>10.029999999999999</v>
      </c>
      <c r="E11065" s="14" t="s">
        <v>20</v>
      </c>
    </row>
    <row r="11066" spans="1:5" x14ac:dyDescent="0.25">
      <c r="A11066" s="14">
        <v>768754001</v>
      </c>
      <c r="B11066" s="14" t="s">
        <v>11164</v>
      </c>
      <c r="C11066" s="14" t="s">
        <v>13030</v>
      </c>
      <c r="D11066" s="15">
        <v>34.68</v>
      </c>
      <c r="E11066" s="16" t="s">
        <v>30</v>
      </c>
    </row>
    <row r="11067" spans="1:5" x14ac:dyDescent="0.25">
      <c r="A11067" s="14">
        <v>769561001</v>
      </c>
      <c r="B11067" s="14" t="s">
        <v>11165</v>
      </c>
      <c r="C11067" s="14" t="s">
        <v>13030</v>
      </c>
      <c r="D11067" s="15">
        <v>61.56</v>
      </c>
      <c r="E11067" s="16" t="s">
        <v>30</v>
      </c>
    </row>
    <row r="11068" spans="1:5" x14ac:dyDescent="0.25">
      <c r="A11068" s="14">
        <v>770299001</v>
      </c>
      <c r="B11068" s="14" t="s">
        <v>11166</v>
      </c>
      <c r="C11068" s="14" t="s">
        <v>13029</v>
      </c>
      <c r="D11068" s="15">
        <v>8.01</v>
      </c>
      <c r="E11068" s="16" t="s">
        <v>30</v>
      </c>
    </row>
    <row r="11069" spans="1:5" x14ac:dyDescent="0.25">
      <c r="A11069" s="14">
        <v>770773001</v>
      </c>
      <c r="B11069" s="14" t="s">
        <v>11167</v>
      </c>
      <c r="C11069" s="14" t="s">
        <v>13030</v>
      </c>
      <c r="D11069" s="15">
        <v>4.7699999999999996</v>
      </c>
      <c r="E11069" s="16" t="s">
        <v>30</v>
      </c>
    </row>
    <row r="11070" spans="1:5" x14ac:dyDescent="0.25">
      <c r="A11070" s="14">
        <v>771590001</v>
      </c>
      <c r="B11070" s="14" t="s">
        <v>11168</v>
      </c>
      <c r="C11070" s="14" t="s">
        <v>13031</v>
      </c>
      <c r="D11070" s="15">
        <v>4.1500000000000004</v>
      </c>
      <c r="E11070" s="16" t="s">
        <v>30</v>
      </c>
    </row>
    <row r="11071" spans="1:5" x14ac:dyDescent="0.25">
      <c r="A11071" s="14">
        <v>772426002</v>
      </c>
      <c r="B11071" s="14" t="s">
        <v>11169</v>
      </c>
      <c r="C11071" s="14" t="s">
        <v>13029</v>
      </c>
      <c r="D11071" s="15">
        <v>7.75</v>
      </c>
      <c r="E11071" s="16" t="s">
        <v>30</v>
      </c>
    </row>
    <row r="11072" spans="1:5" x14ac:dyDescent="0.25">
      <c r="A11072" s="14">
        <v>772426006</v>
      </c>
      <c r="B11072" s="14" t="s">
        <v>11170</v>
      </c>
      <c r="C11072" s="14" t="s">
        <v>13029</v>
      </c>
      <c r="D11072" s="15">
        <v>7.75</v>
      </c>
      <c r="E11072" s="16" t="s">
        <v>30</v>
      </c>
    </row>
    <row r="11073" spans="1:5" x14ac:dyDescent="0.25">
      <c r="A11073" s="14">
        <v>772428001</v>
      </c>
      <c r="B11073" s="14" t="s">
        <v>11171</v>
      </c>
      <c r="C11073" s="14" t="s">
        <v>13029</v>
      </c>
      <c r="D11073" s="15">
        <v>2.79</v>
      </c>
      <c r="E11073" s="16" t="s">
        <v>30</v>
      </c>
    </row>
    <row r="11074" spans="1:5" x14ac:dyDescent="0.25">
      <c r="A11074" s="14">
        <v>772429003</v>
      </c>
      <c r="B11074" s="14" t="s">
        <v>11172</v>
      </c>
      <c r="C11074" s="14" t="s">
        <v>13029</v>
      </c>
      <c r="D11074" s="15">
        <v>7.32</v>
      </c>
      <c r="E11074" s="16" t="s">
        <v>30</v>
      </c>
    </row>
    <row r="11075" spans="1:5" x14ac:dyDescent="0.25">
      <c r="A11075" s="14">
        <v>772457002</v>
      </c>
      <c r="B11075" s="14" t="s">
        <v>11173</v>
      </c>
      <c r="C11075" s="14" t="s">
        <v>13031</v>
      </c>
      <c r="D11075" s="15">
        <v>6</v>
      </c>
      <c r="E11075" s="16" t="s">
        <v>30</v>
      </c>
    </row>
    <row r="11076" spans="1:5" x14ac:dyDescent="0.25">
      <c r="A11076" s="14">
        <v>772459004</v>
      </c>
      <c r="B11076" s="14" t="s">
        <v>11174</v>
      </c>
      <c r="C11076" s="14" t="s">
        <v>13031</v>
      </c>
      <c r="D11076" s="15">
        <v>11.9</v>
      </c>
      <c r="E11076" s="14" t="s">
        <v>30</v>
      </c>
    </row>
    <row r="11077" spans="1:5" x14ac:dyDescent="0.25">
      <c r="A11077" s="14">
        <v>773594002</v>
      </c>
      <c r="B11077" s="14" t="s">
        <v>11175</v>
      </c>
      <c r="C11077" s="14" t="s">
        <v>13030</v>
      </c>
      <c r="D11077" s="15">
        <v>59.02</v>
      </c>
      <c r="E11077" s="16" t="s">
        <v>30</v>
      </c>
    </row>
    <row r="11078" spans="1:5" x14ac:dyDescent="0.25">
      <c r="A11078" s="14">
        <v>774045001</v>
      </c>
      <c r="B11078" s="14" t="s">
        <v>11176</v>
      </c>
      <c r="C11078" s="14" t="s">
        <v>13029</v>
      </c>
      <c r="D11078" s="15">
        <v>2.39</v>
      </c>
      <c r="E11078" s="16" t="s">
        <v>30</v>
      </c>
    </row>
    <row r="11079" spans="1:5" x14ac:dyDescent="0.25">
      <c r="A11079" s="14">
        <v>774046002</v>
      </c>
      <c r="B11079" s="14" t="s">
        <v>11177</v>
      </c>
      <c r="C11079" s="14" t="s">
        <v>13029</v>
      </c>
      <c r="D11079" s="15">
        <v>8.81</v>
      </c>
      <c r="E11079" s="16" t="s">
        <v>30</v>
      </c>
    </row>
    <row r="11080" spans="1:5" x14ac:dyDescent="0.25">
      <c r="A11080" s="14">
        <v>781062003</v>
      </c>
      <c r="B11080" s="14" t="s">
        <v>11178</v>
      </c>
      <c r="C11080" s="14" t="s">
        <v>13029</v>
      </c>
      <c r="D11080" s="15">
        <v>5.35</v>
      </c>
      <c r="E11080" s="16" t="s">
        <v>30</v>
      </c>
    </row>
    <row r="11081" spans="1:5" x14ac:dyDescent="0.25">
      <c r="A11081" s="14">
        <v>781070003</v>
      </c>
      <c r="B11081" s="14" t="s">
        <v>11179</v>
      </c>
      <c r="C11081" s="14" t="s">
        <v>13031</v>
      </c>
      <c r="D11081" s="15">
        <v>4.45</v>
      </c>
      <c r="E11081" s="16" t="s">
        <v>30</v>
      </c>
    </row>
    <row r="11082" spans="1:5" x14ac:dyDescent="0.25">
      <c r="A11082" s="14">
        <v>785572001</v>
      </c>
      <c r="B11082" s="14" t="s">
        <v>11180</v>
      </c>
      <c r="C11082" s="14" t="s">
        <v>13029</v>
      </c>
      <c r="D11082" s="15">
        <v>5.09</v>
      </c>
      <c r="E11082" s="16" t="s">
        <v>30</v>
      </c>
    </row>
    <row r="11083" spans="1:5" x14ac:dyDescent="0.25">
      <c r="A11083" s="14">
        <v>787662001</v>
      </c>
      <c r="B11083" s="14" t="s">
        <v>11181</v>
      </c>
      <c r="C11083" s="14" t="s">
        <v>13030</v>
      </c>
      <c r="D11083" s="15">
        <v>30.51</v>
      </c>
      <c r="E11083" s="16" t="s">
        <v>30</v>
      </c>
    </row>
    <row r="11084" spans="1:5" x14ac:dyDescent="0.25">
      <c r="A11084" s="14">
        <v>791487001</v>
      </c>
      <c r="B11084" s="14" t="s">
        <v>11182</v>
      </c>
      <c r="C11084" s="14" t="s">
        <v>13029</v>
      </c>
      <c r="D11084" s="15">
        <v>26.64</v>
      </c>
      <c r="E11084" s="16" t="s">
        <v>30</v>
      </c>
    </row>
    <row r="11085" spans="1:5" x14ac:dyDescent="0.25">
      <c r="A11085" s="14">
        <v>791648002</v>
      </c>
      <c r="B11085" s="14" t="s">
        <v>11183</v>
      </c>
      <c r="C11085" s="14" t="s">
        <v>13031</v>
      </c>
      <c r="D11085" s="15">
        <v>32</v>
      </c>
      <c r="E11085" s="16" t="s">
        <v>30</v>
      </c>
    </row>
    <row r="11086" spans="1:5" x14ac:dyDescent="0.25">
      <c r="A11086" s="14">
        <v>794310001</v>
      </c>
      <c r="B11086" s="14" t="s">
        <v>11184</v>
      </c>
      <c r="C11086" s="14" t="s">
        <v>13031</v>
      </c>
      <c r="D11086" s="15">
        <v>8.76</v>
      </c>
      <c r="E11086" s="16" t="s">
        <v>30</v>
      </c>
    </row>
    <row r="11087" spans="1:5" x14ac:dyDescent="0.25">
      <c r="A11087" s="14">
        <v>794369001</v>
      </c>
      <c r="B11087" s="14" t="s">
        <v>11185</v>
      </c>
      <c r="C11087" s="14" t="s">
        <v>13031</v>
      </c>
      <c r="D11087" s="15">
        <v>20.21</v>
      </c>
      <c r="E11087" s="16" t="s">
        <v>30</v>
      </c>
    </row>
    <row r="11088" spans="1:5" x14ac:dyDescent="0.25">
      <c r="A11088" s="14">
        <v>814536003</v>
      </c>
      <c r="B11088" s="14" t="s">
        <v>11186</v>
      </c>
      <c r="C11088" s="14" t="s">
        <v>13031</v>
      </c>
      <c r="D11088" s="15">
        <v>17.739999999999998</v>
      </c>
      <c r="E11088" s="16" t="s">
        <v>30</v>
      </c>
    </row>
    <row r="11089" spans="1:5" x14ac:dyDescent="0.25">
      <c r="A11089" s="14">
        <v>814545001</v>
      </c>
      <c r="B11089" s="14" t="s">
        <v>11187</v>
      </c>
      <c r="C11089" s="14" t="s">
        <v>13030</v>
      </c>
      <c r="D11089" s="15">
        <v>39.67</v>
      </c>
      <c r="E11089" s="16" t="s">
        <v>30</v>
      </c>
    </row>
    <row r="11090" spans="1:5" x14ac:dyDescent="0.25">
      <c r="A11090" s="14">
        <v>851852001</v>
      </c>
      <c r="B11090" s="14" t="s">
        <v>11188</v>
      </c>
      <c r="C11090" s="14" t="s">
        <v>13029</v>
      </c>
      <c r="D11090" s="15">
        <v>11.07</v>
      </c>
      <c r="E11090" s="16" t="s">
        <v>30</v>
      </c>
    </row>
    <row r="11091" spans="1:5" x14ac:dyDescent="0.25">
      <c r="A11091" s="14">
        <v>851853002</v>
      </c>
      <c r="B11091" s="14" t="s">
        <v>11189</v>
      </c>
      <c r="C11091" s="14" t="s">
        <v>13029</v>
      </c>
      <c r="D11091" s="15">
        <v>95.89</v>
      </c>
      <c r="E11091" s="16" t="s">
        <v>30</v>
      </c>
    </row>
    <row r="11092" spans="1:5" x14ac:dyDescent="0.25">
      <c r="A11092" s="14">
        <v>865338003</v>
      </c>
      <c r="B11092" s="14" t="s">
        <v>11190</v>
      </c>
      <c r="C11092" s="14" t="s">
        <v>13030</v>
      </c>
      <c r="D11092" s="15">
        <v>28.94</v>
      </c>
      <c r="E11092" s="16" t="s">
        <v>30</v>
      </c>
    </row>
    <row r="11093" spans="1:5" x14ac:dyDescent="0.25">
      <c r="A11093" s="14">
        <v>886928001</v>
      </c>
      <c r="B11093" s="14" t="s">
        <v>11191</v>
      </c>
      <c r="C11093" s="14" t="s">
        <v>13031</v>
      </c>
      <c r="D11093" s="15">
        <v>15.96</v>
      </c>
      <c r="E11093" s="16" t="s">
        <v>30</v>
      </c>
    </row>
    <row r="11094" spans="1:5" x14ac:dyDescent="0.25">
      <c r="A11094" s="14">
        <v>889574002</v>
      </c>
      <c r="B11094" s="14" t="s">
        <v>11192</v>
      </c>
      <c r="C11094" s="14" t="s">
        <v>13030</v>
      </c>
      <c r="D11094" s="15">
        <v>52.76</v>
      </c>
      <c r="E11094" s="16" t="s">
        <v>30</v>
      </c>
    </row>
    <row r="11095" spans="1:5" x14ac:dyDescent="0.25">
      <c r="A11095" s="14">
        <v>889575003</v>
      </c>
      <c r="B11095" s="14" t="s">
        <v>11193</v>
      </c>
      <c r="C11095" s="14" t="s">
        <v>13030</v>
      </c>
      <c r="D11095" s="15">
        <v>41.6</v>
      </c>
      <c r="E11095" s="16" t="s">
        <v>30</v>
      </c>
    </row>
    <row r="11096" spans="1:5" x14ac:dyDescent="0.25">
      <c r="A11096" s="14">
        <v>889642003</v>
      </c>
      <c r="B11096" s="14" t="s">
        <v>11194</v>
      </c>
      <c r="C11096" s="14" t="s">
        <v>13031</v>
      </c>
      <c r="D11096" s="15">
        <v>21.35</v>
      </c>
      <c r="E11096" s="16" t="s">
        <v>30</v>
      </c>
    </row>
    <row r="11097" spans="1:5" x14ac:dyDescent="0.25">
      <c r="A11097" s="14">
        <v>892520004</v>
      </c>
      <c r="B11097" s="14" t="s">
        <v>11195</v>
      </c>
      <c r="C11097" s="14" t="s">
        <v>13029</v>
      </c>
      <c r="D11097" s="15">
        <v>5.87</v>
      </c>
      <c r="E11097" s="16" t="s">
        <v>30</v>
      </c>
    </row>
    <row r="11098" spans="1:5" x14ac:dyDescent="0.25">
      <c r="A11098" s="14">
        <v>897284003</v>
      </c>
      <c r="B11098" s="14" t="s">
        <v>11196</v>
      </c>
      <c r="C11098" s="14" t="s">
        <v>13030</v>
      </c>
      <c r="D11098" s="15">
        <v>6.54</v>
      </c>
      <c r="E11098" s="16" t="s">
        <v>30</v>
      </c>
    </row>
    <row r="11099" spans="1:5" x14ac:dyDescent="0.25">
      <c r="A11099" s="14">
        <v>898517003</v>
      </c>
      <c r="B11099" s="14" t="s">
        <v>11197</v>
      </c>
      <c r="C11099" s="14" t="s">
        <v>13030</v>
      </c>
      <c r="D11099" s="15">
        <v>32.58</v>
      </c>
      <c r="E11099" s="16" t="s">
        <v>30</v>
      </c>
    </row>
    <row r="11100" spans="1:5" x14ac:dyDescent="0.25">
      <c r="A11100" s="14">
        <v>899324004</v>
      </c>
      <c r="B11100" s="14" t="s">
        <v>11198</v>
      </c>
      <c r="C11100" s="14" t="s">
        <v>13031</v>
      </c>
      <c r="D11100" s="15">
        <v>7.61</v>
      </c>
      <c r="E11100" s="16" t="s">
        <v>30</v>
      </c>
    </row>
    <row r="11101" spans="1:5" x14ac:dyDescent="0.25">
      <c r="A11101" s="14">
        <v>899325004</v>
      </c>
      <c r="B11101" s="14" t="s">
        <v>11199</v>
      </c>
      <c r="C11101" s="14" t="s">
        <v>13031</v>
      </c>
      <c r="D11101" s="15">
        <v>6.53</v>
      </c>
      <c r="E11101" s="16" t="s">
        <v>30</v>
      </c>
    </row>
    <row r="11102" spans="1:5" x14ac:dyDescent="0.25">
      <c r="A11102" s="14">
        <v>903538001</v>
      </c>
      <c r="B11102" s="14" t="s">
        <v>11200</v>
      </c>
      <c r="C11102" s="14" t="s">
        <v>13031</v>
      </c>
      <c r="D11102" s="15">
        <v>23.67</v>
      </c>
      <c r="E11102" s="16" t="s">
        <v>30</v>
      </c>
    </row>
    <row r="11103" spans="1:5" x14ac:dyDescent="0.25">
      <c r="A11103" s="14">
        <v>906055002</v>
      </c>
      <c r="B11103" s="14" t="s">
        <v>11201</v>
      </c>
      <c r="C11103" s="14" t="s">
        <v>13029</v>
      </c>
      <c r="D11103" s="15">
        <v>9.31</v>
      </c>
      <c r="E11103" s="16" t="s">
        <v>30</v>
      </c>
    </row>
    <row r="11104" spans="1:5" x14ac:dyDescent="0.25">
      <c r="A11104" s="14">
        <v>909290002</v>
      </c>
      <c r="B11104" s="14" t="s">
        <v>11202</v>
      </c>
      <c r="C11104" s="14" t="s">
        <v>13029</v>
      </c>
      <c r="D11104" s="15">
        <v>16.86</v>
      </c>
      <c r="E11104" s="16" t="s">
        <v>30</v>
      </c>
    </row>
    <row r="11105" spans="1:5" x14ac:dyDescent="0.25">
      <c r="A11105" s="14">
        <v>911827003</v>
      </c>
      <c r="B11105" s="14" t="s">
        <v>11203</v>
      </c>
      <c r="C11105" s="14" t="s">
        <v>13030</v>
      </c>
      <c r="D11105" s="15">
        <v>55.05</v>
      </c>
      <c r="E11105" s="16" t="s">
        <v>30</v>
      </c>
    </row>
    <row r="11106" spans="1:5" x14ac:dyDescent="0.25">
      <c r="A11106" s="14">
        <v>916689002</v>
      </c>
      <c r="B11106" s="14" t="s">
        <v>11204</v>
      </c>
      <c r="C11106" s="14" t="s">
        <v>13030</v>
      </c>
      <c r="D11106" s="15">
        <v>55.53</v>
      </c>
      <c r="E11106" s="16" t="s">
        <v>30</v>
      </c>
    </row>
    <row r="11107" spans="1:5" x14ac:dyDescent="0.25">
      <c r="A11107" s="14">
        <v>921083002</v>
      </c>
      <c r="B11107" s="14" t="s">
        <v>11205</v>
      </c>
      <c r="C11107" s="14" t="s">
        <v>13031</v>
      </c>
      <c r="D11107" s="15">
        <v>10.98</v>
      </c>
      <c r="E11107" s="16" t="s">
        <v>30</v>
      </c>
    </row>
    <row r="11108" spans="1:5" x14ac:dyDescent="0.25">
      <c r="A11108" s="14">
        <v>924251001</v>
      </c>
      <c r="B11108" s="14" t="s">
        <v>11206</v>
      </c>
      <c r="C11108" s="14" t="s">
        <v>13030</v>
      </c>
      <c r="D11108" s="15">
        <v>41.79</v>
      </c>
      <c r="E11108" s="16" t="s">
        <v>30</v>
      </c>
    </row>
    <row r="11109" spans="1:5" x14ac:dyDescent="0.25">
      <c r="A11109" s="14">
        <v>924254001</v>
      </c>
      <c r="B11109" s="14" t="s">
        <v>11207</v>
      </c>
      <c r="C11109" s="14" t="s">
        <v>13031</v>
      </c>
      <c r="D11109" s="15">
        <v>5.0999999999999996</v>
      </c>
      <c r="E11109" s="16" t="s">
        <v>30</v>
      </c>
    </row>
    <row r="11110" spans="1:5" x14ac:dyDescent="0.25">
      <c r="A11110" s="14">
        <v>924259001</v>
      </c>
      <c r="B11110" s="14" t="s">
        <v>11208</v>
      </c>
      <c r="C11110" s="14" t="s">
        <v>13030</v>
      </c>
      <c r="D11110" s="15">
        <v>28.05</v>
      </c>
      <c r="E11110" s="16" t="s">
        <v>30</v>
      </c>
    </row>
    <row r="11111" spans="1:5" x14ac:dyDescent="0.25">
      <c r="A11111" s="14">
        <v>924260002</v>
      </c>
      <c r="B11111" s="14" t="s">
        <v>11209</v>
      </c>
      <c r="C11111" s="14" t="s">
        <v>13030</v>
      </c>
      <c r="D11111" s="15">
        <v>33</v>
      </c>
      <c r="E11111" s="16" t="s">
        <v>30</v>
      </c>
    </row>
    <row r="11112" spans="1:5" x14ac:dyDescent="0.25">
      <c r="A11112" s="14">
        <v>924262001</v>
      </c>
      <c r="B11112" s="14" t="s">
        <v>11210</v>
      </c>
      <c r="C11112" s="14" t="s">
        <v>13030</v>
      </c>
      <c r="D11112" s="15">
        <v>22.25</v>
      </c>
      <c r="E11112" s="16" t="s">
        <v>30</v>
      </c>
    </row>
    <row r="11113" spans="1:5" x14ac:dyDescent="0.25">
      <c r="A11113" s="14">
        <v>929998003</v>
      </c>
      <c r="B11113" s="14" t="s">
        <v>11211</v>
      </c>
      <c r="C11113" s="14" t="s">
        <v>13030</v>
      </c>
      <c r="D11113" s="15">
        <v>39.75</v>
      </c>
      <c r="E11113" s="16" t="s">
        <v>30</v>
      </c>
    </row>
    <row r="11114" spans="1:5" x14ac:dyDescent="0.25">
      <c r="A11114" s="14">
        <v>933091003</v>
      </c>
      <c r="B11114" s="14" t="s">
        <v>11212</v>
      </c>
      <c r="C11114" s="14" t="s">
        <v>13030</v>
      </c>
      <c r="D11114" s="15">
        <v>5.01</v>
      </c>
      <c r="E11114" s="14" t="s">
        <v>30</v>
      </c>
    </row>
    <row r="11115" spans="1:5" x14ac:dyDescent="0.25">
      <c r="A11115" s="14">
        <v>933092001</v>
      </c>
      <c r="B11115" s="14" t="s">
        <v>11213</v>
      </c>
      <c r="C11115" s="14" t="s">
        <v>13030</v>
      </c>
      <c r="D11115" s="15">
        <v>2.84</v>
      </c>
      <c r="E11115" s="16" t="s">
        <v>30</v>
      </c>
    </row>
    <row r="11116" spans="1:5" x14ac:dyDescent="0.25">
      <c r="A11116" s="14">
        <v>933094002</v>
      </c>
      <c r="B11116" s="14" t="s">
        <v>11214</v>
      </c>
      <c r="C11116" s="14" t="s">
        <v>13029</v>
      </c>
      <c r="D11116" s="15">
        <v>14.5</v>
      </c>
      <c r="E11116" s="16" t="s">
        <v>30</v>
      </c>
    </row>
    <row r="11117" spans="1:5" x14ac:dyDescent="0.25">
      <c r="A11117" s="14">
        <v>933094003</v>
      </c>
      <c r="B11117" s="14" t="s">
        <v>11215</v>
      </c>
      <c r="C11117" s="14" t="s">
        <v>13029</v>
      </c>
      <c r="D11117" s="15">
        <v>17.420000000000002</v>
      </c>
      <c r="E11117" s="16" t="s">
        <v>30</v>
      </c>
    </row>
    <row r="11118" spans="1:5" x14ac:dyDescent="0.25">
      <c r="A11118" s="14">
        <v>933890001</v>
      </c>
      <c r="B11118" s="14" t="s">
        <v>11216</v>
      </c>
      <c r="C11118" s="14" t="s">
        <v>13030</v>
      </c>
      <c r="D11118" s="15">
        <v>82.63</v>
      </c>
      <c r="E11118" s="16" t="s">
        <v>30</v>
      </c>
    </row>
    <row r="11119" spans="1:5" x14ac:dyDescent="0.25">
      <c r="A11119" s="14">
        <v>933890002</v>
      </c>
      <c r="B11119" s="14" t="s">
        <v>11217</v>
      </c>
      <c r="C11119" s="14" t="s">
        <v>13030</v>
      </c>
      <c r="D11119" s="15">
        <v>82.63</v>
      </c>
      <c r="E11119" s="16" t="s">
        <v>30</v>
      </c>
    </row>
    <row r="11120" spans="1:5" x14ac:dyDescent="0.25">
      <c r="A11120" s="14">
        <v>936506003</v>
      </c>
      <c r="B11120" s="14" t="s">
        <v>11218</v>
      </c>
      <c r="C11120" s="14" t="s">
        <v>13029</v>
      </c>
      <c r="D11120" s="15">
        <v>10.45</v>
      </c>
      <c r="E11120" s="16" t="s">
        <v>30</v>
      </c>
    </row>
    <row r="11121" spans="1:5" x14ac:dyDescent="0.25">
      <c r="A11121" s="14">
        <v>938696001</v>
      </c>
      <c r="B11121" s="14" t="s">
        <v>11219</v>
      </c>
      <c r="C11121" s="14" t="s">
        <v>13031</v>
      </c>
      <c r="D11121" s="15">
        <v>20.7</v>
      </c>
      <c r="E11121" s="16" t="s">
        <v>30</v>
      </c>
    </row>
    <row r="11122" spans="1:5" x14ac:dyDescent="0.25">
      <c r="A11122" s="14">
        <v>938726002</v>
      </c>
      <c r="B11122" s="14" t="s">
        <v>11220</v>
      </c>
      <c r="C11122" s="14" t="s">
        <v>13030</v>
      </c>
      <c r="D11122" s="15">
        <v>55.45</v>
      </c>
      <c r="E11122" s="16" t="s">
        <v>30</v>
      </c>
    </row>
    <row r="11123" spans="1:5" x14ac:dyDescent="0.25">
      <c r="A11123" s="14">
        <v>938726003</v>
      </c>
      <c r="B11123" s="14" t="s">
        <v>11221</v>
      </c>
      <c r="C11123" s="14" t="s">
        <v>13030</v>
      </c>
      <c r="D11123" s="15">
        <v>55.45</v>
      </c>
      <c r="E11123" s="16" t="s">
        <v>30</v>
      </c>
    </row>
    <row r="11124" spans="1:5" x14ac:dyDescent="0.25">
      <c r="A11124" s="14">
        <v>938726006</v>
      </c>
      <c r="B11124" s="14" t="s">
        <v>11222</v>
      </c>
      <c r="C11124" s="14" t="s">
        <v>13030</v>
      </c>
      <c r="D11124" s="15">
        <v>55.45</v>
      </c>
      <c r="E11124" s="16" t="s">
        <v>30</v>
      </c>
    </row>
    <row r="11125" spans="1:5" x14ac:dyDescent="0.25">
      <c r="A11125" s="14">
        <v>938727001</v>
      </c>
      <c r="B11125" s="14" t="s">
        <v>11223</v>
      </c>
      <c r="C11125" s="14" t="s">
        <v>13030</v>
      </c>
      <c r="D11125" s="15">
        <v>55.45</v>
      </c>
      <c r="E11125" s="16" t="s">
        <v>30</v>
      </c>
    </row>
    <row r="11126" spans="1:5" x14ac:dyDescent="0.25">
      <c r="A11126" s="14">
        <v>938728002</v>
      </c>
      <c r="B11126" s="14" t="s">
        <v>11224</v>
      </c>
      <c r="C11126" s="14" t="s">
        <v>13030</v>
      </c>
      <c r="D11126" s="15">
        <v>82.77</v>
      </c>
      <c r="E11126" s="16" t="s">
        <v>30</v>
      </c>
    </row>
    <row r="11127" spans="1:5" x14ac:dyDescent="0.25">
      <c r="A11127" s="14">
        <v>938729001</v>
      </c>
      <c r="B11127" s="14" t="s">
        <v>11225</v>
      </c>
      <c r="C11127" s="14" t="s">
        <v>13030</v>
      </c>
      <c r="D11127" s="15">
        <v>104.04</v>
      </c>
      <c r="E11127" s="16" t="s">
        <v>30</v>
      </c>
    </row>
    <row r="11128" spans="1:5" x14ac:dyDescent="0.25">
      <c r="A11128" s="14">
        <v>940311001</v>
      </c>
      <c r="B11128" s="14" t="s">
        <v>11226</v>
      </c>
      <c r="C11128" s="14" t="s">
        <v>13031</v>
      </c>
      <c r="D11128" s="15">
        <v>9.9</v>
      </c>
      <c r="E11128" s="16" t="s">
        <v>30</v>
      </c>
    </row>
    <row r="11129" spans="1:5" x14ac:dyDescent="0.25">
      <c r="A11129" s="14">
        <v>940311002</v>
      </c>
      <c r="B11129" s="14" t="s">
        <v>11227</v>
      </c>
      <c r="C11129" s="14" t="s">
        <v>13031</v>
      </c>
      <c r="D11129" s="15">
        <v>9.9</v>
      </c>
      <c r="E11129" s="16" t="s">
        <v>30</v>
      </c>
    </row>
    <row r="11130" spans="1:5" x14ac:dyDescent="0.25">
      <c r="A11130" s="14">
        <v>941101001</v>
      </c>
      <c r="B11130" s="14" t="s">
        <v>11228</v>
      </c>
      <c r="C11130" s="14" t="s">
        <v>13030</v>
      </c>
      <c r="D11130" s="15">
        <v>43.16</v>
      </c>
      <c r="E11130" s="16" t="s">
        <v>30</v>
      </c>
    </row>
    <row r="11131" spans="1:5" x14ac:dyDescent="0.25">
      <c r="A11131" s="14">
        <v>941102001</v>
      </c>
      <c r="B11131" s="14" t="s">
        <v>11229</v>
      </c>
      <c r="C11131" s="14" t="s">
        <v>13030</v>
      </c>
      <c r="D11131" s="15">
        <v>64.13</v>
      </c>
      <c r="E11131" s="14" t="s">
        <v>30</v>
      </c>
    </row>
    <row r="11132" spans="1:5" x14ac:dyDescent="0.25">
      <c r="A11132" s="14">
        <v>941388002</v>
      </c>
      <c r="B11132" s="14" t="s">
        <v>11230</v>
      </c>
      <c r="C11132" s="14" t="s">
        <v>13030</v>
      </c>
      <c r="D11132" s="15">
        <v>46.72</v>
      </c>
      <c r="E11132" s="16" t="s">
        <v>30</v>
      </c>
    </row>
    <row r="11133" spans="1:5" x14ac:dyDescent="0.25">
      <c r="A11133" s="14">
        <v>941388003</v>
      </c>
      <c r="B11133" s="14" t="s">
        <v>11231</v>
      </c>
      <c r="C11133" s="14" t="s">
        <v>13030</v>
      </c>
      <c r="D11133" s="15">
        <v>46.72</v>
      </c>
      <c r="E11133" s="16" t="s">
        <v>30</v>
      </c>
    </row>
    <row r="11134" spans="1:5" x14ac:dyDescent="0.25">
      <c r="A11134" s="14">
        <v>946274002</v>
      </c>
      <c r="B11134" s="14" t="s">
        <v>11232</v>
      </c>
      <c r="C11134" s="14" t="s">
        <v>13031</v>
      </c>
      <c r="D11134" s="15">
        <v>32.25</v>
      </c>
      <c r="E11134" s="16" t="s">
        <v>30</v>
      </c>
    </row>
    <row r="11135" spans="1:5" x14ac:dyDescent="0.25">
      <c r="A11135" s="14">
        <v>946274003</v>
      </c>
      <c r="B11135" s="14" t="s">
        <v>11233</v>
      </c>
      <c r="C11135" s="14" t="s">
        <v>13031</v>
      </c>
      <c r="D11135" s="15">
        <v>32.25</v>
      </c>
      <c r="E11135" s="16" t="s">
        <v>30</v>
      </c>
    </row>
    <row r="11136" spans="1:5" x14ac:dyDescent="0.25">
      <c r="A11136" s="14">
        <v>947953001</v>
      </c>
      <c r="B11136" s="14" t="s">
        <v>11234</v>
      </c>
      <c r="C11136" s="14" t="s">
        <v>13031</v>
      </c>
      <c r="D11136" s="15">
        <v>7.11</v>
      </c>
      <c r="E11136" s="16" t="s">
        <v>30</v>
      </c>
    </row>
    <row r="11137" spans="1:5" x14ac:dyDescent="0.25">
      <c r="A11137" s="14">
        <v>947953002</v>
      </c>
      <c r="B11137" s="14" t="s">
        <v>11235</v>
      </c>
      <c r="C11137" s="14" t="s">
        <v>13031</v>
      </c>
      <c r="D11137" s="15">
        <v>7.11</v>
      </c>
      <c r="E11137" s="16" t="s">
        <v>30</v>
      </c>
    </row>
    <row r="11138" spans="1:5" x14ac:dyDescent="0.25">
      <c r="A11138" s="14">
        <v>949072001</v>
      </c>
      <c r="B11138" s="14" t="s">
        <v>11236</v>
      </c>
      <c r="C11138" s="14" t="s">
        <v>13030</v>
      </c>
      <c r="D11138" s="15">
        <v>32.72</v>
      </c>
      <c r="E11138" s="16" t="s">
        <v>30</v>
      </c>
    </row>
    <row r="11139" spans="1:5" x14ac:dyDescent="0.25">
      <c r="A11139" s="14">
        <v>949072002</v>
      </c>
      <c r="B11139" s="14" t="s">
        <v>11237</v>
      </c>
      <c r="C11139" s="14" t="s">
        <v>13030</v>
      </c>
      <c r="D11139" s="15">
        <v>32.72</v>
      </c>
      <c r="E11139" s="16" t="s">
        <v>30</v>
      </c>
    </row>
    <row r="11140" spans="1:5" x14ac:dyDescent="0.25">
      <c r="A11140" s="14">
        <v>949165001</v>
      </c>
      <c r="B11140" s="14" t="s">
        <v>11238</v>
      </c>
      <c r="C11140" s="14" t="s">
        <v>13031</v>
      </c>
      <c r="D11140" s="15">
        <v>7.06</v>
      </c>
      <c r="E11140" s="16" t="s">
        <v>30</v>
      </c>
    </row>
    <row r="11141" spans="1:5" x14ac:dyDescent="0.25">
      <c r="A11141" s="14">
        <v>949165002</v>
      </c>
      <c r="B11141" s="14" t="s">
        <v>11239</v>
      </c>
      <c r="C11141" s="14" t="s">
        <v>13031</v>
      </c>
      <c r="D11141" s="15">
        <v>7.06</v>
      </c>
      <c r="E11141" s="16" t="s">
        <v>30</v>
      </c>
    </row>
    <row r="11142" spans="1:5" x14ac:dyDescent="0.25">
      <c r="A11142" s="14">
        <v>949185002</v>
      </c>
      <c r="B11142" s="14" t="s">
        <v>11240</v>
      </c>
      <c r="C11142" s="14" t="s">
        <v>13030</v>
      </c>
      <c r="D11142" s="15">
        <v>5</v>
      </c>
      <c r="E11142" s="16" t="s">
        <v>30</v>
      </c>
    </row>
    <row r="11143" spans="1:5" x14ac:dyDescent="0.25">
      <c r="A11143" s="14">
        <v>949185003</v>
      </c>
      <c r="B11143" s="14" t="s">
        <v>11241</v>
      </c>
      <c r="C11143" s="14" t="s">
        <v>13030</v>
      </c>
      <c r="D11143" s="15">
        <v>5</v>
      </c>
      <c r="E11143" s="16" t="s">
        <v>30</v>
      </c>
    </row>
    <row r="11144" spans="1:5" x14ac:dyDescent="0.25">
      <c r="A11144" s="14">
        <v>1016136</v>
      </c>
      <c r="B11144" s="14" t="s">
        <v>11242</v>
      </c>
      <c r="C11144" s="14" t="s">
        <v>13031</v>
      </c>
      <c r="D11144" s="15">
        <v>10.029999999999999</v>
      </c>
      <c r="E11144" s="14" t="s">
        <v>20</v>
      </c>
    </row>
    <row r="11145" spans="1:5" x14ac:dyDescent="0.25">
      <c r="A11145" s="14">
        <v>1021541</v>
      </c>
      <c r="B11145" s="14" t="s">
        <v>11243</v>
      </c>
      <c r="C11145" s="14" t="s">
        <v>13031</v>
      </c>
      <c r="D11145" s="15">
        <v>17.14</v>
      </c>
      <c r="E11145" s="14" t="s">
        <v>20</v>
      </c>
    </row>
    <row r="11146" spans="1:5" x14ac:dyDescent="0.25">
      <c r="A11146" s="14">
        <v>949185006</v>
      </c>
      <c r="B11146" s="14" t="s">
        <v>11244</v>
      </c>
      <c r="C11146" s="14" t="s">
        <v>13030</v>
      </c>
      <c r="D11146" s="15">
        <v>3.5</v>
      </c>
      <c r="E11146" s="16" t="s">
        <v>30</v>
      </c>
    </row>
    <row r="11147" spans="1:5" x14ac:dyDescent="0.25">
      <c r="A11147" s="14">
        <v>952935001</v>
      </c>
      <c r="B11147" s="14" t="s">
        <v>11245</v>
      </c>
      <c r="C11147" s="14" t="s">
        <v>13031</v>
      </c>
      <c r="D11147" s="15">
        <v>23.67</v>
      </c>
      <c r="E11147" s="16" t="s">
        <v>30</v>
      </c>
    </row>
    <row r="11148" spans="1:5" x14ac:dyDescent="0.25">
      <c r="A11148" s="14">
        <v>952935004</v>
      </c>
      <c r="B11148" s="14" t="s">
        <v>11246</v>
      </c>
      <c r="C11148" s="14" t="s">
        <v>13031</v>
      </c>
      <c r="D11148" s="15">
        <v>23.67</v>
      </c>
      <c r="E11148" s="16" t="s">
        <v>30</v>
      </c>
    </row>
    <row r="11149" spans="1:5" x14ac:dyDescent="0.25">
      <c r="A11149" s="14">
        <v>953921001</v>
      </c>
      <c r="B11149" s="14" t="s">
        <v>11247</v>
      </c>
      <c r="C11149" s="14" t="s">
        <v>13030</v>
      </c>
      <c r="D11149" s="15">
        <v>7.02</v>
      </c>
      <c r="E11149" s="16" t="s">
        <v>30</v>
      </c>
    </row>
    <row r="11150" spans="1:5" x14ac:dyDescent="0.25">
      <c r="A11150" s="14">
        <v>953922002</v>
      </c>
      <c r="B11150" s="14" t="s">
        <v>11248</v>
      </c>
      <c r="C11150" s="14" t="s">
        <v>13030</v>
      </c>
      <c r="D11150" s="15">
        <v>4.09</v>
      </c>
      <c r="E11150" s="16" t="s">
        <v>30</v>
      </c>
    </row>
    <row r="11151" spans="1:5" x14ac:dyDescent="0.25">
      <c r="A11151" s="14">
        <v>953922003</v>
      </c>
      <c r="B11151" s="14" t="s">
        <v>11249</v>
      </c>
      <c r="C11151" s="14" t="s">
        <v>13030</v>
      </c>
      <c r="D11151" s="15">
        <v>4.09</v>
      </c>
      <c r="E11151" s="16" t="s">
        <v>30</v>
      </c>
    </row>
    <row r="11152" spans="1:5" x14ac:dyDescent="0.25">
      <c r="A11152" s="14">
        <v>954235003</v>
      </c>
      <c r="B11152" s="14" t="s">
        <v>11250</v>
      </c>
      <c r="C11152" s="14" t="s">
        <v>13030</v>
      </c>
      <c r="D11152" s="15">
        <v>55</v>
      </c>
      <c r="E11152" s="16" t="s">
        <v>30</v>
      </c>
    </row>
    <row r="11153" spans="1:5" x14ac:dyDescent="0.25">
      <c r="A11153" s="14">
        <v>954238001</v>
      </c>
      <c r="B11153" s="14" t="s">
        <v>11251</v>
      </c>
      <c r="C11153" s="14" t="s">
        <v>13031</v>
      </c>
      <c r="D11153" s="15">
        <v>8.84</v>
      </c>
      <c r="E11153" s="16" t="s">
        <v>30</v>
      </c>
    </row>
    <row r="11154" spans="1:5" x14ac:dyDescent="0.25">
      <c r="A11154" s="14">
        <v>957690001</v>
      </c>
      <c r="B11154" s="14" t="s">
        <v>11252</v>
      </c>
      <c r="C11154" s="14" t="s">
        <v>13030</v>
      </c>
      <c r="D11154" s="15">
        <v>29.83</v>
      </c>
      <c r="E11154" s="16" t="s">
        <v>30</v>
      </c>
    </row>
    <row r="11155" spans="1:5" x14ac:dyDescent="0.25">
      <c r="A11155" s="14">
        <v>1021542</v>
      </c>
      <c r="B11155" s="14" t="s">
        <v>11253</v>
      </c>
      <c r="C11155" s="14" t="s">
        <v>13031</v>
      </c>
      <c r="D11155" s="15">
        <v>17.14</v>
      </c>
      <c r="E11155" s="14" t="s">
        <v>20</v>
      </c>
    </row>
    <row r="11156" spans="1:5" x14ac:dyDescent="0.25">
      <c r="A11156" s="14">
        <v>1021543</v>
      </c>
      <c r="B11156" s="14" t="s">
        <v>11254</v>
      </c>
      <c r="C11156" s="14" t="s">
        <v>13031</v>
      </c>
      <c r="D11156" s="15">
        <v>8.84</v>
      </c>
      <c r="E11156" s="14" t="s">
        <v>20</v>
      </c>
    </row>
    <row r="11157" spans="1:5" x14ac:dyDescent="0.25">
      <c r="A11157" s="14">
        <v>957690002</v>
      </c>
      <c r="B11157" s="14" t="s">
        <v>11255</v>
      </c>
      <c r="C11157" s="14" t="s">
        <v>13030</v>
      </c>
      <c r="D11157" s="15">
        <v>29.83</v>
      </c>
      <c r="E11157" s="16" t="s">
        <v>30</v>
      </c>
    </row>
    <row r="11158" spans="1:5" x14ac:dyDescent="0.25">
      <c r="A11158" s="14">
        <v>957753002</v>
      </c>
      <c r="B11158" s="14" t="s">
        <v>11256</v>
      </c>
      <c r="C11158" s="14" t="s">
        <v>13030</v>
      </c>
      <c r="D11158" s="15">
        <v>5.36</v>
      </c>
      <c r="E11158" s="16" t="s">
        <v>30</v>
      </c>
    </row>
    <row r="11159" spans="1:5" x14ac:dyDescent="0.25">
      <c r="A11159" s="14">
        <v>957810001</v>
      </c>
      <c r="B11159" s="14" t="s">
        <v>11257</v>
      </c>
      <c r="C11159" s="14" t="s">
        <v>13030</v>
      </c>
      <c r="D11159" s="15">
        <v>21.54</v>
      </c>
      <c r="E11159" s="16" t="s">
        <v>30</v>
      </c>
    </row>
    <row r="11160" spans="1:5" x14ac:dyDescent="0.25">
      <c r="A11160" s="14">
        <v>957812001</v>
      </c>
      <c r="B11160" s="14" t="s">
        <v>11258</v>
      </c>
      <c r="C11160" s="14" t="s">
        <v>13030</v>
      </c>
      <c r="D11160" s="15">
        <v>27.73</v>
      </c>
      <c r="E11160" s="16" t="s">
        <v>30</v>
      </c>
    </row>
    <row r="11161" spans="1:5" x14ac:dyDescent="0.25">
      <c r="A11161" s="14">
        <v>957812002</v>
      </c>
      <c r="B11161" s="14" t="s">
        <v>11259</v>
      </c>
      <c r="C11161" s="14" t="s">
        <v>13030</v>
      </c>
      <c r="D11161" s="15">
        <v>27.73</v>
      </c>
      <c r="E11161" s="16" t="s">
        <v>30</v>
      </c>
    </row>
    <row r="11162" spans="1:5" x14ac:dyDescent="0.25">
      <c r="A11162" s="14">
        <v>958295001</v>
      </c>
      <c r="B11162" s="14" t="s">
        <v>11260</v>
      </c>
      <c r="C11162" s="14" t="s">
        <v>13030</v>
      </c>
      <c r="D11162" s="15">
        <v>20.71</v>
      </c>
      <c r="E11162" s="16" t="s">
        <v>30</v>
      </c>
    </row>
    <row r="11163" spans="1:5" x14ac:dyDescent="0.25">
      <c r="A11163" s="14">
        <v>958295002</v>
      </c>
      <c r="B11163" s="14" t="s">
        <v>11261</v>
      </c>
      <c r="C11163" s="14" t="s">
        <v>13030</v>
      </c>
      <c r="D11163" s="15">
        <v>20.71</v>
      </c>
      <c r="E11163" s="16" t="s">
        <v>30</v>
      </c>
    </row>
    <row r="11164" spans="1:5" x14ac:dyDescent="0.25">
      <c r="A11164" s="14">
        <v>959693001</v>
      </c>
      <c r="B11164" s="14" t="s">
        <v>11262</v>
      </c>
      <c r="C11164" s="14" t="s">
        <v>13030</v>
      </c>
      <c r="D11164" s="15">
        <v>3.25</v>
      </c>
      <c r="E11164" s="16" t="s">
        <v>30</v>
      </c>
    </row>
    <row r="11165" spans="1:5" x14ac:dyDescent="0.25">
      <c r="A11165" s="14">
        <v>960187001</v>
      </c>
      <c r="B11165" s="14" t="s">
        <v>11263</v>
      </c>
      <c r="C11165" s="14" t="s">
        <v>13030</v>
      </c>
      <c r="D11165" s="15">
        <v>59.06</v>
      </c>
      <c r="E11165" s="16" t="s">
        <v>30</v>
      </c>
    </row>
    <row r="11166" spans="1:5" x14ac:dyDescent="0.25">
      <c r="A11166" s="14">
        <v>960203002</v>
      </c>
      <c r="B11166" s="14" t="s">
        <v>11264</v>
      </c>
      <c r="C11166" s="14" t="s">
        <v>13031</v>
      </c>
      <c r="D11166" s="15">
        <v>14.78</v>
      </c>
      <c r="E11166" s="16" t="s">
        <v>30</v>
      </c>
    </row>
    <row r="11167" spans="1:5" x14ac:dyDescent="0.25">
      <c r="A11167" s="14">
        <v>960459001</v>
      </c>
      <c r="B11167" s="14" t="s">
        <v>11265</v>
      </c>
      <c r="C11167" s="14" t="s">
        <v>13030</v>
      </c>
      <c r="D11167" s="15">
        <v>48.97</v>
      </c>
      <c r="E11167" s="16" t="s">
        <v>30</v>
      </c>
    </row>
    <row r="11168" spans="1:5" x14ac:dyDescent="0.25">
      <c r="A11168" s="14">
        <v>960460002</v>
      </c>
      <c r="B11168" s="14" t="s">
        <v>11266</v>
      </c>
      <c r="C11168" s="14" t="s">
        <v>13030</v>
      </c>
      <c r="D11168" s="15">
        <v>77.06</v>
      </c>
      <c r="E11168" s="16" t="s">
        <v>30</v>
      </c>
    </row>
    <row r="11169" spans="1:5" x14ac:dyDescent="0.25">
      <c r="A11169" s="14">
        <v>960513001</v>
      </c>
      <c r="B11169" s="14" t="s">
        <v>11267</v>
      </c>
      <c r="C11169" s="14" t="s">
        <v>13030</v>
      </c>
      <c r="D11169" s="15">
        <v>10.63</v>
      </c>
      <c r="E11169" s="16" t="s">
        <v>30</v>
      </c>
    </row>
    <row r="11170" spans="1:5" x14ac:dyDescent="0.25">
      <c r="A11170" s="14">
        <v>962144001</v>
      </c>
      <c r="B11170" s="14" t="s">
        <v>11268</v>
      </c>
      <c r="C11170" s="14" t="s">
        <v>13031</v>
      </c>
      <c r="D11170" s="15">
        <v>17.29</v>
      </c>
      <c r="E11170" s="16" t="s">
        <v>30</v>
      </c>
    </row>
    <row r="11171" spans="1:5" x14ac:dyDescent="0.25">
      <c r="A11171" s="14">
        <v>964906001</v>
      </c>
      <c r="B11171" s="14" t="s">
        <v>11269</v>
      </c>
      <c r="C11171" s="14" t="s">
        <v>13030</v>
      </c>
      <c r="D11171" s="15">
        <v>25.02</v>
      </c>
      <c r="E11171" s="14" t="s">
        <v>30</v>
      </c>
    </row>
    <row r="11172" spans="1:5" x14ac:dyDescent="0.25">
      <c r="A11172" s="14">
        <v>964907002</v>
      </c>
      <c r="B11172" s="14" t="s">
        <v>11270</v>
      </c>
      <c r="C11172" s="14" t="s">
        <v>13030</v>
      </c>
      <c r="D11172" s="15">
        <v>31.12</v>
      </c>
      <c r="E11172" s="14" t="s">
        <v>30</v>
      </c>
    </row>
    <row r="11173" spans="1:5" x14ac:dyDescent="0.25">
      <c r="A11173" s="14">
        <v>966141001</v>
      </c>
      <c r="B11173" s="14" t="s">
        <v>11271</v>
      </c>
      <c r="C11173" s="14" t="s">
        <v>13031</v>
      </c>
      <c r="D11173" s="15">
        <v>13.86</v>
      </c>
      <c r="E11173" s="16" t="s">
        <v>30</v>
      </c>
    </row>
    <row r="11174" spans="1:5" x14ac:dyDescent="0.25">
      <c r="A11174" s="14">
        <v>968506002</v>
      </c>
      <c r="B11174" s="14" t="s">
        <v>11272</v>
      </c>
      <c r="C11174" s="14" t="s">
        <v>13030</v>
      </c>
      <c r="D11174" s="15">
        <v>19.32</v>
      </c>
      <c r="E11174" s="16" t="s">
        <v>30</v>
      </c>
    </row>
    <row r="11175" spans="1:5" x14ac:dyDescent="0.25">
      <c r="A11175" s="14">
        <v>968506003</v>
      </c>
      <c r="B11175" s="14" t="s">
        <v>11273</v>
      </c>
      <c r="C11175" s="14" t="s">
        <v>13030</v>
      </c>
      <c r="D11175" s="15">
        <v>19.32</v>
      </c>
      <c r="E11175" s="16" t="s">
        <v>30</v>
      </c>
    </row>
    <row r="11176" spans="1:5" x14ac:dyDescent="0.25">
      <c r="A11176" s="14">
        <v>973353001</v>
      </c>
      <c r="B11176" s="14" t="s">
        <v>11274</v>
      </c>
      <c r="C11176" s="14" t="s">
        <v>13031</v>
      </c>
      <c r="D11176" s="15">
        <v>8.9499999999999993</v>
      </c>
      <c r="E11176" s="16" t="s">
        <v>30</v>
      </c>
    </row>
    <row r="11177" spans="1:5" x14ac:dyDescent="0.25">
      <c r="A11177" s="14">
        <v>973353002</v>
      </c>
      <c r="B11177" s="14" t="s">
        <v>11275</v>
      </c>
      <c r="C11177" s="14" t="s">
        <v>13031</v>
      </c>
      <c r="D11177" s="15">
        <v>8.9499999999999993</v>
      </c>
      <c r="E11177" s="16" t="s">
        <v>30</v>
      </c>
    </row>
    <row r="11178" spans="1:5" x14ac:dyDescent="0.25">
      <c r="A11178" s="14">
        <v>975107003</v>
      </c>
      <c r="B11178" s="14" t="s">
        <v>11276</v>
      </c>
      <c r="C11178" s="14" t="s">
        <v>13031</v>
      </c>
      <c r="D11178" s="15">
        <v>8.83</v>
      </c>
      <c r="E11178" s="14" t="s">
        <v>30</v>
      </c>
    </row>
    <row r="11179" spans="1:5" x14ac:dyDescent="0.25">
      <c r="A11179" s="14">
        <v>975272001</v>
      </c>
      <c r="B11179" s="14" t="s">
        <v>11277</v>
      </c>
      <c r="C11179" s="14" t="s">
        <v>13031</v>
      </c>
      <c r="D11179" s="15">
        <v>6</v>
      </c>
      <c r="E11179" s="16" t="s">
        <v>30</v>
      </c>
    </row>
    <row r="11180" spans="1:5" x14ac:dyDescent="0.25">
      <c r="A11180" s="14">
        <v>977451002</v>
      </c>
      <c r="B11180" s="14" t="s">
        <v>11278</v>
      </c>
      <c r="C11180" s="14" t="s">
        <v>13030</v>
      </c>
      <c r="D11180" s="15">
        <v>9.5500000000000007</v>
      </c>
      <c r="E11180" s="16" t="s">
        <v>30</v>
      </c>
    </row>
    <row r="11181" spans="1:5" x14ac:dyDescent="0.25">
      <c r="A11181" s="14">
        <v>979419001</v>
      </c>
      <c r="B11181" s="14" t="s">
        <v>11279</v>
      </c>
      <c r="C11181" s="14" t="s">
        <v>13030</v>
      </c>
      <c r="D11181" s="15">
        <v>5.87</v>
      </c>
      <c r="E11181" s="16" t="s">
        <v>30</v>
      </c>
    </row>
    <row r="11182" spans="1:5" x14ac:dyDescent="0.25">
      <c r="A11182" s="14">
        <v>981136002</v>
      </c>
      <c r="B11182" s="14" t="s">
        <v>11280</v>
      </c>
      <c r="C11182" s="14" t="s">
        <v>13030</v>
      </c>
      <c r="D11182" s="15">
        <v>16.55</v>
      </c>
      <c r="E11182" s="16" t="s">
        <v>30</v>
      </c>
    </row>
    <row r="11183" spans="1:5" x14ac:dyDescent="0.25">
      <c r="A11183" s="14">
        <v>981136003</v>
      </c>
      <c r="B11183" s="14" t="s">
        <v>11281</v>
      </c>
      <c r="C11183" s="14" t="s">
        <v>13030</v>
      </c>
      <c r="D11183" s="15">
        <v>16.55</v>
      </c>
      <c r="E11183" s="16" t="s">
        <v>30</v>
      </c>
    </row>
    <row r="11184" spans="1:5" x14ac:dyDescent="0.25">
      <c r="A11184" s="14">
        <v>983196003</v>
      </c>
      <c r="B11184" s="14" t="s">
        <v>11282</v>
      </c>
      <c r="C11184" s="14" t="s">
        <v>13031</v>
      </c>
      <c r="D11184" s="15">
        <v>11.81</v>
      </c>
      <c r="E11184" s="16" t="s">
        <v>30</v>
      </c>
    </row>
    <row r="11185" spans="1:5" x14ac:dyDescent="0.25">
      <c r="A11185" s="14">
        <v>983628001</v>
      </c>
      <c r="B11185" s="14" t="s">
        <v>11283</v>
      </c>
      <c r="C11185" s="14" t="s">
        <v>13030</v>
      </c>
      <c r="D11185" s="15">
        <v>15.59</v>
      </c>
      <c r="E11185" s="16" t="s">
        <v>30</v>
      </c>
    </row>
    <row r="11186" spans="1:5" x14ac:dyDescent="0.25">
      <c r="A11186" s="14">
        <v>983628004</v>
      </c>
      <c r="B11186" s="14" t="s">
        <v>11284</v>
      </c>
      <c r="C11186" s="14" t="s">
        <v>13030</v>
      </c>
      <c r="D11186" s="15">
        <v>15.59</v>
      </c>
      <c r="E11186" s="16" t="s">
        <v>30</v>
      </c>
    </row>
    <row r="11187" spans="1:5" x14ac:dyDescent="0.25">
      <c r="A11187" s="14">
        <v>983628005</v>
      </c>
      <c r="B11187" s="14" t="s">
        <v>11285</v>
      </c>
      <c r="C11187" s="14" t="s">
        <v>13030</v>
      </c>
      <c r="D11187" s="15">
        <v>15.59</v>
      </c>
      <c r="E11187" s="14" t="s">
        <v>30</v>
      </c>
    </row>
    <row r="11188" spans="1:5" x14ac:dyDescent="0.25">
      <c r="A11188" s="14">
        <v>985424001</v>
      </c>
      <c r="B11188" s="14" t="s">
        <v>11286</v>
      </c>
      <c r="C11188" s="14" t="s">
        <v>13031</v>
      </c>
      <c r="D11188" s="15">
        <v>197.04</v>
      </c>
      <c r="E11188" s="16" t="s">
        <v>30</v>
      </c>
    </row>
    <row r="11189" spans="1:5" x14ac:dyDescent="0.25">
      <c r="A11189" s="14">
        <v>985424002</v>
      </c>
      <c r="B11189" s="14" t="s">
        <v>11287</v>
      </c>
      <c r="C11189" s="14" t="s">
        <v>13031</v>
      </c>
      <c r="D11189" s="15">
        <v>8.2100000000000009</v>
      </c>
      <c r="E11189" s="16" t="s">
        <v>30</v>
      </c>
    </row>
    <row r="11190" spans="1:5" x14ac:dyDescent="0.25">
      <c r="A11190" s="14">
        <v>985494003</v>
      </c>
      <c r="B11190" s="14" t="s">
        <v>11288</v>
      </c>
      <c r="C11190" s="14" t="s">
        <v>13029</v>
      </c>
      <c r="D11190" s="15">
        <v>39.64</v>
      </c>
      <c r="E11190" s="16" t="s">
        <v>30</v>
      </c>
    </row>
    <row r="11191" spans="1:5" x14ac:dyDescent="0.25">
      <c r="A11191" s="14">
        <v>985494004</v>
      </c>
      <c r="B11191" s="14" t="s">
        <v>11289</v>
      </c>
      <c r="C11191" s="14" t="s">
        <v>13029</v>
      </c>
      <c r="D11191" s="15">
        <v>39.64</v>
      </c>
      <c r="E11191" s="16" t="s">
        <v>30</v>
      </c>
    </row>
    <row r="11192" spans="1:5" x14ac:dyDescent="0.25">
      <c r="A11192" s="14">
        <v>985495003</v>
      </c>
      <c r="B11192" s="14" t="s">
        <v>11290</v>
      </c>
      <c r="C11192" s="14" t="s">
        <v>13029</v>
      </c>
      <c r="D11192" s="15">
        <v>44.46</v>
      </c>
      <c r="E11192" s="16" t="s">
        <v>30</v>
      </c>
    </row>
    <row r="11193" spans="1:5" x14ac:dyDescent="0.25">
      <c r="A11193" s="14">
        <v>985495004</v>
      </c>
      <c r="B11193" s="14" t="s">
        <v>11291</v>
      </c>
      <c r="C11193" s="14" t="s">
        <v>13029</v>
      </c>
      <c r="D11193" s="15">
        <v>44.46</v>
      </c>
      <c r="E11193" s="14" t="s">
        <v>30</v>
      </c>
    </row>
    <row r="11194" spans="1:5" x14ac:dyDescent="0.25">
      <c r="A11194" s="14">
        <v>985495007</v>
      </c>
      <c r="B11194" s="14" t="s">
        <v>11292</v>
      </c>
      <c r="C11194" s="14" t="s">
        <v>13029</v>
      </c>
      <c r="D11194" s="15">
        <v>44.46</v>
      </c>
      <c r="E11194" s="16" t="s">
        <v>30</v>
      </c>
    </row>
    <row r="11195" spans="1:5" x14ac:dyDescent="0.25">
      <c r="A11195" s="14">
        <v>985495008</v>
      </c>
      <c r="B11195" s="14" t="s">
        <v>11293</v>
      </c>
      <c r="C11195" s="14" t="s">
        <v>13029</v>
      </c>
      <c r="D11195" s="15">
        <v>44.46</v>
      </c>
      <c r="E11195" s="14" t="s">
        <v>30</v>
      </c>
    </row>
    <row r="11196" spans="1:5" x14ac:dyDescent="0.25">
      <c r="A11196" s="14">
        <v>986726001</v>
      </c>
      <c r="B11196" s="14" t="s">
        <v>11294</v>
      </c>
      <c r="C11196" s="14" t="s">
        <v>13030</v>
      </c>
      <c r="D11196" s="15">
        <v>4.07</v>
      </c>
      <c r="E11196" s="16" t="s">
        <v>30</v>
      </c>
    </row>
    <row r="11197" spans="1:5" x14ac:dyDescent="0.25">
      <c r="A11197" s="14">
        <v>986726002</v>
      </c>
      <c r="B11197" s="14" t="s">
        <v>11295</v>
      </c>
      <c r="C11197" s="14" t="s">
        <v>13030</v>
      </c>
      <c r="D11197" s="15">
        <v>4.07</v>
      </c>
      <c r="E11197" s="16" t="s">
        <v>30</v>
      </c>
    </row>
    <row r="11198" spans="1:5" x14ac:dyDescent="0.25">
      <c r="A11198" s="14">
        <v>987087001</v>
      </c>
      <c r="B11198" s="14" t="s">
        <v>11296</v>
      </c>
      <c r="C11198" s="14" t="s">
        <v>13029</v>
      </c>
      <c r="D11198" s="15">
        <v>28.72</v>
      </c>
      <c r="E11198" s="14" t="s">
        <v>30</v>
      </c>
    </row>
    <row r="11199" spans="1:5" x14ac:dyDescent="0.25">
      <c r="A11199" s="14">
        <v>987087002</v>
      </c>
      <c r="B11199" s="14" t="s">
        <v>11297</v>
      </c>
      <c r="C11199" s="14" t="s">
        <v>13029</v>
      </c>
      <c r="D11199" s="15">
        <v>28.72</v>
      </c>
      <c r="E11199" s="16" t="s">
        <v>30</v>
      </c>
    </row>
    <row r="11200" spans="1:5" x14ac:dyDescent="0.25">
      <c r="A11200" s="14">
        <v>987087005</v>
      </c>
      <c r="B11200" s="14" t="s">
        <v>11298</v>
      </c>
      <c r="C11200" s="14" t="s">
        <v>13029</v>
      </c>
      <c r="D11200" s="15">
        <v>28.72</v>
      </c>
      <c r="E11200" s="14" t="s">
        <v>30</v>
      </c>
    </row>
    <row r="11201" spans="1:5" x14ac:dyDescent="0.25">
      <c r="A11201" s="14">
        <v>987087006</v>
      </c>
      <c r="B11201" s="14" t="s">
        <v>11299</v>
      </c>
      <c r="C11201" s="14" t="s">
        <v>13029</v>
      </c>
      <c r="D11201" s="15">
        <v>28.72</v>
      </c>
      <c r="E11201" s="16" t="s">
        <v>30</v>
      </c>
    </row>
    <row r="11202" spans="1:5" x14ac:dyDescent="0.25">
      <c r="A11202" s="14">
        <v>989722001</v>
      </c>
      <c r="B11202" s="14" t="s">
        <v>11300</v>
      </c>
      <c r="C11202" s="14" t="s">
        <v>13030</v>
      </c>
      <c r="D11202" s="15">
        <v>37.549999999999997</v>
      </c>
      <c r="E11202" s="16" t="s">
        <v>30</v>
      </c>
    </row>
    <row r="11203" spans="1:5" x14ac:dyDescent="0.25">
      <c r="A11203" s="14">
        <v>989722002</v>
      </c>
      <c r="B11203" s="14" t="s">
        <v>11301</v>
      </c>
      <c r="C11203" s="14" t="s">
        <v>13030</v>
      </c>
      <c r="D11203" s="15">
        <v>38.64</v>
      </c>
      <c r="E11203" s="16" t="s">
        <v>30</v>
      </c>
    </row>
    <row r="11204" spans="1:5" x14ac:dyDescent="0.25">
      <c r="A11204" s="14">
        <v>989723002</v>
      </c>
      <c r="B11204" s="14" t="s">
        <v>11302</v>
      </c>
      <c r="C11204" s="14" t="s">
        <v>13030</v>
      </c>
      <c r="D11204" s="15">
        <v>69.31</v>
      </c>
      <c r="E11204" s="16" t="s">
        <v>30</v>
      </c>
    </row>
    <row r="11205" spans="1:5" x14ac:dyDescent="0.25">
      <c r="A11205" s="14">
        <v>989729001</v>
      </c>
      <c r="B11205" s="14" t="s">
        <v>11303</v>
      </c>
      <c r="C11205" s="14" t="s">
        <v>13030</v>
      </c>
      <c r="D11205" s="15">
        <v>37.07</v>
      </c>
      <c r="E11205" s="16" t="s">
        <v>30</v>
      </c>
    </row>
    <row r="11206" spans="1:5" x14ac:dyDescent="0.25">
      <c r="A11206" s="14">
        <v>989730002</v>
      </c>
      <c r="B11206" s="14" t="s">
        <v>11304</v>
      </c>
      <c r="C11206" s="14" t="s">
        <v>13030</v>
      </c>
      <c r="D11206" s="15">
        <v>49.27</v>
      </c>
      <c r="E11206" s="16" t="s">
        <v>30</v>
      </c>
    </row>
    <row r="11207" spans="1:5" x14ac:dyDescent="0.25">
      <c r="A11207" s="14">
        <v>990577001</v>
      </c>
      <c r="B11207" s="14" t="s">
        <v>11305</v>
      </c>
      <c r="C11207" s="14" t="s">
        <v>13031</v>
      </c>
      <c r="D11207" s="15">
        <v>11.8</v>
      </c>
      <c r="E11207" s="16" t="s">
        <v>30</v>
      </c>
    </row>
    <row r="11208" spans="1:5" x14ac:dyDescent="0.25">
      <c r="A11208" s="14">
        <v>990577004</v>
      </c>
      <c r="B11208" s="14" t="s">
        <v>11306</v>
      </c>
      <c r="C11208" s="14" t="s">
        <v>13031</v>
      </c>
      <c r="D11208" s="15">
        <v>11.8</v>
      </c>
      <c r="E11208" s="16" t="s">
        <v>30</v>
      </c>
    </row>
    <row r="11209" spans="1:5" x14ac:dyDescent="0.25">
      <c r="A11209" s="14">
        <v>990577005</v>
      </c>
      <c r="B11209" s="14" t="s">
        <v>11307</v>
      </c>
      <c r="C11209" s="14" t="s">
        <v>13031</v>
      </c>
      <c r="D11209" s="15">
        <v>11.8</v>
      </c>
      <c r="E11209" s="16" t="s">
        <v>30</v>
      </c>
    </row>
    <row r="11210" spans="1:5" x14ac:dyDescent="0.25">
      <c r="A11210" s="14">
        <v>991151001</v>
      </c>
      <c r="B11210" s="14" t="s">
        <v>11308</v>
      </c>
      <c r="C11210" s="14" t="s">
        <v>13030</v>
      </c>
      <c r="D11210" s="15">
        <v>24.47</v>
      </c>
      <c r="E11210" s="16" t="s">
        <v>30</v>
      </c>
    </row>
    <row r="11211" spans="1:5" x14ac:dyDescent="0.25">
      <c r="A11211" s="14">
        <v>1021544</v>
      </c>
      <c r="B11211" s="14" t="s">
        <v>11309</v>
      </c>
      <c r="C11211" s="14" t="s">
        <v>13031</v>
      </c>
      <c r="D11211" s="15">
        <v>10.029999999999999</v>
      </c>
      <c r="E11211" s="14" t="s">
        <v>20</v>
      </c>
    </row>
    <row r="11212" spans="1:5" x14ac:dyDescent="0.25">
      <c r="A11212" s="14">
        <v>1021545</v>
      </c>
      <c r="B11212" s="14" t="s">
        <v>11310</v>
      </c>
      <c r="C11212" s="14" t="s">
        <v>13031</v>
      </c>
      <c r="D11212" s="15">
        <v>4.6900000000000004</v>
      </c>
      <c r="E11212" s="14" t="s">
        <v>20</v>
      </c>
    </row>
    <row r="11213" spans="1:5" x14ac:dyDescent="0.25">
      <c r="A11213" s="14">
        <v>1021546</v>
      </c>
      <c r="B11213" s="14" t="s">
        <v>11311</v>
      </c>
      <c r="C11213" s="14" t="s">
        <v>13031</v>
      </c>
      <c r="D11213" s="15">
        <v>7.07</v>
      </c>
      <c r="E11213" s="14" t="s">
        <v>20</v>
      </c>
    </row>
    <row r="11214" spans="1:5" x14ac:dyDescent="0.25">
      <c r="A11214" s="14">
        <v>1022331</v>
      </c>
      <c r="B11214" s="14" t="s">
        <v>11312</v>
      </c>
      <c r="C11214" s="14" t="s">
        <v>13030</v>
      </c>
      <c r="D11214" s="15">
        <v>46.98</v>
      </c>
      <c r="E11214" s="14" t="s">
        <v>20</v>
      </c>
    </row>
    <row r="11215" spans="1:5" x14ac:dyDescent="0.25">
      <c r="A11215" s="14">
        <v>1022332</v>
      </c>
      <c r="B11215" s="14" t="s">
        <v>11313</v>
      </c>
      <c r="C11215" s="14" t="s">
        <v>13030</v>
      </c>
      <c r="D11215" s="15">
        <v>54.94</v>
      </c>
      <c r="E11215" s="14" t="s">
        <v>20</v>
      </c>
    </row>
    <row r="11216" spans="1:5" x14ac:dyDescent="0.25">
      <c r="A11216" s="14">
        <v>991151002</v>
      </c>
      <c r="B11216" s="14" t="s">
        <v>11314</v>
      </c>
      <c r="C11216" s="14" t="s">
        <v>13030</v>
      </c>
      <c r="D11216" s="15">
        <v>24.47</v>
      </c>
      <c r="E11216" s="16" t="s">
        <v>30</v>
      </c>
    </row>
    <row r="11217" spans="1:5" x14ac:dyDescent="0.25">
      <c r="A11217" s="14">
        <v>991434002</v>
      </c>
      <c r="B11217" s="14" t="s">
        <v>11315</v>
      </c>
      <c r="C11217" s="14" t="s">
        <v>13031</v>
      </c>
      <c r="D11217" s="15">
        <v>17.899999999999999</v>
      </c>
      <c r="E11217" s="16" t="s">
        <v>30</v>
      </c>
    </row>
    <row r="11218" spans="1:5" x14ac:dyDescent="0.25">
      <c r="A11218" s="14">
        <v>991434003</v>
      </c>
      <c r="B11218" s="14" t="s">
        <v>11316</v>
      </c>
      <c r="C11218" s="14" t="s">
        <v>13031</v>
      </c>
      <c r="D11218" s="15">
        <v>17.899999999999999</v>
      </c>
      <c r="E11218" s="16" t="s">
        <v>30</v>
      </c>
    </row>
    <row r="11219" spans="1:5" x14ac:dyDescent="0.25">
      <c r="A11219" s="14">
        <v>992552006</v>
      </c>
      <c r="B11219" s="14" t="s">
        <v>11317</v>
      </c>
      <c r="C11219" s="14" t="s">
        <v>13029</v>
      </c>
      <c r="D11219" s="15">
        <v>30.13</v>
      </c>
      <c r="E11219" s="16" t="s">
        <v>30</v>
      </c>
    </row>
    <row r="11220" spans="1:5" x14ac:dyDescent="0.25">
      <c r="A11220" s="14">
        <v>992552007</v>
      </c>
      <c r="B11220" s="14" t="s">
        <v>11318</v>
      </c>
      <c r="C11220" s="14" t="s">
        <v>13029</v>
      </c>
      <c r="D11220" s="15">
        <v>30.13</v>
      </c>
      <c r="E11220" s="16" t="s">
        <v>30</v>
      </c>
    </row>
    <row r="11221" spans="1:5" x14ac:dyDescent="0.25">
      <c r="A11221" s="14">
        <v>995295001</v>
      </c>
      <c r="B11221" s="14" t="s">
        <v>11319</v>
      </c>
      <c r="C11221" s="14" t="s">
        <v>13031</v>
      </c>
      <c r="D11221" s="15">
        <v>11.21</v>
      </c>
      <c r="E11221" s="16" t="s">
        <v>30</v>
      </c>
    </row>
    <row r="11222" spans="1:5" x14ac:dyDescent="0.25">
      <c r="A11222" s="14">
        <v>995295002</v>
      </c>
      <c r="B11222" s="14" t="s">
        <v>11320</v>
      </c>
      <c r="C11222" s="14" t="s">
        <v>13031</v>
      </c>
      <c r="D11222" s="15">
        <v>11.21</v>
      </c>
      <c r="E11222" s="16" t="s">
        <v>30</v>
      </c>
    </row>
    <row r="11223" spans="1:5" x14ac:dyDescent="0.25">
      <c r="A11223" s="14">
        <v>996083002</v>
      </c>
      <c r="B11223" s="14" t="s">
        <v>11321</v>
      </c>
      <c r="C11223" s="14" t="s">
        <v>13031</v>
      </c>
      <c r="D11223" s="15">
        <v>12.05</v>
      </c>
      <c r="E11223" s="16" t="s">
        <v>30</v>
      </c>
    </row>
    <row r="11224" spans="1:5" x14ac:dyDescent="0.25">
      <c r="A11224" s="14">
        <v>996083003</v>
      </c>
      <c r="B11224" s="14" t="s">
        <v>11322</v>
      </c>
      <c r="C11224" s="14" t="s">
        <v>13031</v>
      </c>
      <c r="D11224" s="15">
        <v>12.05</v>
      </c>
      <c r="E11224" s="16" t="s">
        <v>30</v>
      </c>
    </row>
    <row r="11225" spans="1:5" x14ac:dyDescent="0.25">
      <c r="A11225" s="14">
        <v>996622003</v>
      </c>
      <c r="B11225" s="14" t="s">
        <v>11323</v>
      </c>
      <c r="C11225" s="14" t="s">
        <v>13031</v>
      </c>
      <c r="D11225" s="15">
        <v>4.45</v>
      </c>
      <c r="E11225" s="16" t="s">
        <v>30</v>
      </c>
    </row>
    <row r="11226" spans="1:5" x14ac:dyDescent="0.25">
      <c r="A11226" s="14">
        <v>998074001</v>
      </c>
      <c r="B11226" s="14" t="s">
        <v>11324</v>
      </c>
      <c r="C11226" s="14" t="s">
        <v>13029</v>
      </c>
      <c r="D11226" s="15">
        <v>31.96</v>
      </c>
      <c r="E11226" s="14" t="s">
        <v>30</v>
      </c>
    </row>
    <row r="11227" spans="1:5" x14ac:dyDescent="0.25">
      <c r="A11227" s="14">
        <v>1022887</v>
      </c>
      <c r="B11227" s="14" t="s">
        <v>11325</v>
      </c>
      <c r="C11227" s="14" t="s">
        <v>13030</v>
      </c>
      <c r="D11227" s="15">
        <v>38.14</v>
      </c>
      <c r="E11227" s="14" t="s">
        <v>20</v>
      </c>
    </row>
    <row r="11228" spans="1:5" x14ac:dyDescent="0.25">
      <c r="A11228" s="14">
        <v>998074004</v>
      </c>
      <c r="B11228" s="14" t="s">
        <v>11326</v>
      </c>
      <c r="C11228" s="14" t="s">
        <v>13029</v>
      </c>
      <c r="D11228" s="15">
        <v>31.96</v>
      </c>
      <c r="E11228" s="14" t="s">
        <v>30</v>
      </c>
    </row>
    <row r="11229" spans="1:5" x14ac:dyDescent="0.25">
      <c r="A11229" s="14">
        <v>998074005</v>
      </c>
      <c r="B11229" s="14" t="s">
        <v>11327</v>
      </c>
      <c r="C11229" s="14" t="s">
        <v>13029</v>
      </c>
      <c r="D11229" s="15">
        <v>31.96</v>
      </c>
      <c r="E11229" s="14" t="s">
        <v>30</v>
      </c>
    </row>
    <row r="11230" spans="1:5" x14ac:dyDescent="0.25">
      <c r="A11230" s="14">
        <v>998080002</v>
      </c>
      <c r="B11230" s="14" t="s">
        <v>11328</v>
      </c>
      <c r="C11230" s="14" t="s">
        <v>13029</v>
      </c>
      <c r="D11230" s="15">
        <v>33.74</v>
      </c>
      <c r="E11230" s="16" t="s">
        <v>30</v>
      </c>
    </row>
    <row r="11231" spans="1:5" x14ac:dyDescent="0.25">
      <c r="A11231" s="14">
        <v>998413001</v>
      </c>
      <c r="B11231" s="14" t="s">
        <v>11329</v>
      </c>
      <c r="C11231" s="14" t="s">
        <v>13031</v>
      </c>
      <c r="D11231" s="15">
        <v>8.4700000000000006</v>
      </c>
      <c r="E11231" s="16" t="s">
        <v>30</v>
      </c>
    </row>
    <row r="11232" spans="1:5" x14ac:dyDescent="0.25">
      <c r="A11232" s="14">
        <v>1008641001</v>
      </c>
      <c r="B11232" s="14" t="s">
        <v>11330</v>
      </c>
      <c r="C11232" s="14" t="s">
        <v>13030</v>
      </c>
      <c r="D11232" s="15">
        <v>13.38</v>
      </c>
      <c r="E11232" s="16" t="s">
        <v>30</v>
      </c>
    </row>
    <row r="11233" spans="1:5" x14ac:dyDescent="0.25">
      <c r="A11233" s="14">
        <v>1008641002</v>
      </c>
      <c r="B11233" s="14" t="s">
        <v>11331</v>
      </c>
      <c r="C11233" s="14" t="s">
        <v>13030</v>
      </c>
      <c r="D11233" s="15">
        <v>13.38</v>
      </c>
      <c r="E11233" s="16" t="s">
        <v>30</v>
      </c>
    </row>
    <row r="11234" spans="1:5" x14ac:dyDescent="0.25">
      <c r="A11234" s="14">
        <v>1009714001</v>
      </c>
      <c r="B11234" s="14" t="s">
        <v>11332</v>
      </c>
      <c r="C11234" s="14" t="s">
        <v>13031</v>
      </c>
      <c r="D11234" s="15">
        <v>1.85</v>
      </c>
      <c r="E11234" s="16" t="s">
        <v>30</v>
      </c>
    </row>
    <row r="11235" spans="1:5" x14ac:dyDescent="0.25">
      <c r="A11235" s="14">
        <v>1009714002</v>
      </c>
      <c r="B11235" s="14" t="s">
        <v>11333</v>
      </c>
      <c r="C11235" s="14" t="s">
        <v>13031</v>
      </c>
      <c r="D11235" s="15">
        <v>1.85</v>
      </c>
      <c r="E11235" s="16" t="s">
        <v>30</v>
      </c>
    </row>
    <row r="11236" spans="1:5" x14ac:dyDescent="0.25">
      <c r="A11236" s="14">
        <v>1012340001</v>
      </c>
      <c r="B11236" s="14" t="s">
        <v>11334</v>
      </c>
      <c r="C11236" s="14" t="s">
        <v>13031</v>
      </c>
      <c r="D11236" s="15">
        <v>10.1</v>
      </c>
      <c r="E11236" s="16" t="s">
        <v>30</v>
      </c>
    </row>
    <row r="11237" spans="1:5" x14ac:dyDescent="0.25">
      <c r="A11237" s="14">
        <v>1012340002</v>
      </c>
      <c r="B11237" s="14" t="s">
        <v>11335</v>
      </c>
      <c r="C11237" s="14" t="s">
        <v>13031</v>
      </c>
      <c r="D11237" s="15">
        <v>10.1</v>
      </c>
      <c r="E11237" s="16" t="s">
        <v>30</v>
      </c>
    </row>
    <row r="11238" spans="1:5" x14ac:dyDescent="0.25">
      <c r="A11238" s="14">
        <v>1013104001</v>
      </c>
      <c r="B11238" s="14" t="s">
        <v>11336</v>
      </c>
      <c r="C11238" s="14" t="s">
        <v>13030</v>
      </c>
      <c r="D11238" s="15">
        <v>4.26</v>
      </c>
      <c r="E11238" s="16" t="s">
        <v>30</v>
      </c>
    </row>
    <row r="11239" spans="1:5" x14ac:dyDescent="0.25">
      <c r="A11239" s="14">
        <v>1014654002</v>
      </c>
      <c r="B11239" s="14" t="s">
        <v>11337</v>
      </c>
      <c r="C11239" s="14" t="s">
        <v>13030</v>
      </c>
      <c r="D11239" s="15">
        <v>30.46</v>
      </c>
      <c r="E11239" s="16" t="s">
        <v>30</v>
      </c>
    </row>
    <row r="11240" spans="1:5" x14ac:dyDescent="0.25">
      <c r="A11240" s="14" t="s">
        <v>11338</v>
      </c>
      <c r="B11240" s="14" t="s">
        <v>11339</v>
      </c>
      <c r="C11240" s="14" t="s">
        <v>13036</v>
      </c>
      <c r="D11240" s="15">
        <v>22</v>
      </c>
      <c r="E11240" s="16" t="s">
        <v>30</v>
      </c>
    </row>
    <row r="11241" spans="1:5" x14ac:dyDescent="0.25">
      <c r="A11241" s="14">
        <v>1013898</v>
      </c>
      <c r="B11241" s="14" t="s">
        <v>11340</v>
      </c>
      <c r="C11241" s="14" t="s">
        <v>13029</v>
      </c>
      <c r="D11241" s="15">
        <v>17.559999999999999</v>
      </c>
      <c r="E11241" s="16" t="s">
        <v>30</v>
      </c>
    </row>
    <row r="11242" spans="1:5" x14ac:dyDescent="0.25">
      <c r="A11242" s="14">
        <v>1016060</v>
      </c>
      <c r="B11242" s="14" t="s">
        <v>11341</v>
      </c>
      <c r="C11242" s="14" t="s">
        <v>13030</v>
      </c>
      <c r="D11242" s="15">
        <v>24.25</v>
      </c>
      <c r="E11242" s="16" t="s">
        <v>30</v>
      </c>
    </row>
    <row r="11243" spans="1:5" x14ac:dyDescent="0.25">
      <c r="A11243" s="14">
        <v>1016061</v>
      </c>
      <c r="B11243" s="14" t="s">
        <v>11342</v>
      </c>
      <c r="C11243" s="14" t="s">
        <v>13030</v>
      </c>
      <c r="D11243" s="15">
        <v>24.25</v>
      </c>
      <c r="E11243" s="16" t="s">
        <v>30</v>
      </c>
    </row>
    <row r="11244" spans="1:5" x14ac:dyDescent="0.25">
      <c r="A11244" s="14">
        <v>1016329</v>
      </c>
      <c r="B11244" s="14" t="s">
        <v>11343</v>
      </c>
      <c r="C11244" s="14" t="s">
        <v>13029</v>
      </c>
      <c r="D11244" s="15">
        <v>4.24</v>
      </c>
      <c r="E11244" s="16" t="s">
        <v>30</v>
      </c>
    </row>
    <row r="11245" spans="1:5" x14ac:dyDescent="0.25">
      <c r="A11245" s="14">
        <v>1016353</v>
      </c>
      <c r="B11245" s="14" t="s">
        <v>11344</v>
      </c>
      <c r="C11245" s="14" t="s">
        <v>13030</v>
      </c>
      <c r="D11245" s="15">
        <v>38.43</v>
      </c>
      <c r="E11245" s="16" t="s">
        <v>30</v>
      </c>
    </row>
    <row r="11246" spans="1:5" x14ac:dyDescent="0.25">
      <c r="A11246" s="14">
        <v>1016066</v>
      </c>
      <c r="B11246" s="14" t="s">
        <v>11345</v>
      </c>
      <c r="C11246" s="14" t="s">
        <v>13030</v>
      </c>
      <c r="D11246" s="15">
        <v>59.02</v>
      </c>
      <c r="E11246" s="16" t="s">
        <v>30</v>
      </c>
    </row>
    <row r="11247" spans="1:5" x14ac:dyDescent="0.25">
      <c r="A11247" s="14">
        <v>1016127</v>
      </c>
      <c r="B11247" s="14" t="s">
        <v>11346</v>
      </c>
      <c r="C11247" s="14" t="s">
        <v>13031</v>
      </c>
      <c r="D11247" s="15">
        <v>13.03</v>
      </c>
      <c r="E11247" s="16" t="s">
        <v>30</v>
      </c>
    </row>
    <row r="11248" spans="1:5" x14ac:dyDescent="0.25">
      <c r="A11248" s="14">
        <v>1016130</v>
      </c>
      <c r="B11248" s="14" t="s">
        <v>11347</v>
      </c>
      <c r="C11248" s="14" t="s">
        <v>13031</v>
      </c>
      <c r="D11248" s="15">
        <v>8.2100000000000009</v>
      </c>
      <c r="E11248" s="16" t="s">
        <v>30</v>
      </c>
    </row>
    <row r="11249" spans="1:5" x14ac:dyDescent="0.25">
      <c r="A11249" s="14">
        <v>1016131</v>
      </c>
      <c r="B11249" s="14" t="s">
        <v>11348</v>
      </c>
      <c r="C11249" s="14" t="s">
        <v>13031</v>
      </c>
      <c r="D11249" s="15">
        <v>17.57</v>
      </c>
      <c r="E11249" s="16" t="s">
        <v>30</v>
      </c>
    </row>
    <row r="11250" spans="1:5" x14ac:dyDescent="0.25">
      <c r="A11250" s="14">
        <v>1016166</v>
      </c>
      <c r="B11250" s="14" t="s">
        <v>11349</v>
      </c>
      <c r="C11250" s="14" t="s">
        <v>13029</v>
      </c>
      <c r="D11250" s="15">
        <v>23.44</v>
      </c>
      <c r="E11250" s="16" t="s">
        <v>30</v>
      </c>
    </row>
    <row r="11251" spans="1:5" x14ac:dyDescent="0.25">
      <c r="A11251" s="14">
        <v>1016678</v>
      </c>
      <c r="B11251" s="14" t="s">
        <v>11350</v>
      </c>
      <c r="C11251" s="14" t="s">
        <v>13031</v>
      </c>
      <c r="D11251" s="15">
        <v>4.74</v>
      </c>
      <c r="E11251" s="16" t="s">
        <v>30</v>
      </c>
    </row>
    <row r="11252" spans="1:5" x14ac:dyDescent="0.25">
      <c r="A11252" s="14">
        <v>1016335</v>
      </c>
      <c r="B11252" s="14" t="s">
        <v>11351</v>
      </c>
      <c r="C11252" s="14" t="s">
        <v>13030</v>
      </c>
      <c r="D11252" s="15">
        <v>48.76</v>
      </c>
      <c r="E11252" s="16" t="s">
        <v>30</v>
      </c>
    </row>
    <row r="11253" spans="1:5" x14ac:dyDescent="0.25">
      <c r="A11253" s="14">
        <v>1016336</v>
      </c>
      <c r="B11253" s="14" t="s">
        <v>11352</v>
      </c>
      <c r="C11253" s="14" t="s">
        <v>13030</v>
      </c>
      <c r="D11253" s="15">
        <v>82.4</v>
      </c>
      <c r="E11253" s="16" t="s">
        <v>30</v>
      </c>
    </row>
    <row r="11254" spans="1:5" x14ac:dyDescent="0.25">
      <c r="A11254" s="14">
        <v>1016339</v>
      </c>
      <c r="B11254" s="14" t="s">
        <v>11353</v>
      </c>
      <c r="C11254" s="14" t="s">
        <v>13030</v>
      </c>
      <c r="D11254" s="15">
        <v>62.42</v>
      </c>
      <c r="E11254" s="16" t="s">
        <v>30</v>
      </c>
    </row>
    <row r="11255" spans="1:5" x14ac:dyDescent="0.25">
      <c r="A11255" s="14">
        <v>1016340</v>
      </c>
      <c r="B11255" s="14" t="s">
        <v>11354</v>
      </c>
      <c r="C11255" s="14" t="s">
        <v>13030</v>
      </c>
      <c r="D11255" s="15">
        <v>62.42</v>
      </c>
      <c r="E11255" s="16" t="s">
        <v>30</v>
      </c>
    </row>
    <row r="11256" spans="1:5" x14ac:dyDescent="0.25">
      <c r="A11256" s="14">
        <v>1016163</v>
      </c>
      <c r="B11256" s="14" t="s">
        <v>11355</v>
      </c>
      <c r="C11256" s="14" t="s">
        <v>13029</v>
      </c>
      <c r="D11256" s="15">
        <v>14.9</v>
      </c>
      <c r="E11256" s="16" t="s">
        <v>30</v>
      </c>
    </row>
    <row r="11257" spans="1:5" x14ac:dyDescent="0.25">
      <c r="A11257" s="14">
        <v>1016680</v>
      </c>
      <c r="B11257" s="14" t="s">
        <v>11356</v>
      </c>
      <c r="C11257" s="14" t="s">
        <v>13029</v>
      </c>
      <c r="D11257" s="15">
        <v>18.84</v>
      </c>
      <c r="E11257" s="16" t="s">
        <v>30</v>
      </c>
    </row>
    <row r="11258" spans="1:5" x14ac:dyDescent="0.25">
      <c r="A11258" s="14">
        <v>1016833</v>
      </c>
      <c r="B11258" s="14" t="s">
        <v>11357</v>
      </c>
      <c r="C11258" s="14" t="s">
        <v>13031</v>
      </c>
      <c r="D11258" s="15">
        <v>13.6</v>
      </c>
      <c r="E11258" s="14" t="s">
        <v>30</v>
      </c>
    </row>
    <row r="11259" spans="1:5" x14ac:dyDescent="0.25">
      <c r="A11259" s="14">
        <v>1013155</v>
      </c>
      <c r="B11259" s="14" t="s">
        <v>11358</v>
      </c>
      <c r="C11259" s="14" t="s">
        <v>13031</v>
      </c>
      <c r="D11259" s="15">
        <v>4.5999999999999996</v>
      </c>
      <c r="E11259" s="14" t="s">
        <v>30</v>
      </c>
    </row>
    <row r="11260" spans="1:5" x14ac:dyDescent="0.25">
      <c r="A11260" s="14">
        <v>1014515</v>
      </c>
      <c r="B11260" s="14" t="s">
        <v>11359</v>
      </c>
      <c r="C11260" s="14" t="s">
        <v>13030</v>
      </c>
      <c r="D11260" s="15">
        <v>44.88</v>
      </c>
      <c r="E11260" s="14" t="s">
        <v>30</v>
      </c>
    </row>
    <row r="11261" spans="1:5" x14ac:dyDescent="0.25">
      <c r="A11261" s="14">
        <v>1014516</v>
      </c>
      <c r="B11261" s="14" t="s">
        <v>11360</v>
      </c>
      <c r="C11261" s="14" t="s">
        <v>13030</v>
      </c>
      <c r="D11261" s="15">
        <v>44.88</v>
      </c>
      <c r="E11261" s="14" t="s">
        <v>30</v>
      </c>
    </row>
    <row r="11262" spans="1:5" x14ac:dyDescent="0.25">
      <c r="A11262" s="14">
        <v>1011395</v>
      </c>
      <c r="B11262" s="14" t="s">
        <v>11361</v>
      </c>
      <c r="C11262" s="14" t="s">
        <v>13029</v>
      </c>
      <c r="D11262" s="15">
        <v>4.5</v>
      </c>
      <c r="E11262" s="14" t="s">
        <v>30</v>
      </c>
    </row>
    <row r="11263" spans="1:5" x14ac:dyDescent="0.25">
      <c r="A11263" s="14">
        <v>1011396</v>
      </c>
      <c r="B11263" s="14" t="s">
        <v>11362</v>
      </c>
      <c r="C11263" s="14" t="s">
        <v>13029</v>
      </c>
      <c r="D11263" s="15">
        <v>4.5</v>
      </c>
      <c r="E11263" s="14" t="s">
        <v>30</v>
      </c>
    </row>
    <row r="11264" spans="1:5" x14ac:dyDescent="0.25">
      <c r="A11264" s="14">
        <v>1015940</v>
      </c>
      <c r="B11264" s="14" t="s">
        <v>11363</v>
      </c>
      <c r="C11264" s="14" t="s">
        <v>13029</v>
      </c>
      <c r="D11264" s="15">
        <v>5.0999999999999996</v>
      </c>
      <c r="E11264" s="14" t="s">
        <v>30</v>
      </c>
    </row>
    <row r="11265" spans="1:5" x14ac:dyDescent="0.25">
      <c r="A11265" s="14">
        <v>1015941</v>
      </c>
      <c r="B11265" s="14" t="s">
        <v>11364</v>
      </c>
      <c r="C11265" s="14" t="s">
        <v>13029</v>
      </c>
      <c r="D11265" s="15">
        <v>2.9</v>
      </c>
      <c r="E11265" s="14" t="s">
        <v>30</v>
      </c>
    </row>
    <row r="11266" spans="1:5" x14ac:dyDescent="0.25">
      <c r="A11266" s="14">
        <v>1015944</v>
      </c>
      <c r="B11266" s="14" t="s">
        <v>11365</v>
      </c>
      <c r="C11266" s="14" t="s">
        <v>13029</v>
      </c>
      <c r="D11266" s="15">
        <v>2.9</v>
      </c>
      <c r="E11266" s="14" t="s">
        <v>30</v>
      </c>
    </row>
    <row r="11267" spans="1:5" x14ac:dyDescent="0.25">
      <c r="A11267" s="14">
        <v>1015945</v>
      </c>
      <c r="B11267" s="14" t="s">
        <v>11366</v>
      </c>
      <c r="C11267" s="14" t="s">
        <v>13029</v>
      </c>
      <c r="D11267" s="15">
        <v>2.9</v>
      </c>
      <c r="E11267" s="14" t="s">
        <v>30</v>
      </c>
    </row>
    <row r="11268" spans="1:5" x14ac:dyDescent="0.25">
      <c r="A11268" s="14">
        <v>1016144</v>
      </c>
      <c r="B11268" s="14" t="s">
        <v>11367</v>
      </c>
      <c r="C11268" s="14" t="s">
        <v>13029</v>
      </c>
      <c r="D11268" s="15">
        <v>20.34</v>
      </c>
      <c r="E11268" s="14" t="s">
        <v>30</v>
      </c>
    </row>
    <row r="11269" spans="1:5" x14ac:dyDescent="0.25">
      <c r="A11269" s="14">
        <v>1016145</v>
      </c>
      <c r="B11269" s="14" t="s">
        <v>11368</v>
      </c>
      <c r="C11269" s="14" t="s">
        <v>13029</v>
      </c>
      <c r="D11269" s="15">
        <v>20.34</v>
      </c>
      <c r="E11269" s="14" t="s">
        <v>30</v>
      </c>
    </row>
    <row r="11270" spans="1:5" x14ac:dyDescent="0.25">
      <c r="A11270" s="14">
        <v>1015000</v>
      </c>
      <c r="B11270" s="14" t="s">
        <v>11369</v>
      </c>
      <c r="C11270" s="14" t="s">
        <v>13029</v>
      </c>
      <c r="D11270" s="15">
        <v>40.24</v>
      </c>
      <c r="E11270" s="14" t="s">
        <v>30</v>
      </c>
    </row>
    <row r="11271" spans="1:5" x14ac:dyDescent="0.25">
      <c r="A11271" s="14">
        <v>1015001</v>
      </c>
      <c r="B11271" s="14" t="s">
        <v>11370</v>
      </c>
      <c r="C11271" s="14" t="s">
        <v>13029</v>
      </c>
      <c r="D11271" s="15">
        <v>40.24</v>
      </c>
      <c r="E11271" s="14" t="s">
        <v>30</v>
      </c>
    </row>
    <row r="11272" spans="1:5" x14ac:dyDescent="0.25">
      <c r="A11272" s="14">
        <v>1015004</v>
      </c>
      <c r="B11272" s="14" t="s">
        <v>11371</v>
      </c>
      <c r="C11272" s="14" t="s">
        <v>13029</v>
      </c>
      <c r="D11272" s="15">
        <v>40.24</v>
      </c>
      <c r="E11272" s="14" t="s">
        <v>30</v>
      </c>
    </row>
    <row r="11273" spans="1:5" x14ac:dyDescent="0.25">
      <c r="A11273" s="14">
        <v>1015684</v>
      </c>
      <c r="B11273" s="14" t="s">
        <v>11372</v>
      </c>
      <c r="C11273" s="14" t="s">
        <v>13030</v>
      </c>
      <c r="D11273" s="15">
        <v>56.31</v>
      </c>
      <c r="E11273" s="14" t="s">
        <v>30</v>
      </c>
    </row>
    <row r="11274" spans="1:5" x14ac:dyDescent="0.25">
      <c r="A11274" s="14">
        <v>1017375</v>
      </c>
      <c r="B11274" s="14" t="s">
        <v>11373</v>
      </c>
      <c r="C11274" s="14" t="s">
        <v>13029</v>
      </c>
      <c r="D11274" s="15">
        <v>14.28</v>
      </c>
      <c r="E11274" s="14" t="s">
        <v>30</v>
      </c>
    </row>
    <row r="11275" spans="1:5" x14ac:dyDescent="0.25">
      <c r="A11275" s="14">
        <v>1017376</v>
      </c>
      <c r="B11275" s="14" t="s">
        <v>11374</v>
      </c>
      <c r="C11275" s="14" t="s">
        <v>13029</v>
      </c>
      <c r="D11275" s="15">
        <v>15.87</v>
      </c>
      <c r="E11275" s="14" t="s">
        <v>30</v>
      </c>
    </row>
    <row r="11276" spans="1:5" x14ac:dyDescent="0.25">
      <c r="A11276" s="14">
        <v>1017626</v>
      </c>
      <c r="B11276" s="14" t="s">
        <v>11375</v>
      </c>
      <c r="C11276" s="14" t="s">
        <v>13031</v>
      </c>
      <c r="D11276" s="15">
        <v>8.0500000000000007</v>
      </c>
      <c r="E11276" s="14" t="s">
        <v>30</v>
      </c>
    </row>
    <row r="11277" spans="1:5" x14ac:dyDescent="0.25">
      <c r="A11277" s="14">
        <v>1017641</v>
      </c>
      <c r="B11277" s="14" t="s">
        <v>11376</v>
      </c>
      <c r="C11277" s="14" t="s">
        <v>13030</v>
      </c>
      <c r="D11277" s="15">
        <v>53.42</v>
      </c>
      <c r="E11277" s="14" t="s">
        <v>30</v>
      </c>
    </row>
    <row r="11278" spans="1:5" x14ac:dyDescent="0.25">
      <c r="A11278" s="14">
        <v>1017756</v>
      </c>
      <c r="B11278" s="14" t="s">
        <v>11377</v>
      </c>
      <c r="C11278" s="14" t="s">
        <v>13029</v>
      </c>
      <c r="D11278" s="15">
        <v>2.31</v>
      </c>
      <c r="E11278" s="14" t="s">
        <v>30</v>
      </c>
    </row>
    <row r="11279" spans="1:5" x14ac:dyDescent="0.25">
      <c r="A11279" s="14">
        <v>1017757</v>
      </c>
      <c r="B11279" s="14" t="s">
        <v>11378</v>
      </c>
      <c r="C11279" s="14" t="s">
        <v>13029</v>
      </c>
      <c r="D11279" s="15">
        <v>7.65</v>
      </c>
      <c r="E11279" s="14" t="s">
        <v>30</v>
      </c>
    </row>
    <row r="11280" spans="1:5" x14ac:dyDescent="0.25">
      <c r="A11280" s="14">
        <v>1017760</v>
      </c>
      <c r="B11280" s="14" t="s">
        <v>11379</v>
      </c>
      <c r="C11280" s="14" t="s">
        <v>13029</v>
      </c>
      <c r="D11280" s="15">
        <v>34.11</v>
      </c>
      <c r="E11280" s="14" t="s">
        <v>30</v>
      </c>
    </row>
    <row r="11281" spans="1:5" x14ac:dyDescent="0.25">
      <c r="A11281" s="14">
        <v>1017767</v>
      </c>
      <c r="B11281" s="14" t="s">
        <v>11380</v>
      </c>
      <c r="C11281" s="14" t="s">
        <v>13029</v>
      </c>
      <c r="D11281" s="15">
        <v>53.44</v>
      </c>
      <c r="E11281" s="14" t="s">
        <v>30</v>
      </c>
    </row>
    <row r="11282" spans="1:5" x14ac:dyDescent="0.25">
      <c r="A11282" s="14">
        <v>960985</v>
      </c>
      <c r="B11282" s="14" t="s">
        <v>11381</v>
      </c>
      <c r="C11282" s="14" t="s">
        <v>13030</v>
      </c>
      <c r="D11282" s="15">
        <v>229.87</v>
      </c>
      <c r="E11282" s="14" t="s">
        <v>30</v>
      </c>
    </row>
    <row r="11283" spans="1:5" x14ac:dyDescent="0.25">
      <c r="A11283" s="14">
        <v>960986</v>
      </c>
      <c r="B11283" s="14" t="s">
        <v>11382</v>
      </c>
      <c r="C11283" s="14" t="s">
        <v>13030</v>
      </c>
      <c r="D11283" s="15">
        <v>229.87</v>
      </c>
      <c r="E11283" s="14" t="s">
        <v>30</v>
      </c>
    </row>
    <row r="11284" spans="1:5" x14ac:dyDescent="0.25">
      <c r="A11284" s="14">
        <v>1015691</v>
      </c>
      <c r="B11284" s="14" t="s">
        <v>11383</v>
      </c>
      <c r="C11284" s="14" t="s">
        <v>13031</v>
      </c>
      <c r="D11284" s="15">
        <v>10.53</v>
      </c>
      <c r="E11284" s="14" t="s">
        <v>30</v>
      </c>
    </row>
    <row r="11285" spans="1:5" x14ac:dyDescent="0.25">
      <c r="A11285" s="14">
        <v>1015692</v>
      </c>
      <c r="B11285" s="14" t="s">
        <v>11384</v>
      </c>
      <c r="C11285" s="14" t="s">
        <v>13031</v>
      </c>
      <c r="D11285" s="15">
        <v>10.53</v>
      </c>
      <c r="E11285" s="14" t="s">
        <v>30</v>
      </c>
    </row>
    <row r="11286" spans="1:5" x14ac:dyDescent="0.25">
      <c r="A11286" s="14">
        <v>1015970</v>
      </c>
      <c r="B11286" s="14" t="s">
        <v>11385</v>
      </c>
      <c r="C11286" s="14" t="s">
        <v>13031</v>
      </c>
      <c r="D11286" s="15">
        <v>29.17</v>
      </c>
      <c r="E11286" s="14" t="s">
        <v>30</v>
      </c>
    </row>
    <row r="11287" spans="1:5" x14ac:dyDescent="0.25">
      <c r="A11287" s="14">
        <v>1016147</v>
      </c>
      <c r="B11287" s="14" t="s">
        <v>11386</v>
      </c>
      <c r="C11287" s="14" t="s">
        <v>13029</v>
      </c>
      <c r="D11287" s="15">
        <v>31.96</v>
      </c>
      <c r="E11287" s="14" t="s">
        <v>30</v>
      </c>
    </row>
    <row r="11288" spans="1:5" x14ac:dyDescent="0.25">
      <c r="A11288" s="14">
        <v>1016363</v>
      </c>
      <c r="B11288" s="14" t="s">
        <v>11387</v>
      </c>
      <c r="C11288" s="14" t="s">
        <v>13029</v>
      </c>
      <c r="D11288" s="15">
        <v>47.4</v>
      </c>
      <c r="E11288" s="14" t="s">
        <v>30</v>
      </c>
    </row>
    <row r="11289" spans="1:5" x14ac:dyDescent="0.25">
      <c r="A11289" s="14">
        <v>1016683</v>
      </c>
      <c r="B11289" s="14" t="s">
        <v>11388</v>
      </c>
      <c r="C11289" s="14" t="s">
        <v>13029</v>
      </c>
      <c r="D11289" s="15">
        <v>23.07</v>
      </c>
      <c r="E11289" s="14" t="s">
        <v>30</v>
      </c>
    </row>
    <row r="11290" spans="1:5" x14ac:dyDescent="0.25">
      <c r="A11290" s="14">
        <v>1022888</v>
      </c>
      <c r="B11290" s="14" t="s">
        <v>11389</v>
      </c>
      <c r="C11290" s="14" t="s">
        <v>13030</v>
      </c>
      <c r="D11290" s="15">
        <v>38.47</v>
      </c>
      <c r="E11290" s="14" t="s">
        <v>20</v>
      </c>
    </row>
    <row r="11291" spans="1:5" x14ac:dyDescent="0.25">
      <c r="A11291" s="14">
        <v>1016933</v>
      </c>
      <c r="B11291" s="14" t="s">
        <v>11390</v>
      </c>
      <c r="C11291" s="14" t="s">
        <v>13030</v>
      </c>
      <c r="D11291" s="15">
        <v>20.79</v>
      </c>
      <c r="E11291" s="14" t="s">
        <v>30</v>
      </c>
    </row>
    <row r="11292" spans="1:5" x14ac:dyDescent="0.25">
      <c r="A11292" s="14">
        <v>491823001</v>
      </c>
      <c r="B11292" s="14" t="s">
        <v>11391</v>
      </c>
      <c r="C11292" s="14" t="s">
        <v>13029</v>
      </c>
      <c r="D11292" s="15">
        <v>14.41</v>
      </c>
      <c r="E11292" s="14" t="s">
        <v>30</v>
      </c>
    </row>
    <row r="11293" spans="1:5" x14ac:dyDescent="0.25">
      <c r="A11293" s="14">
        <v>788942</v>
      </c>
      <c r="B11293" s="14" t="s">
        <v>11392</v>
      </c>
      <c r="C11293" s="14" t="s">
        <v>13029</v>
      </c>
      <c r="D11293" s="15">
        <v>8.64</v>
      </c>
      <c r="E11293" s="14" t="s">
        <v>30</v>
      </c>
    </row>
    <row r="11294" spans="1:5" x14ac:dyDescent="0.25">
      <c r="A11294" s="14">
        <v>1003699</v>
      </c>
      <c r="B11294" s="14" t="s">
        <v>11393</v>
      </c>
      <c r="C11294" s="14" t="s">
        <v>13031</v>
      </c>
      <c r="D11294" s="15">
        <v>4.5999999999999996</v>
      </c>
      <c r="E11294" s="14" t="s">
        <v>30</v>
      </c>
    </row>
    <row r="11295" spans="1:5" x14ac:dyDescent="0.25">
      <c r="A11295" s="14">
        <v>1003702</v>
      </c>
      <c r="B11295" s="14" t="s">
        <v>11394</v>
      </c>
      <c r="C11295" s="14" t="s">
        <v>13031</v>
      </c>
      <c r="D11295" s="15">
        <v>6.09</v>
      </c>
      <c r="E11295" s="14" t="s">
        <v>30</v>
      </c>
    </row>
    <row r="11296" spans="1:5" x14ac:dyDescent="0.25">
      <c r="A11296" s="14">
        <v>1003703</v>
      </c>
      <c r="B11296" s="14" t="s">
        <v>11395</v>
      </c>
      <c r="C11296" s="14" t="s">
        <v>13031</v>
      </c>
      <c r="D11296" s="15">
        <v>3.9</v>
      </c>
      <c r="E11296" s="14" t="s">
        <v>30</v>
      </c>
    </row>
    <row r="11297" spans="1:5" x14ac:dyDescent="0.25">
      <c r="A11297" s="14">
        <v>1016068</v>
      </c>
      <c r="B11297" s="14" t="s">
        <v>11396</v>
      </c>
      <c r="C11297" s="14" t="s">
        <v>13031</v>
      </c>
      <c r="D11297" s="15">
        <v>1.62</v>
      </c>
      <c r="E11297" s="14" t="s">
        <v>30</v>
      </c>
    </row>
    <row r="11298" spans="1:5" x14ac:dyDescent="0.25">
      <c r="A11298" s="14">
        <v>1016069</v>
      </c>
      <c r="B11298" s="14" t="s">
        <v>11397</v>
      </c>
      <c r="C11298" s="14" t="s">
        <v>13031</v>
      </c>
      <c r="D11298" s="15">
        <v>1.62</v>
      </c>
      <c r="E11298" s="14" t="s">
        <v>30</v>
      </c>
    </row>
    <row r="11299" spans="1:5" x14ac:dyDescent="0.25">
      <c r="A11299" s="14">
        <v>1016555</v>
      </c>
      <c r="B11299" s="14" t="s">
        <v>11398</v>
      </c>
      <c r="C11299" s="14" t="s">
        <v>13029</v>
      </c>
      <c r="D11299" s="15">
        <v>11.81</v>
      </c>
      <c r="E11299" s="14" t="s">
        <v>30</v>
      </c>
    </row>
    <row r="11300" spans="1:5" x14ac:dyDescent="0.25">
      <c r="A11300" s="14">
        <v>1016556</v>
      </c>
      <c r="B11300" s="14" t="s">
        <v>11399</v>
      </c>
      <c r="C11300" s="14" t="s">
        <v>13029</v>
      </c>
      <c r="D11300" s="15">
        <v>10.029999999999999</v>
      </c>
      <c r="E11300" s="14" t="s">
        <v>30</v>
      </c>
    </row>
    <row r="11301" spans="1:5" x14ac:dyDescent="0.25">
      <c r="A11301" s="14">
        <v>1016891</v>
      </c>
      <c r="B11301" s="14" t="s">
        <v>11400</v>
      </c>
      <c r="C11301" s="14" t="s">
        <v>13029</v>
      </c>
      <c r="D11301" s="15">
        <v>15.61</v>
      </c>
      <c r="E11301" s="14" t="s">
        <v>30</v>
      </c>
    </row>
    <row r="11302" spans="1:5" x14ac:dyDescent="0.25">
      <c r="A11302" s="14">
        <v>1016892</v>
      </c>
      <c r="B11302" s="14" t="s">
        <v>11401</v>
      </c>
      <c r="C11302" s="14" t="s">
        <v>13029</v>
      </c>
      <c r="D11302" s="15">
        <v>24.57</v>
      </c>
      <c r="E11302" s="14" t="s">
        <v>30</v>
      </c>
    </row>
    <row r="11303" spans="1:5" x14ac:dyDescent="0.25">
      <c r="A11303" s="14">
        <v>1016896</v>
      </c>
      <c r="B11303" s="14" t="s">
        <v>11402</v>
      </c>
      <c r="C11303" s="14" t="s">
        <v>13029</v>
      </c>
      <c r="D11303" s="15">
        <v>15.61</v>
      </c>
      <c r="E11303" s="14" t="s">
        <v>30</v>
      </c>
    </row>
    <row r="11304" spans="1:5" x14ac:dyDescent="0.25">
      <c r="A11304" s="14">
        <v>1022889</v>
      </c>
      <c r="B11304" s="14" t="s">
        <v>11403</v>
      </c>
      <c r="C11304" s="14" t="s">
        <v>13030</v>
      </c>
      <c r="D11304" s="15">
        <v>38.14</v>
      </c>
      <c r="E11304" s="14" t="s">
        <v>20</v>
      </c>
    </row>
    <row r="11305" spans="1:5" x14ac:dyDescent="0.25">
      <c r="A11305" s="14">
        <v>1022890</v>
      </c>
      <c r="B11305" s="14" t="s">
        <v>11404</v>
      </c>
      <c r="C11305" s="14" t="s">
        <v>13030</v>
      </c>
      <c r="D11305" s="15">
        <v>59.11</v>
      </c>
      <c r="E11305" s="14" t="s">
        <v>20</v>
      </c>
    </row>
    <row r="11306" spans="1:5" x14ac:dyDescent="0.25">
      <c r="A11306" s="14">
        <v>1022891</v>
      </c>
      <c r="B11306" s="14" t="s">
        <v>11405</v>
      </c>
      <c r="C11306" s="14" t="s">
        <v>13030</v>
      </c>
      <c r="D11306" s="15">
        <v>61.6</v>
      </c>
      <c r="E11306" s="14" t="s">
        <v>20</v>
      </c>
    </row>
    <row r="11307" spans="1:5" x14ac:dyDescent="0.25">
      <c r="A11307" s="14">
        <v>1023782</v>
      </c>
      <c r="B11307" s="14" t="s">
        <v>11406</v>
      </c>
      <c r="C11307" s="14" t="s">
        <v>13031</v>
      </c>
      <c r="D11307" s="15">
        <v>19.579999999999998</v>
      </c>
      <c r="E11307" s="14" t="s">
        <v>20</v>
      </c>
    </row>
    <row r="11308" spans="1:5" x14ac:dyDescent="0.25">
      <c r="A11308" s="14">
        <v>4290</v>
      </c>
      <c r="B11308" s="14" t="s">
        <v>11407</v>
      </c>
      <c r="C11308" s="14" t="s">
        <v>13031</v>
      </c>
      <c r="D11308" s="15">
        <v>1.9</v>
      </c>
      <c r="E11308" s="14" t="s">
        <v>20</v>
      </c>
    </row>
    <row r="11309" spans="1:5" x14ac:dyDescent="0.25">
      <c r="A11309" s="14">
        <v>4408</v>
      </c>
      <c r="B11309" s="14" t="s">
        <v>11408</v>
      </c>
      <c r="C11309" s="14" t="s">
        <v>13031</v>
      </c>
      <c r="D11309" s="15">
        <v>1.89</v>
      </c>
      <c r="E11309" s="14" t="s">
        <v>20</v>
      </c>
    </row>
    <row r="11310" spans="1:5" x14ac:dyDescent="0.25">
      <c r="A11310" s="14">
        <v>4653</v>
      </c>
      <c r="B11310" s="14" t="s">
        <v>11409</v>
      </c>
      <c r="C11310" s="14" t="s">
        <v>13031</v>
      </c>
      <c r="D11310" s="15">
        <v>1.1599999999999999</v>
      </c>
      <c r="E11310" s="14" t="s">
        <v>20</v>
      </c>
    </row>
    <row r="11311" spans="1:5" x14ac:dyDescent="0.25">
      <c r="A11311" s="14">
        <v>4695</v>
      </c>
      <c r="B11311" s="14" t="s">
        <v>11410</v>
      </c>
      <c r="C11311" s="14" t="s">
        <v>13031</v>
      </c>
      <c r="D11311" s="15">
        <v>2.23</v>
      </c>
      <c r="E11311" s="14" t="s">
        <v>20</v>
      </c>
    </row>
    <row r="11312" spans="1:5" x14ac:dyDescent="0.25">
      <c r="A11312" s="14">
        <v>4704</v>
      </c>
      <c r="B11312" s="14" t="s">
        <v>11411</v>
      </c>
      <c r="C11312" s="14" t="s">
        <v>13031</v>
      </c>
      <c r="D11312" s="15">
        <v>1.41</v>
      </c>
      <c r="E11312" s="14" t="s">
        <v>20</v>
      </c>
    </row>
    <row r="11313" spans="1:5" x14ac:dyDescent="0.25">
      <c r="A11313" s="14">
        <v>4833</v>
      </c>
      <c r="B11313" s="14" t="s">
        <v>11412</v>
      </c>
      <c r="C11313" s="14" t="s">
        <v>13031</v>
      </c>
      <c r="D11313" s="15">
        <v>18.64</v>
      </c>
      <c r="E11313" s="14" t="s">
        <v>20</v>
      </c>
    </row>
    <row r="11314" spans="1:5" x14ac:dyDescent="0.25">
      <c r="A11314" s="14">
        <v>1017234</v>
      </c>
      <c r="B11314" s="14" t="s">
        <v>11413</v>
      </c>
      <c r="C11314" s="14" t="s">
        <v>13031</v>
      </c>
      <c r="D11314" s="15">
        <v>21.36</v>
      </c>
      <c r="E11314" s="14" t="s">
        <v>30</v>
      </c>
    </row>
    <row r="11315" spans="1:5" x14ac:dyDescent="0.25">
      <c r="A11315" s="14">
        <v>4937</v>
      </c>
      <c r="B11315" s="14" t="s">
        <v>11414</v>
      </c>
      <c r="C11315" s="14" t="s">
        <v>13031</v>
      </c>
      <c r="D11315" s="15">
        <v>22.46</v>
      </c>
      <c r="E11315" s="14" t="s">
        <v>20</v>
      </c>
    </row>
    <row r="11316" spans="1:5" x14ac:dyDescent="0.25">
      <c r="A11316" s="14">
        <v>4938</v>
      </c>
      <c r="B11316" s="14" t="s">
        <v>11415</v>
      </c>
      <c r="C11316" s="14" t="s">
        <v>13031</v>
      </c>
      <c r="D11316" s="15">
        <v>6.76</v>
      </c>
      <c r="E11316" s="14" t="s">
        <v>20</v>
      </c>
    </row>
    <row r="11317" spans="1:5" x14ac:dyDescent="0.25">
      <c r="A11317" s="14">
        <v>1014517</v>
      </c>
      <c r="B11317" s="14" t="s">
        <v>11416</v>
      </c>
      <c r="C11317" s="14" t="s">
        <v>13030</v>
      </c>
      <c r="D11317" s="15">
        <v>75.13</v>
      </c>
      <c r="E11317" s="14" t="s">
        <v>30</v>
      </c>
    </row>
    <row r="11318" spans="1:5" x14ac:dyDescent="0.25">
      <c r="A11318" s="14">
        <v>4939</v>
      </c>
      <c r="B11318" s="14" t="s">
        <v>11417</v>
      </c>
      <c r="C11318" s="14" t="s">
        <v>13031</v>
      </c>
      <c r="D11318" s="15">
        <v>15.07</v>
      </c>
      <c r="E11318" s="14" t="s">
        <v>20</v>
      </c>
    </row>
    <row r="11319" spans="1:5" x14ac:dyDescent="0.25">
      <c r="A11319" s="14">
        <v>1015312</v>
      </c>
      <c r="B11319" s="14" t="s">
        <v>11418</v>
      </c>
      <c r="C11319" s="14" t="s">
        <v>13033</v>
      </c>
      <c r="D11319" s="15">
        <v>12.24</v>
      </c>
      <c r="E11319" s="14" t="s">
        <v>30</v>
      </c>
    </row>
    <row r="11320" spans="1:5" x14ac:dyDescent="0.25">
      <c r="A11320" s="14">
        <v>1016897</v>
      </c>
      <c r="B11320" s="14" t="s">
        <v>11419</v>
      </c>
      <c r="C11320" s="14" t="s">
        <v>13029</v>
      </c>
      <c r="D11320" s="15">
        <v>17.5</v>
      </c>
      <c r="E11320" s="14" t="s">
        <v>30</v>
      </c>
    </row>
    <row r="11321" spans="1:5" x14ac:dyDescent="0.25">
      <c r="A11321" s="14">
        <v>1017161</v>
      </c>
      <c r="B11321" s="14" t="s">
        <v>11420</v>
      </c>
      <c r="C11321" s="14" t="s">
        <v>13030</v>
      </c>
      <c r="D11321" s="15">
        <v>257.05</v>
      </c>
      <c r="E11321" s="14" t="s">
        <v>30</v>
      </c>
    </row>
    <row r="11322" spans="1:5" x14ac:dyDescent="0.25">
      <c r="A11322" s="14">
        <v>4942</v>
      </c>
      <c r="B11322" s="14" t="s">
        <v>11421</v>
      </c>
      <c r="C11322" s="14" t="s">
        <v>13031</v>
      </c>
      <c r="D11322" s="15">
        <v>16.53</v>
      </c>
      <c r="E11322" s="14" t="s">
        <v>20</v>
      </c>
    </row>
    <row r="11323" spans="1:5" x14ac:dyDescent="0.25">
      <c r="A11323" s="14">
        <v>15819</v>
      </c>
      <c r="B11323" s="14" t="s">
        <v>11422</v>
      </c>
      <c r="C11323" s="14" t="s">
        <v>13031</v>
      </c>
      <c r="D11323" s="15">
        <v>11.27</v>
      </c>
      <c r="E11323" s="14" t="s">
        <v>20</v>
      </c>
    </row>
    <row r="11324" spans="1:5" x14ac:dyDescent="0.25">
      <c r="A11324" s="14">
        <v>17817</v>
      </c>
      <c r="B11324" s="14" t="s">
        <v>11423</v>
      </c>
      <c r="C11324" s="14" t="s">
        <v>13031</v>
      </c>
      <c r="D11324" s="15">
        <v>7.46</v>
      </c>
      <c r="E11324" s="14" t="s">
        <v>20</v>
      </c>
    </row>
    <row r="11325" spans="1:5" x14ac:dyDescent="0.25">
      <c r="A11325" s="14">
        <v>25251</v>
      </c>
      <c r="B11325" s="14" t="s">
        <v>11424</v>
      </c>
      <c r="C11325" s="14" t="s">
        <v>13031</v>
      </c>
      <c r="D11325" s="15">
        <v>10.5</v>
      </c>
      <c r="E11325" s="14" t="s">
        <v>20</v>
      </c>
    </row>
    <row r="11326" spans="1:5" x14ac:dyDescent="0.25">
      <c r="A11326" s="14">
        <v>32613</v>
      </c>
      <c r="B11326" s="14" t="s">
        <v>11425</v>
      </c>
      <c r="C11326" s="14" t="s">
        <v>13031</v>
      </c>
      <c r="D11326" s="15">
        <v>2.0499999999999998</v>
      </c>
      <c r="E11326" s="14" t="s">
        <v>20</v>
      </c>
    </row>
    <row r="11327" spans="1:5" x14ac:dyDescent="0.25">
      <c r="A11327" s="14">
        <v>32615</v>
      </c>
      <c r="B11327" s="14" t="s">
        <v>11426</v>
      </c>
      <c r="C11327" s="14" t="s">
        <v>13031</v>
      </c>
      <c r="D11327" s="15">
        <v>2.0499999999999998</v>
      </c>
      <c r="E11327" s="14" t="s">
        <v>20</v>
      </c>
    </row>
    <row r="11328" spans="1:5" x14ac:dyDescent="0.25">
      <c r="A11328" s="14">
        <v>6467</v>
      </c>
      <c r="B11328" s="14" t="s">
        <v>11427</v>
      </c>
      <c r="C11328" s="14" t="s">
        <v>13029</v>
      </c>
      <c r="D11328" s="15">
        <v>7.32</v>
      </c>
      <c r="E11328" s="14" t="s">
        <v>30</v>
      </c>
    </row>
    <row r="11329" spans="1:5" x14ac:dyDescent="0.25">
      <c r="A11329" s="14">
        <v>32671</v>
      </c>
      <c r="B11329" s="14" t="s">
        <v>11428</v>
      </c>
      <c r="C11329" s="14" t="s">
        <v>13031</v>
      </c>
      <c r="D11329" s="15">
        <v>8.7200000000000006</v>
      </c>
      <c r="E11329" s="14" t="s">
        <v>20</v>
      </c>
    </row>
    <row r="11330" spans="1:5" x14ac:dyDescent="0.25">
      <c r="A11330" s="14">
        <v>34854</v>
      </c>
      <c r="B11330" s="14" t="s">
        <v>11429</v>
      </c>
      <c r="C11330" s="14" t="s">
        <v>13031</v>
      </c>
      <c r="D11330" s="15">
        <v>3.2</v>
      </c>
      <c r="E11330" s="14" t="s">
        <v>20</v>
      </c>
    </row>
    <row r="11331" spans="1:5" x14ac:dyDescent="0.25">
      <c r="A11331" s="14">
        <v>38954</v>
      </c>
      <c r="B11331" s="14" t="s">
        <v>11430</v>
      </c>
      <c r="C11331" s="14" t="s">
        <v>13031</v>
      </c>
      <c r="D11331" s="15">
        <v>7.67</v>
      </c>
      <c r="E11331" s="14" t="s">
        <v>20</v>
      </c>
    </row>
    <row r="11332" spans="1:5" x14ac:dyDescent="0.25">
      <c r="A11332" s="14">
        <v>40598</v>
      </c>
      <c r="B11332" s="14" t="s">
        <v>11431</v>
      </c>
      <c r="C11332" s="14" t="s">
        <v>13031</v>
      </c>
      <c r="D11332" s="15">
        <v>4.8099999999999996</v>
      </c>
      <c r="E11332" s="14" t="s">
        <v>20</v>
      </c>
    </row>
    <row r="11333" spans="1:5" x14ac:dyDescent="0.25">
      <c r="A11333" s="14">
        <v>45971</v>
      </c>
      <c r="B11333" s="14" t="s">
        <v>11432</v>
      </c>
      <c r="C11333" s="14" t="s">
        <v>13031</v>
      </c>
      <c r="D11333" s="15">
        <v>7.15</v>
      </c>
      <c r="E11333" s="14" t="s">
        <v>20</v>
      </c>
    </row>
    <row r="11334" spans="1:5" x14ac:dyDescent="0.25">
      <c r="A11334" s="14">
        <v>46267</v>
      </c>
      <c r="B11334" s="14" t="s">
        <v>11433</v>
      </c>
      <c r="C11334" s="14" t="s">
        <v>13030</v>
      </c>
      <c r="D11334" s="15">
        <v>33.880000000000003</v>
      </c>
      <c r="E11334" s="14" t="s">
        <v>20</v>
      </c>
    </row>
    <row r="11335" spans="1:5" x14ac:dyDescent="0.25">
      <c r="A11335" s="14">
        <v>46429</v>
      </c>
      <c r="B11335" s="14" t="s">
        <v>11434</v>
      </c>
      <c r="C11335" s="14" t="s">
        <v>13031</v>
      </c>
      <c r="D11335" s="15">
        <v>1.94</v>
      </c>
      <c r="E11335" s="14" t="s">
        <v>20</v>
      </c>
    </row>
    <row r="11336" spans="1:5" x14ac:dyDescent="0.25">
      <c r="A11336" s="14">
        <v>1016934</v>
      </c>
      <c r="B11336" s="14" t="s">
        <v>11435</v>
      </c>
      <c r="C11336" s="14" t="s">
        <v>13030</v>
      </c>
      <c r="D11336" s="15">
        <v>12.65</v>
      </c>
      <c r="E11336" s="14" t="s">
        <v>30</v>
      </c>
    </row>
    <row r="11337" spans="1:5" x14ac:dyDescent="0.25">
      <c r="A11337" s="14">
        <v>1017386</v>
      </c>
      <c r="B11337" s="14" t="s">
        <v>11436</v>
      </c>
      <c r="C11337" s="14" t="s">
        <v>13029</v>
      </c>
      <c r="D11337" s="15">
        <v>22.2</v>
      </c>
      <c r="E11337" s="14" t="s">
        <v>30</v>
      </c>
    </row>
    <row r="11338" spans="1:5" x14ac:dyDescent="0.25">
      <c r="A11338" s="14">
        <v>47026</v>
      </c>
      <c r="B11338" s="14" t="s">
        <v>11437</v>
      </c>
      <c r="C11338" s="14" t="s">
        <v>13031</v>
      </c>
      <c r="D11338" s="15">
        <v>13.6</v>
      </c>
      <c r="E11338" s="14" t="s">
        <v>20</v>
      </c>
    </row>
    <row r="11339" spans="1:5" x14ac:dyDescent="0.25">
      <c r="A11339" s="14">
        <v>47846</v>
      </c>
      <c r="B11339" s="14" t="s">
        <v>11438</v>
      </c>
      <c r="C11339" s="14" t="s">
        <v>13031</v>
      </c>
      <c r="D11339" s="15">
        <v>9.66</v>
      </c>
      <c r="E11339" s="14" t="s">
        <v>20</v>
      </c>
    </row>
    <row r="11340" spans="1:5" x14ac:dyDescent="0.25">
      <c r="A11340" s="14">
        <v>63940</v>
      </c>
      <c r="B11340" s="14" t="s">
        <v>11439</v>
      </c>
      <c r="C11340" s="14" t="s">
        <v>13031</v>
      </c>
      <c r="D11340" s="15">
        <v>3.59</v>
      </c>
      <c r="E11340" s="14" t="s">
        <v>20</v>
      </c>
    </row>
    <row r="11341" spans="1:5" x14ac:dyDescent="0.25">
      <c r="A11341" s="14">
        <v>65744</v>
      </c>
      <c r="B11341" s="14" t="s">
        <v>11440</v>
      </c>
      <c r="C11341" s="14" t="s">
        <v>13031</v>
      </c>
      <c r="D11341" s="15">
        <v>7.41</v>
      </c>
      <c r="E11341" s="14" t="s">
        <v>20</v>
      </c>
    </row>
    <row r="11342" spans="1:5" x14ac:dyDescent="0.25">
      <c r="A11342" s="14">
        <v>1017387</v>
      </c>
      <c r="B11342" s="14" t="s">
        <v>11441</v>
      </c>
      <c r="C11342" s="14" t="s">
        <v>13029</v>
      </c>
      <c r="D11342" s="15">
        <v>22.2</v>
      </c>
      <c r="E11342" s="14" t="s">
        <v>30</v>
      </c>
    </row>
    <row r="11343" spans="1:5" x14ac:dyDescent="0.25">
      <c r="A11343" s="14">
        <v>70459</v>
      </c>
      <c r="B11343" s="14" t="s">
        <v>11442</v>
      </c>
      <c r="C11343" s="14" t="s">
        <v>13031</v>
      </c>
      <c r="D11343" s="15">
        <v>2.4</v>
      </c>
      <c r="E11343" s="14" t="s">
        <v>20</v>
      </c>
    </row>
    <row r="11344" spans="1:5" x14ac:dyDescent="0.25">
      <c r="A11344" s="14">
        <v>70460</v>
      </c>
      <c r="B11344" s="14" t="s">
        <v>11443</v>
      </c>
      <c r="C11344" s="14" t="s">
        <v>13031</v>
      </c>
      <c r="D11344" s="15">
        <v>2.4</v>
      </c>
      <c r="E11344" s="14" t="s">
        <v>20</v>
      </c>
    </row>
    <row r="11345" spans="1:5" x14ac:dyDescent="0.25">
      <c r="A11345" s="14">
        <v>71929</v>
      </c>
      <c r="B11345" s="14" t="s">
        <v>11444</v>
      </c>
      <c r="C11345" s="14" t="s">
        <v>13031</v>
      </c>
      <c r="D11345" s="15">
        <v>5.82</v>
      </c>
      <c r="E11345" s="14" t="s">
        <v>20</v>
      </c>
    </row>
    <row r="11346" spans="1:5" x14ac:dyDescent="0.25">
      <c r="A11346" s="14">
        <v>1017390</v>
      </c>
      <c r="B11346" s="14" t="s">
        <v>11445</v>
      </c>
      <c r="C11346" s="14" t="s">
        <v>13029</v>
      </c>
      <c r="D11346" s="15">
        <v>39.17</v>
      </c>
      <c r="E11346" s="14" t="s">
        <v>30</v>
      </c>
    </row>
    <row r="11347" spans="1:5" x14ac:dyDescent="0.25">
      <c r="A11347" s="14">
        <v>84007</v>
      </c>
      <c r="B11347" s="14" t="s">
        <v>11446</v>
      </c>
      <c r="C11347" s="14" t="s">
        <v>13031</v>
      </c>
      <c r="D11347" s="15">
        <v>3.2</v>
      </c>
      <c r="E11347" s="14" t="s">
        <v>20</v>
      </c>
    </row>
    <row r="11348" spans="1:5" x14ac:dyDescent="0.25">
      <c r="A11348" s="14">
        <v>95009</v>
      </c>
      <c r="B11348" s="14" t="s">
        <v>11447</v>
      </c>
      <c r="C11348" s="14" t="s">
        <v>13031</v>
      </c>
      <c r="D11348" s="15">
        <v>6.8</v>
      </c>
      <c r="E11348" s="14" t="s">
        <v>20</v>
      </c>
    </row>
    <row r="11349" spans="1:5" x14ac:dyDescent="0.25">
      <c r="A11349" s="14">
        <v>95011</v>
      </c>
      <c r="B11349" s="14" t="s">
        <v>11448</v>
      </c>
      <c r="C11349" s="14" t="s">
        <v>13031</v>
      </c>
      <c r="D11349" s="15">
        <v>5.29</v>
      </c>
      <c r="E11349" s="14" t="s">
        <v>20</v>
      </c>
    </row>
    <row r="11350" spans="1:5" x14ac:dyDescent="0.25">
      <c r="A11350" s="14">
        <v>96234</v>
      </c>
      <c r="B11350" s="14" t="s">
        <v>11449</v>
      </c>
      <c r="C11350" s="14" t="s">
        <v>13031</v>
      </c>
      <c r="D11350" s="15">
        <v>5.88</v>
      </c>
      <c r="E11350" s="14" t="s">
        <v>20</v>
      </c>
    </row>
    <row r="11351" spans="1:5" x14ac:dyDescent="0.25">
      <c r="A11351" s="14">
        <v>98703</v>
      </c>
      <c r="B11351" s="14" t="s">
        <v>11450</v>
      </c>
      <c r="C11351" s="14" t="s">
        <v>13031</v>
      </c>
      <c r="D11351" s="15">
        <v>0.59</v>
      </c>
      <c r="E11351" s="14" t="s">
        <v>20</v>
      </c>
    </row>
    <row r="11352" spans="1:5" x14ac:dyDescent="0.25">
      <c r="A11352" s="14">
        <v>98705</v>
      </c>
      <c r="B11352" s="14" t="s">
        <v>11451</v>
      </c>
      <c r="C11352" s="14" t="s">
        <v>13031</v>
      </c>
      <c r="D11352" s="15">
        <v>6.47</v>
      </c>
      <c r="E11352" s="14" t="s">
        <v>20</v>
      </c>
    </row>
    <row r="11353" spans="1:5" x14ac:dyDescent="0.25">
      <c r="A11353" s="14">
        <v>121776</v>
      </c>
      <c r="B11353" s="14" t="s">
        <v>11452</v>
      </c>
      <c r="C11353" s="14" t="s">
        <v>13031</v>
      </c>
      <c r="D11353" s="15">
        <v>6.72</v>
      </c>
      <c r="E11353" s="14" t="s">
        <v>20</v>
      </c>
    </row>
    <row r="11354" spans="1:5" x14ac:dyDescent="0.25">
      <c r="A11354" s="14">
        <v>121777</v>
      </c>
      <c r="B11354" s="14" t="s">
        <v>11453</v>
      </c>
      <c r="C11354" s="14" t="s">
        <v>13031</v>
      </c>
      <c r="D11354" s="15">
        <v>5.19</v>
      </c>
      <c r="E11354" s="14" t="s">
        <v>20</v>
      </c>
    </row>
    <row r="11355" spans="1:5" x14ac:dyDescent="0.25">
      <c r="A11355" s="14">
        <v>122747</v>
      </c>
      <c r="B11355" s="14" t="s">
        <v>11454</v>
      </c>
      <c r="C11355" s="14" t="s">
        <v>13031</v>
      </c>
      <c r="D11355" s="15">
        <v>8.58</v>
      </c>
      <c r="E11355" s="14" t="s">
        <v>20</v>
      </c>
    </row>
    <row r="11356" spans="1:5" x14ac:dyDescent="0.25">
      <c r="A11356" s="14">
        <v>122834</v>
      </c>
      <c r="B11356" s="14" t="s">
        <v>11455</v>
      </c>
      <c r="C11356" s="14" t="s">
        <v>13031</v>
      </c>
      <c r="D11356" s="15">
        <v>11.13</v>
      </c>
      <c r="E11356" s="14" t="s">
        <v>20</v>
      </c>
    </row>
    <row r="11357" spans="1:5" x14ac:dyDescent="0.25">
      <c r="A11357" s="14">
        <v>124054</v>
      </c>
      <c r="B11357" s="14" t="s">
        <v>11456</v>
      </c>
      <c r="C11357" s="14" t="s">
        <v>13031</v>
      </c>
      <c r="D11357" s="15">
        <v>4.0999999999999996</v>
      </c>
      <c r="E11357" s="14" t="s">
        <v>20</v>
      </c>
    </row>
    <row r="11358" spans="1:5" x14ac:dyDescent="0.25">
      <c r="A11358" s="14">
        <v>1017391</v>
      </c>
      <c r="B11358" s="14" t="s">
        <v>11457</v>
      </c>
      <c r="C11358" s="14" t="s">
        <v>13029</v>
      </c>
      <c r="D11358" s="15">
        <v>39.17</v>
      </c>
      <c r="E11358" s="14" t="s">
        <v>30</v>
      </c>
    </row>
    <row r="11359" spans="1:5" x14ac:dyDescent="0.25">
      <c r="A11359" s="14">
        <v>138879</v>
      </c>
      <c r="B11359" s="14" t="s">
        <v>11458</v>
      </c>
      <c r="C11359" s="14" t="s">
        <v>13031</v>
      </c>
      <c r="D11359" s="15">
        <v>6.2</v>
      </c>
      <c r="E11359" s="14" t="s">
        <v>20</v>
      </c>
    </row>
    <row r="11360" spans="1:5" x14ac:dyDescent="0.25">
      <c r="A11360" s="14">
        <v>149235</v>
      </c>
      <c r="B11360" s="14" t="s">
        <v>11459</v>
      </c>
      <c r="C11360" s="14" t="s">
        <v>13031</v>
      </c>
      <c r="D11360" s="15">
        <v>7.14</v>
      </c>
      <c r="E11360" s="14" t="s">
        <v>20</v>
      </c>
    </row>
    <row r="11361" spans="1:5" x14ac:dyDescent="0.25">
      <c r="A11361" s="14">
        <v>409325</v>
      </c>
      <c r="B11361" s="14" t="s">
        <v>11460</v>
      </c>
      <c r="C11361" s="14" t="s">
        <v>13030</v>
      </c>
      <c r="D11361" s="15">
        <v>6.9</v>
      </c>
      <c r="E11361" s="14" t="s">
        <v>30</v>
      </c>
    </row>
    <row r="11362" spans="1:5" x14ac:dyDescent="0.25">
      <c r="A11362" s="14">
        <v>149241</v>
      </c>
      <c r="B11362" s="14" t="s">
        <v>11461</v>
      </c>
      <c r="C11362" s="14" t="s">
        <v>13031</v>
      </c>
      <c r="D11362" s="15">
        <v>8.82</v>
      </c>
      <c r="E11362" s="14" t="s">
        <v>20</v>
      </c>
    </row>
    <row r="11363" spans="1:5" x14ac:dyDescent="0.25">
      <c r="A11363" s="14">
        <v>789688</v>
      </c>
      <c r="B11363" s="14" t="s">
        <v>11462</v>
      </c>
      <c r="C11363" s="14" t="s">
        <v>13029</v>
      </c>
      <c r="D11363" s="15">
        <v>1.25</v>
      </c>
      <c r="E11363" s="14" t="s">
        <v>30</v>
      </c>
    </row>
    <row r="11364" spans="1:5" x14ac:dyDescent="0.25">
      <c r="A11364" s="14">
        <v>1015939</v>
      </c>
      <c r="B11364" s="14" t="s">
        <v>11463</v>
      </c>
      <c r="C11364" s="14" t="s">
        <v>13029</v>
      </c>
      <c r="D11364" s="15">
        <v>2.65</v>
      </c>
      <c r="E11364" s="14" t="s">
        <v>30</v>
      </c>
    </row>
    <row r="11365" spans="1:5" x14ac:dyDescent="0.25">
      <c r="A11365" s="14">
        <v>149242</v>
      </c>
      <c r="B11365" s="14" t="s">
        <v>11464</v>
      </c>
      <c r="C11365" s="14" t="s">
        <v>13031</v>
      </c>
      <c r="D11365" s="15">
        <v>12.6</v>
      </c>
      <c r="E11365" s="14" t="s">
        <v>20</v>
      </c>
    </row>
    <row r="11366" spans="1:5" x14ac:dyDescent="0.25">
      <c r="A11366" s="14">
        <v>156288</v>
      </c>
      <c r="B11366" s="14" t="s">
        <v>11465</v>
      </c>
      <c r="C11366" s="14" t="s">
        <v>13030</v>
      </c>
      <c r="D11366" s="15">
        <v>21.33</v>
      </c>
      <c r="E11366" s="14" t="s">
        <v>20</v>
      </c>
    </row>
    <row r="11367" spans="1:5" x14ac:dyDescent="0.25">
      <c r="A11367" s="14">
        <v>162053</v>
      </c>
      <c r="B11367" s="14" t="s">
        <v>11466</v>
      </c>
      <c r="C11367" s="14" t="s">
        <v>13031</v>
      </c>
      <c r="D11367" s="15">
        <v>16.18</v>
      </c>
      <c r="E11367" s="14" t="s">
        <v>20</v>
      </c>
    </row>
    <row r="11368" spans="1:5" x14ac:dyDescent="0.25">
      <c r="A11368" s="14">
        <v>167036</v>
      </c>
      <c r="B11368" s="14" t="s">
        <v>11467</v>
      </c>
      <c r="C11368" s="14" t="s">
        <v>13031</v>
      </c>
      <c r="D11368" s="15">
        <v>0.82</v>
      </c>
      <c r="E11368" s="14" t="s">
        <v>20</v>
      </c>
    </row>
    <row r="11369" spans="1:5" x14ac:dyDescent="0.25">
      <c r="A11369" s="14">
        <v>1015946</v>
      </c>
      <c r="B11369" s="14" t="s">
        <v>11468</v>
      </c>
      <c r="C11369" s="14" t="s">
        <v>13029</v>
      </c>
      <c r="D11369" s="15">
        <v>2.5</v>
      </c>
      <c r="E11369" s="14" t="s">
        <v>30</v>
      </c>
    </row>
    <row r="11370" spans="1:5" x14ac:dyDescent="0.25">
      <c r="A11370" s="14">
        <v>177234</v>
      </c>
      <c r="B11370" s="14" t="s">
        <v>11469</v>
      </c>
      <c r="C11370" s="14" t="s">
        <v>13031</v>
      </c>
      <c r="D11370" s="15">
        <v>11.76</v>
      </c>
      <c r="E11370" s="14" t="s">
        <v>20</v>
      </c>
    </row>
    <row r="11371" spans="1:5" x14ac:dyDescent="0.25">
      <c r="A11371" s="14">
        <v>177236</v>
      </c>
      <c r="B11371" s="14" t="s">
        <v>11470</v>
      </c>
      <c r="C11371" s="14" t="s">
        <v>13031</v>
      </c>
      <c r="D11371" s="15">
        <v>11.76</v>
      </c>
      <c r="E11371" s="14" t="s">
        <v>20</v>
      </c>
    </row>
    <row r="11372" spans="1:5" x14ac:dyDescent="0.25">
      <c r="A11372" s="14">
        <v>180973</v>
      </c>
      <c r="B11372" s="14" t="s">
        <v>11471</v>
      </c>
      <c r="C11372" s="14" t="s">
        <v>13031</v>
      </c>
      <c r="D11372" s="15">
        <v>8.41</v>
      </c>
      <c r="E11372" s="14" t="s">
        <v>20</v>
      </c>
    </row>
    <row r="11373" spans="1:5" x14ac:dyDescent="0.25">
      <c r="A11373" s="14">
        <v>190497</v>
      </c>
      <c r="B11373" s="14" t="s">
        <v>11472</v>
      </c>
      <c r="C11373" s="14" t="s">
        <v>13031</v>
      </c>
      <c r="D11373" s="15">
        <v>4.08</v>
      </c>
      <c r="E11373" s="14" t="s">
        <v>20</v>
      </c>
    </row>
    <row r="11374" spans="1:5" x14ac:dyDescent="0.25">
      <c r="A11374" s="14">
        <v>195227</v>
      </c>
      <c r="B11374" s="14" t="s">
        <v>11473</v>
      </c>
      <c r="C11374" s="14" t="s">
        <v>13031</v>
      </c>
      <c r="D11374" s="15">
        <v>3.72</v>
      </c>
      <c r="E11374" s="14" t="s">
        <v>20</v>
      </c>
    </row>
    <row r="11375" spans="1:5" x14ac:dyDescent="0.25">
      <c r="A11375" s="14">
        <v>195230</v>
      </c>
      <c r="B11375" s="14" t="s">
        <v>11474</v>
      </c>
      <c r="C11375" s="14" t="s">
        <v>13031</v>
      </c>
      <c r="D11375" s="15">
        <v>6.87</v>
      </c>
      <c r="E11375" s="14" t="s">
        <v>20</v>
      </c>
    </row>
    <row r="11376" spans="1:5" x14ac:dyDescent="0.25">
      <c r="A11376" s="14">
        <v>200289</v>
      </c>
      <c r="B11376" s="14" t="s">
        <v>11475</v>
      </c>
      <c r="C11376" s="14" t="s">
        <v>13031</v>
      </c>
      <c r="D11376" s="15">
        <v>8.82</v>
      </c>
      <c r="E11376" s="14" t="s">
        <v>20</v>
      </c>
    </row>
    <row r="11377" spans="1:5" x14ac:dyDescent="0.25">
      <c r="A11377" s="14">
        <v>1016152</v>
      </c>
      <c r="B11377" s="14" t="s">
        <v>11476</v>
      </c>
      <c r="C11377" s="14" t="s">
        <v>13029</v>
      </c>
      <c r="D11377" s="15">
        <v>49.77</v>
      </c>
      <c r="E11377" s="14" t="s">
        <v>30</v>
      </c>
    </row>
    <row r="11378" spans="1:5" x14ac:dyDescent="0.25">
      <c r="A11378" s="14">
        <v>203745</v>
      </c>
      <c r="B11378" s="14" t="s">
        <v>11477</v>
      </c>
      <c r="C11378" s="14" t="s">
        <v>13031</v>
      </c>
      <c r="D11378" s="15">
        <v>6.83</v>
      </c>
      <c r="E11378" s="14" t="s">
        <v>20</v>
      </c>
    </row>
    <row r="11379" spans="1:5" x14ac:dyDescent="0.25">
      <c r="A11379" s="14">
        <v>210402</v>
      </c>
      <c r="B11379" s="14" t="s">
        <v>11478</v>
      </c>
      <c r="C11379" s="14" t="s">
        <v>13031</v>
      </c>
      <c r="D11379" s="15">
        <v>10.96</v>
      </c>
      <c r="E11379" s="14" t="s">
        <v>20</v>
      </c>
    </row>
    <row r="11380" spans="1:5" x14ac:dyDescent="0.25">
      <c r="A11380" s="14">
        <v>1016153</v>
      </c>
      <c r="B11380" s="14" t="s">
        <v>11479</v>
      </c>
      <c r="C11380" s="14" t="s">
        <v>13029</v>
      </c>
      <c r="D11380" s="15">
        <v>49.77</v>
      </c>
      <c r="E11380" s="14" t="s">
        <v>30</v>
      </c>
    </row>
    <row r="11381" spans="1:5" x14ac:dyDescent="0.25">
      <c r="A11381" s="14">
        <v>1016156</v>
      </c>
      <c r="B11381" s="14" t="s">
        <v>11480</v>
      </c>
      <c r="C11381" s="14" t="s">
        <v>13029</v>
      </c>
      <c r="D11381" s="15">
        <v>49.77</v>
      </c>
      <c r="E11381" s="14" t="s">
        <v>30</v>
      </c>
    </row>
    <row r="11382" spans="1:5" x14ac:dyDescent="0.25">
      <c r="A11382" s="14">
        <v>223066</v>
      </c>
      <c r="B11382" s="14" t="s">
        <v>11481</v>
      </c>
      <c r="C11382" s="14" t="s">
        <v>13031</v>
      </c>
      <c r="D11382" s="15">
        <v>3.72</v>
      </c>
      <c r="E11382" s="14" t="s">
        <v>20</v>
      </c>
    </row>
    <row r="11383" spans="1:5" x14ac:dyDescent="0.25">
      <c r="A11383" s="14">
        <v>226605</v>
      </c>
      <c r="B11383" s="14" t="s">
        <v>11482</v>
      </c>
      <c r="C11383" s="14" t="s">
        <v>13030</v>
      </c>
      <c r="D11383" s="15">
        <v>23.7</v>
      </c>
      <c r="E11383" s="14" t="s">
        <v>20</v>
      </c>
    </row>
    <row r="11384" spans="1:5" x14ac:dyDescent="0.25">
      <c r="A11384" s="14">
        <v>1016157</v>
      </c>
      <c r="B11384" s="14" t="s">
        <v>11483</v>
      </c>
      <c r="C11384" s="14" t="s">
        <v>13029</v>
      </c>
      <c r="D11384" s="15">
        <v>49.77</v>
      </c>
      <c r="E11384" s="14" t="s">
        <v>30</v>
      </c>
    </row>
    <row r="11385" spans="1:5" x14ac:dyDescent="0.25">
      <c r="A11385" s="14">
        <v>1016684</v>
      </c>
      <c r="B11385" s="14" t="s">
        <v>11484</v>
      </c>
      <c r="C11385" s="14" t="s">
        <v>13029</v>
      </c>
      <c r="D11385" s="15">
        <v>32.65</v>
      </c>
      <c r="E11385" s="14" t="s">
        <v>30</v>
      </c>
    </row>
    <row r="11386" spans="1:5" x14ac:dyDescent="0.25">
      <c r="A11386" s="14">
        <v>1016889</v>
      </c>
      <c r="B11386" s="14" t="s">
        <v>11485</v>
      </c>
      <c r="C11386" s="14" t="s">
        <v>13031</v>
      </c>
      <c r="D11386" s="15">
        <v>5.3</v>
      </c>
      <c r="E11386" s="14" t="s">
        <v>30</v>
      </c>
    </row>
    <row r="11387" spans="1:5" x14ac:dyDescent="0.25">
      <c r="A11387" s="14">
        <v>231674</v>
      </c>
      <c r="B11387" s="14" t="s">
        <v>11486</v>
      </c>
      <c r="C11387" s="14" t="s">
        <v>13030</v>
      </c>
      <c r="D11387" s="15">
        <v>14.08</v>
      </c>
      <c r="E11387" s="14" t="s">
        <v>20</v>
      </c>
    </row>
    <row r="11388" spans="1:5" x14ac:dyDescent="0.25">
      <c r="A11388" s="14">
        <v>236242</v>
      </c>
      <c r="B11388" s="14" t="s">
        <v>11487</v>
      </c>
      <c r="C11388" s="14" t="s">
        <v>13031</v>
      </c>
      <c r="D11388" s="15">
        <v>5.29</v>
      </c>
      <c r="E11388" s="14" t="s">
        <v>20</v>
      </c>
    </row>
    <row r="11389" spans="1:5" x14ac:dyDescent="0.25">
      <c r="A11389" s="14">
        <v>248509</v>
      </c>
      <c r="B11389" s="14" t="s">
        <v>11488</v>
      </c>
      <c r="C11389" s="14" t="s">
        <v>13031</v>
      </c>
      <c r="D11389" s="15">
        <v>7.14</v>
      </c>
      <c r="E11389" s="14" t="s">
        <v>20</v>
      </c>
    </row>
    <row r="11390" spans="1:5" x14ac:dyDescent="0.25">
      <c r="A11390" s="14">
        <v>1016065</v>
      </c>
      <c r="B11390" s="14" t="s">
        <v>11489</v>
      </c>
      <c r="C11390" s="14" t="s">
        <v>13030</v>
      </c>
      <c r="D11390" s="15">
        <v>39.86</v>
      </c>
      <c r="E11390" s="14" t="s">
        <v>30</v>
      </c>
    </row>
    <row r="11391" spans="1:5" x14ac:dyDescent="0.25">
      <c r="A11391" s="14">
        <v>1016333</v>
      </c>
      <c r="B11391" s="14" t="s">
        <v>11490</v>
      </c>
      <c r="C11391" s="14" t="s">
        <v>13030</v>
      </c>
      <c r="D11391" s="15">
        <v>74.75</v>
      </c>
      <c r="E11391" s="14" t="s">
        <v>30</v>
      </c>
    </row>
    <row r="11392" spans="1:5" x14ac:dyDescent="0.25">
      <c r="A11392" s="14">
        <v>260658</v>
      </c>
      <c r="B11392" s="14" t="s">
        <v>11491</v>
      </c>
      <c r="C11392" s="14" t="s">
        <v>13031</v>
      </c>
      <c r="D11392" s="15">
        <v>9.24</v>
      </c>
      <c r="E11392" s="14" t="s">
        <v>20</v>
      </c>
    </row>
    <row r="11393" spans="1:5" x14ac:dyDescent="0.25">
      <c r="A11393" s="14">
        <v>296189</v>
      </c>
      <c r="B11393" s="14" t="s">
        <v>11492</v>
      </c>
      <c r="C11393" s="14" t="s">
        <v>13031</v>
      </c>
      <c r="D11393" s="15">
        <v>2.4</v>
      </c>
      <c r="E11393" s="14" t="s">
        <v>20</v>
      </c>
    </row>
    <row r="11394" spans="1:5" x14ac:dyDescent="0.25">
      <c r="A11394" s="14">
        <v>296190</v>
      </c>
      <c r="B11394" s="14" t="s">
        <v>11493</v>
      </c>
      <c r="C11394" s="14" t="s">
        <v>13031</v>
      </c>
      <c r="D11394" s="15">
        <v>1.34</v>
      </c>
      <c r="E11394" s="14" t="s">
        <v>20</v>
      </c>
    </row>
    <row r="11395" spans="1:5" x14ac:dyDescent="0.25">
      <c r="A11395" s="14">
        <v>298546</v>
      </c>
      <c r="B11395" s="14" t="s">
        <v>11494</v>
      </c>
      <c r="C11395" s="14" t="s">
        <v>13031</v>
      </c>
      <c r="D11395" s="15">
        <v>1.34</v>
      </c>
      <c r="E11395" s="14" t="s">
        <v>20</v>
      </c>
    </row>
    <row r="11396" spans="1:5" x14ac:dyDescent="0.25">
      <c r="A11396" s="14">
        <v>322339</v>
      </c>
      <c r="B11396" s="14" t="s">
        <v>11495</v>
      </c>
      <c r="C11396" s="14" t="s">
        <v>13031</v>
      </c>
      <c r="D11396" s="15">
        <v>7.17</v>
      </c>
      <c r="E11396" s="14" t="s">
        <v>20</v>
      </c>
    </row>
    <row r="11397" spans="1:5" x14ac:dyDescent="0.25">
      <c r="A11397" s="14">
        <v>1016899</v>
      </c>
      <c r="B11397" s="14" t="s">
        <v>11496</v>
      </c>
      <c r="C11397" s="14" t="s">
        <v>13031</v>
      </c>
      <c r="D11397" s="15">
        <v>7.99</v>
      </c>
      <c r="E11397" s="14" t="s">
        <v>30</v>
      </c>
    </row>
    <row r="11398" spans="1:5" x14ac:dyDescent="0.25">
      <c r="A11398" s="14">
        <v>1016900</v>
      </c>
      <c r="B11398" s="14" t="s">
        <v>11497</v>
      </c>
      <c r="C11398" s="14" t="s">
        <v>13031</v>
      </c>
      <c r="D11398" s="15">
        <v>7.55</v>
      </c>
      <c r="E11398" s="14" t="s">
        <v>30</v>
      </c>
    </row>
    <row r="11399" spans="1:5" x14ac:dyDescent="0.25">
      <c r="A11399" s="14">
        <v>1017890002</v>
      </c>
      <c r="B11399" s="14" t="s">
        <v>11498</v>
      </c>
      <c r="C11399" s="14" t="s">
        <v>13030</v>
      </c>
      <c r="D11399" s="15">
        <v>3.52</v>
      </c>
      <c r="E11399" s="14" t="s">
        <v>30</v>
      </c>
    </row>
    <row r="11400" spans="1:5" x14ac:dyDescent="0.25">
      <c r="A11400" s="14">
        <v>461920</v>
      </c>
      <c r="B11400" s="14" t="s">
        <v>11499</v>
      </c>
      <c r="C11400" s="14" t="s">
        <v>13029</v>
      </c>
      <c r="D11400" s="15">
        <v>29.6</v>
      </c>
      <c r="E11400" s="14" t="s">
        <v>30</v>
      </c>
    </row>
    <row r="11401" spans="1:5" x14ac:dyDescent="0.25">
      <c r="A11401" s="14">
        <v>1016149</v>
      </c>
      <c r="B11401" s="14" t="s">
        <v>11500</v>
      </c>
      <c r="C11401" s="14" t="s">
        <v>13029</v>
      </c>
      <c r="D11401" s="15">
        <v>31.96</v>
      </c>
      <c r="E11401" s="14" t="s">
        <v>30</v>
      </c>
    </row>
    <row r="11402" spans="1:5" x14ac:dyDescent="0.25">
      <c r="A11402" s="14">
        <v>322698</v>
      </c>
      <c r="B11402" s="14" t="s">
        <v>11501</v>
      </c>
      <c r="C11402" s="14" t="s">
        <v>13031</v>
      </c>
      <c r="D11402" s="15">
        <v>9.24</v>
      </c>
      <c r="E11402" s="14" t="s">
        <v>20</v>
      </c>
    </row>
    <row r="11403" spans="1:5" x14ac:dyDescent="0.25">
      <c r="A11403" s="14">
        <v>322840</v>
      </c>
      <c r="B11403" s="14" t="s">
        <v>11502</v>
      </c>
      <c r="C11403" s="14" t="s">
        <v>13031</v>
      </c>
      <c r="D11403" s="15">
        <v>3.82</v>
      </c>
      <c r="E11403" s="14" t="s">
        <v>20</v>
      </c>
    </row>
    <row r="11404" spans="1:5" x14ac:dyDescent="0.25">
      <c r="A11404" s="14">
        <v>323217</v>
      </c>
      <c r="B11404" s="14" t="s">
        <v>11503</v>
      </c>
      <c r="C11404" s="14" t="s">
        <v>13031</v>
      </c>
      <c r="D11404" s="15">
        <v>2.23</v>
      </c>
      <c r="E11404" s="14" t="s">
        <v>20</v>
      </c>
    </row>
    <row r="11405" spans="1:5" x14ac:dyDescent="0.25">
      <c r="A11405" s="14">
        <v>326183</v>
      </c>
      <c r="B11405" s="14" t="s">
        <v>11504</v>
      </c>
      <c r="C11405" s="14" t="s">
        <v>13031</v>
      </c>
      <c r="D11405" s="15">
        <v>8.4</v>
      </c>
      <c r="E11405" s="14" t="s">
        <v>20</v>
      </c>
    </row>
    <row r="11406" spans="1:5" x14ac:dyDescent="0.25">
      <c r="A11406" s="14">
        <v>349624</v>
      </c>
      <c r="B11406" s="14" t="s">
        <v>11505</v>
      </c>
      <c r="C11406" s="14" t="s">
        <v>13031</v>
      </c>
      <c r="D11406" s="15">
        <v>3.65</v>
      </c>
      <c r="E11406" s="14" t="s">
        <v>20</v>
      </c>
    </row>
    <row r="11407" spans="1:5" x14ac:dyDescent="0.25">
      <c r="A11407" s="14">
        <v>350402</v>
      </c>
      <c r="B11407" s="14" t="s">
        <v>11506</v>
      </c>
      <c r="C11407" s="14" t="s">
        <v>13031</v>
      </c>
      <c r="D11407" s="15">
        <v>3.28</v>
      </c>
      <c r="E11407" s="14" t="s">
        <v>20</v>
      </c>
    </row>
    <row r="11408" spans="1:5" x14ac:dyDescent="0.25">
      <c r="A11408" s="14">
        <v>350403</v>
      </c>
      <c r="B11408" s="14" t="s">
        <v>11507</v>
      </c>
      <c r="C11408" s="14" t="s">
        <v>13031</v>
      </c>
      <c r="D11408" s="15">
        <v>4.87</v>
      </c>
      <c r="E11408" s="14" t="s">
        <v>20</v>
      </c>
    </row>
    <row r="11409" spans="1:5" x14ac:dyDescent="0.25">
      <c r="A11409" s="14">
        <v>1016150</v>
      </c>
      <c r="B11409" s="14" t="s">
        <v>11508</v>
      </c>
      <c r="C11409" s="14" t="s">
        <v>13029</v>
      </c>
      <c r="D11409" s="15">
        <v>31.96</v>
      </c>
      <c r="E11409" s="14" t="s">
        <v>30</v>
      </c>
    </row>
    <row r="11410" spans="1:5" x14ac:dyDescent="0.25">
      <c r="A11410" s="14">
        <v>1016330</v>
      </c>
      <c r="B11410" s="14" t="s">
        <v>11509</v>
      </c>
      <c r="C11410" s="14" t="s">
        <v>13030</v>
      </c>
      <c r="D11410" s="15">
        <v>79.16</v>
      </c>
      <c r="E11410" s="14" t="s">
        <v>30</v>
      </c>
    </row>
    <row r="11411" spans="1:5" x14ac:dyDescent="0.25">
      <c r="A11411" s="14">
        <v>394611</v>
      </c>
      <c r="B11411" s="14" t="s">
        <v>11510</v>
      </c>
      <c r="C11411" s="14" t="s">
        <v>13037</v>
      </c>
      <c r="D11411" s="15">
        <v>9.16</v>
      </c>
      <c r="E11411" s="14" t="s">
        <v>30</v>
      </c>
    </row>
    <row r="11412" spans="1:5" x14ac:dyDescent="0.25">
      <c r="A11412" s="14">
        <v>353761</v>
      </c>
      <c r="B11412" s="14" t="s">
        <v>11511</v>
      </c>
      <c r="C11412" s="14" t="s">
        <v>13030</v>
      </c>
      <c r="D11412" s="15">
        <v>19.61</v>
      </c>
      <c r="E11412" s="14" t="s">
        <v>20</v>
      </c>
    </row>
    <row r="11413" spans="1:5" x14ac:dyDescent="0.25">
      <c r="A11413" s="14">
        <v>355740</v>
      </c>
      <c r="B11413" s="14" t="s">
        <v>11512</v>
      </c>
      <c r="C11413" s="14" t="s">
        <v>13030</v>
      </c>
      <c r="D11413" s="15">
        <v>28.12</v>
      </c>
      <c r="E11413" s="14" t="s">
        <v>20</v>
      </c>
    </row>
    <row r="11414" spans="1:5" x14ac:dyDescent="0.25">
      <c r="A11414" s="14">
        <v>355741</v>
      </c>
      <c r="B11414" s="14" t="s">
        <v>11513</v>
      </c>
      <c r="C11414" s="14" t="s">
        <v>13030</v>
      </c>
      <c r="D11414" s="15">
        <v>28.12</v>
      </c>
      <c r="E11414" s="14" t="s">
        <v>20</v>
      </c>
    </row>
    <row r="11415" spans="1:5" x14ac:dyDescent="0.25">
      <c r="A11415" s="14">
        <v>356283</v>
      </c>
      <c r="B11415" s="14" t="s">
        <v>11514</v>
      </c>
      <c r="C11415" s="14" t="s">
        <v>13030</v>
      </c>
      <c r="D11415" s="15">
        <v>50.42</v>
      </c>
      <c r="E11415" s="14" t="s">
        <v>20</v>
      </c>
    </row>
    <row r="11416" spans="1:5" x14ac:dyDescent="0.25">
      <c r="A11416" s="14">
        <v>357762</v>
      </c>
      <c r="B11416" s="14" t="s">
        <v>11515</v>
      </c>
      <c r="C11416" s="14" t="s">
        <v>13031</v>
      </c>
      <c r="D11416" s="15">
        <v>9.4</v>
      </c>
      <c r="E11416" s="14" t="s">
        <v>20</v>
      </c>
    </row>
    <row r="11417" spans="1:5" x14ac:dyDescent="0.25">
      <c r="A11417" s="14">
        <v>360662</v>
      </c>
      <c r="B11417" s="14" t="s">
        <v>11516</v>
      </c>
      <c r="C11417" s="14" t="s">
        <v>13030</v>
      </c>
      <c r="D11417" s="15">
        <v>23.61</v>
      </c>
      <c r="E11417" s="14" t="s">
        <v>20</v>
      </c>
    </row>
    <row r="11418" spans="1:5" x14ac:dyDescent="0.25">
      <c r="A11418" s="14">
        <v>360663</v>
      </c>
      <c r="B11418" s="14" t="s">
        <v>11517</v>
      </c>
      <c r="C11418" s="14" t="s">
        <v>13030</v>
      </c>
      <c r="D11418" s="15">
        <v>23.61</v>
      </c>
      <c r="E11418" s="14" t="s">
        <v>20</v>
      </c>
    </row>
    <row r="11419" spans="1:5" x14ac:dyDescent="0.25">
      <c r="A11419" s="14">
        <v>990608</v>
      </c>
      <c r="B11419" s="14" t="s">
        <v>11518</v>
      </c>
      <c r="C11419" s="14" t="s">
        <v>13033</v>
      </c>
      <c r="D11419" s="15">
        <v>11.21</v>
      </c>
      <c r="E11419" s="14" t="s">
        <v>30</v>
      </c>
    </row>
    <row r="11420" spans="1:5" x14ac:dyDescent="0.25">
      <c r="A11420" s="14">
        <v>1017228</v>
      </c>
      <c r="B11420" s="14" t="s">
        <v>11519</v>
      </c>
      <c r="C11420" s="14" t="s">
        <v>13031</v>
      </c>
      <c r="D11420" s="15">
        <v>19.5</v>
      </c>
      <c r="E11420" s="14" t="s">
        <v>30</v>
      </c>
    </row>
    <row r="11421" spans="1:5" x14ac:dyDescent="0.25">
      <c r="A11421" s="14">
        <v>367637</v>
      </c>
      <c r="B11421" s="14" t="s">
        <v>11520</v>
      </c>
      <c r="C11421" s="14" t="s">
        <v>13030</v>
      </c>
      <c r="D11421" s="15">
        <v>20.97</v>
      </c>
      <c r="E11421" s="14" t="s">
        <v>20</v>
      </c>
    </row>
    <row r="11422" spans="1:5" x14ac:dyDescent="0.25">
      <c r="A11422" s="14">
        <v>367913</v>
      </c>
      <c r="B11422" s="14" t="s">
        <v>11521</v>
      </c>
      <c r="C11422" s="14" t="s">
        <v>13031</v>
      </c>
      <c r="D11422" s="15">
        <v>15.55</v>
      </c>
      <c r="E11422" s="14" t="s">
        <v>20</v>
      </c>
    </row>
    <row r="11423" spans="1:5" x14ac:dyDescent="0.25">
      <c r="A11423" s="14">
        <v>367914</v>
      </c>
      <c r="B11423" s="14" t="s">
        <v>11522</v>
      </c>
      <c r="C11423" s="14" t="s">
        <v>13031</v>
      </c>
      <c r="D11423" s="15">
        <v>15.55</v>
      </c>
      <c r="E11423" s="14" t="s">
        <v>20</v>
      </c>
    </row>
    <row r="11424" spans="1:5" x14ac:dyDescent="0.25">
      <c r="A11424" s="14">
        <v>367916</v>
      </c>
      <c r="B11424" s="14" t="s">
        <v>11523</v>
      </c>
      <c r="C11424" s="14" t="s">
        <v>13031</v>
      </c>
      <c r="D11424" s="15">
        <v>5.46</v>
      </c>
      <c r="E11424" s="14" t="s">
        <v>20</v>
      </c>
    </row>
    <row r="11425" spans="1:5" x14ac:dyDescent="0.25">
      <c r="A11425" s="14">
        <v>1017936</v>
      </c>
      <c r="B11425" s="14" t="s">
        <v>11524</v>
      </c>
      <c r="C11425" s="14" t="s">
        <v>13029</v>
      </c>
      <c r="D11425" s="15">
        <v>41.53</v>
      </c>
      <c r="E11425" s="14" t="s">
        <v>30</v>
      </c>
    </row>
    <row r="11426" spans="1:5" x14ac:dyDescent="0.25">
      <c r="A11426" s="14">
        <v>379162</v>
      </c>
      <c r="B11426" s="14" t="s">
        <v>11525</v>
      </c>
      <c r="C11426" s="14" t="s">
        <v>13031</v>
      </c>
      <c r="D11426" s="15">
        <v>1.0900000000000001</v>
      </c>
      <c r="E11426" s="14" t="s">
        <v>20</v>
      </c>
    </row>
    <row r="11427" spans="1:5" x14ac:dyDescent="0.25">
      <c r="A11427" s="14">
        <v>1017937</v>
      </c>
      <c r="B11427" s="14" t="s">
        <v>11526</v>
      </c>
      <c r="C11427" s="14" t="s">
        <v>13029</v>
      </c>
      <c r="D11427" s="15">
        <v>31.44</v>
      </c>
      <c r="E11427" s="14" t="s">
        <v>30</v>
      </c>
    </row>
    <row r="11428" spans="1:5" x14ac:dyDescent="0.25">
      <c r="A11428" s="14">
        <v>1017973</v>
      </c>
      <c r="B11428" s="14" t="s">
        <v>11527</v>
      </c>
      <c r="C11428" s="14" t="s">
        <v>13029</v>
      </c>
      <c r="D11428" s="15">
        <v>26.78</v>
      </c>
      <c r="E11428" s="14" t="s">
        <v>30</v>
      </c>
    </row>
    <row r="11429" spans="1:5" x14ac:dyDescent="0.25">
      <c r="A11429" s="14">
        <v>1018962</v>
      </c>
      <c r="B11429" s="14" t="s">
        <v>11528</v>
      </c>
      <c r="C11429" s="14" t="s">
        <v>13031</v>
      </c>
      <c r="D11429" s="15">
        <v>12.89</v>
      </c>
      <c r="E11429" s="14" t="s">
        <v>30</v>
      </c>
    </row>
    <row r="11430" spans="1:5" x14ac:dyDescent="0.25">
      <c r="A11430" s="14">
        <v>379163</v>
      </c>
      <c r="B11430" s="14" t="s">
        <v>11529</v>
      </c>
      <c r="C11430" s="14" t="s">
        <v>13031</v>
      </c>
      <c r="D11430" s="15">
        <v>1.0900000000000001</v>
      </c>
      <c r="E11430" s="14" t="s">
        <v>20</v>
      </c>
    </row>
    <row r="11431" spans="1:5" x14ac:dyDescent="0.25">
      <c r="A11431" s="14">
        <v>379164</v>
      </c>
      <c r="B11431" s="14" t="s">
        <v>11530</v>
      </c>
      <c r="C11431" s="14" t="s">
        <v>13031</v>
      </c>
      <c r="D11431" s="15">
        <v>1.0900000000000001</v>
      </c>
      <c r="E11431" s="14" t="s">
        <v>20</v>
      </c>
    </row>
    <row r="11432" spans="1:5" x14ac:dyDescent="0.25">
      <c r="A11432" s="14">
        <v>379166</v>
      </c>
      <c r="B11432" s="14" t="s">
        <v>11531</v>
      </c>
      <c r="C11432" s="14" t="s">
        <v>13031</v>
      </c>
      <c r="D11432" s="15">
        <v>1.0900000000000001</v>
      </c>
      <c r="E11432" s="14" t="s">
        <v>20</v>
      </c>
    </row>
    <row r="11433" spans="1:5" x14ac:dyDescent="0.25">
      <c r="A11433" s="14">
        <v>383141</v>
      </c>
      <c r="B11433" s="14" t="s">
        <v>11532</v>
      </c>
      <c r="C11433" s="14" t="s">
        <v>13031</v>
      </c>
      <c r="D11433" s="15">
        <v>6.1</v>
      </c>
      <c r="E11433" s="14" t="s">
        <v>20</v>
      </c>
    </row>
    <row r="11434" spans="1:5" x14ac:dyDescent="0.25">
      <c r="A11434" s="14">
        <v>535156</v>
      </c>
      <c r="B11434" s="14" t="s">
        <v>11533</v>
      </c>
      <c r="C11434" s="14" t="s">
        <v>13030</v>
      </c>
      <c r="D11434" s="15">
        <v>29.31</v>
      </c>
      <c r="E11434" s="14" t="s">
        <v>30</v>
      </c>
    </row>
    <row r="11435" spans="1:5" x14ac:dyDescent="0.25">
      <c r="A11435" s="14">
        <v>564436</v>
      </c>
      <c r="B11435" s="14" t="s">
        <v>11534</v>
      </c>
      <c r="C11435" s="14" t="s">
        <v>13030</v>
      </c>
      <c r="D11435" s="15">
        <v>34.49</v>
      </c>
      <c r="E11435" s="14" t="s">
        <v>30</v>
      </c>
    </row>
    <row r="11436" spans="1:5" x14ac:dyDescent="0.25">
      <c r="A11436" s="14">
        <v>1014996</v>
      </c>
      <c r="B11436" s="14" t="s">
        <v>11535</v>
      </c>
      <c r="C11436" s="14" t="s">
        <v>13029</v>
      </c>
      <c r="D11436" s="15">
        <v>37.31</v>
      </c>
      <c r="E11436" s="14" t="s">
        <v>30</v>
      </c>
    </row>
    <row r="11437" spans="1:5" x14ac:dyDescent="0.25">
      <c r="A11437" s="14">
        <v>387272</v>
      </c>
      <c r="B11437" s="14" t="s">
        <v>11536</v>
      </c>
      <c r="C11437" s="14" t="s">
        <v>13031</v>
      </c>
      <c r="D11437" s="15">
        <v>5.76</v>
      </c>
      <c r="E11437" s="14" t="s">
        <v>20</v>
      </c>
    </row>
    <row r="11438" spans="1:5" x14ac:dyDescent="0.25">
      <c r="A11438" s="14">
        <v>392949</v>
      </c>
      <c r="B11438" s="14" t="s">
        <v>11537</v>
      </c>
      <c r="C11438" s="14" t="s">
        <v>13031</v>
      </c>
      <c r="D11438" s="15">
        <v>1.5</v>
      </c>
      <c r="E11438" s="14" t="s">
        <v>20</v>
      </c>
    </row>
    <row r="11439" spans="1:5" x14ac:dyDescent="0.25">
      <c r="A11439" s="14">
        <v>394694</v>
      </c>
      <c r="B11439" s="14" t="s">
        <v>11538</v>
      </c>
      <c r="C11439" s="14" t="s">
        <v>13030</v>
      </c>
      <c r="D11439" s="15">
        <v>14.27</v>
      </c>
      <c r="E11439" s="14" t="s">
        <v>20</v>
      </c>
    </row>
    <row r="11440" spans="1:5" x14ac:dyDescent="0.25">
      <c r="A11440" s="14">
        <v>394700</v>
      </c>
      <c r="B11440" s="14" t="s">
        <v>11539</v>
      </c>
      <c r="C11440" s="14" t="s">
        <v>13030</v>
      </c>
      <c r="D11440" s="15">
        <v>10.76</v>
      </c>
      <c r="E11440" s="14" t="s">
        <v>20</v>
      </c>
    </row>
    <row r="11441" spans="1:5" x14ac:dyDescent="0.25">
      <c r="A11441" s="14">
        <v>1016551</v>
      </c>
      <c r="B11441" s="14" t="s">
        <v>11540</v>
      </c>
      <c r="C11441" s="14" t="s">
        <v>13029</v>
      </c>
      <c r="D11441" s="15">
        <v>39.090000000000003</v>
      </c>
      <c r="E11441" s="14" t="s">
        <v>30</v>
      </c>
    </row>
    <row r="11442" spans="1:5" x14ac:dyDescent="0.25">
      <c r="A11442" s="14">
        <v>1018029</v>
      </c>
      <c r="B11442" s="14" t="s">
        <v>11541</v>
      </c>
      <c r="C11442" s="14" t="s">
        <v>13029</v>
      </c>
      <c r="D11442" s="15">
        <v>7</v>
      </c>
      <c r="E11442" s="14" t="s">
        <v>30</v>
      </c>
    </row>
    <row r="11443" spans="1:5" x14ac:dyDescent="0.25">
      <c r="A11443" s="14">
        <v>402747</v>
      </c>
      <c r="B11443" s="14" t="s">
        <v>11542</v>
      </c>
      <c r="C11443" s="14" t="s">
        <v>13031</v>
      </c>
      <c r="D11443" s="15">
        <v>8.57</v>
      </c>
      <c r="E11443" s="14" t="s">
        <v>20</v>
      </c>
    </row>
    <row r="11444" spans="1:5" x14ac:dyDescent="0.25">
      <c r="A11444" s="14">
        <v>403037</v>
      </c>
      <c r="B11444" s="14" t="s">
        <v>11543</v>
      </c>
      <c r="C11444" s="14" t="s">
        <v>13031</v>
      </c>
      <c r="D11444" s="15">
        <v>6.2</v>
      </c>
      <c r="E11444" s="14" t="s">
        <v>20</v>
      </c>
    </row>
    <row r="11445" spans="1:5" x14ac:dyDescent="0.25">
      <c r="A11445" s="14">
        <v>403038</v>
      </c>
      <c r="B11445" s="14" t="s">
        <v>11544</v>
      </c>
      <c r="C11445" s="14" t="s">
        <v>13031</v>
      </c>
      <c r="D11445" s="15">
        <v>7.4</v>
      </c>
      <c r="E11445" s="14" t="s">
        <v>20</v>
      </c>
    </row>
    <row r="11446" spans="1:5" x14ac:dyDescent="0.25">
      <c r="A11446" s="14">
        <v>421839</v>
      </c>
      <c r="B11446" s="14" t="s">
        <v>11545</v>
      </c>
      <c r="C11446" s="14" t="s">
        <v>13030</v>
      </c>
      <c r="D11446" s="15">
        <v>24.33</v>
      </c>
      <c r="E11446" s="14" t="s">
        <v>20</v>
      </c>
    </row>
    <row r="11447" spans="1:5" x14ac:dyDescent="0.25">
      <c r="A11447" s="14">
        <v>424933</v>
      </c>
      <c r="B11447" s="14" t="s">
        <v>11546</v>
      </c>
      <c r="C11447" s="14" t="s">
        <v>13031</v>
      </c>
      <c r="D11447" s="15">
        <v>2.93</v>
      </c>
      <c r="E11447" s="14" t="s">
        <v>20</v>
      </c>
    </row>
    <row r="11448" spans="1:5" x14ac:dyDescent="0.25">
      <c r="A11448" s="14">
        <v>430042</v>
      </c>
      <c r="B11448" s="14" t="s">
        <v>11547</v>
      </c>
      <c r="C11448" s="14" t="s">
        <v>13031</v>
      </c>
      <c r="D11448" s="15">
        <v>5.79</v>
      </c>
      <c r="E11448" s="14" t="s">
        <v>20</v>
      </c>
    </row>
    <row r="11449" spans="1:5" x14ac:dyDescent="0.25">
      <c r="A11449" s="14">
        <v>437848</v>
      </c>
      <c r="B11449" s="14" t="s">
        <v>11548</v>
      </c>
      <c r="C11449" s="14" t="s">
        <v>13031</v>
      </c>
      <c r="D11449" s="15">
        <v>7.96</v>
      </c>
      <c r="E11449" s="14" t="s">
        <v>20</v>
      </c>
    </row>
    <row r="11450" spans="1:5" x14ac:dyDescent="0.25">
      <c r="A11450" s="14">
        <v>437895</v>
      </c>
      <c r="B11450" s="14" t="s">
        <v>11549</v>
      </c>
      <c r="C11450" s="14" t="s">
        <v>13031</v>
      </c>
      <c r="D11450" s="15">
        <v>7.96</v>
      </c>
      <c r="E11450" s="14" t="s">
        <v>20</v>
      </c>
    </row>
    <row r="11451" spans="1:5" x14ac:dyDescent="0.25">
      <c r="A11451" s="14">
        <v>439141</v>
      </c>
      <c r="B11451" s="14" t="s">
        <v>11550</v>
      </c>
      <c r="C11451" s="14" t="s">
        <v>13031</v>
      </c>
      <c r="D11451" s="15">
        <v>5.29</v>
      </c>
      <c r="E11451" s="14" t="s">
        <v>20</v>
      </c>
    </row>
    <row r="11452" spans="1:5" x14ac:dyDescent="0.25">
      <c r="A11452" s="14">
        <v>439169</v>
      </c>
      <c r="B11452" s="14" t="s">
        <v>11551</v>
      </c>
      <c r="C11452" s="14" t="s">
        <v>13031</v>
      </c>
      <c r="D11452" s="15">
        <v>5.14</v>
      </c>
      <c r="E11452" s="14" t="s">
        <v>20</v>
      </c>
    </row>
    <row r="11453" spans="1:5" x14ac:dyDescent="0.25">
      <c r="A11453" s="14">
        <v>439170</v>
      </c>
      <c r="B11453" s="14" t="s">
        <v>11552</v>
      </c>
      <c r="C11453" s="14" t="s">
        <v>13031</v>
      </c>
      <c r="D11453" s="15">
        <v>5.14</v>
      </c>
      <c r="E11453" s="14" t="s">
        <v>20</v>
      </c>
    </row>
    <row r="11454" spans="1:5" x14ac:dyDescent="0.25">
      <c r="A11454" s="14">
        <v>439246</v>
      </c>
      <c r="B11454" s="14" t="s">
        <v>11553</v>
      </c>
      <c r="C11454" s="14" t="s">
        <v>13031</v>
      </c>
      <c r="D11454" s="15">
        <v>3.97</v>
      </c>
      <c r="E11454" s="14" t="s">
        <v>20</v>
      </c>
    </row>
    <row r="11455" spans="1:5" x14ac:dyDescent="0.25">
      <c r="A11455" s="14">
        <v>439249</v>
      </c>
      <c r="B11455" s="14" t="s">
        <v>11554</v>
      </c>
      <c r="C11455" s="14" t="s">
        <v>13031</v>
      </c>
      <c r="D11455" s="15">
        <v>6.41</v>
      </c>
      <c r="E11455" s="14" t="s">
        <v>20</v>
      </c>
    </row>
    <row r="11456" spans="1:5" x14ac:dyDescent="0.25">
      <c r="A11456" s="14">
        <v>441465</v>
      </c>
      <c r="B11456" s="14" t="s">
        <v>11555</v>
      </c>
      <c r="C11456" s="14" t="s">
        <v>13031</v>
      </c>
      <c r="D11456" s="15">
        <v>15.38</v>
      </c>
      <c r="E11456" s="14" t="s">
        <v>20</v>
      </c>
    </row>
    <row r="11457" spans="1:5" x14ac:dyDescent="0.25">
      <c r="A11457" s="14">
        <v>441472</v>
      </c>
      <c r="B11457" s="14" t="s">
        <v>11556</v>
      </c>
      <c r="C11457" s="14" t="s">
        <v>13031</v>
      </c>
      <c r="D11457" s="15">
        <v>13.25</v>
      </c>
      <c r="E11457" s="14" t="s">
        <v>20</v>
      </c>
    </row>
    <row r="11458" spans="1:5" x14ac:dyDescent="0.25">
      <c r="A11458" s="14">
        <v>441475</v>
      </c>
      <c r="B11458" s="14" t="s">
        <v>11557</v>
      </c>
      <c r="C11458" s="14" t="s">
        <v>13031</v>
      </c>
      <c r="D11458" s="15">
        <v>16.829999999999998</v>
      </c>
      <c r="E11458" s="14" t="s">
        <v>20</v>
      </c>
    </row>
    <row r="11459" spans="1:5" x14ac:dyDescent="0.25">
      <c r="A11459" s="14">
        <v>1018030</v>
      </c>
      <c r="B11459" s="14" t="s">
        <v>11558</v>
      </c>
      <c r="C11459" s="14" t="s">
        <v>13029</v>
      </c>
      <c r="D11459" s="15">
        <v>2.8</v>
      </c>
      <c r="E11459" s="14" t="s">
        <v>30</v>
      </c>
    </row>
    <row r="11460" spans="1:5" x14ac:dyDescent="0.25">
      <c r="A11460" s="14">
        <v>1018033</v>
      </c>
      <c r="B11460" s="14" t="s">
        <v>11559</v>
      </c>
      <c r="C11460" s="14" t="s">
        <v>13029</v>
      </c>
      <c r="D11460" s="15">
        <v>9.8000000000000007</v>
      </c>
      <c r="E11460" s="14" t="s">
        <v>30</v>
      </c>
    </row>
    <row r="11461" spans="1:5" x14ac:dyDescent="0.25">
      <c r="A11461" s="14">
        <v>441476</v>
      </c>
      <c r="B11461" s="14" t="s">
        <v>11560</v>
      </c>
      <c r="C11461" s="14" t="s">
        <v>13031</v>
      </c>
      <c r="D11461" s="15">
        <v>8.64</v>
      </c>
      <c r="E11461" s="14" t="s">
        <v>20</v>
      </c>
    </row>
    <row r="11462" spans="1:5" x14ac:dyDescent="0.25">
      <c r="A11462" s="14">
        <v>443905</v>
      </c>
      <c r="B11462" s="14" t="s">
        <v>11561</v>
      </c>
      <c r="C11462" s="14" t="s">
        <v>13031</v>
      </c>
      <c r="D11462" s="15">
        <v>5.68</v>
      </c>
      <c r="E11462" s="14" t="s">
        <v>20</v>
      </c>
    </row>
    <row r="11463" spans="1:5" x14ac:dyDescent="0.25">
      <c r="A11463" s="14">
        <v>458844</v>
      </c>
      <c r="B11463" s="14" t="s">
        <v>11562</v>
      </c>
      <c r="C11463" s="14" t="s">
        <v>13031</v>
      </c>
      <c r="D11463" s="15">
        <v>6.5</v>
      </c>
      <c r="E11463" s="14" t="s">
        <v>20</v>
      </c>
    </row>
    <row r="11464" spans="1:5" x14ac:dyDescent="0.25">
      <c r="A11464" s="14">
        <v>458859</v>
      </c>
      <c r="B11464" s="14" t="s">
        <v>11563</v>
      </c>
      <c r="C11464" s="14" t="s">
        <v>13031</v>
      </c>
      <c r="D11464" s="15">
        <v>5.34</v>
      </c>
      <c r="E11464" s="14" t="s">
        <v>20</v>
      </c>
    </row>
    <row r="11465" spans="1:5" x14ac:dyDescent="0.25">
      <c r="A11465" s="14">
        <v>463251</v>
      </c>
      <c r="B11465" s="14" t="s">
        <v>11564</v>
      </c>
      <c r="C11465" s="14" t="s">
        <v>13031</v>
      </c>
      <c r="D11465" s="15">
        <v>17.43</v>
      </c>
      <c r="E11465" s="14" t="s">
        <v>20</v>
      </c>
    </row>
    <row r="11466" spans="1:5" x14ac:dyDescent="0.25">
      <c r="A11466" s="14">
        <v>464292</v>
      </c>
      <c r="B11466" s="14" t="s">
        <v>11565</v>
      </c>
      <c r="C11466" s="14" t="s">
        <v>13030</v>
      </c>
      <c r="D11466" s="15">
        <v>38.5</v>
      </c>
      <c r="E11466" s="14" t="s">
        <v>20</v>
      </c>
    </row>
    <row r="11467" spans="1:5" x14ac:dyDescent="0.25">
      <c r="A11467" s="14">
        <v>468808</v>
      </c>
      <c r="B11467" s="14" t="s">
        <v>11566</v>
      </c>
      <c r="C11467" s="14" t="s">
        <v>13031</v>
      </c>
      <c r="D11467" s="15">
        <v>1.78</v>
      </c>
      <c r="E11467" s="14" t="s">
        <v>20</v>
      </c>
    </row>
    <row r="11468" spans="1:5" x14ac:dyDescent="0.25">
      <c r="A11468" s="14">
        <v>469516</v>
      </c>
      <c r="B11468" s="14" t="s">
        <v>11567</v>
      </c>
      <c r="C11468" s="14" t="s">
        <v>13031</v>
      </c>
      <c r="D11468" s="15">
        <v>7.38</v>
      </c>
      <c r="E11468" s="14" t="s">
        <v>20</v>
      </c>
    </row>
    <row r="11469" spans="1:5" x14ac:dyDescent="0.25">
      <c r="A11469" s="14">
        <v>1018034</v>
      </c>
      <c r="B11469" s="14" t="s">
        <v>11568</v>
      </c>
      <c r="C11469" s="14" t="s">
        <v>13029</v>
      </c>
      <c r="D11469" s="15">
        <v>6.8</v>
      </c>
      <c r="E11469" s="14" t="s">
        <v>30</v>
      </c>
    </row>
    <row r="11470" spans="1:5" x14ac:dyDescent="0.25">
      <c r="A11470" s="14">
        <v>1018037</v>
      </c>
      <c r="B11470" s="14" t="s">
        <v>11569</v>
      </c>
      <c r="C11470" s="14" t="s">
        <v>13029</v>
      </c>
      <c r="D11470" s="15">
        <v>9.3000000000000007</v>
      </c>
      <c r="E11470" s="14" t="s">
        <v>30</v>
      </c>
    </row>
    <row r="11471" spans="1:5" x14ac:dyDescent="0.25">
      <c r="A11471" s="14">
        <v>1018038</v>
      </c>
      <c r="B11471" s="14" t="s">
        <v>11570</v>
      </c>
      <c r="C11471" s="14" t="s">
        <v>13029</v>
      </c>
      <c r="D11471" s="15">
        <v>6</v>
      </c>
      <c r="E11471" s="14" t="s">
        <v>30</v>
      </c>
    </row>
    <row r="11472" spans="1:5" x14ac:dyDescent="0.25">
      <c r="A11472" s="14">
        <v>1018267</v>
      </c>
      <c r="B11472" s="14" t="s">
        <v>11571</v>
      </c>
      <c r="C11472" s="14" t="s">
        <v>13031</v>
      </c>
      <c r="D11472" s="15">
        <v>8.83</v>
      </c>
      <c r="E11472" s="14" t="s">
        <v>30</v>
      </c>
    </row>
    <row r="11473" spans="1:5" x14ac:dyDescent="0.25">
      <c r="A11473" s="14">
        <v>1018268</v>
      </c>
      <c r="B11473" s="14" t="s">
        <v>11572</v>
      </c>
      <c r="C11473" s="14" t="s">
        <v>13031</v>
      </c>
      <c r="D11473" s="15">
        <v>8.83</v>
      </c>
      <c r="E11473" s="14" t="s">
        <v>30</v>
      </c>
    </row>
    <row r="11474" spans="1:5" x14ac:dyDescent="0.25">
      <c r="A11474" s="14">
        <v>1018658</v>
      </c>
      <c r="B11474" s="14" t="s">
        <v>11573</v>
      </c>
      <c r="C11474" s="14" t="s">
        <v>13029</v>
      </c>
      <c r="D11474" s="15">
        <v>10.95</v>
      </c>
      <c r="E11474" s="14" t="s">
        <v>30</v>
      </c>
    </row>
    <row r="11475" spans="1:5" x14ac:dyDescent="0.25">
      <c r="A11475" s="14">
        <v>1019036</v>
      </c>
      <c r="B11475" s="14" t="s">
        <v>11574</v>
      </c>
      <c r="C11475" s="14" t="s">
        <v>13029</v>
      </c>
      <c r="D11475" s="15">
        <v>23.73</v>
      </c>
      <c r="E11475" s="14" t="s">
        <v>30</v>
      </c>
    </row>
    <row r="11476" spans="1:5" x14ac:dyDescent="0.25">
      <c r="A11476" s="14">
        <v>1019085</v>
      </c>
      <c r="B11476" s="14" t="s">
        <v>11575</v>
      </c>
      <c r="C11476" s="14" t="s">
        <v>13031</v>
      </c>
      <c r="D11476" s="15">
        <v>6.31</v>
      </c>
      <c r="E11476" s="14" t="s">
        <v>30</v>
      </c>
    </row>
    <row r="11477" spans="1:5" x14ac:dyDescent="0.25">
      <c r="A11477" s="14">
        <v>473804</v>
      </c>
      <c r="B11477" s="14" t="s">
        <v>11576</v>
      </c>
      <c r="C11477" s="14" t="s">
        <v>13031</v>
      </c>
      <c r="D11477" s="15">
        <v>3.13</v>
      </c>
      <c r="E11477" s="14" t="s">
        <v>20</v>
      </c>
    </row>
    <row r="11478" spans="1:5" x14ac:dyDescent="0.25">
      <c r="A11478" s="14">
        <v>473815</v>
      </c>
      <c r="B11478" s="14" t="s">
        <v>11577</v>
      </c>
      <c r="C11478" s="14" t="s">
        <v>13031</v>
      </c>
      <c r="D11478" s="15">
        <v>7.82</v>
      </c>
      <c r="E11478" s="14" t="s">
        <v>20</v>
      </c>
    </row>
    <row r="11479" spans="1:5" x14ac:dyDescent="0.25">
      <c r="A11479" s="14">
        <v>473816</v>
      </c>
      <c r="B11479" s="14" t="s">
        <v>11578</v>
      </c>
      <c r="C11479" s="14" t="s">
        <v>13031</v>
      </c>
      <c r="D11479" s="15">
        <v>3.13</v>
      </c>
      <c r="E11479" s="14" t="s">
        <v>20</v>
      </c>
    </row>
    <row r="11480" spans="1:5" x14ac:dyDescent="0.25">
      <c r="A11480" s="14">
        <v>1019335</v>
      </c>
      <c r="B11480" s="14" t="s">
        <v>11579</v>
      </c>
      <c r="C11480" s="14" t="s">
        <v>13031</v>
      </c>
      <c r="D11480" s="15">
        <v>3.56</v>
      </c>
      <c r="E11480" s="14" t="s">
        <v>30</v>
      </c>
    </row>
    <row r="11481" spans="1:5" x14ac:dyDescent="0.25">
      <c r="A11481" s="14">
        <v>475902</v>
      </c>
      <c r="B11481" s="14" t="s">
        <v>11580</v>
      </c>
      <c r="C11481" s="14" t="s">
        <v>13031</v>
      </c>
      <c r="D11481" s="15">
        <v>6.78</v>
      </c>
      <c r="E11481" s="14" t="s">
        <v>20</v>
      </c>
    </row>
    <row r="11482" spans="1:5" x14ac:dyDescent="0.25">
      <c r="A11482" s="14">
        <v>485914</v>
      </c>
      <c r="B11482" s="14" t="s">
        <v>11581</v>
      </c>
      <c r="C11482" s="14" t="s">
        <v>13031</v>
      </c>
      <c r="D11482" s="15">
        <v>2.97</v>
      </c>
      <c r="E11482" s="14" t="s">
        <v>20</v>
      </c>
    </row>
    <row r="11483" spans="1:5" x14ac:dyDescent="0.25">
      <c r="A11483" s="14">
        <v>485927</v>
      </c>
      <c r="B11483" s="14" t="s">
        <v>11582</v>
      </c>
      <c r="C11483" s="14" t="s">
        <v>13031</v>
      </c>
      <c r="D11483" s="15">
        <v>7.62</v>
      </c>
      <c r="E11483" s="14" t="s">
        <v>20</v>
      </c>
    </row>
    <row r="11484" spans="1:5" x14ac:dyDescent="0.25">
      <c r="A11484" s="14">
        <v>485928</v>
      </c>
      <c r="B11484" s="14" t="s">
        <v>11583</v>
      </c>
      <c r="C11484" s="14" t="s">
        <v>13031</v>
      </c>
      <c r="D11484" s="15">
        <v>5.08</v>
      </c>
      <c r="E11484" s="14" t="s">
        <v>20</v>
      </c>
    </row>
    <row r="11485" spans="1:5" x14ac:dyDescent="0.25">
      <c r="A11485" s="14">
        <v>487387</v>
      </c>
      <c r="B11485" s="14" t="s">
        <v>11584</v>
      </c>
      <c r="C11485" s="14" t="s">
        <v>13031</v>
      </c>
      <c r="D11485" s="15">
        <v>4.2300000000000004</v>
      </c>
      <c r="E11485" s="14" t="s">
        <v>20</v>
      </c>
    </row>
    <row r="11486" spans="1:5" x14ac:dyDescent="0.25">
      <c r="A11486" s="14">
        <v>487388</v>
      </c>
      <c r="B11486" s="14" t="s">
        <v>11585</v>
      </c>
      <c r="C11486" s="14" t="s">
        <v>13031</v>
      </c>
      <c r="D11486" s="15">
        <v>4.2300000000000004</v>
      </c>
      <c r="E11486" s="14" t="s">
        <v>20</v>
      </c>
    </row>
    <row r="11487" spans="1:5" x14ac:dyDescent="0.25">
      <c r="A11487" s="14">
        <v>491563</v>
      </c>
      <c r="B11487" s="14" t="s">
        <v>11586</v>
      </c>
      <c r="C11487" s="14" t="s">
        <v>13031</v>
      </c>
      <c r="D11487" s="15">
        <v>6.5</v>
      </c>
      <c r="E11487" s="14" t="s">
        <v>20</v>
      </c>
    </row>
    <row r="11488" spans="1:5" x14ac:dyDescent="0.25">
      <c r="A11488" s="14">
        <v>491564</v>
      </c>
      <c r="B11488" s="14" t="s">
        <v>11587</v>
      </c>
      <c r="C11488" s="14" t="s">
        <v>13031</v>
      </c>
      <c r="D11488" s="15">
        <v>4.7</v>
      </c>
      <c r="E11488" s="14" t="s">
        <v>20</v>
      </c>
    </row>
    <row r="11489" spans="1:5" x14ac:dyDescent="0.25">
      <c r="A11489" s="14">
        <v>491572</v>
      </c>
      <c r="B11489" s="14" t="s">
        <v>11588</v>
      </c>
      <c r="C11489" s="14" t="s">
        <v>13031</v>
      </c>
      <c r="D11489" s="15">
        <v>4.7</v>
      </c>
      <c r="E11489" s="14" t="s">
        <v>20</v>
      </c>
    </row>
    <row r="11490" spans="1:5" x14ac:dyDescent="0.25">
      <c r="A11490" s="14">
        <v>495190</v>
      </c>
      <c r="B11490" s="14" t="s">
        <v>11589</v>
      </c>
      <c r="C11490" s="14" t="s">
        <v>13031</v>
      </c>
      <c r="D11490" s="15">
        <v>2.1</v>
      </c>
      <c r="E11490" s="14" t="s">
        <v>20</v>
      </c>
    </row>
    <row r="11491" spans="1:5" x14ac:dyDescent="0.25">
      <c r="A11491" s="14">
        <v>495191</v>
      </c>
      <c r="B11491" s="14" t="s">
        <v>11590</v>
      </c>
      <c r="C11491" s="14" t="s">
        <v>13031</v>
      </c>
      <c r="D11491" s="15">
        <v>2.1</v>
      </c>
      <c r="E11491" s="14" t="s">
        <v>20</v>
      </c>
    </row>
    <row r="11492" spans="1:5" x14ac:dyDescent="0.25">
      <c r="A11492" s="14">
        <v>495496</v>
      </c>
      <c r="B11492" s="14" t="s">
        <v>11591</v>
      </c>
      <c r="C11492" s="14" t="s">
        <v>13031</v>
      </c>
      <c r="D11492" s="15">
        <v>2.97</v>
      </c>
      <c r="E11492" s="14" t="s">
        <v>20</v>
      </c>
    </row>
    <row r="11493" spans="1:5" x14ac:dyDescent="0.25">
      <c r="A11493" s="14">
        <v>495497</v>
      </c>
      <c r="B11493" s="14" t="s">
        <v>11592</v>
      </c>
      <c r="C11493" s="14" t="s">
        <v>13031</v>
      </c>
      <c r="D11493" s="15">
        <v>2.97</v>
      </c>
      <c r="E11493" s="14" t="s">
        <v>20</v>
      </c>
    </row>
    <row r="11494" spans="1:5" x14ac:dyDescent="0.25">
      <c r="A11494" s="14">
        <v>495498</v>
      </c>
      <c r="B11494" s="14" t="s">
        <v>11593</v>
      </c>
      <c r="C11494" s="14" t="s">
        <v>13031</v>
      </c>
      <c r="D11494" s="15">
        <v>12.46</v>
      </c>
      <c r="E11494" s="14" t="s">
        <v>20</v>
      </c>
    </row>
    <row r="11495" spans="1:5" x14ac:dyDescent="0.25">
      <c r="A11495" s="14">
        <v>1019428</v>
      </c>
      <c r="B11495" s="14" t="s">
        <v>11594</v>
      </c>
      <c r="C11495" s="14" t="s">
        <v>13031</v>
      </c>
      <c r="D11495" s="15">
        <v>3.81</v>
      </c>
      <c r="E11495" s="14" t="s">
        <v>30</v>
      </c>
    </row>
    <row r="11496" spans="1:5" x14ac:dyDescent="0.25">
      <c r="A11496" s="14">
        <v>1019785</v>
      </c>
      <c r="B11496" s="14" t="s">
        <v>11595</v>
      </c>
      <c r="C11496" s="14" t="s">
        <v>13031</v>
      </c>
      <c r="D11496" s="15">
        <v>2.91</v>
      </c>
      <c r="E11496" s="14" t="s">
        <v>30</v>
      </c>
    </row>
    <row r="11497" spans="1:5" x14ac:dyDescent="0.25">
      <c r="A11497" s="14">
        <v>495499</v>
      </c>
      <c r="B11497" s="14" t="s">
        <v>11596</v>
      </c>
      <c r="C11497" s="14" t="s">
        <v>13031</v>
      </c>
      <c r="D11497" s="15">
        <v>12.46</v>
      </c>
      <c r="E11497" s="14" t="s">
        <v>20</v>
      </c>
    </row>
    <row r="11498" spans="1:5" x14ac:dyDescent="0.25">
      <c r="A11498" s="14">
        <v>497826</v>
      </c>
      <c r="B11498" s="14" t="s">
        <v>11597</v>
      </c>
      <c r="C11498" s="14" t="s">
        <v>13031</v>
      </c>
      <c r="D11498" s="15">
        <v>14.85</v>
      </c>
      <c r="E11498" s="14" t="s">
        <v>20</v>
      </c>
    </row>
    <row r="11499" spans="1:5" x14ac:dyDescent="0.25">
      <c r="A11499" s="14">
        <v>506515</v>
      </c>
      <c r="B11499" s="14" t="s">
        <v>11598</v>
      </c>
      <c r="C11499" s="14" t="s">
        <v>13031</v>
      </c>
      <c r="D11499" s="15">
        <v>6.8</v>
      </c>
      <c r="E11499" s="14" t="s">
        <v>20</v>
      </c>
    </row>
    <row r="11500" spans="1:5" x14ac:dyDescent="0.25">
      <c r="A11500" s="14">
        <v>506519</v>
      </c>
      <c r="B11500" s="14" t="s">
        <v>11599</v>
      </c>
      <c r="C11500" s="14" t="s">
        <v>13031</v>
      </c>
      <c r="D11500" s="15">
        <v>6.4</v>
      </c>
      <c r="E11500" s="14" t="s">
        <v>20</v>
      </c>
    </row>
    <row r="11501" spans="1:5" x14ac:dyDescent="0.25">
      <c r="A11501" s="14">
        <v>514261</v>
      </c>
      <c r="B11501" s="14" t="s">
        <v>11600</v>
      </c>
      <c r="C11501" s="14" t="s">
        <v>13031</v>
      </c>
      <c r="D11501" s="15">
        <v>1.64</v>
      </c>
      <c r="E11501" s="14" t="s">
        <v>20</v>
      </c>
    </row>
    <row r="11502" spans="1:5" x14ac:dyDescent="0.25">
      <c r="A11502" s="14">
        <v>515726</v>
      </c>
      <c r="B11502" s="14" t="s">
        <v>11601</v>
      </c>
      <c r="C11502" s="14" t="s">
        <v>13030</v>
      </c>
      <c r="D11502" s="15">
        <v>153.81</v>
      </c>
      <c r="E11502" s="14" t="s">
        <v>20</v>
      </c>
    </row>
    <row r="11503" spans="1:5" x14ac:dyDescent="0.25">
      <c r="A11503" s="14">
        <v>515727</v>
      </c>
      <c r="B11503" s="14" t="s">
        <v>11602</v>
      </c>
      <c r="C11503" s="14" t="s">
        <v>13030</v>
      </c>
      <c r="D11503" s="15">
        <v>175.42</v>
      </c>
      <c r="E11503" s="14" t="s">
        <v>20</v>
      </c>
    </row>
    <row r="11504" spans="1:5" x14ac:dyDescent="0.25">
      <c r="A11504" s="14">
        <v>516219</v>
      </c>
      <c r="B11504" s="14" t="s">
        <v>11603</v>
      </c>
      <c r="C11504" s="14" t="s">
        <v>13031</v>
      </c>
      <c r="D11504" s="15">
        <v>6.48</v>
      </c>
      <c r="E11504" s="14" t="s">
        <v>20</v>
      </c>
    </row>
    <row r="11505" spans="1:5" x14ac:dyDescent="0.25">
      <c r="A11505" s="14">
        <v>516220</v>
      </c>
      <c r="B11505" s="14" t="s">
        <v>11604</v>
      </c>
      <c r="C11505" s="14" t="s">
        <v>13031</v>
      </c>
      <c r="D11505" s="15">
        <v>5.48</v>
      </c>
      <c r="E11505" s="14" t="s">
        <v>20</v>
      </c>
    </row>
    <row r="11506" spans="1:5" x14ac:dyDescent="0.25">
      <c r="A11506" s="14">
        <v>517519</v>
      </c>
      <c r="B11506" s="14" t="s">
        <v>11605</v>
      </c>
      <c r="C11506" s="14" t="s">
        <v>13031</v>
      </c>
      <c r="D11506" s="15">
        <v>10.050000000000001</v>
      </c>
      <c r="E11506" s="14" t="s">
        <v>20</v>
      </c>
    </row>
    <row r="11507" spans="1:5" x14ac:dyDescent="0.25">
      <c r="A11507" s="14">
        <v>518082</v>
      </c>
      <c r="B11507" s="14" t="s">
        <v>11606</v>
      </c>
      <c r="C11507" s="14" t="s">
        <v>13031</v>
      </c>
      <c r="D11507" s="15">
        <v>1.1100000000000001</v>
      </c>
      <c r="E11507" s="14" t="s">
        <v>20</v>
      </c>
    </row>
    <row r="11508" spans="1:5" x14ac:dyDescent="0.25">
      <c r="A11508" s="14">
        <v>518085</v>
      </c>
      <c r="B11508" s="14" t="s">
        <v>11607</v>
      </c>
      <c r="C11508" s="14" t="s">
        <v>13031</v>
      </c>
      <c r="D11508" s="15">
        <v>0.83</v>
      </c>
      <c r="E11508" s="14" t="s">
        <v>20</v>
      </c>
    </row>
    <row r="11509" spans="1:5" x14ac:dyDescent="0.25">
      <c r="A11509" s="14">
        <v>518097</v>
      </c>
      <c r="B11509" s="14" t="s">
        <v>11608</v>
      </c>
      <c r="C11509" s="14" t="s">
        <v>13031</v>
      </c>
      <c r="D11509" s="15">
        <v>1.03</v>
      </c>
      <c r="E11509" s="14" t="s">
        <v>20</v>
      </c>
    </row>
    <row r="11510" spans="1:5" x14ac:dyDescent="0.25">
      <c r="A11510" s="14">
        <v>518098</v>
      </c>
      <c r="B11510" s="14" t="s">
        <v>11609</v>
      </c>
      <c r="C11510" s="14" t="s">
        <v>13031</v>
      </c>
      <c r="D11510" s="15">
        <v>1.1100000000000001</v>
      </c>
      <c r="E11510" s="14" t="s">
        <v>20</v>
      </c>
    </row>
    <row r="11511" spans="1:5" x14ac:dyDescent="0.25">
      <c r="A11511" s="14">
        <v>518099</v>
      </c>
      <c r="B11511" s="14" t="s">
        <v>11610</v>
      </c>
      <c r="C11511" s="14" t="s">
        <v>13031</v>
      </c>
      <c r="D11511" s="15">
        <v>1.1499999999999999</v>
      </c>
      <c r="E11511" s="14" t="s">
        <v>20</v>
      </c>
    </row>
    <row r="11512" spans="1:5" x14ac:dyDescent="0.25">
      <c r="A11512" s="14">
        <v>518100</v>
      </c>
      <c r="B11512" s="14" t="s">
        <v>11611</v>
      </c>
      <c r="C11512" s="14" t="s">
        <v>13031</v>
      </c>
      <c r="D11512" s="15">
        <v>0.84</v>
      </c>
      <c r="E11512" s="14" t="s">
        <v>20</v>
      </c>
    </row>
    <row r="11513" spans="1:5" x14ac:dyDescent="0.25">
      <c r="A11513" s="14">
        <v>518101</v>
      </c>
      <c r="B11513" s="14" t="s">
        <v>11612</v>
      </c>
      <c r="C11513" s="14" t="s">
        <v>13031</v>
      </c>
      <c r="D11513" s="15">
        <v>0.83</v>
      </c>
      <c r="E11513" s="14" t="s">
        <v>20</v>
      </c>
    </row>
    <row r="11514" spans="1:5" x14ac:dyDescent="0.25">
      <c r="A11514" s="14">
        <v>518102</v>
      </c>
      <c r="B11514" s="14" t="s">
        <v>11613</v>
      </c>
      <c r="C11514" s="14" t="s">
        <v>13031</v>
      </c>
      <c r="D11514" s="15">
        <v>1.2</v>
      </c>
      <c r="E11514" s="14" t="s">
        <v>20</v>
      </c>
    </row>
    <row r="11515" spans="1:5" x14ac:dyDescent="0.25">
      <c r="A11515" s="14">
        <v>518103</v>
      </c>
      <c r="B11515" s="14" t="s">
        <v>11614</v>
      </c>
      <c r="C11515" s="14" t="s">
        <v>13031</v>
      </c>
      <c r="D11515" s="15">
        <v>1.03</v>
      </c>
      <c r="E11515" s="14" t="s">
        <v>20</v>
      </c>
    </row>
    <row r="11516" spans="1:5" x14ac:dyDescent="0.25">
      <c r="A11516" s="14">
        <v>518104</v>
      </c>
      <c r="B11516" s="14" t="s">
        <v>11615</v>
      </c>
      <c r="C11516" s="14" t="s">
        <v>13031</v>
      </c>
      <c r="D11516" s="15">
        <v>4.08</v>
      </c>
      <c r="E11516" s="14" t="s">
        <v>20</v>
      </c>
    </row>
    <row r="11517" spans="1:5" x14ac:dyDescent="0.25">
      <c r="A11517" s="14">
        <v>518105</v>
      </c>
      <c r="B11517" s="14" t="s">
        <v>11616</v>
      </c>
      <c r="C11517" s="14" t="s">
        <v>13031</v>
      </c>
      <c r="D11517" s="15">
        <v>2.95</v>
      </c>
      <c r="E11517" s="14" t="s">
        <v>20</v>
      </c>
    </row>
    <row r="11518" spans="1:5" x14ac:dyDescent="0.25">
      <c r="A11518" s="14">
        <v>518106</v>
      </c>
      <c r="B11518" s="14" t="s">
        <v>11617</v>
      </c>
      <c r="C11518" s="14" t="s">
        <v>13031</v>
      </c>
      <c r="D11518" s="15">
        <v>4.6399999999999997</v>
      </c>
      <c r="E11518" s="14" t="s">
        <v>20</v>
      </c>
    </row>
    <row r="11519" spans="1:5" x14ac:dyDescent="0.25">
      <c r="A11519" s="14">
        <v>1019789</v>
      </c>
      <c r="B11519" s="14" t="s">
        <v>11618</v>
      </c>
      <c r="C11519" s="14" t="s">
        <v>13031</v>
      </c>
      <c r="D11519" s="15">
        <v>1.17</v>
      </c>
      <c r="E11519" s="14" t="s">
        <v>30</v>
      </c>
    </row>
    <row r="11520" spans="1:5" x14ac:dyDescent="0.25">
      <c r="A11520" s="14">
        <v>1020060</v>
      </c>
      <c r="B11520" s="14" t="s">
        <v>11619</v>
      </c>
      <c r="C11520" s="14" t="s">
        <v>13029</v>
      </c>
      <c r="D11520" s="15">
        <v>12.4</v>
      </c>
      <c r="E11520" s="14" t="s">
        <v>30</v>
      </c>
    </row>
    <row r="11521" spans="1:5" x14ac:dyDescent="0.25">
      <c r="A11521" s="14">
        <v>521642</v>
      </c>
      <c r="B11521" s="14" t="s">
        <v>11620</v>
      </c>
      <c r="C11521" s="14" t="s">
        <v>13031</v>
      </c>
      <c r="D11521" s="15">
        <v>5.9</v>
      </c>
      <c r="E11521" s="14" t="s">
        <v>20</v>
      </c>
    </row>
    <row r="11522" spans="1:5" x14ac:dyDescent="0.25">
      <c r="A11522" s="14">
        <v>521643</v>
      </c>
      <c r="B11522" s="14" t="s">
        <v>11621</v>
      </c>
      <c r="C11522" s="14" t="s">
        <v>13031</v>
      </c>
      <c r="D11522" s="15">
        <v>4.9000000000000004</v>
      </c>
      <c r="E11522" s="14" t="s">
        <v>20</v>
      </c>
    </row>
    <row r="11523" spans="1:5" x14ac:dyDescent="0.25">
      <c r="A11523" s="14">
        <v>522821</v>
      </c>
      <c r="B11523" s="14" t="s">
        <v>11622</v>
      </c>
      <c r="C11523" s="14" t="s">
        <v>13031</v>
      </c>
      <c r="D11523" s="15">
        <v>2.63</v>
      </c>
      <c r="E11523" s="14" t="s">
        <v>20</v>
      </c>
    </row>
    <row r="11524" spans="1:5" x14ac:dyDescent="0.25">
      <c r="A11524" s="14">
        <v>114092001</v>
      </c>
      <c r="B11524" s="14" t="s">
        <v>11623</v>
      </c>
      <c r="C11524" s="14" t="s">
        <v>13031</v>
      </c>
      <c r="D11524" s="15">
        <v>4.6900000000000004</v>
      </c>
      <c r="E11524" s="14" t="s">
        <v>30</v>
      </c>
    </row>
    <row r="11525" spans="1:5" x14ac:dyDescent="0.25">
      <c r="A11525" s="14">
        <v>1018840</v>
      </c>
      <c r="B11525" s="14" t="s">
        <v>11624</v>
      </c>
      <c r="C11525" s="14" t="s">
        <v>13031</v>
      </c>
      <c r="D11525" s="15">
        <v>3.43</v>
      </c>
      <c r="E11525" s="14" t="s">
        <v>30</v>
      </c>
    </row>
    <row r="11526" spans="1:5" x14ac:dyDescent="0.25">
      <c r="A11526" s="14">
        <v>522823</v>
      </c>
      <c r="B11526" s="14" t="s">
        <v>11625</v>
      </c>
      <c r="C11526" s="14" t="s">
        <v>13031</v>
      </c>
      <c r="D11526" s="15">
        <v>2.54</v>
      </c>
      <c r="E11526" s="14" t="s">
        <v>20</v>
      </c>
    </row>
    <row r="11527" spans="1:5" x14ac:dyDescent="0.25">
      <c r="A11527" s="14">
        <v>525540</v>
      </c>
      <c r="B11527" s="14" t="s">
        <v>11626</v>
      </c>
      <c r="C11527" s="14" t="s">
        <v>13031</v>
      </c>
      <c r="D11527" s="15">
        <v>4.08</v>
      </c>
      <c r="E11527" s="14" t="s">
        <v>20</v>
      </c>
    </row>
    <row r="11528" spans="1:5" x14ac:dyDescent="0.25">
      <c r="A11528" s="14">
        <v>525541</v>
      </c>
      <c r="B11528" s="14" t="s">
        <v>11627</v>
      </c>
      <c r="C11528" s="14" t="s">
        <v>13031</v>
      </c>
      <c r="D11528" s="15">
        <v>2.95</v>
      </c>
      <c r="E11528" s="14" t="s">
        <v>20</v>
      </c>
    </row>
    <row r="11529" spans="1:5" x14ac:dyDescent="0.25">
      <c r="A11529" s="14">
        <v>525542</v>
      </c>
      <c r="B11529" s="14" t="s">
        <v>11628</v>
      </c>
      <c r="C11529" s="14" t="s">
        <v>13031</v>
      </c>
      <c r="D11529" s="15">
        <v>4.6399999999999997</v>
      </c>
      <c r="E11529" s="14" t="s">
        <v>20</v>
      </c>
    </row>
    <row r="11530" spans="1:5" x14ac:dyDescent="0.25">
      <c r="A11530" s="14">
        <v>531395</v>
      </c>
      <c r="B11530" s="14" t="s">
        <v>11629</v>
      </c>
      <c r="C11530" s="14" t="s">
        <v>13031</v>
      </c>
      <c r="D11530" s="15">
        <v>5.2</v>
      </c>
      <c r="E11530" s="14" t="s">
        <v>20</v>
      </c>
    </row>
    <row r="11531" spans="1:5" x14ac:dyDescent="0.25">
      <c r="A11531" s="14">
        <v>531396</v>
      </c>
      <c r="B11531" s="14" t="s">
        <v>11630</v>
      </c>
      <c r="C11531" s="14" t="s">
        <v>13031</v>
      </c>
      <c r="D11531" s="15">
        <v>5.2</v>
      </c>
      <c r="E11531" s="14" t="s">
        <v>20</v>
      </c>
    </row>
    <row r="11532" spans="1:5" x14ac:dyDescent="0.25">
      <c r="A11532" s="14">
        <v>531397</v>
      </c>
      <c r="B11532" s="14" t="s">
        <v>11631</v>
      </c>
      <c r="C11532" s="14" t="s">
        <v>13031</v>
      </c>
      <c r="D11532" s="15">
        <v>5.2</v>
      </c>
      <c r="E11532" s="14" t="s">
        <v>20</v>
      </c>
    </row>
    <row r="11533" spans="1:5" x14ac:dyDescent="0.25">
      <c r="A11533" s="14">
        <v>531398</v>
      </c>
      <c r="B11533" s="14" t="s">
        <v>11632</v>
      </c>
      <c r="C11533" s="14" t="s">
        <v>13031</v>
      </c>
      <c r="D11533" s="15">
        <v>5.3</v>
      </c>
      <c r="E11533" s="14" t="s">
        <v>20</v>
      </c>
    </row>
    <row r="11534" spans="1:5" x14ac:dyDescent="0.25">
      <c r="A11534" s="14">
        <v>531399</v>
      </c>
      <c r="B11534" s="14" t="s">
        <v>11633</v>
      </c>
      <c r="C11534" s="14" t="s">
        <v>13031</v>
      </c>
      <c r="D11534" s="15">
        <v>5.3</v>
      </c>
      <c r="E11534" s="14" t="s">
        <v>20</v>
      </c>
    </row>
    <row r="11535" spans="1:5" x14ac:dyDescent="0.25">
      <c r="A11535" s="14">
        <v>531400</v>
      </c>
      <c r="B11535" s="14" t="s">
        <v>11634</v>
      </c>
      <c r="C11535" s="14" t="s">
        <v>13031</v>
      </c>
      <c r="D11535" s="15">
        <v>6.1</v>
      </c>
      <c r="E11535" s="14" t="s">
        <v>20</v>
      </c>
    </row>
    <row r="11536" spans="1:5" x14ac:dyDescent="0.25">
      <c r="A11536" s="14">
        <v>531598</v>
      </c>
      <c r="B11536" s="14" t="s">
        <v>11635</v>
      </c>
      <c r="C11536" s="14" t="s">
        <v>13031</v>
      </c>
      <c r="D11536" s="15">
        <v>16.38</v>
      </c>
      <c r="E11536" s="14" t="s">
        <v>20</v>
      </c>
    </row>
    <row r="11537" spans="1:5" x14ac:dyDescent="0.25">
      <c r="A11537" s="14">
        <v>531750</v>
      </c>
      <c r="B11537" s="14" t="s">
        <v>11636</v>
      </c>
      <c r="C11537" s="14" t="s">
        <v>13031</v>
      </c>
      <c r="D11537" s="15">
        <v>5.25</v>
      </c>
      <c r="E11537" s="14" t="s">
        <v>20</v>
      </c>
    </row>
    <row r="11538" spans="1:5" x14ac:dyDescent="0.25">
      <c r="A11538" s="14">
        <v>531752</v>
      </c>
      <c r="B11538" s="14" t="s">
        <v>11637</v>
      </c>
      <c r="C11538" s="14" t="s">
        <v>13031</v>
      </c>
      <c r="D11538" s="15">
        <v>5.25</v>
      </c>
      <c r="E11538" s="14" t="s">
        <v>20</v>
      </c>
    </row>
    <row r="11539" spans="1:5" x14ac:dyDescent="0.25">
      <c r="A11539" s="14">
        <v>531754</v>
      </c>
      <c r="B11539" s="14" t="s">
        <v>11638</v>
      </c>
      <c r="C11539" s="14" t="s">
        <v>13031</v>
      </c>
      <c r="D11539" s="15">
        <v>5.25</v>
      </c>
      <c r="E11539" s="14" t="s">
        <v>20</v>
      </c>
    </row>
    <row r="11540" spans="1:5" x14ac:dyDescent="0.25">
      <c r="A11540" s="14">
        <v>531759</v>
      </c>
      <c r="B11540" s="14" t="s">
        <v>11639</v>
      </c>
      <c r="C11540" s="14" t="s">
        <v>13031</v>
      </c>
      <c r="D11540" s="15">
        <v>4.18</v>
      </c>
      <c r="E11540" s="14" t="s">
        <v>20</v>
      </c>
    </row>
    <row r="11541" spans="1:5" x14ac:dyDescent="0.25">
      <c r="A11541" s="14">
        <v>531945</v>
      </c>
      <c r="B11541" s="14" t="s">
        <v>11640</v>
      </c>
      <c r="C11541" s="14" t="s">
        <v>13031</v>
      </c>
      <c r="D11541" s="15">
        <v>8.58</v>
      </c>
      <c r="E11541" s="14" t="s">
        <v>20</v>
      </c>
    </row>
    <row r="11542" spans="1:5" x14ac:dyDescent="0.25">
      <c r="A11542" s="14">
        <v>532054</v>
      </c>
      <c r="B11542" s="14" t="s">
        <v>11641</v>
      </c>
      <c r="C11542" s="14" t="s">
        <v>13031</v>
      </c>
      <c r="D11542" s="15">
        <v>16.78</v>
      </c>
      <c r="E11542" s="14" t="s">
        <v>20</v>
      </c>
    </row>
    <row r="11543" spans="1:5" x14ac:dyDescent="0.25">
      <c r="A11543" s="14">
        <v>532057</v>
      </c>
      <c r="B11543" s="14" t="s">
        <v>11642</v>
      </c>
      <c r="C11543" s="14" t="s">
        <v>13031</v>
      </c>
      <c r="D11543" s="15">
        <v>10.3</v>
      </c>
      <c r="E11543" s="14" t="s">
        <v>20</v>
      </c>
    </row>
    <row r="11544" spans="1:5" x14ac:dyDescent="0.25">
      <c r="A11544" s="14">
        <v>1019777</v>
      </c>
      <c r="B11544" s="14" t="s">
        <v>11643</v>
      </c>
      <c r="C11544" s="14" t="s">
        <v>13030</v>
      </c>
      <c r="D11544" s="15">
        <v>22.01</v>
      </c>
      <c r="E11544" s="14" t="s">
        <v>30</v>
      </c>
    </row>
    <row r="11545" spans="1:5" x14ac:dyDescent="0.25">
      <c r="A11545" s="14">
        <v>532063</v>
      </c>
      <c r="B11545" s="14" t="s">
        <v>11644</v>
      </c>
      <c r="C11545" s="14" t="s">
        <v>13031</v>
      </c>
      <c r="D11545" s="15">
        <v>10.3</v>
      </c>
      <c r="E11545" s="14" t="s">
        <v>20</v>
      </c>
    </row>
    <row r="11546" spans="1:5" x14ac:dyDescent="0.25">
      <c r="A11546" s="14">
        <v>1019778</v>
      </c>
      <c r="B11546" s="14" t="s">
        <v>11645</v>
      </c>
      <c r="C11546" s="14" t="s">
        <v>13030</v>
      </c>
      <c r="D11546" s="15">
        <v>22.01</v>
      </c>
      <c r="E11546" s="14" t="s">
        <v>30</v>
      </c>
    </row>
    <row r="11547" spans="1:5" x14ac:dyDescent="0.25">
      <c r="A11547" s="14">
        <v>532068</v>
      </c>
      <c r="B11547" s="14" t="s">
        <v>11646</v>
      </c>
      <c r="C11547" s="14" t="s">
        <v>13031</v>
      </c>
      <c r="D11547" s="15">
        <v>8.93</v>
      </c>
      <c r="E11547" s="14" t="s">
        <v>20</v>
      </c>
    </row>
    <row r="11548" spans="1:5" x14ac:dyDescent="0.25">
      <c r="A11548" s="14">
        <v>532083</v>
      </c>
      <c r="B11548" s="14" t="s">
        <v>11647</v>
      </c>
      <c r="C11548" s="14" t="s">
        <v>13030</v>
      </c>
      <c r="D11548" s="15">
        <v>35.53</v>
      </c>
      <c r="E11548" s="14" t="s">
        <v>20</v>
      </c>
    </row>
    <row r="11549" spans="1:5" x14ac:dyDescent="0.25">
      <c r="A11549" s="14">
        <v>533029</v>
      </c>
      <c r="B11549" s="14" t="s">
        <v>11648</v>
      </c>
      <c r="C11549" s="14" t="s">
        <v>13031</v>
      </c>
      <c r="D11549" s="15">
        <v>35.590000000000003</v>
      </c>
      <c r="E11549" s="14" t="s">
        <v>20</v>
      </c>
    </row>
    <row r="11550" spans="1:5" x14ac:dyDescent="0.25">
      <c r="A11550" s="14">
        <v>536868</v>
      </c>
      <c r="B11550" s="14" t="s">
        <v>11649</v>
      </c>
      <c r="C11550" s="14" t="s">
        <v>13031</v>
      </c>
      <c r="D11550" s="15">
        <v>2.83</v>
      </c>
      <c r="E11550" s="14" t="s">
        <v>20</v>
      </c>
    </row>
    <row r="11551" spans="1:5" x14ac:dyDescent="0.25">
      <c r="A11551" s="14">
        <v>543108</v>
      </c>
      <c r="B11551" s="14" t="s">
        <v>11650</v>
      </c>
      <c r="C11551" s="14" t="s">
        <v>13031</v>
      </c>
      <c r="D11551" s="15">
        <v>8.4600000000000009</v>
      </c>
      <c r="E11551" s="14" t="s">
        <v>20</v>
      </c>
    </row>
    <row r="11552" spans="1:5" x14ac:dyDescent="0.25">
      <c r="A11552" s="14">
        <v>543109</v>
      </c>
      <c r="B11552" s="14" t="s">
        <v>11651</v>
      </c>
      <c r="C11552" s="14" t="s">
        <v>13031</v>
      </c>
      <c r="D11552" s="15">
        <v>10.36</v>
      </c>
      <c r="E11552" s="14" t="s">
        <v>20</v>
      </c>
    </row>
    <row r="11553" spans="1:5" x14ac:dyDescent="0.25">
      <c r="A11553" s="14">
        <v>543110</v>
      </c>
      <c r="B11553" s="14" t="s">
        <v>11652</v>
      </c>
      <c r="C11553" s="14" t="s">
        <v>13031</v>
      </c>
      <c r="D11553" s="15">
        <v>3.61</v>
      </c>
      <c r="E11553" s="14" t="s">
        <v>20</v>
      </c>
    </row>
    <row r="11554" spans="1:5" x14ac:dyDescent="0.25">
      <c r="A11554" s="14">
        <v>543505</v>
      </c>
      <c r="B11554" s="14" t="s">
        <v>11653</v>
      </c>
      <c r="C11554" s="14" t="s">
        <v>13031</v>
      </c>
      <c r="D11554" s="15">
        <v>13.98</v>
      </c>
      <c r="E11554" s="14" t="s">
        <v>20</v>
      </c>
    </row>
    <row r="11555" spans="1:5" x14ac:dyDescent="0.25">
      <c r="A11555" s="14">
        <v>543506</v>
      </c>
      <c r="B11555" s="14" t="s">
        <v>11654</v>
      </c>
      <c r="C11555" s="14" t="s">
        <v>13031</v>
      </c>
      <c r="D11555" s="15">
        <v>13.98</v>
      </c>
      <c r="E11555" s="14" t="s">
        <v>20</v>
      </c>
    </row>
    <row r="11556" spans="1:5" x14ac:dyDescent="0.25">
      <c r="A11556" s="14">
        <v>543507</v>
      </c>
      <c r="B11556" s="14" t="s">
        <v>11655</v>
      </c>
      <c r="C11556" s="14" t="s">
        <v>13031</v>
      </c>
      <c r="D11556" s="15">
        <v>13.98</v>
      </c>
      <c r="E11556" s="14" t="s">
        <v>20</v>
      </c>
    </row>
    <row r="11557" spans="1:5" x14ac:dyDescent="0.25">
      <c r="A11557" s="14">
        <v>543508</v>
      </c>
      <c r="B11557" s="14" t="s">
        <v>11656</v>
      </c>
      <c r="C11557" s="14" t="s">
        <v>13031</v>
      </c>
      <c r="D11557" s="15">
        <v>27.63</v>
      </c>
      <c r="E11557" s="14" t="s">
        <v>20</v>
      </c>
    </row>
    <row r="11558" spans="1:5" x14ac:dyDescent="0.25">
      <c r="A11558" s="14">
        <v>543521</v>
      </c>
      <c r="B11558" s="14" t="s">
        <v>11657</v>
      </c>
      <c r="C11558" s="14" t="s">
        <v>13031</v>
      </c>
      <c r="D11558" s="15">
        <v>7.73</v>
      </c>
      <c r="E11558" s="14" t="s">
        <v>20</v>
      </c>
    </row>
    <row r="11559" spans="1:5" x14ac:dyDescent="0.25">
      <c r="A11559" s="14">
        <v>543523</v>
      </c>
      <c r="B11559" s="14" t="s">
        <v>11658</v>
      </c>
      <c r="C11559" s="14" t="s">
        <v>13031</v>
      </c>
      <c r="D11559" s="15">
        <v>7.73</v>
      </c>
      <c r="E11559" s="14" t="s">
        <v>20</v>
      </c>
    </row>
    <row r="11560" spans="1:5" x14ac:dyDescent="0.25">
      <c r="A11560" s="14">
        <v>543524</v>
      </c>
      <c r="B11560" s="14" t="s">
        <v>11659</v>
      </c>
      <c r="C11560" s="14" t="s">
        <v>13031</v>
      </c>
      <c r="D11560" s="15">
        <v>7.73</v>
      </c>
      <c r="E11560" s="14" t="s">
        <v>20</v>
      </c>
    </row>
    <row r="11561" spans="1:5" x14ac:dyDescent="0.25">
      <c r="A11561" s="14">
        <v>543527</v>
      </c>
      <c r="B11561" s="14" t="s">
        <v>11660</v>
      </c>
      <c r="C11561" s="14" t="s">
        <v>13031</v>
      </c>
      <c r="D11561" s="15">
        <v>11.11</v>
      </c>
      <c r="E11561" s="14" t="s">
        <v>20</v>
      </c>
    </row>
    <row r="11562" spans="1:5" x14ac:dyDescent="0.25">
      <c r="A11562" s="14">
        <v>543528</v>
      </c>
      <c r="B11562" s="14" t="s">
        <v>11661</v>
      </c>
      <c r="C11562" s="14" t="s">
        <v>13031</v>
      </c>
      <c r="D11562" s="15">
        <v>11.11</v>
      </c>
      <c r="E11562" s="14" t="s">
        <v>20</v>
      </c>
    </row>
    <row r="11563" spans="1:5" x14ac:dyDescent="0.25">
      <c r="A11563" s="14">
        <v>1020081</v>
      </c>
      <c r="B11563" s="14" t="s">
        <v>11662</v>
      </c>
      <c r="C11563" s="14" t="s">
        <v>13029</v>
      </c>
      <c r="D11563" s="15">
        <v>55.11</v>
      </c>
      <c r="E11563" s="14" t="s">
        <v>30</v>
      </c>
    </row>
    <row r="11564" spans="1:5" x14ac:dyDescent="0.25">
      <c r="A11564" s="14">
        <v>543530</v>
      </c>
      <c r="B11564" s="14" t="s">
        <v>11663</v>
      </c>
      <c r="C11564" s="14" t="s">
        <v>13031</v>
      </c>
      <c r="D11564" s="15">
        <v>11.11</v>
      </c>
      <c r="E11564" s="14" t="s">
        <v>20</v>
      </c>
    </row>
    <row r="11565" spans="1:5" x14ac:dyDescent="0.25">
      <c r="A11565" s="14">
        <v>543647</v>
      </c>
      <c r="B11565" s="14" t="s">
        <v>11664</v>
      </c>
      <c r="C11565" s="14" t="s">
        <v>13030</v>
      </c>
      <c r="D11565" s="15">
        <v>49.4</v>
      </c>
      <c r="E11565" s="14" t="s">
        <v>20</v>
      </c>
    </row>
    <row r="11566" spans="1:5" x14ac:dyDescent="0.25">
      <c r="A11566" s="14">
        <v>543648</v>
      </c>
      <c r="B11566" s="14" t="s">
        <v>11665</v>
      </c>
      <c r="C11566" s="14" t="s">
        <v>13030</v>
      </c>
      <c r="D11566" s="15">
        <v>42.2</v>
      </c>
      <c r="E11566" s="14" t="s">
        <v>20</v>
      </c>
    </row>
    <row r="11567" spans="1:5" x14ac:dyDescent="0.25">
      <c r="A11567" s="14">
        <v>546159</v>
      </c>
      <c r="B11567" s="14" t="s">
        <v>11666</v>
      </c>
      <c r="C11567" s="14" t="s">
        <v>13031</v>
      </c>
      <c r="D11567" s="15">
        <v>9.1</v>
      </c>
      <c r="E11567" s="14" t="s">
        <v>20</v>
      </c>
    </row>
    <row r="11568" spans="1:5" x14ac:dyDescent="0.25">
      <c r="A11568" s="14">
        <v>548333</v>
      </c>
      <c r="B11568" s="14" t="s">
        <v>11667</v>
      </c>
      <c r="C11568" s="14" t="s">
        <v>13031</v>
      </c>
      <c r="D11568" s="15">
        <v>23.73</v>
      </c>
      <c r="E11568" s="14" t="s">
        <v>20</v>
      </c>
    </row>
    <row r="11569" spans="1:5" x14ac:dyDescent="0.25">
      <c r="A11569" s="14">
        <v>548334</v>
      </c>
      <c r="B11569" s="14" t="s">
        <v>11668</v>
      </c>
      <c r="C11569" s="14" t="s">
        <v>13031</v>
      </c>
      <c r="D11569" s="15">
        <v>11.46</v>
      </c>
      <c r="E11569" s="14" t="s">
        <v>20</v>
      </c>
    </row>
    <row r="11570" spans="1:5" x14ac:dyDescent="0.25">
      <c r="A11570" s="14">
        <v>548387</v>
      </c>
      <c r="B11570" s="14" t="s">
        <v>11669</v>
      </c>
      <c r="C11570" s="14" t="s">
        <v>13030</v>
      </c>
      <c r="D11570" s="15">
        <v>112.65</v>
      </c>
      <c r="E11570" s="14" t="s">
        <v>20</v>
      </c>
    </row>
    <row r="11571" spans="1:5" x14ac:dyDescent="0.25">
      <c r="A11571" s="14">
        <v>548396</v>
      </c>
      <c r="B11571" s="14" t="s">
        <v>11670</v>
      </c>
      <c r="C11571" s="14" t="s">
        <v>13030</v>
      </c>
      <c r="D11571" s="15">
        <v>110.04</v>
      </c>
      <c r="E11571" s="14" t="s">
        <v>20</v>
      </c>
    </row>
    <row r="11572" spans="1:5" x14ac:dyDescent="0.25">
      <c r="A11572" s="14">
        <v>548543</v>
      </c>
      <c r="B11572" s="14" t="s">
        <v>11671</v>
      </c>
      <c r="C11572" s="14" t="s">
        <v>13031</v>
      </c>
      <c r="D11572" s="15">
        <v>34.950000000000003</v>
      </c>
      <c r="E11572" s="14" t="s">
        <v>20</v>
      </c>
    </row>
    <row r="11573" spans="1:5" x14ac:dyDescent="0.25">
      <c r="A11573" s="14">
        <v>548895</v>
      </c>
      <c r="B11573" s="14" t="s">
        <v>11672</v>
      </c>
      <c r="C11573" s="14" t="s">
        <v>13030</v>
      </c>
      <c r="D11573" s="15">
        <v>30.55</v>
      </c>
      <c r="E11573" s="14" t="s">
        <v>20</v>
      </c>
    </row>
    <row r="11574" spans="1:5" x14ac:dyDescent="0.25">
      <c r="A11574" s="14">
        <v>548896</v>
      </c>
      <c r="B11574" s="14" t="s">
        <v>11673</v>
      </c>
      <c r="C11574" s="14" t="s">
        <v>13030</v>
      </c>
      <c r="D11574" s="15">
        <v>30.55</v>
      </c>
      <c r="E11574" s="14" t="s">
        <v>20</v>
      </c>
    </row>
    <row r="11575" spans="1:5" x14ac:dyDescent="0.25">
      <c r="A11575" s="14">
        <v>556829</v>
      </c>
      <c r="B11575" s="14" t="s">
        <v>11674</v>
      </c>
      <c r="C11575" s="14" t="s">
        <v>13030</v>
      </c>
      <c r="D11575" s="15">
        <v>71.13</v>
      </c>
      <c r="E11575" s="14" t="s">
        <v>20</v>
      </c>
    </row>
    <row r="11576" spans="1:5" x14ac:dyDescent="0.25">
      <c r="A11576" s="14">
        <v>1021507</v>
      </c>
      <c r="B11576" s="14" t="s">
        <v>11675</v>
      </c>
      <c r="C11576" s="14" t="s">
        <v>13029</v>
      </c>
      <c r="D11576" s="15">
        <v>8.59</v>
      </c>
      <c r="E11576" s="14" t="s">
        <v>30</v>
      </c>
    </row>
    <row r="11577" spans="1:5" x14ac:dyDescent="0.25">
      <c r="A11577" s="14">
        <v>558893</v>
      </c>
      <c r="B11577" s="14" t="s">
        <v>11676</v>
      </c>
      <c r="C11577" s="14" t="s">
        <v>13031</v>
      </c>
      <c r="D11577" s="15">
        <v>2.91</v>
      </c>
      <c r="E11577" s="14" t="s">
        <v>20</v>
      </c>
    </row>
    <row r="11578" spans="1:5" x14ac:dyDescent="0.25">
      <c r="A11578" s="14">
        <v>558896</v>
      </c>
      <c r="B11578" s="14" t="s">
        <v>11677</v>
      </c>
      <c r="C11578" s="14" t="s">
        <v>13031</v>
      </c>
      <c r="D11578" s="15">
        <v>0.94</v>
      </c>
      <c r="E11578" s="14" t="s">
        <v>20</v>
      </c>
    </row>
    <row r="11579" spans="1:5" x14ac:dyDescent="0.25">
      <c r="A11579" s="14">
        <v>558897</v>
      </c>
      <c r="B11579" s="14" t="s">
        <v>11678</v>
      </c>
      <c r="C11579" s="14" t="s">
        <v>13031</v>
      </c>
      <c r="D11579" s="15">
        <v>1.17</v>
      </c>
      <c r="E11579" s="14" t="s">
        <v>20</v>
      </c>
    </row>
    <row r="11580" spans="1:5" x14ac:dyDescent="0.25">
      <c r="A11580" s="14">
        <v>558899</v>
      </c>
      <c r="B11580" s="14" t="s">
        <v>11679</v>
      </c>
      <c r="C11580" s="14" t="s">
        <v>13031</v>
      </c>
      <c r="D11580" s="15">
        <v>1.22</v>
      </c>
      <c r="E11580" s="14" t="s">
        <v>20</v>
      </c>
    </row>
    <row r="11581" spans="1:5" x14ac:dyDescent="0.25">
      <c r="A11581" s="14">
        <v>560872</v>
      </c>
      <c r="B11581" s="14" t="s">
        <v>11680</v>
      </c>
      <c r="C11581" s="14" t="s">
        <v>13031</v>
      </c>
      <c r="D11581" s="15">
        <v>22.5</v>
      </c>
      <c r="E11581" s="14" t="s">
        <v>20</v>
      </c>
    </row>
    <row r="11582" spans="1:5" x14ac:dyDescent="0.25">
      <c r="A11582" s="14">
        <v>560873</v>
      </c>
      <c r="B11582" s="14" t="s">
        <v>11681</v>
      </c>
      <c r="C11582" s="14" t="s">
        <v>13031</v>
      </c>
      <c r="D11582" s="15">
        <v>22</v>
      </c>
      <c r="E11582" s="14" t="s">
        <v>20</v>
      </c>
    </row>
    <row r="11583" spans="1:5" x14ac:dyDescent="0.25">
      <c r="A11583" s="14">
        <v>560874</v>
      </c>
      <c r="B11583" s="14" t="s">
        <v>11682</v>
      </c>
      <c r="C11583" s="14" t="s">
        <v>13031</v>
      </c>
      <c r="D11583" s="15">
        <v>17</v>
      </c>
      <c r="E11583" s="14" t="s">
        <v>20</v>
      </c>
    </row>
    <row r="11584" spans="1:5" x14ac:dyDescent="0.25">
      <c r="A11584" s="14">
        <v>560875</v>
      </c>
      <c r="B11584" s="14" t="s">
        <v>11683</v>
      </c>
      <c r="C11584" s="14" t="s">
        <v>13031</v>
      </c>
      <c r="D11584" s="15">
        <v>50</v>
      </c>
      <c r="E11584" s="14" t="s">
        <v>20</v>
      </c>
    </row>
    <row r="11585" spans="1:5" x14ac:dyDescent="0.25">
      <c r="A11585" s="14">
        <v>560876</v>
      </c>
      <c r="B11585" s="14" t="s">
        <v>11684</v>
      </c>
      <c r="C11585" s="14" t="s">
        <v>13031</v>
      </c>
      <c r="D11585" s="15">
        <v>13</v>
      </c>
      <c r="E11585" s="14" t="s">
        <v>20</v>
      </c>
    </row>
    <row r="11586" spans="1:5" x14ac:dyDescent="0.25">
      <c r="A11586" s="14">
        <v>561401</v>
      </c>
      <c r="B11586" s="14" t="s">
        <v>11685</v>
      </c>
      <c r="C11586" s="14" t="s">
        <v>13031</v>
      </c>
      <c r="D11586" s="15">
        <v>39.83</v>
      </c>
      <c r="E11586" s="14" t="s">
        <v>20</v>
      </c>
    </row>
    <row r="11587" spans="1:5" x14ac:dyDescent="0.25">
      <c r="A11587" s="14">
        <v>561954</v>
      </c>
      <c r="B11587" s="14" t="s">
        <v>11686</v>
      </c>
      <c r="C11587" s="14" t="s">
        <v>13031</v>
      </c>
      <c r="D11587" s="15">
        <v>11.2</v>
      </c>
      <c r="E11587" s="14" t="s">
        <v>20</v>
      </c>
    </row>
    <row r="11588" spans="1:5" x14ac:dyDescent="0.25">
      <c r="A11588" s="14">
        <v>561956</v>
      </c>
      <c r="B11588" s="14" t="s">
        <v>11687</v>
      </c>
      <c r="C11588" s="14" t="s">
        <v>13031</v>
      </c>
      <c r="D11588" s="15">
        <v>11.2</v>
      </c>
      <c r="E11588" s="14" t="s">
        <v>20</v>
      </c>
    </row>
    <row r="11589" spans="1:5" x14ac:dyDescent="0.25">
      <c r="A11589" s="14">
        <v>561960</v>
      </c>
      <c r="B11589" s="14" t="s">
        <v>11688</v>
      </c>
      <c r="C11589" s="14" t="s">
        <v>13031</v>
      </c>
      <c r="D11589" s="15">
        <v>11.2</v>
      </c>
      <c r="E11589" s="14" t="s">
        <v>20</v>
      </c>
    </row>
    <row r="11590" spans="1:5" x14ac:dyDescent="0.25">
      <c r="A11590" s="14">
        <v>562309</v>
      </c>
      <c r="B11590" s="14" t="s">
        <v>11689</v>
      </c>
      <c r="C11590" s="14" t="s">
        <v>13031</v>
      </c>
      <c r="D11590" s="15">
        <v>17.25</v>
      </c>
      <c r="E11590" s="14" t="s">
        <v>20</v>
      </c>
    </row>
    <row r="11591" spans="1:5" x14ac:dyDescent="0.25">
      <c r="A11591" s="14">
        <v>563429</v>
      </c>
      <c r="B11591" s="14" t="s">
        <v>11690</v>
      </c>
      <c r="C11591" s="14" t="s">
        <v>13030</v>
      </c>
      <c r="D11591" s="15">
        <v>390</v>
      </c>
      <c r="E11591" s="14" t="s">
        <v>20</v>
      </c>
    </row>
    <row r="11592" spans="1:5" x14ac:dyDescent="0.25">
      <c r="A11592" s="14">
        <v>563430</v>
      </c>
      <c r="B11592" s="14" t="s">
        <v>11691</v>
      </c>
      <c r="C11592" s="14" t="s">
        <v>13030</v>
      </c>
      <c r="D11592" s="15">
        <v>250</v>
      </c>
      <c r="E11592" s="14" t="s">
        <v>20</v>
      </c>
    </row>
    <row r="11593" spans="1:5" x14ac:dyDescent="0.25">
      <c r="A11593" s="14">
        <v>960990</v>
      </c>
      <c r="B11593" s="14" t="s">
        <v>11692</v>
      </c>
      <c r="C11593" s="14" t="s">
        <v>13030</v>
      </c>
      <c r="D11593" s="15">
        <v>2840.84</v>
      </c>
      <c r="E11593" s="14" t="s">
        <v>30</v>
      </c>
    </row>
    <row r="11594" spans="1:5" x14ac:dyDescent="0.25">
      <c r="A11594" s="14">
        <v>1019803</v>
      </c>
      <c r="B11594" s="14" t="s">
        <v>11693</v>
      </c>
      <c r="C11594" s="14" t="s">
        <v>13031</v>
      </c>
      <c r="D11594" s="15">
        <v>5.04</v>
      </c>
      <c r="E11594" s="14" t="s">
        <v>30</v>
      </c>
    </row>
    <row r="11595" spans="1:5" x14ac:dyDescent="0.25">
      <c r="A11595" s="14">
        <v>1019424001</v>
      </c>
      <c r="B11595" s="14" t="s">
        <v>11694</v>
      </c>
      <c r="C11595" s="14" t="s">
        <v>13031</v>
      </c>
      <c r="D11595" s="15">
        <v>11.81</v>
      </c>
      <c r="E11595" s="14" t="s">
        <v>30</v>
      </c>
    </row>
    <row r="11596" spans="1:5" x14ac:dyDescent="0.25">
      <c r="A11596" s="14">
        <v>1019424002</v>
      </c>
      <c r="B11596" s="14" t="s">
        <v>11695</v>
      </c>
      <c r="C11596" s="14" t="s">
        <v>13031</v>
      </c>
      <c r="D11596" s="15">
        <v>11.81</v>
      </c>
      <c r="E11596" s="14" t="s">
        <v>30</v>
      </c>
    </row>
    <row r="11597" spans="1:5" x14ac:dyDescent="0.25">
      <c r="A11597" s="14">
        <v>1019424005</v>
      </c>
      <c r="B11597" s="14" t="s">
        <v>11696</v>
      </c>
      <c r="C11597" s="14" t="s">
        <v>13031</v>
      </c>
      <c r="D11597" s="15">
        <v>11.81</v>
      </c>
      <c r="E11597" s="14" t="s">
        <v>30</v>
      </c>
    </row>
    <row r="11598" spans="1:5" x14ac:dyDescent="0.25">
      <c r="A11598" s="14">
        <v>1019424006</v>
      </c>
      <c r="B11598" s="14" t="s">
        <v>11697</v>
      </c>
      <c r="C11598" s="14" t="s">
        <v>13031</v>
      </c>
      <c r="D11598" s="15">
        <v>11.81</v>
      </c>
      <c r="E11598" s="14" t="s">
        <v>30</v>
      </c>
    </row>
    <row r="11599" spans="1:5" x14ac:dyDescent="0.25">
      <c r="A11599" s="14">
        <v>1019425003</v>
      </c>
      <c r="B11599" s="14" t="s">
        <v>11698</v>
      </c>
      <c r="C11599" s="14" t="s">
        <v>13031</v>
      </c>
      <c r="D11599" s="15">
        <v>11.81</v>
      </c>
      <c r="E11599" s="14" t="s">
        <v>30</v>
      </c>
    </row>
    <row r="11600" spans="1:5" x14ac:dyDescent="0.25">
      <c r="A11600" s="14">
        <v>1019425004</v>
      </c>
      <c r="B11600" s="14" t="s">
        <v>11699</v>
      </c>
      <c r="C11600" s="14" t="s">
        <v>13031</v>
      </c>
      <c r="D11600" s="15">
        <v>11.81</v>
      </c>
      <c r="E11600" s="14" t="s">
        <v>30</v>
      </c>
    </row>
    <row r="11601" spans="1:5" x14ac:dyDescent="0.25">
      <c r="A11601" s="14">
        <v>563432</v>
      </c>
      <c r="B11601" s="14" t="s">
        <v>11700</v>
      </c>
      <c r="C11601" s="14" t="s">
        <v>13030</v>
      </c>
      <c r="D11601" s="15">
        <v>118</v>
      </c>
      <c r="E11601" s="14" t="s">
        <v>20</v>
      </c>
    </row>
    <row r="11602" spans="1:5" x14ac:dyDescent="0.25">
      <c r="A11602" s="14">
        <v>564689</v>
      </c>
      <c r="B11602" s="14" t="s">
        <v>11701</v>
      </c>
      <c r="C11602" s="14" t="s">
        <v>13031</v>
      </c>
      <c r="D11602" s="15">
        <v>12.99</v>
      </c>
      <c r="E11602" s="14" t="s">
        <v>20</v>
      </c>
    </row>
    <row r="11603" spans="1:5" x14ac:dyDescent="0.25">
      <c r="A11603" s="14">
        <v>564690</v>
      </c>
      <c r="B11603" s="14" t="s">
        <v>11702</v>
      </c>
      <c r="C11603" s="14" t="s">
        <v>13031</v>
      </c>
      <c r="D11603" s="15">
        <v>12.4</v>
      </c>
      <c r="E11603" s="14" t="s">
        <v>20</v>
      </c>
    </row>
    <row r="11604" spans="1:5" x14ac:dyDescent="0.25">
      <c r="A11604" s="14">
        <v>565170</v>
      </c>
      <c r="B11604" s="14" t="s">
        <v>11703</v>
      </c>
      <c r="C11604" s="14" t="s">
        <v>13031</v>
      </c>
      <c r="D11604" s="15">
        <v>22.46</v>
      </c>
      <c r="E11604" s="14" t="s">
        <v>20</v>
      </c>
    </row>
    <row r="11605" spans="1:5" x14ac:dyDescent="0.25">
      <c r="A11605" s="14">
        <v>574782</v>
      </c>
      <c r="B11605" s="14" t="s">
        <v>11704</v>
      </c>
      <c r="C11605" s="14" t="s">
        <v>13031</v>
      </c>
      <c r="D11605" s="15">
        <v>16.59</v>
      </c>
      <c r="E11605" s="14" t="s">
        <v>20</v>
      </c>
    </row>
    <row r="11606" spans="1:5" x14ac:dyDescent="0.25">
      <c r="A11606" s="14">
        <v>574784</v>
      </c>
      <c r="B11606" s="14" t="s">
        <v>11705</v>
      </c>
      <c r="C11606" s="14" t="s">
        <v>13031</v>
      </c>
      <c r="D11606" s="15">
        <v>5.04</v>
      </c>
      <c r="E11606" s="14" t="s">
        <v>20</v>
      </c>
    </row>
    <row r="11607" spans="1:5" x14ac:dyDescent="0.25">
      <c r="A11607" s="14">
        <v>574785</v>
      </c>
      <c r="B11607" s="14" t="s">
        <v>11706</v>
      </c>
      <c r="C11607" s="14" t="s">
        <v>13031</v>
      </c>
      <c r="D11607" s="15">
        <v>5.86</v>
      </c>
      <c r="E11607" s="14" t="s">
        <v>20</v>
      </c>
    </row>
    <row r="11608" spans="1:5" x14ac:dyDescent="0.25">
      <c r="A11608" s="14">
        <v>574786</v>
      </c>
      <c r="B11608" s="14" t="s">
        <v>11707</v>
      </c>
      <c r="C11608" s="14" t="s">
        <v>13031</v>
      </c>
      <c r="D11608" s="15">
        <v>5.86</v>
      </c>
      <c r="E11608" s="14" t="s">
        <v>20</v>
      </c>
    </row>
    <row r="11609" spans="1:5" x14ac:dyDescent="0.25">
      <c r="A11609" s="14">
        <v>574787</v>
      </c>
      <c r="B11609" s="14" t="s">
        <v>11708</v>
      </c>
      <c r="C11609" s="14" t="s">
        <v>13031</v>
      </c>
      <c r="D11609" s="15">
        <v>5.86</v>
      </c>
      <c r="E11609" s="14" t="s">
        <v>20</v>
      </c>
    </row>
    <row r="11610" spans="1:5" x14ac:dyDescent="0.25">
      <c r="A11610" s="14">
        <v>577194</v>
      </c>
      <c r="B11610" s="14" t="s">
        <v>11709</v>
      </c>
      <c r="C11610" s="14" t="s">
        <v>13031</v>
      </c>
      <c r="D11610" s="15">
        <v>25.92</v>
      </c>
      <c r="E11610" s="14" t="s">
        <v>20</v>
      </c>
    </row>
    <row r="11611" spans="1:5" x14ac:dyDescent="0.25">
      <c r="A11611" s="14">
        <v>577195</v>
      </c>
      <c r="B11611" s="14" t="s">
        <v>11710</v>
      </c>
      <c r="C11611" s="14" t="s">
        <v>13031</v>
      </c>
      <c r="D11611" s="15">
        <v>11.69</v>
      </c>
      <c r="E11611" s="14" t="s">
        <v>20</v>
      </c>
    </row>
    <row r="11612" spans="1:5" x14ac:dyDescent="0.25">
      <c r="A11612" s="14">
        <v>577196</v>
      </c>
      <c r="B11612" s="14" t="s">
        <v>11711</v>
      </c>
      <c r="C11612" s="14" t="s">
        <v>13031</v>
      </c>
      <c r="D11612" s="15">
        <v>15.71</v>
      </c>
      <c r="E11612" s="14" t="s">
        <v>20</v>
      </c>
    </row>
    <row r="11613" spans="1:5" x14ac:dyDescent="0.25">
      <c r="A11613" s="14">
        <v>702440</v>
      </c>
      <c r="B11613" s="14" t="s">
        <v>11712</v>
      </c>
      <c r="C11613" s="14" t="s">
        <v>13031</v>
      </c>
      <c r="D11613" s="15">
        <v>10.7</v>
      </c>
      <c r="E11613" s="14" t="s">
        <v>20</v>
      </c>
    </row>
    <row r="11614" spans="1:5" x14ac:dyDescent="0.25">
      <c r="A11614" s="14">
        <v>702441</v>
      </c>
      <c r="B11614" s="14" t="s">
        <v>11713</v>
      </c>
      <c r="C11614" s="14" t="s">
        <v>13031</v>
      </c>
      <c r="D11614" s="15">
        <v>12.27</v>
      </c>
      <c r="E11614" s="14" t="s">
        <v>20</v>
      </c>
    </row>
    <row r="11615" spans="1:5" x14ac:dyDescent="0.25">
      <c r="A11615" s="14">
        <v>702442</v>
      </c>
      <c r="B11615" s="14" t="s">
        <v>11714</v>
      </c>
      <c r="C11615" s="14" t="s">
        <v>13031</v>
      </c>
      <c r="D11615" s="15">
        <v>9.31</v>
      </c>
      <c r="E11615" s="14" t="s">
        <v>20</v>
      </c>
    </row>
    <row r="11616" spans="1:5" x14ac:dyDescent="0.25">
      <c r="A11616" s="14">
        <v>702812</v>
      </c>
      <c r="B11616" s="14" t="s">
        <v>11715</v>
      </c>
      <c r="C11616" s="14" t="s">
        <v>13031</v>
      </c>
      <c r="D11616" s="15">
        <v>14.19</v>
      </c>
      <c r="E11616" s="14" t="s">
        <v>20</v>
      </c>
    </row>
    <row r="11617" spans="1:5" x14ac:dyDescent="0.25">
      <c r="A11617" s="14">
        <v>703016</v>
      </c>
      <c r="B11617" s="14" t="s">
        <v>11716</v>
      </c>
      <c r="C11617" s="14" t="s">
        <v>13030</v>
      </c>
      <c r="D11617" s="15">
        <v>149.54</v>
      </c>
      <c r="E11617" s="14" t="s">
        <v>20</v>
      </c>
    </row>
    <row r="11618" spans="1:5" x14ac:dyDescent="0.25">
      <c r="A11618" s="14">
        <v>704627</v>
      </c>
      <c r="B11618" s="14" t="s">
        <v>11717</v>
      </c>
      <c r="C11618" s="14" t="s">
        <v>13030</v>
      </c>
      <c r="D11618" s="15">
        <v>103.75</v>
      </c>
      <c r="E11618" s="14" t="s">
        <v>20</v>
      </c>
    </row>
    <row r="11619" spans="1:5" x14ac:dyDescent="0.25">
      <c r="A11619" s="14">
        <v>1014995</v>
      </c>
      <c r="B11619" s="14" t="s">
        <v>11718</v>
      </c>
      <c r="C11619" s="14" t="s">
        <v>13029</v>
      </c>
      <c r="D11619" s="15">
        <v>37.31</v>
      </c>
      <c r="E11619" s="14" t="s">
        <v>30</v>
      </c>
    </row>
    <row r="11620" spans="1:5" x14ac:dyDescent="0.25">
      <c r="A11620" s="14">
        <v>713178</v>
      </c>
      <c r="B11620" s="14" t="s">
        <v>11719</v>
      </c>
      <c r="C11620" s="14" t="s">
        <v>13031</v>
      </c>
      <c r="D11620" s="15">
        <v>4.92</v>
      </c>
      <c r="E11620" s="14" t="s">
        <v>20</v>
      </c>
    </row>
    <row r="11621" spans="1:5" x14ac:dyDescent="0.25">
      <c r="A11621" s="14">
        <v>713180</v>
      </c>
      <c r="B11621" s="14" t="s">
        <v>11720</v>
      </c>
      <c r="C11621" s="14" t="s">
        <v>13031</v>
      </c>
      <c r="D11621" s="15">
        <v>15</v>
      </c>
      <c r="E11621" s="14" t="s">
        <v>20</v>
      </c>
    </row>
    <row r="11622" spans="1:5" x14ac:dyDescent="0.25">
      <c r="A11622" s="14">
        <v>713181</v>
      </c>
      <c r="B11622" s="14" t="s">
        <v>11721</v>
      </c>
      <c r="C11622" s="14" t="s">
        <v>13030</v>
      </c>
      <c r="D11622" s="15">
        <v>71</v>
      </c>
      <c r="E11622" s="14" t="s">
        <v>20</v>
      </c>
    </row>
    <row r="11623" spans="1:5" x14ac:dyDescent="0.25">
      <c r="A11623" s="14">
        <v>713189</v>
      </c>
      <c r="B11623" s="14" t="s">
        <v>11722</v>
      </c>
      <c r="C11623" s="14" t="s">
        <v>13031</v>
      </c>
      <c r="D11623" s="15">
        <v>13.05</v>
      </c>
      <c r="E11623" s="14" t="s">
        <v>20</v>
      </c>
    </row>
    <row r="11624" spans="1:5" x14ac:dyDescent="0.25">
      <c r="A11624" s="14">
        <v>713769</v>
      </c>
      <c r="B11624" s="14" t="s">
        <v>11723</v>
      </c>
      <c r="C11624" s="14" t="s">
        <v>13031</v>
      </c>
      <c r="D11624" s="15">
        <v>4.43</v>
      </c>
      <c r="E11624" s="14" t="s">
        <v>20</v>
      </c>
    </row>
    <row r="11625" spans="1:5" x14ac:dyDescent="0.25">
      <c r="A11625" s="14">
        <v>713784</v>
      </c>
      <c r="B11625" s="14" t="s">
        <v>11724</v>
      </c>
      <c r="C11625" s="14" t="s">
        <v>13031</v>
      </c>
      <c r="D11625" s="15">
        <v>13.07</v>
      </c>
      <c r="E11625" s="14" t="s">
        <v>20</v>
      </c>
    </row>
    <row r="11626" spans="1:5" x14ac:dyDescent="0.25">
      <c r="A11626" s="14">
        <v>713785</v>
      </c>
      <c r="B11626" s="14" t="s">
        <v>11725</v>
      </c>
      <c r="C11626" s="14" t="s">
        <v>13031</v>
      </c>
      <c r="D11626" s="15">
        <v>13.07</v>
      </c>
      <c r="E11626" s="14" t="s">
        <v>20</v>
      </c>
    </row>
    <row r="11627" spans="1:5" x14ac:dyDescent="0.25">
      <c r="A11627" s="14">
        <v>713786</v>
      </c>
      <c r="B11627" s="14" t="s">
        <v>11726</v>
      </c>
      <c r="C11627" s="14" t="s">
        <v>13031</v>
      </c>
      <c r="D11627" s="15">
        <v>15.46</v>
      </c>
      <c r="E11627" s="14" t="s">
        <v>20</v>
      </c>
    </row>
    <row r="11628" spans="1:5" x14ac:dyDescent="0.25">
      <c r="A11628" s="14">
        <v>713787</v>
      </c>
      <c r="B11628" s="14" t="s">
        <v>11727</v>
      </c>
      <c r="C11628" s="14" t="s">
        <v>13031</v>
      </c>
      <c r="D11628" s="15">
        <v>9.4700000000000006</v>
      </c>
      <c r="E11628" s="14" t="s">
        <v>20</v>
      </c>
    </row>
    <row r="11629" spans="1:5" x14ac:dyDescent="0.25">
      <c r="A11629" s="14">
        <v>714686</v>
      </c>
      <c r="B11629" s="14" t="s">
        <v>11728</v>
      </c>
      <c r="C11629" s="14" t="s">
        <v>13031</v>
      </c>
      <c r="D11629" s="15">
        <v>6.61</v>
      </c>
      <c r="E11629" s="14" t="s">
        <v>20</v>
      </c>
    </row>
    <row r="11630" spans="1:5" x14ac:dyDescent="0.25">
      <c r="A11630" s="14">
        <v>1020073</v>
      </c>
      <c r="B11630" s="14" t="s">
        <v>11729</v>
      </c>
      <c r="C11630" s="14" t="s">
        <v>13029</v>
      </c>
      <c r="D11630" s="15">
        <v>13.6</v>
      </c>
      <c r="E11630" s="14" t="s">
        <v>30</v>
      </c>
    </row>
    <row r="11631" spans="1:5" x14ac:dyDescent="0.25">
      <c r="A11631" s="14">
        <v>1020780</v>
      </c>
      <c r="B11631" s="14" t="s">
        <v>11730</v>
      </c>
      <c r="C11631" s="14" t="s">
        <v>13031</v>
      </c>
      <c r="D11631" s="15">
        <v>12.99</v>
      </c>
      <c r="E11631" s="14" t="s">
        <v>30</v>
      </c>
    </row>
    <row r="11632" spans="1:5" x14ac:dyDescent="0.25">
      <c r="A11632" s="14">
        <v>714687</v>
      </c>
      <c r="B11632" s="14" t="s">
        <v>11731</v>
      </c>
      <c r="C11632" s="14" t="s">
        <v>13031</v>
      </c>
      <c r="D11632" s="15">
        <v>8.3800000000000008</v>
      </c>
      <c r="E11632" s="14" t="s">
        <v>20</v>
      </c>
    </row>
    <row r="11633" spans="1:5" x14ac:dyDescent="0.25">
      <c r="A11633" s="14">
        <v>719655</v>
      </c>
      <c r="B11633" s="14" t="s">
        <v>11732</v>
      </c>
      <c r="C11633" s="14" t="s">
        <v>13031</v>
      </c>
      <c r="D11633" s="15">
        <v>14.24</v>
      </c>
      <c r="E11633" s="14" t="s">
        <v>20</v>
      </c>
    </row>
    <row r="11634" spans="1:5" x14ac:dyDescent="0.25">
      <c r="A11634" s="14">
        <v>727920</v>
      </c>
      <c r="B11634" s="14" t="s">
        <v>11733</v>
      </c>
      <c r="C11634" s="14" t="s">
        <v>13031</v>
      </c>
      <c r="D11634" s="15">
        <v>15.03</v>
      </c>
      <c r="E11634" s="14" t="s">
        <v>20</v>
      </c>
    </row>
    <row r="11635" spans="1:5" x14ac:dyDescent="0.25">
      <c r="A11635" s="14">
        <v>727921</v>
      </c>
      <c r="B11635" s="14" t="s">
        <v>11734</v>
      </c>
      <c r="C11635" s="14" t="s">
        <v>13031</v>
      </c>
      <c r="D11635" s="15">
        <v>15.03</v>
      </c>
      <c r="E11635" s="14" t="s">
        <v>20</v>
      </c>
    </row>
    <row r="11636" spans="1:5" x14ac:dyDescent="0.25">
      <c r="A11636" s="14">
        <v>732802</v>
      </c>
      <c r="B11636" s="14" t="s">
        <v>11735</v>
      </c>
      <c r="C11636" s="14" t="s">
        <v>13031</v>
      </c>
      <c r="D11636" s="15">
        <v>8.9</v>
      </c>
      <c r="E11636" s="14" t="s">
        <v>20</v>
      </c>
    </row>
    <row r="11637" spans="1:5" x14ac:dyDescent="0.25">
      <c r="A11637" s="14">
        <v>733451</v>
      </c>
      <c r="B11637" s="14" t="s">
        <v>11736</v>
      </c>
      <c r="C11637" s="14" t="s">
        <v>13031</v>
      </c>
      <c r="D11637" s="15">
        <v>7.45</v>
      </c>
      <c r="E11637" s="14" t="s">
        <v>20</v>
      </c>
    </row>
    <row r="11638" spans="1:5" x14ac:dyDescent="0.25">
      <c r="A11638" s="14">
        <v>733917</v>
      </c>
      <c r="B11638" s="14" t="s">
        <v>11737</v>
      </c>
      <c r="C11638" s="14" t="s">
        <v>13031</v>
      </c>
      <c r="D11638" s="15">
        <v>9.98</v>
      </c>
      <c r="E11638" s="14" t="s">
        <v>20</v>
      </c>
    </row>
    <row r="11639" spans="1:5" x14ac:dyDescent="0.25">
      <c r="A11639" s="14">
        <v>735355</v>
      </c>
      <c r="B11639" s="14" t="s">
        <v>11738</v>
      </c>
      <c r="C11639" s="14" t="s">
        <v>13031</v>
      </c>
      <c r="D11639" s="15">
        <v>11.65</v>
      </c>
      <c r="E11639" s="14" t="s">
        <v>20</v>
      </c>
    </row>
    <row r="11640" spans="1:5" x14ac:dyDescent="0.25">
      <c r="A11640" s="14">
        <v>736112</v>
      </c>
      <c r="B11640" s="14" t="s">
        <v>11739</v>
      </c>
      <c r="C11640" s="14" t="s">
        <v>13031</v>
      </c>
      <c r="D11640" s="15">
        <v>9</v>
      </c>
      <c r="E11640" s="14" t="s">
        <v>20</v>
      </c>
    </row>
    <row r="11641" spans="1:5" x14ac:dyDescent="0.25">
      <c r="A11641" s="14">
        <v>736113</v>
      </c>
      <c r="B11641" s="14" t="s">
        <v>11740</v>
      </c>
      <c r="C11641" s="14" t="s">
        <v>13031</v>
      </c>
      <c r="D11641" s="15">
        <v>9</v>
      </c>
      <c r="E11641" s="14" t="s">
        <v>20</v>
      </c>
    </row>
    <row r="11642" spans="1:5" x14ac:dyDescent="0.25">
      <c r="A11642" s="14">
        <v>736116</v>
      </c>
      <c r="B11642" s="14" t="s">
        <v>11741</v>
      </c>
      <c r="C11642" s="14" t="s">
        <v>13031</v>
      </c>
      <c r="D11642" s="15">
        <v>13.67</v>
      </c>
      <c r="E11642" s="14" t="s">
        <v>20</v>
      </c>
    </row>
    <row r="11643" spans="1:5" x14ac:dyDescent="0.25">
      <c r="A11643" s="14">
        <v>736117</v>
      </c>
      <c r="B11643" s="14" t="s">
        <v>11742</v>
      </c>
      <c r="C11643" s="14" t="s">
        <v>13031</v>
      </c>
      <c r="D11643" s="15">
        <v>13.67</v>
      </c>
      <c r="E11643" s="14" t="s">
        <v>20</v>
      </c>
    </row>
    <row r="11644" spans="1:5" x14ac:dyDescent="0.25">
      <c r="A11644" s="14">
        <v>737464</v>
      </c>
      <c r="B11644" s="14" t="s">
        <v>11743</v>
      </c>
      <c r="C11644" s="14" t="s">
        <v>13031</v>
      </c>
      <c r="D11644" s="15">
        <v>13.37</v>
      </c>
      <c r="E11644" s="14" t="s">
        <v>20</v>
      </c>
    </row>
    <row r="11645" spans="1:5" x14ac:dyDescent="0.25">
      <c r="A11645" s="14">
        <v>740110</v>
      </c>
      <c r="B11645" s="14" t="s">
        <v>11744</v>
      </c>
      <c r="C11645" s="14" t="s">
        <v>13031</v>
      </c>
      <c r="D11645" s="15">
        <v>10.01</v>
      </c>
      <c r="E11645" s="14" t="s">
        <v>20</v>
      </c>
    </row>
    <row r="11646" spans="1:5" x14ac:dyDescent="0.25">
      <c r="A11646" s="14">
        <v>740111</v>
      </c>
      <c r="B11646" s="14" t="s">
        <v>11745</v>
      </c>
      <c r="C11646" s="14" t="s">
        <v>13031</v>
      </c>
      <c r="D11646" s="15">
        <v>10.61</v>
      </c>
      <c r="E11646" s="14" t="s">
        <v>20</v>
      </c>
    </row>
    <row r="11647" spans="1:5" x14ac:dyDescent="0.25">
      <c r="A11647" s="14">
        <v>750565</v>
      </c>
      <c r="B11647" s="14" t="s">
        <v>11746</v>
      </c>
      <c r="C11647" s="14" t="s">
        <v>13031</v>
      </c>
      <c r="D11647" s="15">
        <v>18.399999999999999</v>
      </c>
      <c r="E11647" s="14" t="s">
        <v>20</v>
      </c>
    </row>
    <row r="11648" spans="1:5" x14ac:dyDescent="0.25">
      <c r="A11648" s="14">
        <v>750566</v>
      </c>
      <c r="B11648" s="14" t="s">
        <v>11747</v>
      </c>
      <c r="C11648" s="14" t="s">
        <v>13031</v>
      </c>
      <c r="D11648" s="15">
        <v>17.2</v>
      </c>
      <c r="E11648" s="14" t="s">
        <v>20</v>
      </c>
    </row>
    <row r="11649" spans="1:5" x14ac:dyDescent="0.25">
      <c r="A11649" s="14">
        <v>750567</v>
      </c>
      <c r="B11649" s="14" t="s">
        <v>11748</v>
      </c>
      <c r="C11649" s="14" t="s">
        <v>13031</v>
      </c>
      <c r="D11649" s="15">
        <v>17.75</v>
      </c>
      <c r="E11649" s="14" t="s">
        <v>20</v>
      </c>
    </row>
    <row r="11650" spans="1:5" x14ac:dyDescent="0.25">
      <c r="A11650" s="14">
        <v>753134</v>
      </c>
      <c r="B11650" s="14" t="s">
        <v>11749</v>
      </c>
      <c r="C11650" s="14" t="s">
        <v>13031</v>
      </c>
      <c r="D11650" s="15">
        <v>11.44</v>
      </c>
      <c r="E11650" s="14" t="s">
        <v>20</v>
      </c>
    </row>
    <row r="11651" spans="1:5" x14ac:dyDescent="0.25">
      <c r="A11651" s="14">
        <v>1021538</v>
      </c>
      <c r="B11651" s="14" t="s">
        <v>11750</v>
      </c>
      <c r="C11651" s="14" t="s">
        <v>13031</v>
      </c>
      <c r="D11651" s="15">
        <v>8.64</v>
      </c>
      <c r="E11651" s="14" t="s">
        <v>30</v>
      </c>
    </row>
    <row r="11652" spans="1:5" x14ac:dyDescent="0.25">
      <c r="A11652" s="14">
        <v>754801</v>
      </c>
      <c r="B11652" s="14" t="s">
        <v>11751</v>
      </c>
      <c r="C11652" s="14" t="s">
        <v>13031</v>
      </c>
      <c r="D11652" s="15">
        <v>1.5</v>
      </c>
      <c r="E11652" s="14" t="s">
        <v>20</v>
      </c>
    </row>
    <row r="11653" spans="1:5" x14ac:dyDescent="0.25">
      <c r="A11653" s="14">
        <v>754802</v>
      </c>
      <c r="B11653" s="14" t="s">
        <v>11752</v>
      </c>
      <c r="C11653" s="14" t="s">
        <v>13031</v>
      </c>
      <c r="D11653" s="15">
        <v>1.5</v>
      </c>
      <c r="E11653" s="14" t="s">
        <v>20</v>
      </c>
    </row>
    <row r="11654" spans="1:5" x14ac:dyDescent="0.25">
      <c r="A11654" s="14">
        <v>755263</v>
      </c>
      <c r="B11654" s="14" t="s">
        <v>11753</v>
      </c>
      <c r="C11654" s="14" t="s">
        <v>13030</v>
      </c>
      <c r="D11654" s="15">
        <v>237.23</v>
      </c>
      <c r="E11654" s="14" t="s">
        <v>20</v>
      </c>
    </row>
    <row r="11655" spans="1:5" x14ac:dyDescent="0.25">
      <c r="A11655" s="14">
        <v>755543</v>
      </c>
      <c r="B11655" s="14" t="s">
        <v>11754</v>
      </c>
      <c r="C11655" s="14" t="s">
        <v>13031</v>
      </c>
      <c r="D11655" s="15">
        <v>4.45</v>
      </c>
      <c r="E11655" s="14" t="s">
        <v>20</v>
      </c>
    </row>
    <row r="11656" spans="1:5" x14ac:dyDescent="0.25">
      <c r="A11656" s="14">
        <v>757680</v>
      </c>
      <c r="B11656" s="14" t="s">
        <v>11755</v>
      </c>
      <c r="C11656" s="14" t="s">
        <v>13030</v>
      </c>
      <c r="D11656" s="15">
        <v>207.41</v>
      </c>
      <c r="E11656" s="14" t="s">
        <v>20</v>
      </c>
    </row>
    <row r="11657" spans="1:5" x14ac:dyDescent="0.25">
      <c r="A11657" s="14">
        <v>757681</v>
      </c>
      <c r="B11657" s="14" t="s">
        <v>11756</v>
      </c>
      <c r="C11657" s="14" t="s">
        <v>13030</v>
      </c>
      <c r="D11657" s="15">
        <v>253.43</v>
      </c>
      <c r="E11657" s="14" t="s">
        <v>20</v>
      </c>
    </row>
    <row r="11658" spans="1:5" x14ac:dyDescent="0.25">
      <c r="A11658" s="14">
        <v>758398</v>
      </c>
      <c r="B11658" s="14" t="s">
        <v>11757</v>
      </c>
      <c r="C11658" s="14" t="s">
        <v>13030</v>
      </c>
      <c r="D11658" s="15">
        <v>122.1</v>
      </c>
      <c r="E11658" s="14" t="s">
        <v>20</v>
      </c>
    </row>
    <row r="11659" spans="1:5" x14ac:dyDescent="0.25">
      <c r="A11659" s="14">
        <v>1009735</v>
      </c>
      <c r="B11659" s="14" t="s">
        <v>11758</v>
      </c>
      <c r="C11659" s="14" t="s">
        <v>13029</v>
      </c>
      <c r="D11659" s="15">
        <v>38.76</v>
      </c>
      <c r="E11659" s="14" t="s">
        <v>30</v>
      </c>
    </row>
    <row r="11660" spans="1:5" x14ac:dyDescent="0.25">
      <c r="A11660" s="14">
        <v>759407</v>
      </c>
      <c r="B11660" s="14" t="s">
        <v>11759</v>
      </c>
      <c r="C11660" s="14" t="s">
        <v>13031</v>
      </c>
      <c r="D11660" s="15">
        <v>7.65</v>
      </c>
      <c r="E11660" s="14" t="s">
        <v>20</v>
      </c>
    </row>
    <row r="11661" spans="1:5" x14ac:dyDescent="0.25">
      <c r="A11661" s="14">
        <v>759408</v>
      </c>
      <c r="B11661" s="14" t="s">
        <v>11760</v>
      </c>
      <c r="C11661" s="14" t="s">
        <v>13031</v>
      </c>
      <c r="D11661" s="15">
        <v>7.65</v>
      </c>
      <c r="E11661" s="14" t="s">
        <v>20</v>
      </c>
    </row>
    <row r="11662" spans="1:5" x14ac:dyDescent="0.25">
      <c r="A11662" s="14">
        <v>1009736</v>
      </c>
      <c r="B11662" s="14" t="s">
        <v>11761</v>
      </c>
      <c r="C11662" s="14" t="s">
        <v>13029</v>
      </c>
      <c r="D11662" s="15">
        <v>38.76</v>
      </c>
      <c r="E11662" s="14" t="s">
        <v>30</v>
      </c>
    </row>
    <row r="11663" spans="1:5" x14ac:dyDescent="0.25">
      <c r="A11663" s="14">
        <v>1009739</v>
      </c>
      <c r="B11663" s="14" t="s">
        <v>11762</v>
      </c>
      <c r="C11663" s="14" t="s">
        <v>13029</v>
      </c>
      <c r="D11663" s="15">
        <v>38.76</v>
      </c>
      <c r="E11663" s="14" t="s">
        <v>30</v>
      </c>
    </row>
    <row r="11664" spans="1:5" x14ac:dyDescent="0.25">
      <c r="A11664" s="14">
        <v>1013143</v>
      </c>
      <c r="B11664" s="14" t="s">
        <v>11763</v>
      </c>
      <c r="C11664" s="14" t="s">
        <v>13029</v>
      </c>
      <c r="D11664" s="15">
        <v>25.43</v>
      </c>
      <c r="E11664" s="14" t="s">
        <v>30</v>
      </c>
    </row>
    <row r="11665" spans="1:5" x14ac:dyDescent="0.25">
      <c r="A11665" s="14">
        <v>1014999</v>
      </c>
      <c r="B11665" s="14" t="s">
        <v>11764</v>
      </c>
      <c r="C11665" s="14" t="s">
        <v>13029</v>
      </c>
      <c r="D11665" s="15">
        <v>37.31</v>
      </c>
      <c r="E11665" s="14" t="s">
        <v>30</v>
      </c>
    </row>
    <row r="11666" spans="1:5" x14ac:dyDescent="0.25">
      <c r="A11666" s="14">
        <v>759410</v>
      </c>
      <c r="B11666" s="14" t="s">
        <v>11765</v>
      </c>
      <c r="C11666" s="14" t="s">
        <v>13031</v>
      </c>
      <c r="D11666" s="15">
        <v>7.34</v>
      </c>
      <c r="E11666" s="14" t="s">
        <v>20</v>
      </c>
    </row>
    <row r="11667" spans="1:5" x14ac:dyDescent="0.25">
      <c r="A11667" s="14">
        <v>763582</v>
      </c>
      <c r="B11667" s="14" t="s">
        <v>11766</v>
      </c>
      <c r="C11667" s="14" t="s">
        <v>13031</v>
      </c>
      <c r="D11667" s="15">
        <v>9</v>
      </c>
      <c r="E11667" s="14" t="s">
        <v>20</v>
      </c>
    </row>
    <row r="11668" spans="1:5" x14ac:dyDescent="0.25">
      <c r="A11668" s="14">
        <v>765234</v>
      </c>
      <c r="B11668" s="14" t="s">
        <v>11767</v>
      </c>
      <c r="C11668" s="14" t="s">
        <v>13031</v>
      </c>
      <c r="D11668" s="15">
        <v>5.93</v>
      </c>
      <c r="E11668" s="14" t="s">
        <v>20</v>
      </c>
    </row>
    <row r="11669" spans="1:5" x14ac:dyDescent="0.25">
      <c r="A11669" s="14">
        <v>765235</v>
      </c>
      <c r="B11669" s="14" t="s">
        <v>11768</v>
      </c>
      <c r="C11669" s="14" t="s">
        <v>13031</v>
      </c>
      <c r="D11669" s="15">
        <v>5.93</v>
      </c>
      <c r="E11669" s="14" t="s">
        <v>20</v>
      </c>
    </row>
    <row r="11670" spans="1:5" x14ac:dyDescent="0.25">
      <c r="A11670" s="14">
        <v>768223</v>
      </c>
      <c r="B11670" s="14" t="s">
        <v>11769</v>
      </c>
      <c r="C11670" s="14" t="s">
        <v>13031</v>
      </c>
      <c r="D11670" s="15">
        <v>6.65</v>
      </c>
      <c r="E11670" s="14" t="s">
        <v>20</v>
      </c>
    </row>
    <row r="11671" spans="1:5" x14ac:dyDescent="0.25">
      <c r="A11671" s="14">
        <v>768360</v>
      </c>
      <c r="B11671" s="14" t="s">
        <v>11770</v>
      </c>
      <c r="C11671" s="14" t="s">
        <v>13030</v>
      </c>
      <c r="D11671" s="15">
        <v>38.14</v>
      </c>
      <c r="E11671" s="14" t="s">
        <v>20</v>
      </c>
    </row>
    <row r="11672" spans="1:5" x14ac:dyDescent="0.25">
      <c r="A11672" s="14">
        <v>768362</v>
      </c>
      <c r="B11672" s="14" t="s">
        <v>11771</v>
      </c>
      <c r="C11672" s="14" t="s">
        <v>13030</v>
      </c>
      <c r="D11672" s="15">
        <v>29.66</v>
      </c>
      <c r="E11672" s="14" t="s">
        <v>20</v>
      </c>
    </row>
    <row r="11673" spans="1:5" x14ac:dyDescent="0.25">
      <c r="A11673" s="14">
        <v>768374</v>
      </c>
      <c r="B11673" s="14" t="s">
        <v>11772</v>
      </c>
      <c r="C11673" s="14" t="s">
        <v>13030</v>
      </c>
      <c r="D11673" s="15">
        <v>45.15</v>
      </c>
      <c r="E11673" s="14" t="s">
        <v>20</v>
      </c>
    </row>
    <row r="11674" spans="1:5" x14ac:dyDescent="0.25">
      <c r="A11674" s="14">
        <v>768375</v>
      </c>
      <c r="B11674" s="14" t="s">
        <v>11773</v>
      </c>
      <c r="C11674" s="14" t="s">
        <v>13030</v>
      </c>
      <c r="D11674" s="15">
        <v>45.15</v>
      </c>
      <c r="E11674" s="14" t="s">
        <v>20</v>
      </c>
    </row>
    <row r="11675" spans="1:5" x14ac:dyDescent="0.25">
      <c r="A11675" s="14">
        <v>768376</v>
      </c>
      <c r="B11675" s="14" t="s">
        <v>11774</v>
      </c>
      <c r="C11675" s="14" t="s">
        <v>13030</v>
      </c>
      <c r="D11675" s="15">
        <v>85.13</v>
      </c>
      <c r="E11675" s="14" t="s">
        <v>20</v>
      </c>
    </row>
    <row r="11676" spans="1:5" x14ac:dyDescent="0.25">
      <c r="A11676" s="14">
        <v>768377</v>
      </c>
      <c r="B11676" s="14" t="s">
        <v>11775</v>
      </c>
      <c r="C11676" s="14" t="s">
        <v>13030</v>
      </c>
      <c r="D11676" s="15">
        <v>85.13</v>
      </c>
      <c r="E11676" s="14" t="s">
        <v>20</v>
      </c>
    </row>
    <row r="11677" spans="1:5" x14ac:dyDescent="0.25">
      <c r="A11677" s="14">
        <v>1018744</v>
      </c>
      <c r="B11677" s="14" t="s">
        <v>11776</v>
      </c>
      <c r="C11677" s="14" t="s">
        <v>13029</v>
      </c>
      <c r="D11677" s="15">
        <v>1.64</v>
      </c>
      <c r="E11677" s="14" t="s">
        <v>30</v>
      </c>
    </row>
    <row r="11678" spans="1:5" x14ac:dyDescent="0.25">
      <c r="A11678" s="14">
        <v>577523</v>
      </c>
      <c r="B11678" s="14" t="s">
        <v>11777</v>
      </c>
      <c r="C11678" s="14" t="s">
        <v>13029</v>
      </c>
      <c r="D11678" s="15">
        <v>10.38</v>
      </c>
      <c r="E11678" s="14" t="s">
        <v>30</v>
      </c>
    </row>
    <row r="11679" spans="1:5" x14ac:dyDescent="0.25">
      <c r="A11679" s="14">
        <v>768378</v>
      </c>
      <c r="B11679" s="14" t="s">
        <v>11778</v>
      </c>
      <c r="C11679" s="14" t="s">
        <v>13030</v>
      </c>
      <c r="D11679" s="15">
        <v>237.29</v>
      </c>
      <c r="E11679" s="14" t="s">
        <v>20</v>
      </c>
    </row>
    <row r="11680" spans="1:5" x14ac:dyDescent="0.25">
      <c r="A11680" s="14">
        <v>768474</v>
      </c>
      <c r="B11680" s="14" t="s">
        <v>11779</v>
      </c>
      <c r="C11680" s="14" t="s">
        <v>13030</v>
      </c>
      <c r="D11680" s="15">
        <v>146.82</v>
      </c>
      <c r="E11680" s="14" t="s">
        <v>20</v>
      </c>
    </row>
    <row r="11681" spans="1:5" x14ac:dyDescent="0.25">
      <c r="A11681" s="14">
        <v>768475</v>
      </c>
      <c r="B11681" s="14" t="s">
        <v>11780</v>
      </c>
      <c r="C11681" s="14" t="s">
        <v>13030</v>
      </c>
      <c r="D11681" s="15">
        <v>11.78</v>
      </c>
      <c r="E11681" s="14" t="s">
        <v>20</v>
      </c>
    </row>
    <row r="11682" spans="1:5" x14ac:dyDescent="0.25">
      <c r="A11682" s="14">
        <v>1019336</v>
      </c>
      <c r="B11682" s="14" t="s">
        <v>11781</v>
      </c>
      <c r="C11682" s="14" t="s">
        <v>13031</v>
      </c>
      <c r="D11682" s="15">
        <v>3.56</v>
      </c>
      <c r="E11682" s="14" t="s">
        <v>30</v>
      </c>
    </row>
    <row r="11683" spans="1:5" x14ac:dyDescent="0.25">
      <c r="A11683" s="14">
        <v>768646</v>
      </c>
      <c r="B11683" s="14" t="s">
        <v>11782</v>
      </c>
      <c r="C11683" s="14" t="s">
        <v>13030</v>
      </c>
      <c r="D11683" s="15">
        <v>34.75</v>
      </c>
      <c r="E11683" s="14" t="s">
        <v>20</v>
      </c>
    </row>
    <row r="11684" spans="1:5" x14ac:dyDescent="0.25">
      <c r="A11684" s="14">
        <v>769521</v>
      </c>
      <c r="B11684" s="14" t="s">
        <v>11783</v>
      </c>
      <c r="C11684" s="14" t="s">
        <v>13031</v>
      </c>
      <c r="D11684" s="15">
        <v>11.44</v>
      </c>
      <c r="E11684" s="14" t="s">
        <v>20</v>
      </c>
    </row>
    <row r="11685" spans="1:5" x14ac:dyDescent="0.25">
      <c r="A11685" s="14">
        <v>770408</v>
      </c>
      <c r="B11685" s="14" t="s">
        <v>11784</v>
      </c>
      <c r="C11685" s="14" t="s">
        <v>13031</v>
      </c>
      <c r="D11685" s="15">
        <v>6.5</v>
      </c>
      <c r="E11685" s="14" t="s">
        <v>20</v>
      </c>
    </row>
    <row r="11686" spans="1:5" x14ac:dyDescent="0.25">
      <c r="A11686" s="14">
        <v>770409</v>
      </c>
      <c r="B11686" s="14" t="s">
        <v>11785</v>
      </c>
      <c r="C11686" s="14" t="s">
        <v>13031</v>
      </c>
      <c r="D11686" s="15">
        <v>6.5</v>
      </c>
      <c r="E11686" s="14" t="s">
        <v>20</v>
      </c>
    </row>
    <row r="11687" spans="1:5" x14ac:dyDescent="0.25">
      <c r="A11687" s="14">
        <v>770754</v>
      </c>
      <c r="B11687" s="14" t="s">
        <v>11786</v>
      </c>
      <c r="C11687" s="14" t="s">
        <v>13031</v>
      </c>
      <c r="D11687" s="15">
        <v>6.67</v>
      </c>
      <c r="E11687" s="14" t="s">
        <v>20</v>
      </c>
    </row>
    <row r="11688" spans="1:5" x14ac:dyDescent="0.25">
      <c r="A11688" s="14">
        <v>770866</v>
      </c>
      <c r="B11688" s="14" t="s">
        <v>11787</v>
      </c>
      <c r="C11688" s="14" t="s">
        <v>13031</v>
      </c>
      <c r="D11688" s="15">
        <v>8.08</v>
      </c>
      <c r="E11688" s="14" t="s">
        <v>20</v>
      </c>
    </row>
    <row r="11689" spans="1:5" x14ac:dyDescent="0.25">
      <c r="A11689" s="14">
        <v>771252</v>
      </c>
      <c r="B11689" s="14" t="s">
        <v>11788</v>
      </c>
      <c r="C11689" s="14" t="s">
        <v>13031</v>
      </c>
      <c r="D11689" s="15">
        <v>11</v>
      </c>
      <c r="E11689" s="14" t="s">
        <v>20</v>
      </c>
    </row>
    <row r="11690" spans="1:5" x14ac:dyDescent="0.25">
      <c r="A11690" s="14">
        <v>1022070</v>
      </c>
      <c r="B11690" s="14" t="s">
        <v>11789</v>
      </c>
      <c r="C11690" s="14" t="s">
        <v>13030</v>
      </c>
      <c r="D11690" s="15">
        <v>20.78</v>
      </c>
      <c r="E11690" s="14" t="s">
        <v>30</v>
      </c>
    </row>
    <row r="11691" spans="1:5" x14ac:dyDescent="0.25">
      <c r="A11691" s="14">
        <v>771253</v>
      </c>
      <c r="B11691" s="14" t="s">
        <v>11790</v>
      </c>
      <c r="C11691" s="14" t="s">
        <v>13031</v>
      </c>
      <c r="D11691" s="15">
        <v>15</v>
      </c>
      <c r="E11691" s="14" t="s">
        <v>20</v>
      </c>
    </row>
    <row r="11692" spans="1:5" x14ac:dyDescent="0.25">
      <c r="A11692" s="14">
        <v>1022071</v>
      </c>
      <c r="B11692" s="14" t="s">
        <v>11791</v>
      </c>
      <c r="C11692" s="14" t="s">
        <v>13030</v>
      </c>
      <c r="D11692" s="15">
        <v>20.78</v>
      </c>
      <c r="E11692" s="14" t="s">
        <v>30</v>
      </c>
    </row>
    <row r="11693" spans="1:5" x14ac:dyDescent="0.25">
      <c r="A11693" s="14">
        <v>1022077</v>
      </c>
      <c r="B11693" s="14" t="s">
        <v>11792</v>
      </c>
      <c r="C11693" s="14" t="s">
        <v>13030</v>
      </c>
      <c r="D11693" s="15">
        <v>34.68</v>
      </c>
      <c r="E11693" s="14" t="s">
        <v>30</v>
      </c>
    </row>
    <row r="11694" spans="1:5" x14ac:dyDescent="0.25">
      <c r="A11694" s="14">
        <v>1022089</v>
      </c>
      <c r="B11694" s="14" t="s">
        <v>11793</v>
      </c>
      <c r="C11694" s="14" t="s">
        <v>13030</v>
      </c>
      <c r="D11694" s="15">
        <v>41.62</v>
      </c>
      <c r="E11694" s="14" t="s">
        <v>30</v>
      </c>
    </row>
    <row r="11695" spans="1:5" x14ac:dyDescent="0.25">
      <c r="A11695" s="14">
        <v>740136</v>
      </c>
      <c r="B11695" s="14" t="s">
        <v>11794</v>
      </c>
      <c r="C11695" s="14" t="s">
        <v>13029</v>
      </c>
      <c r="D11695" s="15">
        <v>7.06</v>
      </c>
      <c r="E11695" s="14" t="s">
        <v>30</v>
      </c>
    </row>
    <row r="11696" spans="1:5" x14ac:dyDescent="0.25">
      <c r="A11696" s="14">
        <v>1015368</v>
      </c>
      <c r="B11696" s="14" t="s">
        <v>11795</v>
      </c>
      <c r="C11696" s="14" t="s">
        <v>13031</v>
      </c>
      <c r="D11696" s="15">
        <v>74</v>
      </c>
      <c r="E11696" s="14" t="s">
        <v>30</v>
      </c>
    </row>
    <row r="11697" spans="1:5" x14ac:dyDescent="0.25">
      <c r="A11697" s="14">
        <v>1019332</v>
      </c>
      <c r="B11697" s="14" t="s">
        <v>11796</v>
      </c>
      <c r="C11697" s="14" t="s">
        <v>13031</v>
      </c>
      <c r="D11697" s="15">
        <v>9.36</v>
      </c>
      <c r="E11697" s="14" t="s">
        <v>30</v>
      </c>
    </row>
    <row r="11698" spans="1:5" x14ac:dyDescent="0.25">
      <c r="A11698" s="14">
        <v>1019333</v>
      </c>
      <c r="B11698" s="14" t="s">
        <v>11797</v>
      </c>
      <c r="C11698" s="14" t="s">
        <v>13031</v>
      </c>
      <c r="D11698" s="15">
        <v>9.36</v>
      </c>
      <c r="E11698" s="14" t="s">
        <v>30</v>
      </c>
    </row>
    <row r="11699" spans="1:5" x14ac:dyDescent="0.25">
      <c r="A11699" s="14">
        <v>1019338</v>
      </c>
      <c r="B11699" s="14" t="s">
        <v>11798</v>
      </c>
      <c r="C11699" s="14" t="s">
        <v>13033</v>
      </c>
      <c r="D11699" s="15">
        <v>6.25</v>
      </c>
      <c r="E11699" s="14" t="s">
        <v>30</v>
      </c>
    </row>
    <row r="11700" spans="1:5" x14ac:dyDescent="0.25">
      <c r="A11700" s="14">
        <v>771254</v>
      </c>
      <c r="B11700" s="14" t="s">
        <v>11799</v>
      </c>
      <c r="C11700" s="14" t="s">
        <v>13031</v>
      </c>
      <c r="D11700" s="15">
        <v>16</v>
      </c>
      <c r="E11700" s="14" t="s">
        <v>20</v>
      </c>
    </row>
    <row r="11701" spans="1:5" x14ac:dyDescent="0.25">
      <c r="A11701" s="14">
        <v>771255</v>
      </c>
      <c r="B11701" s="14" t="s">
        <v>11800</v>
      </c>
      <c r="C11701" s="14" t="s">
        <v>13031</v>
      </c>
      <c r="D11701" s="15">
        <v>11.4</v>
      </c>
      <c r="E11701" s="14" t="s">
        <v>20</v>
      </c>
    </row>
    <row r="11702" spans="1:5" x14ac:dyDescent="0.25">
      <c r="A11702" s="14">
        <v>773304</v>
      </c>
      <c r="B11702" s="14" t="s">
        <v>11801</v>
      </c>
      <c r="C11702" s="14" t="s">
        <v>13031</v>
      </c>
      <c r="D11702" s="15">
        <v>2.36</v>
      </c>
      <c r="E11702" s="14" t="s">
        <v>20</v>
      </c>
    </row>
    <row r="11703" spans="1:5" x14ac:dyDescent="0.25">
      <c r="A11703" s="14">
        <v>782193</v>
      </c>
      <c r="B11703" s="14" t="s">
        <v>11802</v>
      </c>
      <c r="C11703" s="14" t="s">
        <v>13031</v>
      </c>
      <c r="D11703" s="15">
        <v>8.9</v>
      </c>
      <c r="E11703" s="14" t="s">
        <v>20</v>
      </c>
    </row>
    <row r="11704" spans="1:5" x14ac:dyDescent="0.25">
      <c r="A11704" s="14">
        <v>786963</v>
      </c>
      <c r="B11704" s="14" t="s">
        <v>11803</v>
      </c>
      <c r="C11704" s="14" t="s">
        <v>13031</v>
      </c>
      <c r="D11704" s="15">
        <v>13.54</v>
      </c>
      <c r="E11704" s="14" t="s">
        <v>20</v>
      </c>
    </row>
    <row r="11705" spans="1:5" x14ac:dyDescent="0.25">
      <c r="A11705" s="14">
        <v>787638</v>
      </c>
      <c r="B11705" s="14" t="s">
        <v>11804</v>
      </c>
      <c r="C11705" s="14" t="s">
        <v>13031</v>
      </c>
      <c r="D11705" s="15">
        <v>12.2</v>
      </c>
      <c r="E11705" s="14" t="s">
        <v>20</v>
      </c>
    </row>
    <row r="11706" spans="1:5" x14ac:dyDescent="0.25">
      <c r="A11706" s="14">
        <v>787639</v>
      </c>
      <c r="B11706" s="14" t="s">
        <v>11805</v>
      </c>
      <c r="C11706" s="14" t="s">
        <v>13031</v>
      </c>
      <c r="D11706" s="15">
        <v>13.2</v>
      </c>
      <c r="E11706" s="14" t="s">
        <v>20</v>
      </c>
    </row>
    <row r="11707" spans="1:5" x14ac:dyDescent="0.25">
      <c r="A11707" s="14">
        <v>787640</v>
      </c>
      <c r="B11707" s="14" t="s">
        <v>11806</v>
      </c>
      <c r="C11707" s="14" t="s">
        <v>13031</v>
      </c>
      <c r="D11707" s="15">
        <v>12.8</v>
      </c>
      <c r="E11707" s="14" t="s">
        <v>20</v>
      </c>
    </row>
    <row r="11708" spans="1:5" x14ac:dyDescent="0.25">
      <c r="A11708" s="14">
        <v>787641</v>
      </c>
      <c r="B11708" s="14" t="s">
        <v>11807</v>
      </c>
      <c r="C11708" s="14" t="s">
        <v>13031</v>
      </c>
      <c r="D11708" s="15">
        <v>7.59</v>
      </c>
      <c r="E11708" s="14" t="s">
        <v>20</v>
      </c>
    </row>
    <row r="11709" spans="1:5" x14ac:dyDescent="0.25">
      <c r="A11709" s="14">
        <v>789717</v>
      </c>
      <c r="B11709" s="14" t="s">
        <v>11808</v>
      </c>
      <c r="C11709" s="14" t="s">
        <v>13031</v>
      </c>
      <c r="D11709" s="15">
        <v>8.89</v>
      </c>
      <c r="E11709" s="14" t="s">
        <v>20</v>
      </c>
    </row>
    <row r="11710" spans="1:5" x14ac:dyDescent="0.25">
      <c r="A11710" s="14">
        <v>1019780</v>
      </c>
      <c r="B11710" s="14" t="s">
        <v>11809</v>
      </c>
      <c r="C11710" s="14" t="s">
        <v>13030</v>
      </c>
      <c r="D11710" s="15">
        <v>31.61</v>
      </c>
      <c r="E11710" s="14" t="s">
        <v>30</v>
      </c>
    </row>
    <row r="11711" spans="1:5" x14ac:dyDescent="0.25">
      <c r="A11711" s="14">
        <v>1020057</v>
      </c>
      <c r="B11711" s="14" t="s">
        <v>11810</v>
      </c>
      <c r="C11711" s="14" t="s">
        <v>13029</v>
      </c>
      <c r="D11711" s="15">
        <v>15.96</v>
      </c>
      <c r="E11711" s="14" t="s">
        <v>30</v>
      </c>
    </row>
    <row r="11712" spans="1:5" x14ac:dyDescent="0.25">
      <c r="A11712" s="14">
        <v>1020058</v>
      </c>
      <c r="B11712" s="14" t="s">
        <v>11811</v>
      </c>
      <c r="C11712" s="14" t="s">
        <v>13029</v>
      </c>
      <c r="D11712" s="15">
        <v>17.559999999999999</v>
      </c>
      <c r="E11712" s="14" t="s">
        <v>30</v>
      </c>
    </row>
    <row r="11713" spans="1:5" x14ac:dyDescent="0.25">
      <c r="A11713" s="14">
        <v>789718</v>
      </c>
      <c r="B11713" s="14" t="s">
        <v>11812</v>
      </c>
      <c r="C11713" s="14" t="s">
        <v>13031</v>
      </c>
      <c r="D11713" s="15">
        <v>5.7</v>
      </c>
      <c r="E11713" s="14" t="s">
        <v>20</v>
      </c>
    </row>
    <row r="11714" spans="1:5" x14ac:dyDescent="0.25">
      <c r="A11714" s="14">
        <v>789719</v>
      </c>
      <c r="B11714" s="14" t="s">
        <v>11813</v>
      </c>
      <c r="C11714" s="14" t="s">
        <v>13031</v>
      </c>
      <c r="D11714" s="15">
        <v>7.42</v>
      </c>
      <c r="E11714" s="14" t="s">
        <v>20</v>
      </c>
    </row>
    <row r="11715" spans="1:5" x14ac:dyDescent="0.25">
      <c r="A11715" s="14">
        <v>789797</v>
      </c>
      <c r="B11715" s="14" t="s">
        <v>11814</v>
      </c>
      <c r="C11715" s="14" t="s">
        <v>13031</v>
      </c>
      <c r="D11715" s="15">
        <v>4.1100000000000003</v>
      </c>
      <c r="E11715" s="14" t="s">
        <v>20</v>
      </c>
    </row>
    <row r="11716" spans="1:5" x14ac:dyDescent="0.25">
      <c r="A11716" s="14">
        <v>789799</v>
      </c>
      <c r="B11716" s="14" t="s">
        <v>11815</v>
      </c>
      <c r="C11716" s="14" t="s">
        <v>13031</v>
      </c>
      <c r="D11716" s="15">
        <v>4</v>
      </c>
      <c r="E11716" s="14" t="s">
        <v>20</v>
      </c>
    </row>
    <row r="11717" spans="1:5" x14ac:dyDescent="0.25">
      <c r="A11717" s="14">
        <v>793178</v>
      </c>
      <c r="B11717" s="14" t="s">
        <v>11816</v>
      </c>
      <c r="C11717" s="14" t="s">
        <v>13031</v>
      </c>
      <c r="D11717" s="15">
        <v>5.45</v>
      </c>
      <c r="E11717" s="14" t="s">
        <v>20</v>
      </c>
    </row>
    <row r="11718" spans="1:5" x14ac:dyDescent="0.25">
      <c r="A11718" s="14">
        <v>793179</v>
      </c>
      <c r="B11718" s="14" t="s">
        <v>11817</v>
      </c>
      <c r="C11718" s="14" t="s">
        <v>13031</v>
      </c>
      <c r="D11718" s="15">
        <v>5.45</v>
      </c>
      <c r="E11718" s="14" t="s">
        <v>20</v>
      </c>
    </row>
    <row r="11719" spans="1:5" x14ac:dyDescent="0.25">
      <c r="A11719" s="14">
        <v>793180</v>
      </c>
      <c r="B11719" s="14" t="s">
        <v>11818</v>
      </c>
      <c r="C11719" s="14" t="s">
        <v>13031</v>
      </c>
      <c r="D11719" s="15">
        <v>6.73</v>
      </c>
      <c r="E11719" s="14" t="s">
        <v>20</v>
      </c>
    </row>
    <row r="11720" spans="1:5" x14ac:dyDescent="0.25">
      <c r="A11720" s="14">
        <v>793181</v>
      </c>
      <c r="B11720" s="14" t="s">
        <v>11819</v>
      </c>
      <c r="C11720" s="14" t="s">
        <v>13031</v>
      </c>
      <c r="D11720" s="15">
        <v>3.9</v>
      </c>
      <c r="E11720" s="14" t="s">
        <v>20</v>
      </c>
    </row>
    <row r="11721" spans="1:5" x14ac:dyDescent="0.25">
      <c r="A11721" s="14">
        <v>1021508</v>
      </c>
      <c r="B11721" s="14" t="s">
        <v>11820</v>
      </c>
      <c r="C11721" s="14" t="s">
        <v>13030</v>
      </c>
      <c r="D11721" s="15">
        <v>703.32</v>
      </c>
      <c r="E11721" s="14" t="s">
        <v>30</v>
      </c>
    </row>
    <row r="11722" spans="1:5" x14ac:dyDescent="0.25">
      <c r="A11722" s="14">
        <v>793182</v>
      </c>
      <c r="B11722" s="14" t="s">
        <v>11821</v>
      </c>
      <c r="C11722" s="14" t="s">
        <v>13031</v>
      </c>
      <c r="D11722" s="15">
        <v>3.9</v>
      </c>
      <c r="E11722" s="14" t="s">
        <v>20</v>
      </c>
    </row>
    <row r="11723" spans="1:5" x14ac:dyDescent="0.25">
      <c r="A11723" s="14">
        <v>817121</v>
      </c>
      <c r="B11723" s="14" t="s">
        <v>11822</v>
      </c>
      <c r="C11723" s="14" t="s">
        <v>13031</v>
      </c>
      <c r="D11723" s="15">
        <v>4.78</v>
      </c>
      <c r="E11723" s="14" t="s">
        <v>20</v>
      </c>
    </row>
    <row r="11724" spans="1:5" x14ac:dyDescent="0.25">
      <c r="A11724" s="14">
        <v>817122</v>
      </c>
      <c r="B11724" s="14" t="s">
        <v>11823</v>
      </c>
      <c r="C11724" s="14" t="s">
        <v>13031</v>
      </c>
      <c r="D11724" s="15">
        <v>4.78</v>
      </c>
      <c r="E11724" s="14" t="s">
        <v>20</v>
      </c>
    </row>
    <row r="11725" spans="1:5" x14ac:dyDescent="0.25">
      <c r="A11725" s="14">
        <v>886794</v>
      </c>
      <c r="B11725" s="14" t="s">
        <v>11824</v>
      </c>
      <c r="C11725" s="14" t="s">
        <v>13031</v>
      </c>
      <c r="D11725" s="15">
        <v>5.04</v>
      </c>
      <c r="E11725" s="14" t="s">
        <v>20</v>
      </c>
    </row>
    <row r="11726" spans="1:5" x14ac:dyDescent="0.25">
      <c r="A11726" s="14">
        <v>888784</v>
      </c>
      <c r="B11726" s="14" t="s">
        <v>11825</v>
      </c>
      <c r="C11726" s="14" t="s">
        <v>13031</v>
      </c>
      <c r="D11726" s="15">
        <v>4.68</v>
      </c>
      <c r="E11726" s="14" t="s">
        <v>20</v>
      </c>
    </row>
    <row r="11727" spans="1:5" x14ac:dyDescent="0.25">
      <c r="A11727" s="14">
        <v>888785</v>
      </c>
      <c r="B11727" s="14" t="s">
        <v>11826</v>
      </c>
      <c r="C11727" s="14" t="s">
        <v>13031</v>
      </c>
      <c r="D11727" s="15">
        <v>4.68</v>
      </c>
      <c r="E11727" s="14" t="s">
        <v>20</v>
      </c>
    </row>
    <row r="11728" spans="1:5" x14ac:dyDescent="0.25">
      <c r="A11728" s="14">
        <v>1022079</v>
      </c>
      <c r="B11728" s="14" t="s">
        <v>11827</v>
      </c>
      <c r="C11728" s="14" t="s">
        <v>13030</v>
      </c>
      <c r="D11728" s="15">
        <v>69.430000000000007</v>
      </c>
      <c r="E11728" s="14" t="s">
        <v>30</v>
      </c>
    </row>
    <row r="11729" spans="1:5" x14ac:dyDescent="0.25">
      <c r="A11729" s="14">
        <v>1022082</v>
      </c>
      <c r="B11729" s="14" t="s">
        <v>11828</v>
      </c>
      <c r="C11729" s="14" t="s">
        <v>13030</v>
      </c>
      <c r="D11729" s="15">
        <v>60.39</v>
      </c>
      <c r="E11729" s="14" t="s">
        <v>30</v>
      </c>
    </row>
    <row r="11730" spans="1:5" x14ac:dyDescent="0.25">
      <c r="A11730" s="14">
        <v>1022087</v>
      </c>
      <c r="B11730" s="14" t="s">
        <v>11829</v>
      </c>
      <c r="C11730" s="14" t="s">
        <v>13030</v>
      </c>
      <c r="D11730" s="15">
        <v>55.53</v>
      </c>
      <c r="E11730" s="14" t="s">
        <v>30</v>
      </c>
    </row>
    <row r="11731" spans="1:5" x14ac:dyDescent="0.25">
      <c r="A11731" s="14">
        <v>1022167</v>
      </c>
      <c r="B11731" s="14" t="s">
        <v>11830</v>
      </c>
      <c r="C11731" s="14" t="s">
        <v>13031</v>
      </c>
      <c r="D11731" s="15">
        <v>2.7</v>
      </c>
      <c r="E11731" s="14" t="s">
        <v>30</v>
      </c>
    </row>
    <row r="11732" spans="1:5" x14ac:dyDescent="0.25">
      <c r="A11732" s="14">
        <v>1022168</v>
      </c>
      <c r="B11732" s="14" t="s">
        <v>11831</v>
      </c>
      <c r="C11732" s="14" t="s">
        <v>13031</v>
      </c>
      <c r="D11732" s="15">
        <v>2.7</v>
      </c>
      <c r="E11732" s="14" t="s">
        <v>30</v>
      </c>
    </row>
    <row r="11733" spans="1:5" x14ac:dyDescent="0.25">
      <c r="A11733" s="14">
        <v>1022360</v>
      </c>
      <c r="B11733" s="14" t="s">
        <v>11832</v>
      </c>
      <c r="C11733" s="14" t="s">
        <v>13031</v>
      </c>
      <c r="D11733" s="15">
        <v>11.27</v>
      </c>
      <c r="E11733" s="14" t="s">
        <v>30</v>
      </c>
    </row>
    <row r="11734" spans="1:5" x14ac:dyDescent="0.25">
      <c r="A11734" s="14">
        <v>888789</v>
      </c>
      <c r="B11734" s="14" t="s">
        <v>11833</v>
      </c>
      <c r="C11734" s="14" t="s">
        <v>13031</v>
      </c>
      <c r="D11734" s="15">
        <v>4.34</v>
      </c>
      <c r="E11734" s="14" t="s">
        <v>20</v>
      </c>
    </row>
    <row r="11735" spans="1:5" x14ac:dyDescent="0.25">
      <c r="A11735" s="14">
        <v>888790</v>
      </c>
      <c r="B11735" s="14" t="s">
        <v>11834</v>
      </c>
      <c r="C11735" s="14" t="s">
        <v>13031</v>
      </c>
      <c r="D11735" s="15">
        <v>4.34</v>
      </c>
      <c r="E11735" s="14" t="s">
        <v>20</v>
      </c>
    </row>
    <row r="11736" spans="1:5" x14ac:dyDescent="0.25">
      <c r="A11736" s="14">
        <v>888791</v>
      </c>
      <c r="B11736" s="14" t="s">
        <v>11835</v>
      </c>
      <c r="C11736" s="14" t="s">
        <v>13031</v>
      </c>
      <c r="D11736" s="15">
        <v>4.95</v>
      </c>
      <c r="E11736" s="14" t="s">
        <v>20</v>
      </c>
    </row>
    <row r="11737" spans="1:5" x14ac:dyDescent="0.25">
      <c r="A11737" s="14">
        <v>888792</v>
      </c>
      <c r="B11737" s="14" t="s">
        <v>11836</v>
      </c>
      <c r="C11737" s="14" t="s">
        <v>13031</v>
      </c>
      <c r="D11737" s="15">
        <v>2.31</v>
      </c>
      <c r="E11737" s="14" t="s">
        <v>20</v>
      </c>
    </row>
    <row r="11738" spans="1:5" x14ac:dyDescent="0.25">
      <c r="A11738" s="14">
        <v>897317</v>
      </c>
      <c r="B11738" s="14" t="s">
        <v>11837</v>
      </c>
      <c r="C11738" s="14" t="s">
        <v>13031</v>
      </c>
      <c r="D11738" s="15">
        <v>4.6900000000000004</v>
      </c>
      <c r="E11738" s="14" t="s">
        <v>20</v>
      </c>
    </row>
    <row r="11739" spans="1:5" x14ac:dyDescent="0.25">
      <c r="A11739" s="14">
        <v>897318</v>
      </c>
      <c r="B11739" s="14" t="s">
        <v>11838</v>
      </c>
      <c r="C11739" s="14" t="s">
        <v>13031</v>
      </c>
      <c r="D11739" s="15">
        <v>4.6900000000000004</v>
      </c>
      <c r="E11739" s="14" t="s">
        <v>20</v>
      </c>
    </row>
    <row r="11740" spans="1:5" x14ac:dyDescent="0.25">
      <c r="A11740" s="14">
        <v>897319</v>
      </c>
      <c r="B11740" s="14" t="s">
        <v>11839</v>
      </c>
      <c r="C11740" s="14" t="s">
        <v>13031</v>
      </c>
      <c r="D11740" s="15">
        <v>5.28</v>
      </c>
      <c r="E11740" s="14" t="s">
        <v>20</v>
      </c>
    </row>
    <row r="11741" spans="1:5" x14ac:dyDescent="0.25">
      <c r="A11741" s="14">
        <v>897320</v>
      </c>
      <c r="B11741" s="14" t="s">
        <v>11840</v>
      </c>
      <c r="C11741" s="14" t="s">
        <v>13031</v>
      </c>
      <c r="D11741" s="15">
        <v>5.28</v>
      </c>
      <c r="E11741" s="14" t="s">
        <v>20</v>
      </c>
    </row>
    <row r="11742" spans="1:5" x14ac:dyDescent="0.25">
      <c r="A11742" s="14">
        <v>900450</v>
      </c>
      <c r="B11742" s="14" t="s">
        <v>11841</v>
      </c>
      <c r="C11742" s="14" t="s">
        <v>13031</v>
      </c>
      <c r="D11742" s="15">
        <v>9.31</v>
      </c>
      <c r="E11742" s="14" t="s">
        <v>20</v>
      </c>
    </row>
    <row r="11743" spans="1:5" x14ac:dyDescent="0.25">
      <c r="A11743" s="14">
        <v>901619</v>
      </c>
      <c r="B11743" s="14" t="s">
        <v>11842</v>
      </c>
      <c r="C11743" s="14" t="s">
        <v>13030</v>
      </c>
      <c r="D11743" s="15">
        <v>51.73</v>
      </c>
      <c r="E11743" s="14" t="s">
        <v>20</v>
      </c>
    </row>
    <row r="11744" spans="1:5" x14ac:dyDescent="0.25">
      <c r="A11744" s="14">
        <v>902145</v>
      </c>
      <c r="B11744" s="14" t="s">
        <v>11843</v>
      </c>
      <c r="C11744" s="14" t="s">
        <v>13030</v>
      </c>
      <c r="D11744" s="15">
        <v>34.799999999999997</v>
      </c>
      <c r="E11744" s="14" t="s">
        <v>20</v>
      </c>
    </row>
    <row r="11745" spans="1:5" x14ac:dyDescent="0.25">
      <c r="A11745" s="14">
        <v>902579</v>
      </c>
      <c r="B11745" s="14" t="s">
        <v>11844</v>
      </c>
      <c r="C11745" s="14" t="s">
        <v>13031</v>
      </c>
      <c r="D11745" s="15">
        <v>10.99</v>
      </c>
      <c r="E11745" s="14" t="s">
        <v>20</v>
      </c>
    </row>
    <row r="11746" spans="1:5" x14ac:dyDescent="0.25">
      <c r="A11746" s="14">
        <v>902730</v>
      </c>
      <c r="B11746" s="14" t="s">
        <v>11845</v>
      </c>
      <c r="C11746" s="14" t="s">
        <v>13030</v>
      </c>
      <c r="D11746" s="15">
        <v>30.9</v>
      </c>
      <c r="E11746" s="14" t="s">
        <v>20</v>
      </c>
    </row>
    <row r="11747" spans="1:5" x14ac:dyDescent="0.25">
      <c r="A11747" s="14">
        <v>903363</v>
      </c>
      <c r="B11747" s="14" t="s">
        <v>11846</v>
      </c>
      <c r="C11747" s="14" t="s">
        <v>13031</v>
      </c>
      <c r="D11747" s="15">
        <v>0.68</v>
      </c>
      <c r="E11747" s="14" t="s">
        <v>20</v>
      </c>
    </row>
    <row r="11748" spans="1:5" x14ac:dyDescent="0.25">
      <c r="A11748" s="14">
        <v>905472</v>
      </c>
      <c r="B11748" s="14" t="s">
        <v>11847</v>
      </c>
      <c r="C11748" s="14" t="s">
        <v>13031</v>
      </c>
      <c r="D11748" s="15">
        <v>20.059999999999999</v>
      </c>
      <c r="E11748" s="14" t="s">
        <v>20</v>
      </c>
    </row>
    <row r="11749" spans="1:5" x14ac:dyDescent="0.25">
      <c r="A11749" s="14">
        <v>905473</v>
      </c>
      <c r="B11749" s="14" t="s">
        <v>11848</v>
      </c>
      <c r="C11749" s="14" t="s">
        <v>13031</v>
      </c>
      <c r="D11749" s="15">
        <v>20.059999999999999</v>
      </c>
      <c r="E11749" s="14" t="s">
        <v>20</v>
      </c>
    </row>
    <row r="11750" spans="1:5" x14ac:dyDescent="0.25">
      <c r="A11750" s="14">
        <v>905474</v>
      </c>
      <c r="B11750" s="14" t="s">
        <v>11849</v>
      </c>
      <c r="C11750" s="14" t="s">
        <v>13031</v>
      </c>
      <c r="D11750" s="15">
        <v>48.01</v>
      </c>
      <c r="E11750" s="14" t="s">
        <v>20</v>
      </c>
    </row>
    <row r="11751" spans="1:5" x14ac:dyDescent="0.25">
      <c r="A11751" s="14">
        <v>907790</v>
      </c>
      <c r="B11751" s="14" t="s">
        <v>11850</v>
      </c>
      <c r="C11751" s="14" t="s">
        <v>13029</v>
      </c>
      <c r="D11751" s="15">
        <v>4.66</v>
      </c>
      <c r="E11751" s="14" t="s">
        <v>20</v>
      </c>
    </row>
    <row r="11752" spans="1:5" x14ac:dyDescent="0.25">
      <c r="A11752" s="14">
        <v>907791</v>
      </c>
      <c r="B11752" s="14" t="s">
        <v>11851</v>
      </c>
      <c r="C11752" s="14" t="s">
        <v>13029</v>
      </c>
      <c r="D11752" s="15">
        <v>2.58</v>
      </c>
      <c r="E11752" s="14" t="s">
        <v>20</v>
      </c>
    </row>
    <row r="11753" spans="1:5" x14ac:dyDescent="0.25">
      <c r="A11753" s="14">
        <v>907792</v>
      </c>
      <c r="B11753" s="14" t="s">
        <v>11852</v>
      </c>
      <c r="C11753" s="14" t="s">
        <v>13029</v>
      </c>
      <c r="D11753" s="15">
        <v>4.66</v>
      </c>
      <c r="E11753" s="14" t="s">
        <v>20</v>
      </c>
    </row>
    <row r="11754" spans="1:5" x14ac:dyDescent="0.25">
      <c r="A11754" s="14">
        <v>911742</v>
      </c>
      <c r="B11754" s="14" t="s">
        <v>11853</v>
      </c>
      <c r="C11754" s="14" t="s">
        <v>13030</v>
      </c>
      <c r="D11754" s="15">
        <v>11.21</v>
      </c>
      <c r="E11754" s="14" t="s">
        <v>20</v>
      </c>
    </row>
    <row r="11755" spans="1:5" x14ac:dyDescent="0.25">
      <c r="A11755" s="14">
        <v>911743</v>
      </c>
      <c r="B11755" s="14" t="s">
        <v>11854</v>
      </c>
      <c r="C11755" s="14" t="s">
        <v>13030</v>
      </c>
      <c r="D11755" s="15">
        <v>11.21</v>
      </c>
      <c r="E11755" s="14" t="s">
        <v>20</v>
      </c>
    </row>
    <row r="11756" spans="1:5" x14ac:dyDescent="0.25">
      <c r="A11756" s="14">
        <v>917587</v>
      </c>
      <c r="B11756" s="14" t="s">
        <v>11855</v>
      </c>
      <c r="C11756" s="14" t="s">
        <v>13031</v>
      </c>
      <c r="D11756" s="15">
        <v>2.36</v>
      </c>
      <c r="E11756" s="14" t="s">
        <v>20</v>
      </c>
    </row>
    <row r="11757" spans="1:5" x14ac:dyDescent="0.25">
      <c r="A11757" s="14">
        <v>917588</v>
      </c>
      <c r="B11757" s="14" t="s">
        <v>11856</v>
      </c>
      <c r="C11757" s="14" t="s">
        <v>13031</v>
      </c>
      <c r="D11757" s="15">
        <v>2.36</v>
      </c>
      <c r="E11757" s="14" t="s">
        <v>20</v>
      </c>
    </row>
    <row r="11758" spans="1:5" x14ac:dyDescent="0.25">
      <c r="A11758" s="14">
        <v>917589</v>
      </c>
      <c r="B11758" s="14" t="s">
        <v>11857</v>
      </c>
      <c r="C11758" s="14" t="s">
        <v>13031</v>
      </c>
      <c r="D11758" s="15">
        <v>2.36</v>
      </c>
      <c r="E11758" s="14" t="s">
        <v>20</v>
      </c>
    </row>
    <row r="11759" spans="1:5" x14ac:dyDescent="0.25">
      <c r="A11759" s="14">
        <v>918206</v>
      </c>
      <c r="B11759" s="14" t="s">
        <v>11858</v>
      </c>
      <c r="C11759" s="14" t="s">
        <v>13031</v>
      </c>
      <c r="D11759" s="15">
        <v>11.55</v>
      </c>
      <c r="E11759" s="14" t="s">
        <v>20</v>
      </c>
    </row>
    <row r="11760" spans="1:5" x14ac:dyDescent="0.25">
      <c r="A11760" s="14">
        <v>920888</v>
      </c>
      <c r="B11760" s="14" t="s">
        <v>11859</v>
      </c>
      <c r="C11760" s="14" t="s">
        <v>13030</v>
      </c>
      <c r="D11760" s="15">
        <v>29</v>
      </c>
      <c r="E11760" s="14" t="s">
        <v>20</v>
      </c>
    </row>
    <row r="11761" spans="1:5" x14ac:dyDescent="0.25">
      <c r="A11761" s="14">
        <v>921716</v>
      </c>
      <c r="B11761" s="14" t="s">
        <v>11860</v>
      </c>
      <c r="C11761" s="14" t="s">
        <v>13030</v>
      </c>
      <c r="D11761" s="15">
        <v>144</v>
      </c>
      <c r="E11761" s="14" t="s">
        <v>20</v>
      </c>
    </row>
    <row r="11762" spans="1:5" x14ac:dyDescent="0.25">
      <c r="A11762" s="14">
        <v>929539</v>
      </c>
      <c r="B11762" s="14" t="s">
        <v>11861</v>
      </c>
      <c r="C11762" s="14" t="s">
        <v>13031</v>
      </c>
      <c r="D11762" s="15">
        <v>12.12</v>
      </c>
      <c r="E11762" s="14" t="s">
        <v>20</v>
      </c>
    </row>
    <row r="11763" spans="1:5" x14ac:dyDescent="0.25">
      <c r="A11763" s="14">
        <v>929540</v>
      </c>
      <c r="B11763" s="14" t="s">
        <v>11862</v>
      </c>
      <c r="C11763" s="14" t="s">
        <v>13031</v>
      </c>
      <c r="D11763" s="15">
        <v>17.03</v>
      </c>
      <c r="E11763" s="14" t="s">
        <v>20</v>
      </c>
    </row>
    <row r="11764" spans="1:5" x14ac:dyDescent="0.25">
      <c r="A11764" s="14">
        <v>929924</v>
      </c>
      <c r="B11764" s="14" t="s">
        <v>11863</v>
      </c>
      <c r="C11764" s="14" t="s">
        <v>13031</v>
      </c>
      <c r="D11764" s="15">
        <v>9.4</v>
      </c>
      <c r="E11764" s="14" t="s">
        <v>20</v>
      </c>
    </row>
    <row r="11765" spans="1:5" x14ac:dyDescent="0.25">
      <c r="A11765" s="14">
        <v>929925</v>
      </c>
      <c r="B11765" s="14" t="s">
        <v>11864</v>
      </c>
      <c r="C11765" s="14" t="s">
        <v>13031</v>
      </c>
      <c r="D11765" s="15">
        <v>9.85</v>
      </c>
      <c r="E11765" s="14" t="s">
        <v>20</v>
      </c>
    </row>
    <row r="11766" spans="1:5" x14ac:dyDescent="0.25">
      <c r="A11766" s="14">
        <v>1022362</v>
      </c>
      <c r="B11766" s="14" t="s">
        <v>11865</v>
      </c>
      <c r="C11766" s="14" t="s">
        <v>13031</v>
      </c>
      <c r="D11766" s="15">
        <v>17.739999999999998</v>
      </c>
      <c r="E11766" s="14" t="s">
        <v>30</v>
      </c>
    </row>
    <row r="11767" spans="1:5" x14ac:dyDescent="0.25">
      <c r="A11767" s="14">
        <v>929926</v>
      </c>
      <c r="B11767" s="14" t="s">
        <v>11866</v>
      </c>
      <c r="C11767" s="14" t="s">
        <v>13031</v>
      </c>
      <c r="D11767" s="15">
        <v>9.8000000000000007</v>
      </c>
      <c r="E11767" s="14" t="s">
        <v>20</v>
      </c>
    </row>
    <row r="11768" spans="1:5" x14ac:dyDescent="0.25">
      <c r="A11768" s="14">
        <v>929928</v>
      </c>
      <c r="B11768" s="14" t="s">
        <v>11867</v>
      </c>
      <c r="C11768" s="14" t="s">
        <v>13031</v>
      </c>
      <c r="D11768" s="15">
        <v>16.5</v>
      </c>
      <c r="E11768" s="14" t="s">
        <v>20</v>
      </c>
    </row>
    <row r="11769" spans="1:5" x14ac:dyDescent="0.25">
      <c r="A11769" s="14">
        <v>1019406</v>
      </c>
      <c r="B11769" s="14" t="s">
        <v>11868</v>
      </c>
      <c r="C11769" s="14" t="s">
        <v>13029</v>
      </c>
      <c r="D11769" s="15">
        <v>0.69</v>
      </c>
      <c r="E11769" s="14" t="s">
        <v>30</v>
      </c>
    </row>
    <row r="11770" spans="1:5" x14ac:dyDescent="0.25">
      <c r="A11770" s="14">
        <v>932075</v>
      </c>
      <c r="B11770" s="14" t="s">
        <v>11869</v>
      </c>
      <c r="C11770" s="14" t="s">
        <v>13031</v>
      </c>
      <c r="D11770" s="15">
        <v>15.96</v>
      </c>
      <c r="E11770" s="14" t="s">
        <v>20</v>
      </c>
    </row>
    <row r="11771" spans="1:5" x14ac:dyDescent="0.25">
      <c r="A11771" s="14">
        <v>932076</v>
      </c>
      <c r="B11771" s="14" t="s">
        <v>11870</v>
      </c>
      <c r="C11771" s="14" t="s">
        <v>13031</v>
      </c>
      <c r="D11771" s="15">
        <v>15.96</v>
      </c>
      <c r="E11771" s="14" t="s">
        <v>20</v>
      </c>
    </row>
    <row r="11772" spans="1:5" x14ac:dyDescent="0.25">
      <c r="A11772" s="14">
        <v>933087</v>
      </c>
      <c r="B11772" s="14" t="s">
        <v>11871</v>
      </c>
      <c r="C11772" s="14" t="s">
        <v>13030</v>
      </c>
      <c r="D11772" s="15">
        <v>35.53</v>
      </c>
      <c r="E11772" s="14" t="s">
        <v>20</v>
      </c>
    </row>
    <row r="11773" spans="1:5" x14ac:dyDescent="0.25">
      <c r="A11773" s="14">
        <v>933088</v>
      </c>
      <c r="B11773" s="14" t="s">
        <v>11872</v>
      </c>
      <c r="C11773" s="14" t="s">
        <v>13030</v>
      </c>
      <c r="D11773" s="15">
        <v>71.959999999999994</v>
      </c>
      <c r="E11773" s="14" t="s">
        <v>20</v>
      </c>
    </row>
    <row r="11774" spans="1:5" x14ac:dyDescent="0.25">
      <c r="A11774" s="14">
        <v>938031</v>
      </c>
      <c r="B11774" s="14" t="s">
        <v>11873</v>
      </c>
      <c r="C11774" s="14" t="s">
        <v>13031</v>
      </c>
      <c r="D11774" s="15">
        <v>10.62</v>
      </c>
      <c r="E11774" s="14" t="s">
        <v>20</v>
      </c>
    </row>
    <row r="11775" spans="1:5" x14ac:dyDescent="0.25">
      <c r="A11775" s="14">
        <v>938032</v>
      </c>
      <c r="B11775" s="14" t="s">
        <v>11874</v>
      </c>
      <c r="C11775" s="14" t="s">
        <v>13031</v>
      </c>
      <c r="D11775" s="15">
        <v>10.62</v>
      </c>
      <c r="E11775" s="14" t="s">
        <v>20</v>
      </c>
    </row>
    <row r="11776" spans="1:5" x14ac:dyDescent="0.25">
      <c r="A11776" s="14">
        <v>938560</v>
      </c>
      <c r="B11776" s="14" t="s">
        <v>11875</v>
      </c>
      <c r="C11776" s="14" t="s">
        <v>13031</v>
      </c>
      <c r="D11776" s="15">
        <v>3.91</v>
      </c>
      <c r="E11776" s="14" t="s">
        <v>20</v>
      </c>
    </row>
    <row r="11777" spans="1:5" x14ac:dyDescent="0.25">
      <c r="A11777" s="14">
        <v>1019407</v>
      </c>
      <c r="B11777" s="14" t="s">
        <v>11876</v>
      </c>
      <c r="C11777" s="14" t="s">
        <v>13029</v>
      </c>
      <c r="D11777" s="15">
        <v>0.69</v>
      </c>
      <c r="E11777" s="14" t="s">
        <v>30</v>
      </c>
    </row>
    <row r="11778" spans="1:5" x14ac:dyDescent="0.25">
      <c r="A11778" s="14">
        <v>1019512</v>
      </c>
      <c r="B11778" s="14" t="s">
        <v>11877</v>
      </c>
      <c r="C11778" s="14" t="s">
        <v>13031</v>
      </c>
      <c r="D11778" s="15">
        <v>18.309999999999999</v>
      </c>
      <c r="E11778" s="14" t="s">
        <v>30</v>
      </c>
    </row>
    <row r="11779" spans="1:5" x14ac:dyDescent="0.25">
      <c r="A11779" s="14">
        <v>938561</v>
      </c>
      <c r="B11779" s="14" t="s">
        <v>11878</v>
      </c>
      <c r="C11779" s="14" t="s">
        <v>13031</v>
      </c>
      <c r="D11779" s="15">
        <v>5.58</v>
      </c>
      <c r="E11779" s="14" t="s">
        <v>20</v>
      </c>
    </row>
    <row r="11780" spans="1:5" x14ac:dyDescent="0.25">
      <c r="A11780" s="14">
        <v>1019518</v>
      </c>
      <c r="B11780" s="14" t="s">
        <v>11879</v>
      </c>
      <c r="C11780" s="14" t="s">
        <v>13031</v>
      </c>
      <c r="D11780" s="15">
        <v>7.65</v>
      </c>
      <c r="E11780" s="14" t="s">
        <v>30</v>
      </c>
    </row>
    <row r="11781" spans="1:5" x14ac:dyDescent="0.25">
      <c r="A11781" s="14">
        <v>938697</v>
      </c>
      <c r="B11781" s="14" t="s">
        <v>11880</v>
      </c>
      <c r="C11781" s="14" t="s">
        <v>13031</v>
      </c>
      <c r="D11781" s="15">
        <v>20.23</v>
      </c>
      <c r="E11781" s="14" t="s">
        <v>20</v>
      </c>
    </row>
    <row r="11782" spans="1:5" x14ac:dyDescent="0.25">
      <c r="A11782" s="14">
        <v>941832</v>
      </c>
      <c r="B11782" s="14" t="s">
        <v>11881</v>
      </c>
      <c r="C11782" s="14" t="s">
        <v>13031</v>
      </c>
      <c r="D11782" s="15">
        <v>19.899999999999999</v>
      </c>
      <c r="E11782" s="14" t="s">
        <v>20</v>
      </c>
    </row>
    <row r="11783" spans="1:5" x14ac:dyDescent="0.25">
      <c r="A11783" s="14">
        <v>946597</v>
      </c>
      <c r="B11783" s="14" t="s">
        <v>11882</v>
      </c>
      <c r="C11783" s="14" t="s">
        <v>13031</v>
      </c>
      <c r="D11783" s="15">
        <v>16.63</v>
      </c>
      <c r="E11783" s="14" t="s">
        <v>20</v>
      </c>
    </row>
    <row r="11784" spans="1:5" x14ac:dyDescent="0.25">
      <c r="A11784" s="14">
        <v>949394</v>
      </c>
      <c r="B11784" s="14" t="s">
        <v>11883</v>
      </c>
      <c r="C11784" s="14" t="s">
        <v>13031</v>
      </c>
      <c r="D11784" s="15">
        <v>19</v>
      </c>
      <c r="E11784" s="14" t="s">
        <v>20</v>
      </c>
    </row>
    <row r="11785" spans="1:5" x14ac:dyDescent="0.25">
      <c r="A11785" s="14">
        <v>952104</v>
      </c>
      <c r="B11785" s="14" t="s">
        <v>11884</v>
      </c>
      <c r="C11785" s="14" t="s">
        <v>13031</v>
      </c>
      <c r="D11785" s="15">
        <v>10.8</v>
      </c>
      <c r="E11785" s="14" t="s">
        <v>20</v>
      </c>
    </row>
    <row r="11786" spans="1:5" x14ac:dyDescent="0.25">
      <c r="A11786" s="14">
        <v>952105</v>
      </c>
      <c r="B11786" s="14" t="s">
        <v>11885</v>
      </c>
      <c r="C11786" s="14" t="s">
        <v>13031</v>
      </c>
      <c r="D11786" s="15">
        <v>10.8</v>
      </c>
      <c r="E11786" s="14" t="s">
        <v>20</v>
      </c>
    </row>
    <row r="11787" spans="1:5" x14ac:dyDescent="0.25">
      <c r="A11787" s="14">
        <v>953451</v>
      </c>
      <c r="B11787" s="14" t="s">
        <v>11886</v>
      </c>
      <c r="C11787" s="14" t="s">
        <v>13031</v>
      </c>
      <c r="D11787" s="15">
        <v>6.32</v>
      </c>
      <c r="E11787" s="14" t="s">
        <v>20</v>
      </c>
    </row>
    <row r="11788" spans="1:5" x14ac:dyDescent="0.25">
      <c r="A11788" s="14">
        <v>953452</v>
      </c>
      <c r="B11788" s="14" t="s">
        <v>11887</v>
      </c>
      <c r="C11788" s="14" t="s">
        <v>13031</v>
      </c>
      <c r="D11788" s="15">
        <v>11.86</v>
      </c>
      <c r="E11788" s="14" t="s">
        <v>20</v>
      </c>
    </row>
    <row r="11789" spans="1:5" x14ac:dyDescent="0.25">
      <c r="A11789" s="14">
        <v>953453</v>
      </c>
      <c r="B11789" s="14" t="s">
        <v>11888</v>
      </c>
      <c r="C11789" s="14" t="s">
        <v>13031</v>
      </c>
      <c r="D11789" s="15">
        <v>12.33</v>
      </c>
      <c r="E11789" s="14" t="s">
        <v>20</v>
      </c>
    </row>
    <row r="11790" spans="1:5" x14ac:dyDescent="0.25">
      <c r="A11790" s="14">
        <v>954237</v>
      </c>
      <c r="B11790" s="14" t="s">
        <v>11889</v>
      </c>
      <c r="C11790" s="14" t="s">
        <v>13031</v>
      </c>
      <c r="D11790" s="15">
        <v>15.92</v>
      </c>
      <c r="E11790" s="14" t="s">
        <v>20</v>
      </c>
    </row>
    <row r="11791" spans="1:5" x14ac:dyDescent="0.25">
      <c r="A11791" s="14">
        <v>957688</v>
      </c>
      <c r="B11791" s="14" t="s">
        <v>11890</v>
      </c>
      <c r="C11791" s="14" t="s">
        <v>13031</v>
      </c>
      <c r="D11791" s="15">
        <v>5.94</v>
      </c>
      <c r="E11791" s="14" t="s">
        <v>20</v>
      </c>
    </row>
    <row r="11792" spans="1:5" x14ac:dyDescent="0.25">
      <c r="A11792" s="14">
        <v>959688</v>
      </c>
      <c r="B11792" s="14" t="s">
        <v>11891</v>
      </c>
      <c r="C11792" s="14" t="s">
        <v>13031</v>
      </c>
      <c r="D11792" s="15">
        <v>9.65</v>
      </c>
      <c r="E11792" s="14" t="s">
        <v>20</v>
      </c>
    </row>
    <row r="11793" spans="1:5" x14ac:dyDescent="0.25">
      <c r="A11793" s="14">
        <v>959689</v>
      </c>
      <c r="B11793" s="14" t="s">
        <v>11892</v>
      </c>
      <c r="C11793" s="14" t="s">
        <v>13031</v>
      </c>
      <c r="D11793" s="15">
        <v>18.309999999999999</v>
      </c>
      <c r="E11793" s="14" t="s">
        <v>20</v>
      </c>
    </row>
    <row r="11794" spans="1:5" x14ac:dyDescent="0.25">
      <c r="A11794" s="14">
        <v>960514</v>
      </c>
      <c r="B11794" s="14" t="s">
        <v>11893</v>
      </c>
      <c r="C11794" s="14" t="s">
        <v>13030</v>
      </c>
      <c r="D11794" s="15">
        <v>34.33</v>
      </c>
      <c r="E11794" s="14" t="s">
        <v>20</v>
      </c>
    </row>
    <row r="11795" spans="1:5" x14ac:dyDescent="0.25">
      <c r="A11795" s="14">
        <v>1022303</v>
      </c>
      <c r="B11795" s="14" t="s">
        <v>11894</v>
      </c>
      <c r="C11795" s="14" t="s">
        <v>13029</v>
      </c>
      <c r="D11795" s="15">
        <v>9.31</v>
      </c>
      <c r="E11795" s="14" t="s">
        <v>30</v>
      </c>
    </row>
    <row r="11796" spans="1:5" x14ac:dyDescent="0.25">
      <c r="A11796" s="14">
        <v>1022305</v>
      </c>
      <c r="B11796" s="14" t="s">
        <v>11895</v>
      </c>
      <c r="C11796" s="14" t="s">
        <v>13029</v>
      </c>
      <c r="D11796" s="15">
        <v>7.66</v>
      </c>
      <c r="E11796" s="14" t="s">
        <v>30</v>
      </c>
    </row>
    <row r="11797" spans="1:5" x14ac:dyDescent="0.25">
      <c r="A11797" s="14">
        <v>1019392</v>
      </c>
      <c r="B11797" s="14" t="s">
        <v>11896</v>
      </c>
      <c r="C11797" s="14" t="s">
        <v>13030</v>
      </c>
      <c r="D11797" s="15">
        <v>9.4700000000000006</v>
      </c>
      <c r="E11797" s="14" t="s">
        <v>30</v>
      </c>
    </row>
    <row r="11798" spans="1:5" x14ac:dyDescent="0.25">
      <c r="A11798" s="14">
        <v>1019793</v>
      </c>
      <c r="B11798" s="14" t="s">
        <v>11897</v>
      </c>
      <c r="C11798" s="14" t="s">
        <v>13031</v>
      </c>
      <c r="D11798" s="15">
        <v>13.88</v>
      </c>
      <c r="E11798" s="14" t="s">
        <v>30</v>
      </c>
    </row>
    <row r="11799" spans="1:5" x14ac:dyDescent="0.25">
      <c r="A11799" s="14">
        <v>960972</v>
      </c>
      <c r="B11799" s="14" t="s">
        <v>11898</v>
      </c>
      <c r="C11799" s="14" t="s">
        <v>13030</v>
      </c>
      <c r="D11799" s="15">
        <v>74.5</v>
      </c>
      <c r="E11799" s="14" t="s">
        <v>20</v>
      </c>
    </row>
    <row r="11800" spans="1:5" x14ac:dyDescent="0.25">
      <c r="A11800" s="14">
        <v>961175</v>
      </c>
      <c r="B11800" s="14" t="s">
        <v>11899</v>
      </c>
      <c r="C11800" s="14" t="s">
        <v>13031</v>
      </c>
      <c r="D11800" s="15">
        <v>10.68</v>
      </c>
      <c r="E11800" s="14" t="s">
        <v>20</v>
      </c>
    </row>
    <row r="11801" spans="1:5" x14ac:dyDescent="0.25">
      <c r="A11801" s="14">
        <v>963596</v>
      </c>
      <c r="B11801" s="14" t="s">
        <v>11900</v>
      </c>
      <c r="C11801" s="14" t="s">
        <v>13031</v>
      </c>
      <c r="D11801" s="15">
        <v>16.53</v>
      </c>
      <c r="E11801" s="14" t="s">
        <v>20</v>
      </c>
    </row>
    <row r="11802" spans="1:5" x14ac:dyDescent="0.25">
      <c r="A11802" s="14">
        <v>963597</v>
      </c>
      <c r="B11802" s="14" t="s">
        <v>11901</v>
      </c>
      <c r="C11802" s="14" t="s">
        <v>13031</v>
      </c>
      <c r="D11802" s="15">
        <v>17.8</v>
      </c>
      <c r="E11802" s="14" t="s">
        <v>20</v>
      </c>
    </row>
    <row r="11803" spans="1:5" x14ac:dyDescent="0.25">
      <c r="A11803" s="14">
        <v>965442</v>
      </c>
      <c r="B11803" s="14" t="s">
        <v>11902</v>
      </c>
      <c r="C11803" s="14" t="s">
        <v>13031</v>
      </c>
      <c r="D11803" s="15">
        <v>9</v>
      </c>
      <c r="E11803" s="14" t="s">
        <v>20</v>
      </c>
    </row>
    <row r="11804" spans="1:5" x14ac:dyDescent="0.25">
      <c r="A11804" s="14">
        <v>966989</v>
      </c>
      <c r="B11804" s="14" t="s">
        <v>11903</v>
      </c>
      <c r="C11804" s="14" t="s">
        <v>13031</v>
      </c>
      <c r="D11804" s="15">
        <v>8.77</v>
      </c>
      <c r="E11804" s="14" t="s">
        <v>20</v>
      </c>
    </row>
    <row r="11805" spans="1:5" x14ac:dyDescent="0.25">
      <c r="A11805" s="14">
        <v>966990</v>
      </c>
      <c r="B11805" s="14" t="s">
        <v>11904</v>
      </c>
      <c r="C11805" s="14" t="s">
        <v>13031</v>
      </c>
      <c r="D11805" s="15">
        <v>13.84</v>
      </c>
      <c r="E11805" s="14" t="s">
        <v>20</v>
      </c>
    </row>
    <row r="11806" spans="1:5" x14ac:dyDescent="0.25">
      <c r="A11806" s="14">
        <v>966991</v>
      </c>
      <c r="B11806" s="14" t="s">
        <v>11905</v>
      </c>
      <c r="C11806" s="14" t="s">
        <v>13031</v>
      </c>
      <c r="D11806" s="15">
        <v>12.35</v>
      </c>
      <c r="E11806" s="14" t="s">
        <v>20</v>
      </c>
    </row>
    <row r="11807" spans="1:5" x14ac:dyDescent="0.25">
      <c r="A11807" s="14">
        <v>968765</v>
      </c>
      <c r="B11807" s="14" t="s">
        <v>11906</v>
      </c>
      <c r="C11807" s="14" t="s">
        <v>13031</v>
      </c>
      <c r="D11807" s="15">
        <v>13.83</v>
      </c>
      <c r="E11807" s="14" t="s">
        <v>20</v>
      </c>
    </row>
    <row r="11808" spans="1:5" x14ac:dyDescent="0.25">
      <c r="A11808" s="14">
        <v>968766</v>
      </c>
      <c r="B11808" s="14" t="s">
        <v>11907</v>
      </c>
      <c r="C11808" s="14" t="s">
        <v>13031</v>
      </c>
      <c r="D11808" s="15">
        <v>13.83</v>
      </c>
      <c r="E11808" s="14" t="s">
        <v>20</v>
      </c>
    </row>
    <row r="11809" spans="1:5" x14ac:dyDescent="0.25">
      <c r="A11809" s="14">
        <v>971240</v>
      </c>
      <c r="B11809" s="14" t="s">
        <v>11908</v>
      </c>
      <c r="C11809" s="14" t="s">
        <v>13031</v>
      </c>
      <c r="D11809" s="15">
        <v>16.27</v>
      </c>
      <c r="E11809" s="14" t="s">
        <v>20</v>
      </c>
    </row>
    <row r="11810" spans="1:5" x14ac:dyDescent="0.25">
      <c r="A11810" s="14">
        <v>971246</v>
      </c>
      <c r="B11810" s="14" t="s">
        <v>11909</v>
      </c>
      <c r="C11810" s="14" t="s">
        <v>13030</v>
      </c>
      <c r="D11810" s="15">
        <v>22.07</v>
      </c>
      <c r="E11810" s="14" t="s">
        <v>20</v>
      </c>
    </row>
    <row r="11811" spans="1:5" x14ac:dyDescent="0.25">
      <c r="A11811" s="14">
        <v>972572</v>
      </c>
      <c r="B11811" s="14" t="s">
        <v>11910</v>
      </c>
      <c r="C11811" s="14" t="s">
        <v>13030</v>
      </c>
      <c r="D11811" s="15">
        <v>53.39</v>
      </c>
      <c r="E11811" s="14" t="s">
        <v>20</v>
      </c>
    </row>
    <row r="11812" spans="1:5" x14ac:dyDescent="0.25">
      <c r="A11812" s="14">
        <v>972573</v>
      </c>
      <c r="B11812" s="14" t="s">
        <v>11911</v>
      </c>
      <c r="C11812" s="14" t="s">
        <v>13030</v>
      </c>
      <c r="D11812" s="15">
        <v>53.39</v>
      </c>
      <c r="E11812" s="14" t="s">
        <v>20</v>
      </c>
    </row>
    <row r="11813" spans="1:5" x14ac:dyDescent="0.25">
      <c r="A11813" s="14">
        <v>972574</v>
      </c>
      <c r="B11813" s="14" t="s">
        <v>11912</v>
      </c>
      <c r="C11813" s="14" t="s">
        <v>13030</v>
      </c>
      <c r="D11813" s="15">
        <v>53.39</v>
      </c>
      <c r="E11813" s="14" t="s">
        <v>20</v>
      </c>
    </row>
    <row r="11814" spans="1:5" x14ac:dyDescent="0.25">
      <c r="A11814" s="14">
        <v>972575</v>
      </c>
      <c r="B11814" s="14" t="s">
        <v>11913</v>
      </c>
      <c r="C11814" s="14" t="s">
        <v>13030</v>
      </c>
      <c r="D11814" s="15">
        <v>53.39</v>
      </c>
      <c r="E11814" s="14" t="s">
        <v>20</v>
      </c>
    </row>
    <row r="11815" spans="1:5" x14ac:dyDescent="0.25">
      <c r="A11815" s="14">
        <v>972576</v>
      </c>
      <c r="B11815" s="14" t="s">
        <v>11914</v>
      </c>
      <c r="C11815" s="14" t="s">
        <v>13030</v>
      </c>
      <c r="D11815" s="15">
        <v>77.12</v>
      </c>
      <c r="E11815" s="14" t="s">
        <v>20</v>
      </c>
    </row>
    <row r="11816" spans="1:5" x14ac:dyDescent="0.25">
      <c r="A11816" s="14">
        <v>972577</v>
      </c>
      <c r="B11816" s="14" t="s">
        <v>11915</v>
      </c>
      <c r="C11816" s="14" t="s">
        <v>13030</v>
      </c>
      <c r="D11816" s="15">
        <v>77.12</v>
      </c>
      <c r="E11816" s="14" t="s">
        <v>20</v>
      </c>
    </row>
    <row r="11817" spans="1:5" x14ac:dyDescent="0.25">
      <c r="A11817" s="14">
        <v>972578</v>
      </c>
      <c r="B11817" s="14" t="s">
        <v>11916</v>
      </c>
      <c r="C11817" s="14" t="s">
        <v>13030</v>
      </c>
      <c r="D11817" s="15">
        <v>111.86</v>
      </c>
      <c r="E11817" s="14" t="s">
        <v>20</v>
      </c>
    </row>
    <row r="11818" spans="1:5" x14ac:dyDescent="0.25">
      <c r="A11818" s="14">
        <v>972579</v>
      </c>
      <c r="B11818" s="14" t="s">
        <v>11917</v>
      </c>
      <c r="C11818" s="14" t="s">
        <v>13030</v>
      </c>
      <c r="D11818" s="15">
        <v>154.24</v>
      </c>
      <c r="E11818" s="14" t="s">
        <v>20</v>
      </c>
    </row>
    <row r="11819" spans="1:5" x14ac:dyDescent="0.25">
      <c r="A11819" s="14">
        <v>972580</v>
      </c>
      <c r="B11819" s="14" t="s">
        <v>11918</v>
      </c>
      <c r="C11819" s="14" t="s">
        <v>13030</v>
      </c>
      <c r="D11819" s="15">
        <v>196.61</v>
      </c>
      <c r="E11819" s="14" t="s">
        <v>20</v>
      </c>
    </row>
    <row r="11820" spans="1:5" x14ac:dyDescent="0.25">
      <c r="A11820" s="14">
        <v>972581</v>
      </c>
      <c r="B11820" s="14" t="s">
        <v>11919</v>
      </c>
      <c r="C11820" s="14" t="s">
        <v>13030</v>
      </c>
      <c r="D11820" s="15">
        <v>196.61</v>
      </c>
      <c r="E11820" s="14" t="s">
        <v>20</v>
      </c>
    </row>
    <row r="11821" spans="1:5" x14ac:dyDescent="0.25">
      <c r="A11821" s="14">
        <v>973123</v>
      </c>
      <c r="B11821" s="14" t="s">
        <v>11920</v>
      </c>
      <c r="C11821" s="14" t="s">
        <v>13031</v>
      </c>
      <c r="D11821" s="15">
        <v>16.53</v>
      </c>
      <c r="E11821" s="14" t="s">
        <v>20</v>
      </c>
    </row>
    <row r="11822" spans="1:5" x14ac:dyDescent="0.25">
      <c r="A11822" s="14">
        <v>973359</v>
      </c>
      <c r="B11822" s="14" t="s">
        <v>11921</v>
      </c>
      <c r="C11822" s="14" t="s">
        <v>13031</v>
      </c>
      <c r="D11822" s="15">
        <v>6.5</v>
      </c>
      <c r="E11822" s="14" t="s">
        <v>20</v>
      </c>
    </row>
    <row r="11823" spans="1:5" x14ac:dyDescent="0.25">
      <c r="A11823" s="14">
        <v>973360</v>
      </c>
      <c r="B11823" s="14" t="s">
        <v>11922</v>
      </c>
      <c r="C11823" s="14" t="s">
        <v>13031</v>
      </c>
      <c r="D11823" s="15">
        <v>7.5</v>
      </c>
      <c r="E11823" s="14" t="s">
        <v>20</v>
      </c>
    </row>
    <row r="11824" spans="1:5" x14ac:dyDescent="0.25">
      <c r="A11824" s="14">
        <v>974344</v>
      </c>
      <c r="B11824" s="14" t="s">
        <v>11923</v>
      </c>
      <c r="C11824" s="14" t="s">
        <v>13031</v>
      </c>
      <c r="D11824" s="15">
        <v>4.24</v>
      </c>
      <c r="E11824" s="14" t="s">
        <v>20</v>
      </c>
    </row>
    <row r="11825" spans="1:5" x14ac:dyDescent="0.25">
      <c r="A11825" s="14">
        <v>974366</v>
      </c>
      <c r="B11825" s="14" t="s">
        <v>11924</v>
      </c>
      <c r="C11825" s="14" t="s">
        <v>13030</v>
      </c>
      <c r="D11825" s="15">
        <v>74.680000000000007</v>
      </c>
      <c r="E11825" s="14" t="s">
        <v>20</v>
      </c>
    </row>
    <row r="11826" spans="1:5" x14ac:dyDescent="0.25">
      <c r="A11826" s="14">
        <v>974367</v>
      </c>
      <c r="B11826" s="14" t="s">
        <v>11925</v>
      </c>
      <c r="C11826" s="14" t="s">
        <v>13030</v>
      </c>
      <c r="D11826" s="15">
        <v>147.43</v>
      </c>
      <c r="E11826" s="14" t="s">
        <v>20</v>
      </c>
    </row>
    <row r="11827" spans="1:5" x14ac:dyDescent="0.25">
      <c r="A11827" s="14">
        <v>974369</v>
      </c>
      <c r="B11827" s="14" t="s">
        <v>11926</v>
      </c>
      <c r="C11827" s="14" t="s">
        <v>13030</v>
      </c>
      <c r="D11827" s="15">
        <v>102.44</v>
      </c>
      <c r="E11827" s="14" t="s">
        <v>20</v>
      </c>
    </row>
    <row r="11828" spans="1:5" x14ac:dyDescent="0.25">
      <c r="A11828" s="14">
        <v>974379</v>
      </c>
      <c r="B11828" s="14" t="s">
        <v>11927</v>
      </c>
      <c r="C11828" s="14" t="s">
        <v>13031</v>
      </c>
      <c r="D11828" s="15">
        <v>18.5</v>
      </c>
      <c r="E11828" s="14" t="s">
        <v>20</v>
      </c>
    </row>
    <row r="11829" spans="1:5" x14ac:dyDescent="0.25">
      <c r="A11829" s="14">
        <v>974380</v>
      </c>
      <c r="B11829" s="14" t="s">
        <v>11928</v>
      </c>
      <c r="C11829" s="14" t="s">
        <v>13031</v>
      </c>
      <c r="D11829" s="15">
        <v>18.5</v>
      </c>
      <c r="E11829" s="14" t="s">
        <v>20</v>
      </c>
    </row>
    <row r="11830" spans="1:5" x14ac:dyDescent="0.25">
      <c r="A11830" s="14">
        <v>974466</v>
      </c>
      <c r="B11830" s="14" t="s">
        <v>11929</v>
      </c>
      <c r="C11830" s="14" t="s">
        <v>13031</v>
      </c>
      <c r="D11830" s="15">
        <v>13.5</v>
      </c>
      <c r="E11830" s="14" t="s">
        <v>20</v>
      </c>
    </row>
    <row r="11831" spans="1:5" x14ac:dyDescent="0.25">
      <c r="A11831" s="14">
        <v>1019799</v>
      </c>
      <c r="B11831" s="14" t="s">
        <v>11930</v>
      </c>
      <c r="C11831" s="14" t="s">
        <v>13031</v>
      </c>
      <c r="D11831" s="15">
        <v>5.66</v>
      </c>
      <c r="E11831" s="14" t="s">
        <v>30</v>
      </c>
    </row>
    <row r="11832" spans="1:5" x14ac:dyDescent="0.25">
      <c r="A11832" s="14">
        <v>1019800</v>
      </c>
      <c r="B11832" s="14" t="s">
        <v>11931</v>
      </c>
      <c r="C11832" s="14" t="s">
        <v>13031</v>
      </c>
      <c r="D11832" s="15">
        <v>5.4</v>
      </c>
      <c r="E11832" s="14" t="s">
        <v>30</v>
      </c>
    </row>
    <row r="11833" spans="1:5" x14ac:dyDescent="0.25">
      <c r="A11833" s="14">
        <v>974467</v>
      </c>
      <c r="B11833" s="14" t="s">
        <v>11932</v>
      </c>
      <c r="C11833" s="14" t="s">
        <v>13031</v>
      </c>
      <c r="D11833" s="15">
        <v>19.489999999999998</v>
      </c>
      <c r="E11833" s="14" t="s">
        <v>20</v>
      </c>
    </row>
    <row r="11834" spans="1:5" x14ac:dyDescent="0.25">
      <c r="A11834" s="14">
        <v>974468</v>
      </c>
      <c r="B11834" s="14" t="s">
        <v>11933</v>
      </c>
      <c r="C11834" s="14" t="s">
        <v>13031</v>
      </c>
      <c r="D11834" s="15">
        <v>7.92</v>
      </c>
      <c r="E11834" s="14" t="s">
        <v>20</v>
      </c>
    </row>
    <row r="11835" spans="1:5" x14ac:dyDescent="0.25">
      <c r="A11835" s="14">
        <v>974596</v>
      </c>
      <c r="B11835" s="14" t="s">
        <v>11934</v>
      </c>
      <c r="C11835" s="14" t="s">
        <v>13031</v>
      </c>
      <c r="D11835" s="15">
        <v>4.24</v>
      </c>
      <c r="E11835" s="14" t="s">
        <v>20</v>
      </c>
    </row>
    <row r="11836" spans="1:5" x14ac:dyDescent="0.25">
      <c r="A11836" s="14">
        <v>975711</v>
      </c>
      <c r="B11836" s="14" t="s">
        <v>11935</v>
      </c>
      <c r="C11836" s="14" t="s">
        <v>13030</v>
      </c>
      <c r="D11836" s="15">
        <v>135.59</v>
      </c>
      <c r="E11836" s="14" t="s">
        <v>20</v>
      </c>
    </row>
    <row r="11837" spans="1:5" x14ac:dyDescent="0.25">
      <c r="A11837" s="14">
        <v>976150</v>
      </c>
      <c r="B11837" s="14" t="s">
        <v>11936</v>
      </c>
      <c r="C11837" s="14" t="s">
        <v>13030</v>
      </c>
      <c r="D11837" s="15">
        <v>22.07</v>
      </c>
      <c r="E11837" s="14" t="s">
        <v>20</v>
      </c>
    </row>
    <row r="11838" spans="1:5" x14ac:dyDescent="0.25">
      <c r="A11838" s="14">
        <v>1020632</v>
      </c>
      <c r="B11838" s="14" t="s">
        <v>11937</v>
      </c>
      <c r="C11838" s="14" t="s">
        <v>13033</v>
      </c>
      <c r="D11838" s="15">
        <v>17.739999999999998</v>
      </c>
      <c r="E11838" s="14" t="s">
        <v>30</v>
      </c>
    </row>
    <row r="11839" spans="1:5" x14ac:dyDescent="0.25">
      <c r="A11839" s="14">
        <v>1020633</v>
      </c>
      <c r="B11839" s="14" t="s">
        <v>11938</v>
      </c>
      <c r="C11839" s="14" t="s">
        <v>13033</v>
      </c>
      <c r="D11839" s="15">
        <v>17.14</v>
      </c>
      <c r="E11839" s="14" t="s">
        <v>30</v>
      </c>
    </row>
    <row r="11840" spans="1:5" x14ac:dyDescent="0.25">
      <c r="A11840" s="14">
        <v>1022349</v>
      </c>
      <c r="B11840" s="14" t="s">
        <v>11939</v>
      </c>
      <c r="C11840" s="14" t="s">
        <v>13031</v>
      </c>
      <c r="D11840" s="15">
        <v>7.59</v>
      </c>
      <c r="E11840" s="14" t="s">
        <v>30</v>
      </c>
    </row>
    <row r="11841" spans="1:5" x14ac:dyDescent="0.25">
      <c r="A11841" s="14">
        <v>976151</v>
      </c>
      <c r="B11841" s="14" t="s">
        <v>11940</v>
      </c>
      <c r="C11841" s="14" t="s">
        <v>13030</v>
      </c>
      <c r="D11841" s="15">
        <v>22.07</v>
      </c>
      <c r="E11841" s="14" t="s">
        <v>20</v>
      </c>
    </row>
    <row r="11842" spans="1:5" x14ac:dyDescent="0.25">
      <c r="A11842" s="14">
        <v>976152</v>
      </c>
      <c r="B11842" s="14" t="s">
        <v>11941</v>
      </c>
      <c r="C11842" s="14" t="s">
        <v>13030</v>
      </c>
      <c r="D11842" s="15">
        <v>22.07</v>
      </c>
      <c r="E11842" s="14" t="s">
        <v>20</v>
      </c>
    </row>
    <row r="11843" spans="1:5" x14ac:dyDescent="0.25">
      <c r="A11843" s="14">
        <v>976154</v>
      </c>
      <c r="B11843" s="14" t="s">
        <v>11942</v>
      </c>
      <c r="C11843" s="14" t="s">
        <v>13030</v>
      </c>
      <c r="D11843" s="15">
        <v>48.05</v>
      </c>
      <c r="E11843" s="14" t="s">
        <v>20</v>
      </c>
    </row>
    <row r="11844" spans="1:5" x14ac:dyDescent="0.25">
      <c r="A11844" s="14">
        <v>986303</v>
      </c>
      <c r="B11844" s="14" t="s">
        <v>11943</v>
      </c>
      <c r="C11844" s="14" t="s">
        <v>13030</v>
      </c>
      <c r="D11844" s="15">
        <v>21.61</v>
      </c>
      <c r="E11844" s="14" t="s">
        <v>20</v>
      </c>
    </row>
    <row r="11845" spans="1:5" x14ac:dyDescent="0.25">
      <c r="A11845" s="14">
        <v>986304</v>
      </c>
      <c r="B11845" s="14" t="s">
        <v>11944</v>
      </c>
      <c r="C11845" s="14" t="s">
        <v>13030</v>
      </c>
      <c r="D11845" s="15">
        <v>21.61</v>
      </c>
      <c r="E11845" s="14" t="s">
        <v>20</v>
      </c>
    </row>
    <row r="11846" spans="1:5" x14ac:dyDescent="0.25">
      <c r="A11846" s="14">
        <v>986467</v>
      </c>
      <c r="B11846" s="14" t="s">
        <v>11945</v>
      </c>
      <c r="C11846" s="14" t="s">
        <v>13031</v>
      </c>
      <c r="D11846" s="15">
        <v>340.32</v>
      </c>
      <c r="E11846" s="14" t="s">
        <v>20</v>
      </c>
    </row>
    <row r="11847" spans="1:5" x14ac:dyDescent="0.25">
      <c r="A11847" s="14">
        <v>1022393</v>
      </c>
      <c r="B11847" s="14" t="s">
        <v>11946</v>
      </c>
      <c r="C11847" s="14" t="s">
        <v>13030</v>
      </c>
      <c r="D11847" s="15">
        <v>63.99</v>
      </c>
      <c r="E11847" s="14" t="s">
        <v>30</v>
      </c>
    </row>
    <row r="11848" spans="1:5" x14ac:dyDescent="0.25">
      <c r="A11848" s="14">
        <v>986698</v>
      </c>
      <c r="B11848" s="14" t="s">
        <v>11947</v>
      </c>
      <c r="C11848" s="14" t="s">
        <v>13031</v>
      </c>
      <c r="D11848" s="15">
        <v>8.9</v>
      </c>
      <c r="E11848" s="14" t="s">
        <v>20</v>
      </c>
    </row>
    <row r="11849" spans="1:5" x14ac:dyDescent="0.25">
      <c r="A11849" s="14">
        <v>986699</v>
      </c>
      <c r="B11849" s="14" t="s">
        <v>11948</v>
      </c>
      <c r="C11849" s="14" t="s">
        <v>13031</v>
      </c>
      <c r="D11849" s="15">
        <v>8.9</v>
      </c>
      <c r="E11849" s="14" t="s">
        <v>20</v>
      </c>
    </row>
    <row r="11850" spans="1:5" x14ac:dyDescent="0.25">
      <c r="A11850" s="14">
        <v>987086</v>
      </c>
      <c r="B11850" s="14" t="s">
        <v>11949</v>
      </c>
      <c r="C11850" s="14" t="s">
        <v>13030</v>
      </c>
      <c r="D11850" s="15">
        <v>145.76</v>
      </c>
      <c r="E11850" s="14" t="s">
        <v>20</v>
      </c>
    </row>
    <row r="11851" spans="1:5" x14ac:dyDescent="0.25">
      <c r="A11851" s="14">
        <v>1022861</v>
      </c>
      <c r="B11851" s="14" t="s">
        <v>11950</v>
      </c>
      <c r="C11851" s="14" t="s">
        <v>13030</v>
      </c>
      <c r="D11851" s="15">
        <v>39.119999999999997</v>
      </c>
      <c r="E11851" s="14" t="s">
        <v>30</v>
      </c>
    </row>
    <row r="11852" spans="1:5" x14ac:dyDescent="0.25">
      <c r="A11852" s="14">
        <v>988711</v>
      </c>
      <c r="B11852" s="14" t="s">
        <v>11951</v>
      </c>
      <c r="C11852" s="14" t="s">
        <v>13031</v>
      </c>
      <c r="D11852" s="15">
        <v>11.02</v>
      </c>
      <c r="E11852" s="14" t="s">
        <v>20</v>
      </c>
    </row>
    <row r="11853" spans="1:5" x14ac:dyDescent="0.25">
      <c r="A11853" s="14">
        <v>988714</v>
      </c>
      <c r="B11853" s="14" t="s">
        <v>11952</v>
      </c>
      <c r="C11853" s="14" t="s">
        <v>13031</v>
      </c>
      <c r="D11853" s="15">
        <v>10.97</v>
      </c>
      <c r="E11853" s="14" t="s">
        <v>20</v>
      </c>
    </row>
    <row r="11854" spans="1:5" x14ac:dyDescent="0.25">
      <c r="A11854" s="14">
        <v>988715</v>
      </c>
      <c r="B11854" s="14" t="s">
        <v>11953</v>
      </c>
      <c r="C11854" s="14" t="s">
        <v>13031</v>
      </c>
      <c r="D11854" s="15">
        <v>10.97</v>
      </c>
      <c r="E11854" s="14" t="s">
        <v>20</v>
      </c>
    </row>
    <row r="11855" spans="1:5" x14ac:dyDescent="0.25">
      <c r="A11855" s="14">
        <v>990256</v>
      </c>
      <c r="B11855" s="14" t="s">
        <v>11954</v>
      </c>
      <c r="C11855" s="14" t="s">
        <v>13031</v>
      </c>
      <c r="D11855" s="15">
        <v>7.13</v>
      </c>
      <c r="E11855" s="14" t="s">
        <v>20</v>
      </c>
    </row>
    <row r="11856" spans="1:5" x14ac:dyDescent="0.25">
      <c r="A11856" s="14">
        <v>991448</v>
      </c>
      <c r="B11856" s="14" t="s">
        <v>11955</v>
      </c>
      <c r="C11856" s="14" t="s">
        <v>13031</v>
      </c>
      <c r="D11856" s="15">
        <v>11.86</v>
      </c>
      <c r="E11856" s="14" t="s">
        <v>20</v>
      </c>
    </row>
    <row r="11857" spans="1:5" x14ac:dyDescent="0.25">
      <c r="A11857" s="14">
        <v>991449</v>
      </c>
      <c r="B11857" s="14" t="s">
        <v>11956</v>
      </c>
      <c r="C11857" s="14" t="s">
        <v>13031</v>
      </c>
      <c r="D11857" s="15">
        <v>11.86</v>
      </c>
      <c r="E11857" s="14" t="s">
        <v>20</v>
      </c>
    </row>
    <row r="11858" spans="1:5" x14ac:dyDescent="0.25">
      <c r="A11858" s="14">
        <v>991450</v>
      </c>
      <c r="B11858" s="14" t="s">
        <v>11957</v>
      </c>
      <c r="C11858" s="14" t="s">
        <v>13031</v>
      </c>
      <c r="D11858" s="15">
        <v>11.86</v>
      </c>
      <c r="E11858" s="14" t="s">
        <v>20</v>
      </c>
    </row>
    <row r="11859" spans="1:5" x14ac:dyDescent="0.25">
      <c r="A11859" s="14">
        <v>991451</v>
      </c>
      <c r="B11859" s="14" t="s">
        <v>11958</v>
      </c>
      <c r="C11859" s="14" t="s">
        <v>13031</v>
      </c>
      <c r="D11859" s="15">
        <v>11.86</v>
      </c>
      <c r="E11859" s="14" t="s">
        <v>20</v>
      </c>
    </row>
    <row r="11860" spans="1:5" x14ac:dyDescent="0.25">
      <c r="A11860" s="14">
        <v>991452</v>
      </c>
      <c r="B11860" s="14" t="s">
        <v>11959</v>
      </c>
      <c r="C11860" s="14" t="s">
        <v>13031</v>
      </c>
      <c r="D11860" s="15">
        <v>13.22</v>
      </c>
      <c r="E11860" s="14" t="s">
        <v>20</v>
      </c>
    </row>
    <row r="11861" spans="1:5" x14ac:dyDescent="0.25">
      <c r="A11861" s="14">
        <v>991455</v>
      </c>
      <c r="B11861" s="14" t="s">
        <v>11960</v>
      </c>
      <c r="C11861" s="14" t="s">
        <v>13031</v>
      </c>
      <c r="D11861" s="15">
        <v>8.4700000000000006</v>
      </c>
      <c r="E11861" s="14" t="s">
        <v>20</v>
      </c>
    </row>
    <row r="11862" spans="1:5" x14ac:dyDescent="0.25">
      <c r="A11862" s="14">
        <v>1022862</v>
      </c>
      <c r="B11862" s="14" t="s">
        <v>11961</v>
      </c>
      <c r="C11862" s="14" t="s">
        <v>13030</v>
      </c>
      <c r="D11862" s="15">
        <v>39.1</v>
      </c>
      <c r="E11862" s="14" t="s">
        <v>30</v>
      </c>
    </row>
    <row r="11863" spans="1:5" x14ac:dyDescent="0.25">
      <c r="A11863" s="14">
        <v>1022984</v>
      </c>
      <c r="B11863" s="14" t="s">
        <v>11962</v>
      </c>
      <c r="C11863" s="14" t="s">
        <v>13031</v>
      </c>
      <c r="D11863" s="15">
        <v>2.91</v>
      </c>
      <c r="E11863" s="14" t="s">
        <v>30</v>
      </c>
    </row>
    <row r="11864" spans="1:5" x14ac:dyDescent="0.25">
      <c r="A11864" s="14">
        <v>991757</v>
      </c>
      <c r="B11864" s="14" t="s">
        <v>11963</v>
      </c>
      <c r="C11864" s="14" t="s">
        <v>13031</v>
      </c>
      <c r="D11864" s="15">
        <v>8</v>
      </c>
      <c r="E11864" s="14" t="s">
        <v>20</v>
      </c>
    </row>
    <row r="11865" spans="1:5" x14ac:dyDescent="0.25">
      <c r="A11865" s="14">
        <v>1023000</v>
      </c>
      <c r="B11865" s="14" t="s">
        <v>11964</v>
      </c>
      <c r="C11865" s="14" t="s">
        <v>13030</v>
      </c>
      <c r="D11865" s="15">
        <v>60.54</v>
      </c>
      <c r="E11865" s="14" t="s">
        <v>30</v>
      </c>
    </row>
    <row r="11866" spans="1:5" x14ac:dyDescent="0.25">
      <c r="A11866" s="14">
        <v>1023309</v>
      </c>
      <c r="B11866" s="14" t="s">
        <v>11965</v>
      </c>
      <c r="C11866" s="14" t="s">
        <v>13030</v>
      </c>
      <c r="D11866" s="15">
        <v>14.56</v>
      </c>
      <c r="E11866" s="14" t="s">
        <v>30</v>
      </c>
    </row>
    <row r="11867" spans="1:5" x14ac:dyDescent="0.25">
      <c r="A11867" s="14">
        <v>1023465</v>
      </c>
      <c r="B11867" s="14" t="s">
        <v>11966</v>
      </c>
      <c r="C11867" s="14" t="s">
        <v>13029</v>
      </c>
      <c r="D11867" s="15">
        <v>9.86</v>
      </c>
      <c r="E11867" s="14" t="s">
        <v>30</v>
      </c>
    </row>
    <row r="11868" spans="1:5" x14ac:dyDescent="0.25">
      <c r="A11868" s="14">
        <v>772085</v>
      </c>
      <c r="B11868" s="14" t="s">
        <v>11967</v>
      </c>
      <c r="C11868" s="14" t="s">
        <v>13031</v>
      </c>
      <c r="D11868" s="15">
        <v>12.99</v>
      </c>
      <c r="E11868" s="14" t="s">
        <v>30</v>
      </c>
    </row>
    <row r="11869" spans="1:5" x14ac:dyDescent="0.25">
      <c r="A11869" s="14">
        <v>1017938</v>
      </c>
      <c r="B11869" s="14" t="s">
        <v>11968</v>
      </c>
      <c r="C11869" s="14" t="s">
        <v>13029</v>
      </c>
      <c r="D11869" s="15">
        <v>51.02</v>
      </c>
      <c r="E11869" s="14" t="s">
        <v>30</v>
      </c>
    </row>
    <row r="11870" spans="1:5" x14ac:dyDescent="0.25">
      <c r="A11870" s="14">
        <v>1019515</v>
      </c>
      <c r="B11870" s="14" t="s">
        <v>11969</v>
      </c>
      <c r="C11870" s="14" t="s">
        <v>13031</v>
      </c>
      <c r="D11870" s="15">
        <v>9.1</v>
      </c>
      <c r="E11870" s="14" t="s">
        <v>30</v>
      </c>
    </row>
    <row r="11871" spans="1:5" x14ac:dyDescent="0.25">
      <c r="A11871" s="14">
        <v>991758</v>
      </c>
      <c r="B11871" s="14" t="s">
        <v>11970</v>
      </c>
      <c r="C11871" s="14" t="s">
        <v>13031</v>
      </c>
      <c r="D11871" s="15">
        <v>8</v>
      </c>
      <c r="E11871" s="14" t="s">
        <v>20</v>
      </c>
    </row>
    <row r="11872" spans="1:5" x14ac:dyDescent="0.25">
      <c r="A11872" s="14">
        <v>992419</v>
      </c>
      <c r="B11872" s="14" t="s">
        <v>11971</v>
      </c>
      <c r="C11872" s="14" t="s">
        <v>13031</v>
      </c>
      <c r="D11872" s="15">
        <v>13.35</v>
      </c>
      <c r="E11872" s="14" t="s">
        <v>20</v>
      </c>
    </row>
    <row r="11873" spans="1:5" x14ac:dyDescent="0.25">
      <c r="A11873" s="14">
        <v>994558</v>
      </c>
      <c r="B11873" s="14" t="s">
        <v>11972</v>
      </c>
      <c r="C11873" s="14" t="s">
        <v>13031</v>
      </c>
      <c r="D11873" s="15">
        <v>6.03</v>
      </c>
      <c r="E11873" s="14" t="s">
        <v>20</v>
      </c>
    </row>
    <row r="11874" spans="1:5" x14ac:dyDescent="0.25">
      <c r="A11874" s="14">
        <v>1005319</v>
      </c>
      <c r="B11874" s="14" t="s">
        <v>11973</v>
      </c>
      <c r="C11874" s="14" t="s">
        <v>13031</v>
      </c>
      <c r="D11874" s="15">
        <v>12.14</v>
      </c>
      <c r="E11874" s="14" t="s">
        <v>20</v>
      </c>
    </row>
    <row r="11875" spans="1:5" x14ac:dyDescent="0.25">
      <c r="A11875" s="14">
        <v>1019516</v>
      </c>
      <c r="B11875" s="14" t="s">
        <v>11974</v>
      </c>
      <c r="C11875" s="14" t="s">
        <v>13031</v>
      </c>
      <c r="D11875" s="15">
        <v>13.36</v>
      </c>
      <c r="E11875" s="14" t="s">
        <v>30</v>
      </c>
    </row>
    <row r="11876" spans="1:5" x14ac:dyDescent="0.25">
      <c r="A11876" s="14">
        <v>1020087</v>
      </c>
      <c r="B11876" s="14" t="s">
        <v>11975</v>
      </c>
      <c r="C11876" s="14" t="s">
        <v>13029</v>
      </c>
      <c r="D11876" s="15">
        <v>6.78</v>
      </c>
      <c r="E11876" s="14" t="s">
        <v>30</v>
      </c>
    </row>
    <row r="11877" spans="1:5" x14ac:dyDescent="0.25">
      <c r="A11877" s="14">
        <v>1020088</v>
      </c>
      <c r="B11877" s="14" t="s">
        <v>11976</v>
      </c>
      <c r="C11877" s="14" t="s">
        <v>13029</v>
      </c>
      <c r="D11877" s="15">
        <v>6.24</v>
      </c>
      <c r="E11877" s="14" t="s">
        <v>30</v>
      </c>
    </row>
    <row r="11878" spans="1:5" x14ac:dyDescent="0.25">
      <c r="A11878" s="14">
        <v>1020630</v>
      </c>
      <c r="B11878" s="14" t="s">
        <v>11977</v>
      </c>
      <c r="C11878" s="14" t="s">
        <v>13030</v>
      </c>
      <c r="D11878" s="15">
        <v>2.2200000000000002</v>
      </c>
      <c r="E11878" s="14" t="s">
        <v>30</v>
      </c>
    </row>
    <row r="11879" spans="1:5" x14ac:dyDescent="0.25">
      <c r="A11879" s="14">
        <v>1005322</v>
      </c>
      <c r="B11879" s="14" t="s">
        <v>11978</v>
      </c>
      <c r="C11879" s="14" t="s">
        <v>13031</v>
      </c>
      <c r="D11879" s="15">
        <v>18.25</v>
      </c>
      <c r="E11879" s="14" t="s">
        <v>20</v>
      </c>
    </row>
    <row r="11880" spans="1:5" x14ac:dyDescent="0.25">
      <c r="A11880" s="14">
        <v>1006906</v>
      </c>
      <c r="B11880" s="14" t="s">
        <v>11979</v>
      </c>
      <c r="C11880" s="14" t="s">
        <v>13031</v>
      </c>
      <c r="D11880" s="15">
        <v>13.56</v>
      </c>
      <c r="E11880" s="14" t="s">
        <v>20</v>
      </c>
    </row>
    <row r="11881" spans="1:5" x14ac:dyDescent="0.25">
      <c r="A11881" s="14">
        <v>1007315</v>
      </c>
      <c r="B11881" s="14" t="s">
        <v>11980</v>
      </c>
      <c r="C11881" s="14" t="s">
        <v>13031</v>
      </c>
      <c r="D11881" s="15">
        <v>8.0500000000000007</v>
      </c>
      <c r="E11881" s="14" t="s">
        <v>20</v>
      </c>
    </row>
    <row r="11882" spans="1:5" x14ac:dyDescent="0.25">
      <c r="A11882" s="14">
        <v>48388005</v>
      </c>
      <c r="B11882" s="14" t="s">
        <v>11981</v>
      </c>
      <c r="C11882" s="14" t="s">
        <v>13031</v>
      </c>
      <c r="D11882" s="15">
        <v>0.88</v>
      </c>
      <c r="E11882" s="14" t="s">
        <v>20</v>
      </c>
    </row>
    <row r="11883" spans="1:5" x14ac:dyDescent="0.25">
      <c r="A11883" s="14">
        <v>48388006</v>
      </c>
      <c r="B11883" s="14" t="s">
        <v>11982</v>
      </c>
      <c r="C11883" s="14" t="s">
        <v>13031</v>
      </c>
      <c r="D11883" s="15">
        <v>0.47</v>
      </c>
      <c r="E11883" s="14" t="s">
        <v>20</v>
      </c>
    </row>
    <row r="11884" spans="1:5" x14ac:dyDescent="0.25">
      <c r="A11884" s="14">
        <v>1020631</v>
      </c>
      <c r="B11884" s="14" t="s">
        <v>11983</v>
      </c>
      <c r="C11884" s="14" t="s">
        <v>13030</v>
      </c>
      <c r="D11884" s="15">
        <v>2.0299999999999998</v>
      </c>
      <c r="E11884" s="14" t="s">
        <v>30</v>
      </c>
    </row>
    <row r="11885" spans="1:5" x14ac:dyDescent="0.25">
      <c r="A11885" s="14">
        <v>1022104</v>
      </c>
      <c r="B11885" s="14" t="s">
        <v>11984</v>
      </c>
      <c r="C11885" s="14" t="s">
        <v>13030</v>
      </c>
      <c r="D11885" s="15">
        <v>34.68</v>
      </c>
      <c r="E11885" s="14" t="s">
        <v>30</v>
      </c>
    </row>
    <row r="11886" spans="1:5" x14ac:dyDescent="0.25">
      <c r="A11886" s="14">
        <v>1022337</v>
      </c>
      <c r="B11886" s="14" t="s">
        <v>11985</v>
      </c>
      <c r="C11886" s="14" t="s">
        <v>13030</v>
      </c>
      <c r="D11886" s="15">
        <v>45.88</v>
      </c>
      <c r="E11886" s="14" t="s">
        <v>30</v>
      </c>
    </row>
    <row r="11887" spans="1:5" x14ac:dyDescent="0.25">
      <c r="A11887" s="14">
        <v>1022852</v>
      </c>
      <c r="B11887" s="14" t="s">
        <v>11986</v>
      </c>
      <c r="C11887" s="14" t="s">
        <v>13030</v>
      </c>
      <c r="D11887" s="15">
        <v>41.62</v>
      </c>
      <c r="E11887" s="14" t="s">
        <v>30</v>
      </c>
    </row>
    <row r="11888" spans="1:5" x14ac:dyDescent="0.25">
      <c r="A11888" s="14">
        <v>1022853</v>
      </c>
      <c r="B11888" s="14" t="s">
        <v>11987</v>
      </c>
      <c r="C11888" s="14" t="s">
        <v>13030</v>
      </c>
      <c r="D11888" s="15">
        <v>41.62</v>
      </c>
      <c r="E11888" s="14" t="s">
        <v>30</v>
      </c>
    </row>
    <row r="11889" spans="1:5" x14ac:dyDescent="0.25">
      <c r="A11889" s="14">
        <v>1022856</v>
      </c>
      <c r="B11889" s="14" t="s">
        <v>11988</v>
      </c>
      <c r="C11889" s="14" t="s">
        <v>13030</v>
      </c>
      <c r="D11889" s="15">
        <v>40.21</v>
      </c>
      <c r="E11889" s="14" t="s">
        <v>30</v>
      </c>
    </row>
    <row r="11890" spans="1:5" x14ac:dyDescent="0.25">
      <c r="A11890" s="14">
        <v>1022991</v>
      </c>
      <c r="B11890" s="14" t="s">
        <v>11989</v>
      </c>
      <c r="C11890" s="14" t="s">
        <v>13030</v>
      </c>
      <c r="D11890" s="15">
        <v>4.45</v>
      </c>
      <c r="E11890" s="14" t="s">
        <v>30</v>
      </c>
    </row>
    <row r="11891" spans="1:5" x14ac:dyDescent="0.25">
      <c r="A11891" s="14">
        <v>1022994</v>
      </c>
      <c r="B11891" s="14" t="s">
        <v>11990</v>
      </c>
      <c r="C11891" s="14" t="s">
        <v>13030</v>
      </c>
      <c r="D11891" s="15">
        <v>55.02</v>
      </c>
      <c r="E11891" s="14" t="s">
        <v>30</v>
      </c>
    </row>
    <row r="11892" spans="1:5" x14ac:dyDescent="0.25">
      <c r="A11892" s="14">
        <v>1022995</v>
      </c>
      <c r="B11892" s="14" t="s">
        <v>11991</v>
      </c>
      <c r="C11892" s="14" t="s">
        <v>13030</v>
      </c>
      <c r="D11892" s="15">
        <v>53.94</v>
      </c>
      <c r="E11892" s="14" t="s">
        <v>30</v>
      </c>
    </row>
    <row r="11893" spans="1:5" x14ac:dyDescent="0.25">
      <c r="A11893" s="14">
        <v>48388007</v>
      </c>
      <c r="B11893" s="14" t="s">
        <v>11992</v>
      </c>
      <c r="C11893" s="14" t="s">
        <v>13031</v>
      </c>
      <c r="D11893" s="15">
        <v>0.87</v>
      </c>
      <c r="E11893" s="14" t="s">
        <v>20</v>
      </c>
    </row>
    <row r="11894" spans="1:5" x14ac:dyDescent="0.25">
      <c r="A11894" s="14">
        <v>48388008</v>
      </c>
      <c r="B11894" s="14" t="s">
        <v>11993</v>
      </c>
      <c r="C11894" s="14" t="s">
        <v>13031</v>
      </c>
      <c r="D11894" s="15">
        <v>0.46</v>
      </c>
      <c r="E11894" s="14" t="s">
        <v>20</v>
      </c>
    </row>
    <row r="11895" spans="1:5" x14ac:dyDescent="0.25">
      <c r="A11895" s="14">
        <v>48388009</v>
      </c>
      <c r="B11895" s="14" t="s">
        <v>11994</v>
      </c>
      <c r="C11895" s="14" t="s">
        <v>13031</v>
      </c>
      <c r="D11895" s="15">
        <v>0.66</v>
      </c>
      <c r="E11895" s="14" t="s">
        <v>20</v>
      </c>
    </row>
    <row r="11896" spans="1:5" x14ac:dyDescent="0.25">
      <c r="A11896" s="14">
        <v>48415002</v>
      </c>
      <c r="B11896" s="14" t="s">
        <v>11995</v>
      </c>
      <c r="C11896" s="14" t="s">
        <v>13031</v>
      </c>
      <c r="D11896" s="15">
        <v>4.66</v>
      </c>
      <c r="E11896" s="14" t="s">
        <v>20</v>
      </c>
    </row>
    <row r="11897" spans="1:5" x14ac:dyDescent="0.25">
      <c r="A11897" s="14">
        <v>48418003</v>
      </c>
      <c r="B11897" s="14" t="s">
        <v>11996</v>
      </c>
      <c r="C11897" s="14" t="s">
        <v>13031</v>
      </c>
      <c r="D11897" s="15">
        <v>1.45</v>
      </c>
      <c r="E11897" s="14" t="s">
        <v>20</v>
      </c>
    </row>
    <row r="11898" spans="1:5" x14ac:dyDescent="0.25">
      <c r="A11898" s="14">
        <v>48418004</v>
      </c>
      <c r="B11898" s="14" t="s">
        <v>11997</v>
      </c>
      <c r="C11898" s="14" t="s">
        <v>13031</v>
      </c>
      <c r="D11898" s="15">
        <v>1.45</v>
      </c>
      <c r="E11898" s="14" t="s">
        <v>20</v>
      </c>
    </row>
    <row r="11899" spans="1:5" x14ac:dyDescent="0.25">
      <c r="A11899" s="14">
        <v>48418005</v>
      </c>
      <c r="B11899" s="14" t="s">
        <v>11998</v>
      </c>
      <c r="C11899" s="14" t="s">
        <v>13031</v>
      </c>
      <c r="D11899" s="15">
        <v>1.45</v>
      </c>
      <c r="E11899" s="14" t="s">
        <v>20</v>
      </c>
    </row>
    <row r="11900" spans="1:5" x14ac:dyDescent="0.25">
      <c r="A11900" s="14">
        <v>48418006</v>
      </c>
      <c r="B11900" s="14" t="s">
        <v>11999</v>
      </c>
      <c r="C11900" s="14" t="s">
        <v>13031</v>
      </c>
      <c r="D11900" s="15">
        <v>1.45</v>
      </c>
      <c r="E11900" s="14" t="s">
        <v>20</v>
      </c>
    </row>
    <row r="11901" spans="1:5" x14ac:dyDescent="0.25">
      <c r="A11901" s="14">
        <v>48418007</v>
      </c>
      <c r="B11901" s="14" t="s">
        <v>12000</v>
      </c>
      <c r="C11901" s="14" t="s">
        <v>13031</v>
      </c>
      <c r="D11901" s="15">
        <v>1.45</v>
      </c>
      <c r="E11901" s="14" t="s">
        <v>20</v>
      </c>
    </row>
    <row r="11902" spans="1:5" x14ac:dyDescent="0.25">
      <c r="A11902" s="14">
        <v>48418008</v>
      </c>
      <c r="B11902" s="14" t="s">
        <v>12001</v>
      </c>
      <c r="C11902" s="14" t="s">
        <v>13031</v>
      </c>
      <c r="D11902" s="15">
        <v>1.45</v>
      </c>
      <c r="E11902" s="14" t="s">
        <v>20</v>
      </c>
    </row>
    <row r="11903" spans="1:5" x14ac:dyDescent="0.25">
      <c r="A11903" s="14">
        <v>48418009</v>
      </c>
      <c r="B11903" s="14" t="s">
        <v>12002</v>
      </c>
      <c r="C11903" s="14" t="s">
        <v>13031</v>
      </c>
      <c r="D11903" s="15">
        <v>1.45</v>
      </c>
      <c r="E11903" s="14" t="s">
        <v>20</v>
      </c>
    </row>
    <row r="11904" spans="1:5" x14ac:dyDescent="0.25">
      <c r="A11904" s="14">
        <v>48418010</v>
      </c>
      <c r="B11904" s="14" t="s">
        <v>12003</v>
      </c>
      <c r="C11904" s="14" t="s">
        <v>13031</v>
      </c>
      <c r="D11904" s="15">
        <v>1.45</v>
      </c>
      <c r="E11904" s="14" t="s">
        <v>20</v>
      </c>
    </row>
    <row r="11905" spans="1:5" x14ac:dyDescent="0.25">
      <c r="A11905" s="14">
        <v>48418011</v>
      </c>
      <c r="B11905" s="14" t="s">
        <v>12004</v>
      </c>
      <c r="C11905" s="14" t="s">
        <v>13031</v>
      </c>
      <c r="D11905" s="15">
        <v>1.45</v>
      </c>
      <c r="E11905" s="14" t="s">
        <v>20</v>
      </c>
    </row>
    <row r="11906" spans="1:5" x14ac:dyDescent="0.25">
      <c r="A11906" s="14">
        <v>1023892</v>
      </c>
      <c r="B11906" s="14" t="s">
        <v>12005</v>
      </c>
      <c r="C11906" s="14" t="s">
        <v>13029</v>
      </c>
      <c r="D11906" s="15">
        <v>27.69</v>
      </c>
      <c r="E11906" s="14" t="s">
        <v>30</v>
      </c>
    </row>
    <row r="11907" spans="1:5" x14ac:dyDescent="0.25">
      <c r="A11907" s="14">
        <v>1023893</v>
      </c>
      <c r="B11907" s="14" t="s">
        <v>12006</v>
      </c>
      <c r="C11907" s="14" t="s">
        <v>13029</v>
      </c>
      <c r="D11907" s="15">
        <v>24.08</v>
      </c>
      <c r="E11907" s="14" t="s">
        <v>30</v>
      </c>
    </row>
    <row r="11908" spans="1:5" x14ac:dyDescent="0.25">
      <c r="A11908" s="14">
        <v>998483</v>
      </c>
      <c r="B11908" s="14" t="s">
        <v>12007</v>
      </c>
      <c r="C11908" s="14" t="s">
        <v>13030</v>
      </c>
      <c r="D11908" s="15">
        <v>79.180000000000007</v>
      </c>
      <c r="E11908" s="14" t="s">
        <v>30</v>
      </c>
    </row>
    <row r="11909" spans="1:5" x14ac:dyDescent="0.25">
      <c r="A11909" s="14">
        <v>1016162</v>
      </c>
      <c r="B11909" s="14" t="s">
        <v>12008</v>
      </c>
      <c r="C11909" s="14" t="s">
        <v>13029</v>
      </c>
      <c r="D11909" s="15">
        <v>28</v>
      </c>
      <c r="E11909" s="14" t="s">
        <v>30</v>
      </c>
    </row>
    <row r="11910" spans="1:5" x14ac:dyDescent="0.25">
      <c r="A11910" s="14">
        <v>1019795</v>
      </c>
      <c r="B11910" s="14" t="s">
        <v>12009</v>
      </c>
      <c r="C11910" s="14" t="s">
        <v>13031</v>
      </c>
      <c r="D11910" s="15">
        <v>4.5999999999999996</v>
      </c>
      <c r="E11910" s="14" t="s">
        <v>30</v>
      </c>
    </row>
    <row r="11911" spans="1:5" x14ac:dyDescent="0.25">
      <c r="A11911" s="14">
        <v>1022078</v>
      </c>
      <c r="B11911" s="14" t="s">
        <v>12010</v>
      </c>
      <c r="C11911" s="14" t="s">
        <v>13030</v>
      </c>
      <c r="D11911" s="15">
        <v>48.58</v>
      </c>
      <c r="E11911" s="14" t="s">
        <v>30</v>
      </c>
    </row>
    <row r="11912" spans="1:5" x14ac:dyDescent="0.25">
      <c r="A11912" s="14">
        <v>1022085</v>
      </c>
      <c r="B11912" s="14" t="s">
        <v>12011</v>
      </c>
      <c r="C11912" s="14" t="s">
        <v>13030</v>
      </c>
      <c r="D11912" s="15">
        <v>121.54</v>
      </c>
      <c r="E11912" s="14" t="s">
        <v>30</v>
      </c>
    </row>
    <row r="11913" spans="1:5" x14ac:dyDescent="0.25">
      <c r="A11913" s="14">
        <v>1022086</v>
      </c>
      <c r="B11913" s="14" t="s">
        <v>12012</v>
      </c>
      <c r="C11913" s="14" t="s">
        <v>13030</v>
      </c>
      <c r="D11913" s="15">
        <v>229.71</v>
      </c>
      <c r="E11913" s="14" t="s">
        <v>30</v>
      </c>
    </row>
    <row r="11914" spans="1:5" x14ac:dyDescent="0.25">
      <c r="A11914" s="14">
        <v>1022097</v>
      </c>
      <c r="B11914" s="14" t="s">
        <v>12013</v>
      </c>
      <c r="C11914" s="14" t="s">
        <v>13030</v>
      </c>
      <c r="D11914" s="15">
        <v>51.82</v>
      </c>
      <c r="E11914" s="14" t="s">
        <v>30</v>
      </c>
    </row>
    <row r="11915" spans="1:5" x14ac:dyDescent="0.25">
      <c r="A11915" s="14">
        <v>1022098</v>
      </c>
      <c r="B11915" s="14" t="s">
        <v>12014</v>
      </c>
      <c r="C11915" s="14" t="s">
        <v>13030</v>
      </c>
      <c r="D11915" s="15">
        <v>52.05</v>
      </c>
      <c r="E11915" s="14" t="s">
        <v>30</v>
      </c>
    </row>
    <row r="11916" spans="1:5" x14ac:dyDescent="0.25">
      <c r="A11916" s="14">
        <v>1022101</v>
      </c>
      <c r="B11916" s="14" t="s">
        <v>12015</v>
      </c>
      <c r="C11916" s="14" t="s">
        <v>13030</v>
      </c>
      <c r="D11916" s="15">
        <v>52.05</v>
      </c>
      <c r="E11916" s="14" t="s">
        <v>30</v>
      </c>
    </row>
    <row r="11917" spans="1:5" x14ac:dyDescent="0.25">
      <c r="A11917" s="14">
        <v>48418012</v>
      </c>
      <c r="B11917" s="14" t="s">
        <v>12016</v>
      </c>
      <c r="C11917" s="14" t="s">
        <v>13031</v>
      </c>
      <c r="D11917" s="15">
        <v>1.45</v>
      </c>
      <c r="E11917" s="14" t="s">
        <v>20</v>
      </c>
    </row>
    <row r="11918" spans="1:5" x14ac:dyDescent="0.25">
      <c r="A11918" s="14">
        <v>48418013</v>
      </c>
      <c r="B11918" s="14" t="s">
        <v>12017</v>
      </c>
      <c r="C11918" s="14" t="s">
        <v>13031</v>
      </c>
      <c r="D11918" s="15">
        <v>1.45</v>
      </c>
      <c r="E11918" s="14" t="s">
        <v>20</v>
      </c>
    </row>
    <row r="11919" spans="1:5" x14ac:dyDescent="0.25">
      <c r="A11919" s="14">
        <v>48418014</v>
      </c>
      <c r="B11919" s="14" t="s">
        <v>12018</v>
      </c>
      <c r="C11919" s="14" t="s">
        <v>13031</v>
      </c>
      <c r="D11919" s="15">
        <v>1.45</v>
      </c>
      <c r="E11919" s="14" t="s">
        <v>20</v>
      </c>
    </row>
    <row r="11920" spans="1:5" x14ac:dyDescent="0.25">
      <c r="A11920" s="14">
        <v>51929002</v>
      </c>
      <c r="B11920" s="14" t="s">
        <v>12019</v>
      </c>
      <c r="C11920" s="14" t="s">
        <v>13031</v>
      </c>
      <c r="D11920" s="15">
        <v>8.65</v>
      </c>
      <c r="E11920" s="14" t="s">
        <v>20</v>
      </c>
    </row>
    <row r="11921" spans="1:5" x14ac:dyDescent="0.25">
      <c r="A11921" s="14">
        <v>51930001</v>
      </c>
      <c r="B11921" s="14" t="s">
        <v>12020</v>
      </c>
      <c r="C11921" s="14" t="s">
        <v>13031</v>
      </c>
      <c r="D11921" s="15">
        <v>19.36</v>
      </c>
      <c r="E11921" s="14" t="s">
        <v>20</v>
      </c>
    </row>
    <row r="11922" spans="1:5" x14ac:dyDescent="0.25">
      <c r="A11922" s="14">
        <v>52476009</v>
      </c>
      <c r="B11922" s="14" t="s">
        <v>12021</v>
      </c>
      <c r="C11922" s="14" t="s">
        <v>13031</v>
      </c>
      <c r="D11922" s="15">
        <v>13.05</v>
      </c>
      <c r="E11922" s="14" t="s">
        <v>20</v>
      </c>
    </row>
    <row r="11923" spans="1:5" x14ac:dyDescent="0.25">
      <c r="A11923" s="14">
        <v>52610001</v>
      </c>
      <c r="B11923" s="14" t="s">
        <v>12022</v>
      </c>
      <c r="C11923" s="14" t="s">
        <v>13031</v>
      </c>
      <c r="D11923" s="15">
        <v>3</v>
      </c>
      <c r="E11923" s="14" t="s">
        <v>20</v>
      </c>
    </row>
    <row r="11924" spans="1:5" x14ac:dyDescent="0.25">
      <c r="A11924" s="14">
        <v>52610002</v>
      </c>
      <c r="B11924" s="14" t="s">
        <v>12023</v>
      </c>
      <c r="C11924" s="14" t="s">
        <v>13031</v>
      </c>
      <c r="D11924" s="15">
        <v>3</v>
      </c>
      <c r="E11924" s="14" t="s">
        <v>20</v>
      </c>
    </row>
    <row r="11925" spans="1:5" x14ac:dyDescent="0.25">
      <c r="A11925" s="14">
        <v>54975001</v>
      </c>
      <c r="B11925" s="14" t="s">
        <v>12024</v>
      </c>
      <c r="C11925" s="14" t="s">
        <v>13031</v>
      </c>
      <c r="D11925" s="15">
        <v>7.33</v>
      </c>
      <c r="E11925" s="14" t="s">
        <v>20</v>
      </c>
    </row>
    <row r="11926" spans="1:5" x14ac:dyDescent="0.25">
      <c r="A11926" s="14">
        <v>54975003</v>
      </c>
      <c r="B11926" s="14" t="s">
        <v>12025</v>
      </c>
      <c r="C11926" s="14" t="s">
        <v>13031</v>
      </c>
      <c r="D11926" s="15">
        <v>5.13</v>
      </c>
      <c r="E11926" s="14" t="s">
        <v>20</v>
      </c>
    </row>
    <row r="11927" spans="1:5" x14ac:dyDescent="0.25">
      <c r="A11927" s="14">
        <v>54975007</v>
      </c>
      <c r="B11927" s="14" t="s">
        <v>12026</v>
      </c>
      <c r="C11927" s="14" t="s">
        <v>13031</v>
      </c>
      <c r="D11927" s="15">
        <v>5.13</v>
      </c>
      <c r="E11927" s="14" t="s">
        <v>20</v>
      </c>
    </row>
    <row r="11928" spans="1:5" x14ac:dyDescent="0.25">
      <c r="A11928" s="14">
        <v>59445001</v>
      </c>
      <c r="B11928" s="14" t="s">
        <v>12027</v>
      </c>
      <c r="C11928" s="14" t="s">
        <v>13031</v>
      </c>
      <c r="D11928" s="15">
        <v>0</v>
      </c>
      <c r="E11928" s="14" t="s">
        <v>20</v>
      </c>
    </row>
    <row r="11929" spans="1:5" x14ac:dyDescent="0.25">
      <c r="A11929" s="14">
        <v>59445004</v>
      </c>
      <c r="B11929" s="14" t="s">
        <v>12028</v>
      </c>
      <c r="C11929" s="14" t="s">
        <v>13031</v>
      </c>
      <c r="D11929" s="15">
        <v>0</v>
      </c>
      <c r="E11929" s="14" t="s">
        <v>20</v>
      </c>
    </row>
    <row r="11930" spans="1:5" x14ac:dyDescent="0.25">
      <c r="A11930" s="14">
        <v>59505003</v>
      </c>
      <c r="B11930" s="14" t="s">
        <v>12029</v>
      </c>
      <c r="C11930" s="14" t="s">
        <v>13031</v>
      </c>
      <c r="D11930" s="15">
        <v>7.14</v>
      </c>
      <c r="E11930" s="14" t="s">
        <v>20</v>
      </c>
    </row>
    <row r="11931" spans="1:5" x14ac:dyDescent="0.25">
      <c r="A11931" s="14">
        <v>63452006</v>
      </c>
      <c r="B11931" s="14" t="s">
        <v>12030</v>
      </c>
      <c r="C11931" s="14" t="s">
        <v>13031</v>
      </c>
      <c r="D11931" s="15">
        <v>14.6</v>
      </c>
      <c r="E11931" s="14" t="s">
        <v>20</v>
      </c>
    </row>
    <row r="11932" spans="1:5" x14ac:dyDescent="0.25">
      <c r="A11932" s="14">
        <v>63452007</v>
      </c>
      <c r="B11932" s="14" t="s">
        <v>12031</v>
      </c>
      <c r="C11932" s="14" t="s">
        <v>13031</v>
      </c>
      <c r="D11932" s="15">
        <v>14.6</v>
      </c>
      <c r="E11932" s="14" t="s">
        <v>20</v>
      </c>
    </row>
    <row r="11933" spans="1:5" x14ac:dyDescent="0.25">
      <c r="A11933" s="14">
        <v>65143001</v>
      </c>
      <c r="B11933" s="14" t="s">
        <v>12032</v>
      </c>
      <c r="C11933" s="14" t="s">
        <v>13031</v>
      </c>
      <c r="D11933" s="15">
        <v>8.76</v>
      </c>
      <c r="E11933" s="14" t="s">
        <v>20</v>
      </c>
    </row>
    <row r="11934" spans="1:5" x14ac:dyDescent="0.25">
      <c r="A11934" s="14">
        <v>65143003</v>
      </c>
      <c r="B11934" s="14" t="s">
        <v>12033</v>
      </c>
      <c r="C11934" s="14" t="s">
        <v>13031</v>
      </c>
      <c r="D11934" s="15">
        <v>8.77</v>
      </c>
      <c r="E11934" s="14" t="s">
        <v>20</v>
      </c>
    </row>
    <row r="11935" spans="1:5" x14ac:dyDescent="0.25">
      <c r="A11935" s="14">
        <v>96227001</v>
      </c>
      <c r="B11935" s="14" t="s">
        <v>12034</v>
      </c>
      <c r="C11935" s="14" t="s">
        <v>13031</v>
      </c>
      <c r="D11935" s="15">
        <v>8.4</v>
      </c>
      <c r="E11935" s="14" t="s">
        <v>20</v>
      </c>
    </row>
    <row r="11936" spans="1:5" x14ac:dyDescent="0.25">
      <c r="A11936" s="14">
        <v>96227004</v>
      </c>
      <c r="B11936" s="14" t="s">
        <v>12035</v>
      </c>
      <c r="C11936" s="14" t="s">
        <v>13031</v>
      </c>
      <c r="D11936" s="15">
        <v>8.4</v>
      </c>
      <c r="E11936" s="14" t="s">
        <v>20</v>
      </c>
    </row>
    <row r="11937" spans="1:5" x14ac:dyDescent="0.25">
      <c r="A11937" s="14">
        <v>123548002</v>
      </c>
      <c r="B11937" s="14" t="s">
        <v>12036</v>
      </c>
      <c r="C11937" s="14" t="s">
        <v>13030</v>
      </c>
      <c r="D11937" s="15">
        <v>36.79</v>
      </c>
      <c r="E11937" s="14" t="s">
        <v>20</v>
      </c>
    </row>
    <row r="11938" spans="1:5" x14ac:dyDescent="0.25">
      <c r="A11938" s="14">
        <v>150754001</v>
      </c>
      <c r="B11938" s="14" t="s">
        <v>12037</v>
      </c>
      <c r="C11938" s="14" t="s">
        <v>13031</v>
      </c>
      <c r="D11938" s="15">
        <v>7.2</v>
      </c>
      <c r="E11938" s="14" t="s">
        <v>20</v>
      </c>
    </row>
    <row r="11939" spans="1:5" x14ac:dyDescent="0.25">
      <c r="A11939" s="14">
        <v>150754002</v>
      </c>
      <c r="B11939" s="14" t="s">
        <v>12038</v>
      </c>
      <c r="C11939" s="14" t="s">
        <v>13031</v>
      </c>
      <c r="D11939" s="15">
        <v>7.2</v>
      </c>
      <c r="E11939" s="14" t="s">
        <v>20</v>
      </c>
    </row>
    <row r="11940" spans="1:5" x14ac:dyDescent="0.25">
      <c r="A11940" s="14">
        <v>150757001</v>
      </c>
      <c r="B11940" s="14" t="s">
        <v>12039</v>
      </c>
      <c r="C11940" s="14" t="s">
        <v>13031</v>
      </c>
      <c r="D11940" s="15">
        <v>12.8</v>
      </c>
      <c r="E11940" s="14" t="s">
        <v>20</v>
      </c>
    </row>
    <row r="11941" spans="1:5" x14ac:dyDescent="0.25">
      <c r="A11941" s="14">
        <v>150757002</v>
      </c>
      <c r="B11941" s="14" t="s">
        <v>12040</v>
      </c>
      <c r="C11941" s="14" t="s">
        <v>13031</v>
      </c>
      <c r="D11941" s="15">
        <v>12.8</v>
      </c>
      <c r="E11941" s="14" t="s">
        <v>20</v>
      </c>
    </row>
    <row r="11942" spans="1:5" x14ac:dyDescent="0.25">
      <c r="A11942" s="14">
        <v>184047002</v>
      </c>
      <c r="B11942" s="14" t="s">
        <v>12041</v>
      </c>
      <c r="C11942" s="14" t="s">
        <v>13030</v>
      </c>
      <c r="D11942" s="15">
        <v>81.55</v>
      </c>
      <c r="E11942" s="14" t="s">
        <v>20</v>
      </c>
    </row>
    <row r="11943" spans="1:5" x14ac:dyDescent="0.25">
      <c r="A11943" s="14">
        <v>195218002</v>
      </c>
      <c r="B11943" s="14" t="s">
        <v>12042</v>
      </c>
      <c r="C11943" s="14" t="s">
        <v>13031</v>
      </c>
      <c r="D11943" s="15">
        <v>3.72</v>
      </c>
      <c r="E11943" s="14" t="s">
        <v>20</v>
      </c>
    </row>
    <row r="11944" spans="1:5" x14ac:dyDescent="0.25">
      <c r="A11944" s="14">
        <v>195223001</v>
      </c>
      <c r="B11944" s="14" t="s">
        <v>12043</v>
      </c>
      <c r="C11944" s="14" t="s">
        <v>13031</v>
      </c>
      <c r="D11944" s="15">
        <v>6.24</v>
      </c>
      <c r="E11944" s="14" t="s">
        <v>20</v>
      </c>
    </row>
    <row r="11945" spans="1:5" x14ac:dyDescent="0.25">
      <c r="A11945" s="14">
        <v>1022105</v>
      </c>
      <c r="B11945" s="14" t="s">
        <v>12044</v>
      </c>
      <c r="C11945" s="14" t="s">
        <v>13030</v>
      </c>
      <c r="D11945" s="15">
        <v>21.33</v>
      </c>
      <c r="E11945" s="14" t="s">
        <v>30</v>
      </c>
    </row>
    <row r="11946" spans="1:5" x14ac:dyDescent="0.25">
      <c r="A11946" s="14">
        <v>195223002</v>
      </c>
      <c r="B11946" s="14" t="s">
        <v>12045</v>
      </c>
      <c r="C11946" s="14" t="s">
        <v>13031</v>
      </c>
      <c r="D11946" s="15">
        <v>6.24</v>
      </c>
      <c r="E11946" s="14" t="s">
        <v>20</v>
      </c>
    </row>
    <row r="11947" spans="1:5" x14ac:dyDescent="0.25">
      <c r="A11947" s="14">
        <v>195226001</v>
      </c>
      <c r="B11947" s="14" t="s">
        <v>12046</v>
      </c>
      <c r="C11947" s="14" t="s">
        <v>13031</v>
      </c>
      <c r="D11947" s="15">
        <v>7.87</v>
      </c>
      <c r="E11947" s="14" t="s">
        <v>20</v>
      </c>
    </row>
    <row r="11948" spans="1:5" x14ac:dyDescent="0.25">
      <c r="A11948" s="14">
        <v>195226003</v>
      </c>
      <c r="B11948" s="14" t="s">
        <v>12047</v>
      </c>
      <c r="C11948" s="14" t="s">
        <v>13031</v>
      </c>
      <c r="D11948" s="15">
        <v>7.87</v>
      </c>
      <c r="E11948" s="14" t="s">
        <v>20</v>
      </c>
    </row>
    <row r="11949" spans="1:5" x14ac:dyDescent="0.25">
      <c r="A11949" s="14">
        <v>207727003</v>
      </c>
      <c r="B11949" s="14" t="s">
        <v>12048</v>
      </c>
      <c r="C11949" s="14" t="s">
        <v>13031</v>
      </c>
      <c r="D11949" s="15">
        <v>1.66</v>
      </c>
      <c r="E11949" s="14" t="s">
        <v>20</v>
      </c>
    </row>
    <row r="11950" spans="1:5" x14ac:dyDescent="0.25">
      <c r="A11950" s="14">
        <v>207727004</v>
      </c>
      <c r="B11950" s="14" t="s">
        <v>12049</v>
      </c>
      <c r="C11950" s="14" t="s">
        <v>13031</v>
      </c>
      <c r="D11950" s="15">
        <v>1.66</v>
      </c>
      <c r="E11950" s="14" t="s">
        <v>20</v>
      </c>
    </row>
    <row r="11951" spans="1:5" x14ac:dyDescent="0.25">
      <c r="A11951" s="14">
        <v>207727005</v>
      </c>
      <c r="B11951" s="14" t="s">
        <v>12050</v>
      </c>
      <c r="C11951" s="14" t="s">
        <v>13031</v>
      </c>
      <c r="D11951" s="15">
        <v>1.66</v>
      </c>
      <c r="E11951" s="14" t="s">
        <v>20</v>
      </c>
    </row>
    <row r="11952" spans="1:5" x14ac:dyDescent="0.25">
      <c r="A11952" s="14">
        <v>309408001</v>
      </c>
      <c r="B11952" s="14" t="s">
        <v>12051</v>
      </c>
      <c r="C11952" s="14" t="s">
        <v>13031</v>
      </c>
      <c r="D11952" s="15">
        <v>3.95</v>
      </c>
      <c r="E11952" s="14" t="s">
        <v>20</v>
      </c>
    </row>
    <row r="11953" spans="1:5" x14ac:dyDescent="0.25">
      <c r="A11953" s="14">
        <v>317968001</v>
      </c>
      <c r="B11953" s="14" t="s">
        <v>12052</v>
      </c>
      <c r="C11953" s="14" t="s">
        <v>13031</v>
      </c>
      <c r="D11953" s="15">
        <v>2.84</v>
      </c>
      <c r="E11953" s="14" t="s">
        <v>20</v>
      </c>
    </row>
    <row r="11954" spans="1:5" x14ac:dyDescent="0.25">
      <c r="A11954" s="14">
        <v>317968002</v>
      </c>
      <c r="B11954" s="14" t="s">
        <v>12053</v>
      </c>
      <c r="C11954" s="14" t="s">
        <v>13031</v>
      </c>
      <c r="D11954" s="15">
        <v>2.84</v>
      </c>
      <c r="E11954" s="14" t="s">
        <v>20</v>
      </c>
    </row>
    <row r="11955" spans="1:5" x14ac:dyDescent="0.25">
      <c r="A11955" s="14">
        <v>317968003</v>
      </c>
      <c r="B11955" s="14" t="s">
        <v>12054</v>
      </c>
      <c r="C11955" s="14" t="s">
        <v>13031</v>
      </c>
      <c r="D11955" s="15">
        <v>2.84</v>
      </c>
      <c r="E11955" s="14" t="s">
        <v>20</v>
      </c>
    </row>
    <row r="11956" spans="1:5" x14ac:dyDescent="0.25">
      <c r="A11956" s="14">
        <v>317968007</v>
      </c>
      <c r="B11956" s="14" t="s">
        <v>12055</v>
      </c>
      <c r="C11956" s="14" t="s">
        <v>13031</v>
      </c>
      <c r="D11956" s="15">
        <v>2.84</v>
      </c>
      <c r="E11956" s="14" t="s">
        <v>20</v>
      </c>
    </row>
    <row r="11957" spans="1:5" x14ac:dyDescent="0.25">
      <c r="A11957" s="14">
        <v>339185002</v>
      </c>
      <c r="B11957" s="14" t="s">
        <v>12056</v>
      </c>
      <c r="C11957" s="14" t="s">
        <v>13031</v>
      </c>
      <c r="D11957" s="15">
        <v>4.08</v>
      </c>
      <c r="E11957" s="14" t="s">
        <v>20</v>
      </c>
    </row>
    <row r="11958" spans="1:5" x14ac:dyDescent="0.25">
      <c r="A11958" s="14">
        <v>339185004</v>
      </c>
      <c r="B11958" s="14" t="s">
        <v>12057</v>
      </c>
      <c r="C11958" s="14" t="s">
        <v>13031</v>
      </c>
      <c r="D11958" s="15">
        <v>4.08</v>
      </c>
      <c r="E11958" s="14" t="s">
        <v>20</v>
      </c>
    </row>
    <row r="11959" spans="1:5" x14ac:dyDescent="0.25">
      <c r="A11959" s="14">
        <v>349047002</v>
      </c>
      <c r="B11959" s="14" t="s">
        <v>12058</v>
      </c>
      <c r="C11959" s="14" t="s">
        <v>13031</v>
      </c>
      <c r="D11959" s="15">
        <v>4.37</v>
      </c>
      <c r="E11959" s="14" t="s">
        <v>20</v>
      </c>
    </row>
    <row r="11960" spans="1:5" x14ac:dyDescent="0.25">
      <c r="A11960" s="14">
        <v>349047003</v>
      </c>
      <c r="B11960" s="14" t="s">
        <v>12059</v>
      </c>
      <c r="C11960" s="14" t="s">
        <v>13031</v>
      </c>
      <c r="D11960" s="15">
        <v>4.37</v>
      </c>
      <c r="E11960" s="14" t="s">
        <v>20</v>
      </c>
    </row>
    <row r="11961" spans="1:5" x14ac:dyDescent="0.25">
      <c r="A11961" s="14">
        <v>355434002</v>
      </c>
      <c r="B11961" s="14" t="s">
        <v>12060</v>
      </c>
      <c r="C11961" s="14" t="s">
        <v>13031</v>
      </c>
      <c r="D11961" s="15">
        <v>6.72</v>
      </c>
      <c r="E11961" s="14" t="s">
        <v>20</v>
      </c>
    </row>
    <row r="11962" spans="1:5" x14ac:dyDescent="0.25">
      <c r="A11962" s="14">
        <v>355453001</v>
      </c>
      <c r="B11962" s="14" t="s">
        <v>12061</v>
      </c>
      <c r="C11962" s="14" t="s">
        <v>13031</v>
      </c>
      <c r="D11962" s="15">
        <v>5.46</v>
      </c>
      <c r="E11962" s="14" t="s">
        <v>20</v>
      </c>
    </row>
    <row r="11963" spans="1:5" x14ac:dyDescent="0.25">
      <c r="A11963" s="14">
        <v>1022333</v>
      </c>
      <c r="B11963" s="14" t="s">
        <v>12062</v>
      </c>
      <c r="C11963" s="14" t="s">
        <v>13030</v>
      </c>
      <c r="D11963" s="15">
        <v>47.4</v>
      </c>
      <c r="E11963" s="14" t="s">
        <v>30</v>
      </c>
    </row>
    <row r="11964" spans="1:5" x14ac:dyDescent="0.25">
      <c r="A11964" s="14">
        <v>1022334</v>
      </c>
      <c r="B11964" s="14" t="s">
        <v>12063</v>
      </c>
      <c r="C11964" s="14" t="s">
        <v>13030</v>
      </c>
      <c r="D11964" s="15">
        <v>85.21</v>
      </c>
      <c r="E11964" s="14" t="s">
        <v>30</v>
      </c>
    </row>
    <row r="11965" spans="1:5" x14ac:dyDescent="0.25">
      <c r="A11965" s="14">
        <v>1022345</v>
      </c>
      <c r="B11965" s="14" t="s">
        <v>12064</v>
      </c>
      <c r="C11965" s="14" t="s">
        <v>13030</v>
      </c>
      <c r="D11965" s="15">
        <v>97.82</v>
      </c>
      <c r="E11965" s="14" t="s">
        <v>30</v>
      </c>
    </row>
    <row r="11966" spans="1:5" x14ac:dyDescent="0.25">
      <c r="A11966" s="14">
        <v>1022372</v>
      </c>
      <c r="B11966" s="14" t="s">
        <v>12065</v>
      </c>
      <c r="C11966" s="14" t="s">
        <v>13029</v>
      </c>
      <c r="D11966" s="15">
        <v>15.04</v>
      </c>
      <c r="E11966" s="14" t="s">
        <v>30</v>
      </c>
    </row>
    <row r="11967" spans="1:5" x14ac:dyDescent="0.25">
      <c r="A11967" s="14">
        <v>355453002</v>
      </c>
      <c r="B11967" s="14" t="s">
        <v>12066</v>
      </c>
      <c r="C11967" s="14" t="s">
        <v>13031</v>
      </c>
      <c r="D11967" s="15">
        <v>5.46</v>
      </c>
      <c r="E11967" s="14" t="s">
        <v>20</v>
      </c>
    </row>
    <row r="11968" spans="1:5" x14ac:dyDescent="0.25">
      <c r="A11968" s="14">
        <v>355454002</v>
      </c>
      <c r="B11968" s="14" t="s">
        <v>12067</v>
      </c>
      <c r="C11968" s="14" t="s">
        <v>13031</v>
      </c>
      <c r="D11968" s="15">
        <v>4.62</v>
      </c>
      <c r="E11968" s="14" t="s">
        <v>20</v>
      </c>
    </row>
    <row r="11969" spans="1:5" x14ac:dyDescent="0.25">
      <c r="A11969" s="14">
        <v>363314004</v>
      </c>
      <c r="B11969" s="14" t="s">
        <v>12068</v>
      </c>
      <c r="C11969" s="14" t="s">
        <v>13031</v>
      </c>
      <c r="D11969" s="15">
        <v>1.98</v>
      </c>
      <c r="E11969" s="14" t="s">
        <v>20</v>
      </c>
    </row>
    <row r="11970" spans="1:5" x14ac:dyDescent="0.25">
      <c r="A11970" s="14">
        <v>437887001</v>
      </c>
      <c r="B11970" s="14" t="s">
        <v>12069</v>
      </c>
      <c r="C11970" s="14" t="s">
        <v>13031</v>
      </c>
      <c r="D11970" s="15">
        <v>7.96</v>
      </c>
      <c r="E11970" s="14" t="s">
        <v>20</v>
      </c>
    </row>
    <row r="11971" spans="1:5" x14ac:dyDescent="0.25">
      <c r="A11971" s="14">
        <v>437887002</v>
      </c>
      <c r="B11971" s="14" t="s">
        <v>12070</v>
      </c>
      <c r="C11971" s="14" t="s">
        <v>13031</v>
      </c>
      <c r="D11971" s="15">
        <v>7.96</v>
      </c>
      <c r="E11971" s="14" t="s">
        <v>20</v>
      </c>
    </row>
    <row r="11972" spans="1:5" x14ac:dyDescent="0.25">
      <c r="A11972" s="14">
        <v>442211002</v>
      </c>
      <c r="B11972" s="14" t="s">
        <v>12071</v>
      </c>
      <c r="C11972" s="14" t="s">
        <v>13031</v>
      </c>
      <c r="D11972" s="15">
        <v>3.79</v>
      </c>
      <c r="E11972" s="14" t="s">
        <v>20</v>
      </c>
    </row>
    <row r="11973" spans="1:5" x14ac:dyDescent="0.25">
      <c r="A11973" s="14">
        <v>443909001</v>
      </c>
      <c r="B11973" s="14" t="s">
        <v>12072</v>
      </c>
      <c r="C11973" s="14" t="s">
        <v>13031</v>
      </c>
      <c r="D11973" s="15">
        <v>1.8</v>
      </c>
      <c r="E11973" s="14" t="s">
        <v>20</v>
      </c>
    </row>
    <row r="11974" spans="1:5" x14ac:dyDescent="0.25">
      <c r="A11974" s="14">
        <v>1022389</v>
      </c>
      <c r="B11974" s="14" t="s">
        <v>12073</v>
      </c>
      <c r="C11974" s="14" t="s">
        <v>13030</v>
      </c>
      <c r="D11974" s="15">
        <v>50.06</v>
      </c>
      <c r="E11974" s="14" t="s">
        <v>30</v>
      </c>
    </row>
    <row r="11975" spans="1:5" x14ac:dyDescent="0.25">
      <c r="A11975" s="14">
        <v>1022390</v>
      </c>
      <c r="B11975" s="14" t="s">
        <v>12074</v>
      </c>
      <c r="C11975" s="14" t="s">
        <v>13030</v>
      </c>
      <c r="D11975" s="15">
        <v>50.06</v>
      </c>
      <c r="E11975" s="14" t="s">
        <v>30</v>
      </c>
    </row>
    <row r="11976" spans="1:5" x14ac:dyDescent="0.25">
      <c r="A11976" s="14">
        <v>444951001</v>
      </c>
      <c r="B11976" s="14" t="s">
        <v>12075</v>
      </c>
      <c r="C11976" s="14" t="s">
        <v>13031</v>
      </c>
      <c r="D11976" s="15">
        <v>5.79</v>
      </c>
      <c r="E11976" s="14" t="s">
        <v>20</v>
      </c>
    </row>
    <row r="11977" spans="1:5" x14ac:dyDescent="0.25">
      <c r="A11977" s="14">
        <v>1022396</v>
      </c>
      <c r="B11977" s="14" t="s">
        <v>12076</v>
      </c>
      <c r="C11977" s="14" t="s">
        <v>13030</v>
      </c>
      <c r="D11977" s="15">
        <v>63.52</v>
      </c>
      <c r="E11977" s="14" t="s">
        <v>30</v>
      </c>
    </row>
    <row r="11978" spans="1:5" x14ac:dyDescent="0.25">
      <c r="A11978" s="14">
        <v>1022397</v>
      </c>
      <c r="B11978" s="14" t="s">
        <v>12077</v>
      </c>
      <c r="C11978" s="14" t="s">
        <v>13030</v>
      </c>
      <c r="D11978" s="15">
        <v>63.99</v>
      </c>
      <c r="E11978" s="14" t="s">
        <v>30</v>
      </c>
    </row>
    <row r="11979" spans="1:5" x14ac:dyDescent="0.25">
      <c r="A11979" s="14">
        <v>1022400</v>
      </c>
      <c r="B11979" s="14" t="s">
        <v>12078</v>
      </c>
      <c r="C11979" s="14" t="s">
        <v>13031</v>
      </c>
      <c r="D11979" s="15">
        <v>19.350000000000001</v>
      </c>
      <c r="E11979" s="14" t="s">
        <v>30</v>
      </c>
    </row>
    <row r="11980" spans="1:5" x14ac:dyDescent="0.25">
      <c r="A11980" s="14">
        <v>1022410</v>
      </c>
      <c r="B11980" s="14" t="s">
        <v>12079</v>
      </c>
      <c r="C11980" s="14" t="s">
        <v>13029</v>
      </c>
      <c r="D11980" s="15">
        <v>10.24</v>
      </c>
      <c r="E11980" s="14" t="s">
        <v>30</v>
      </c>
    </row>
    <row r="11981" spans="1:5" x14ac:dyDescent="0.25">
      <c r="A11981" s="14">
        <v>1022413</v>
      </c>
      <c r="B11981" s="14" t="s">
        <v>12080</v>
      </c>
      <c r="C11981" s="14" t="s">
        <v>13029</v>
      </c>
      <c r="D11981" s="15">
        <v>10.24</v>
      </c>
      <c r="E11981" s="14" t="s">
        <v>30</v>
      </c>
    </row>
    <row r="11982" spans="1:5" x14ac:dyDescent="0.25">
      <c r="A11982" s="14">
        <v>1022414</v>
      </c>
      <c r="B11982" s="14" t="s">
        <v>12081</v>
      </c>
      <c r="C11982" s="14" t="s">
        <v>13029</v>
      </c>
      <c r="D11982" s="15">
        <v>10.24</v>
      </c>
      <c r="E11982" s="14" t="s">
        <v>30</v>
      </c>
    </row>
    <row r="11983" spans="1:5" x14ac:dyDescent="0.25">
      <c r="A11983" s="14">
        <v>444951002</v>
      </c>
      <c r="B11983" s="14" t="s">
        <v>12082</v>
      </c>
      <c r="C11983" s="14" t="s">
        <v>13031</v>
      </c>
      <c r="D11983" s="15">
        <v>5.79</v>
      </c>
      <c r="E11983" s="14" t="s">
        <v>20</v>
      </c>
    </row>
    <row r="11984" spans="1:5" x14ac:dyDescent="0.25">
      <c r="A11984" s="14">
        <v>444951006</v>
      </c>
      <c r="B11984" s="14" t="s">
        <v>12083</v>
      </c>
      <c r="C11984" s="14" t="s">
        <v>13031</v>
      </c>
      <c r="D11984" s="15">
        <v>5.79</v>
      </c>
      <c r="E11984" s="14" t="s">
        <v>20</v>
      </c>
    </row>
    <row r="11985" spans="1:5" x14ac:dyDescent="0.25">
      <c r="A11985" s="14">
        <v>451865001</v>
      </c>
      <c r="B11985" s="14" t="s">
        <v>12084</v>
      </c>
      <c r="C11985" s="14" t="s">
        <v>13031</v>
      </c>
      <c r="D11985" s="15">
        <v>4.1100000000000003</v>
      </c>
      <c r="E11985" s="14" t="s">
        <v>20</v>
      </c>
    </row>
    <row r="11986" spans="1:5" x14ac:dyDescent="0.25">
      <c r="A11986" s="14">
        <v>456928001</v>
      </c>
      <c r="B11986" s="14" t="s">
        <v>12085</v>
      </c>
      <c r="C11986" s="14" t="s">
        <v>13031</v>
      </c>
      <c r="D11986" s="15">
        <v>10</v>
      </c>
      <c r="E11986" s="14" t="s">
        <v>20</v>
      </c>
    </row>
    <row r="11987" spans="1:5" x14ac:dyDescent="0.25">
      <c r="A11987" s="14">
        <v>456928002</v>
      </c>
      <c r="B11987" s="14" t="s">
        <v>12086</v>
      </c>
      <c r="C11987" s="14" t="s">
        <v>13031</v>
      </c>
      <c r="D11987" s="15">
        <v>10</v>
      </c>
      <c r="E11987" s="14" t="s">
        <v>20</v>
      </c>
    </row>
    <row r="11988" spans="1:5" x14ac:dyDescent="0.25">
      <c r="A11988" s="14">
        <v>456928003</v>
      </c>
      <c r="B11988" s="14" t="s">
        <v>12087</v>
      </c>
      <c r="C11988" s="14" t="s">
        <v>13031</v>
      </c>
      <c r="D11988" s="15">
        <v>10</v>
      </c>
      <c r="E11988" s="14" t="s">
        <v>20</v>
      </c>
    </row>
    <row r="11989" spans="1:5" x14ac:dyDescent="0.25">
      <c r="A11989" s="14">
        <v>456932001</v>
      </c>
      <c r="B11989" s="14" t="s">
        <v>12088</v>
      </c>
      <c r="C11989" s="14" t="s">
        <v>13031</v>
      </c>
      <c r="D11989" s="15">
        <v>10</v>
      </c>
      <c r="E11989" s="14" t="s">
        <v>20</v>
      </c>
    </row>
    <row r="11990" spans="1:5" x14ac:dyDescent="0.25">
      <c r="A11990" s="14">
        <v>456932002</v>
      </c>
      <c r="B11990" s="14" t="s">
        <v>12089</v>
      </c>
      <c r="C11990" s="14" t="s">
        <v>13031</v>
      </c>
      <c r="D11990" s="15">
        <v>10</v>
      </c>
      <c r="E11990" s="14" t="s">
        <v>20</v>
      </c>
    </row>
    <row r="11991" spans="1:5" x14ac:dyDescent="0.25">
      <c r="A11991" s="14">
        <v>456932003</v>
      </c>
      <c r="B11991" s="14" t="s">
        <v>12090</v>
      </c>
      <c r="C11991" s="14" t="s">
        <v>13031</v>
      </c>
      <c r="D11991" s="15">
        <v>10</v>
      </c>
      <c r="E11991" s="14" t="s">
        <v>20</v>
      </c>
    </row>
    <row r="11992" spans="1:5" x14ac:dyDescent="0.25">
      <c r="A11992" s="14">
        <v>456942001</v>
      </c>
      <c r="B11992" s="14" t="s">
        <v>12091</v>
      </c>
      <c r="C11992" s="14" t="s">
        <v>13031</v>
      </c>
      <c r="D11992" s="15">
        <v>9</v>
      </c>
      <c r="E11992" s="14" t="s">
        <v>20</v>
      </c>
    </row>
    <row r="11993" spans="1:5" x14ac:dyDescent="0.25">
      <c r="A11993" s="14">
        <v>456942003</v>
      </c>
      <c r="B11993" s="14" t="s">
        <v>12092</v>
      </c>
      <c r="C11993" s="14" t="s">
        <v>13031</v>
      </c>
      <c r="D11993" s="15">
        <v>9</v>
      </c>
      <c r="E11993" s="14" t="s">
        <v>20</v>
      </c>
    </row>
    <row r="11994" spans="1:5" x14ac:dyDescent="0.25">
      <c r="A11994" s="14">
        <v>457163001</v>
      </c>
      <c r="B11994" s="14" t="s">
        <v>12093</v>
      </c>
      <c r="C11994" s="14" t="s">
        <v>13031</v>
      </c>
      <c r="D11994" s="15">
        <v>6.5</v>
      </c>
      <c r="E11994" s="14" t="s">
        <v>20</v>
      </c>
    </row>
    <row r="11995" spans="1:5" x14ac:dyDescent="0.25">
      <c r="A11995" s="14">
        <v>457163002</v>
      </c>
      <c r="B11995" s="14" t="s">
        <v>12094</v>
      </c>
      <c r="C11995" s="14" t="s">
        <v>13031</v>
      </c>
      <c r="D11995" s="15">
        <v>6.5</v>
      </c>
      <c r="E11995" s="14" t="s">
        <v>20</v>
      </c>
    </row>
    <row r="11996" spans="1:5" x14ac:dyDescent="0.25">
      <c r="A11996" s="14">
        <v>459295001</v>
      </c>
      <c r="B11996" s="14" t="s">
        <v>12095</v>
      </c>
      <c r="C11996" s="14" t="s">
        <v>13031</v>
      </c>
      <c r="D11996" s="15">
        <v>9.91</v>
      </c>
      <c r="E11996" s="14" t="s">
        <v>20</v>
      </c>
    </row>
    <row r="11997" spans="1:5" x14ac:dyDescent="0.25">
      <c r="A11997" s="14">
        <v>459295002</v>
      </c>
      <c r="B11997" s="14" t="s">
        <v>12096</v>
      </c>
      <c r="C11997" s="14" t="s">
        <v>13031</v>
      </c>
      <c r="D11997" s="15">
        <v>9.91</v>
      </c>
      <c r="E11997" s="14" t="s">
        <v>20</v>
      </c>
    </row>
    <row r="11998" spans="1:5" x14ac:dyDescent="0.25">
      <c r="A11998" s="14">
        <v>459295004</v>
      </c>
      <c r="B11998" s="14" t="s">
        <v>12097</v>
      </c>
      <c r="C11998" s="14" t="s">
        <v>13031</v>
      </c>
      <c r="D11998" s="15">
        <v>9.91</v>
      </c>
      <c r="E11998" s="14" t="s">
        <v>20</v>
      </c>
    </row>
    <row r="11999" spans="1:5" x14ac:dyDescent="0.25">
      <c r="A11999" s="14">
        <v>1022830</v>
      </c>
      <c r="B11999" s="14" t="s">
        <v>12098</v>
      </c>
      <c r="C11999" s="14" t="s">
        <v>13030</v>
      </c>
      <c r="D11999" s="15">
        <v>106.72</v>
      </c>
      <c r="E11999" s="14" t="s">
        <v>30</v>
      </c>
    </row>
    <row r="12000" spans="1:5" x14ac:dyDescent="0.25">
      <c r="A12000" s="14">
        <v>1022841</v>
      </c>
      <c r="B12000" s="14" t="s">
        <v>12099</v>
      </c>
      <c r="C12000" s="14" t="s">
        <v>13030</v>
      </c>
      <c r="D12000" s="15">
        <v>104.16</v>
      </c>
      <c r="E12000" s="14" t="s">
        <v>30</v>
      </c>
    </row>
    <row r="12001" spans="1:5" x14ac:dyDescent="0.25">
      <c r="A12001" s="14">
        <v>1022846</v>
      </c>
      <c r="B12001" s="14" t="s">
        <v>12100</v>
      </c>
      <c r="C12001" s="14" t="s">
        <v>13030</v>
      </c>
      <c r="D12001" s="15">
        <v>76.37</v>
      </c>
      <c r="E12001" s="14" t="s">
        <v>30</v>
      </c>
    </row>
    <row r="12002" spans="1:5" x14ac:dyDescent="0.25">
      <c r="A12002" s="14">
        <v>459295005</v>
      </c>
      <c r="B12002" s="14" t="s">
        <v>12101</v>
      </c>
      <c r="C12002" s="14" t="s">
        <v>13031</v>
      </c>
      <c r="D12002" s="15">
        <v>9.91</v>
      </c>
      <c r="E12002" s="14" t="s">
        <v>20</v>
      </c>
    </row>
    <row r="12003" spans="1:5" x14ac:dyDescent="0.25">
      <c r="A12003" s="14">
        <v>459295006</v>
      </c>
      <c r="B12003" s="14" t="s">
        <v>12102</v>
      </c>
      <c r="C12003" s="14" t="s">
        <v>13031</v>
      </c>
      <c r="D12003" s="15">
        <v>9.91</v>
      </c>
      <c r="E12003" s="14" t="s">
        <v>20</v>
      </c>
    </row>
    <row r="12004" spans="1:5" x14ac:dyDescent="0.25">
      <c r="A12004" s="14">
        <v>1022847</v>
      </c>
      <c r="B12004" s="14" t="s">
        <v>12103</v>
      </c>
      <c r="C12004" s="14" t="s">
        <v>13030</v>
      </c>
      <c r="D12004" s="15">
        <v>69.42</v>
      </c>
      <c r="E12004" s="14" t="s">
        <v>30</v>
      </c>
    </row>
    <row r="12005" spans="1:5" x14ac:dyDescent="0.25">
      <c r="A12005" s="14">
        <v>1022850</v>
      </c>
      <c r="B12005" s="14" t="s">
        <v>12104</v>
      </c>
      <c r="C12005" s="14" t="s">
        <v>13030</v>
      </c>
      <c r="D12005" s="15">
        <v>68.45</v>
      </c>
      <c r="E12005" s="14" t="s">
        <v>30</v>
      </c>
    </row>
    <row r="12006" spans="1:5" x14ac:dyDescent="0.25">
      <c r="A12006" s="14">
        <v>1022863</v>
      </c>
      <c r="B12006" s="14" t="s">
        <v>12105</v>
      </c>
      <c r="C12006" s="14" t="s">
        <v>13030</v>
      </c>
      <c r="D12006" s="15">
        <v>71.959999999999994</v>
      </c>
      <c r="E12006" s="14" t="s">
        <v>30</v>
      </c>
    </row>
    <row r="12007" spans="1:5" x14ac:dyDescent="0.25">
      <c r="A12007" s="14">
        <v>1022996</v>
      </c>
      <c r="B12007" s="14" t="s">
        <v>12106</v>
      </c>
      <c r="C12007" s="14" t="s">
        <v>13030</v>
      </c>
      <c r="D12007" s="15">
        <v>144.07</v>
      </c>
      <c r="E12007" s="14" t="s">
        <v>30</v>
      </c>
    </row>
    <row r="12008" spans="1:5" x14ac:dyDescent="0.25">
      <c r="A12008" s="14">
        <v>459295007</v>
      </c>
      <c r="B12008" s="14" t="s">
        <v>12107</v>
      </c>
      <c r="C12008" s="14" t="s">
        <v>13031</v>
      </c>
      <c r="D12008" s="15">
        <v>9.91</v>
      </c>
      <c r="E12008" s="14" t="s">
        <v>20</v>
      </c>
    </row>
    <row r="12009" spans="1:5" x14ac:dyDescent="0.25">
      <c r="A12009" s="14">
        <v>460093004</v>
      </c>
      <c r="B12009" s="14" t="s">
        <v>12108</v>
      </c>
      <c r="C12009" s="14" t="s">
        <v>13031</v>
      </c>
      <c r="D12009" s="15">
        <v>1.64</v>
      </c>
      <c r="E12009" s="14" t="s">
        <v>20</v>
      </c>
    </row>
    <row r="12010" spans="1:5" x14ac:dyDescent="0.25">
      <c r="A12010" s="14">
        <v>463986002</v>
      </c>
      <c r="B12010" s="14" t="s">
        <v>12109</v>
      </c>
      <c r="C12010" s="14" t="s">
        <v>13031</v>
      </c>
      <c r="D12010" s="15">
        <v>7.98</v>
      </c>
      <c r="E12010" s="14" t="s">
        <v>20</v>
      </c>
    </row>
    <row r="12011" spans="1:5" x14ac:dyDescent="0.25">
      <c r="A12011" s="14">
        <v>476086001</v>
      </c>
      <c r="B12011" s="14" t="s">
        <v>12110</v>
      </c>
      <c r="C12011" s="14" t="s">
        <v>13031</v>
      </c>
      <c r="D12011" s="15">
        <v>10.72</v>
      </c>
      <c r="E12011" s="14" t="s">
        <v>20</v>
      </c>
    </row>
    <row r="12012" spans="1:5" x14ac:dyDescent="0.25">
      <c r="A12012" s="14">
        <v>476086002</v>
      </c>
      <c r="B12012" s="14" t="s">
        <v>12111</v>
      </c>
      <c r="C12012" s="14" t="s">
        <v>13031</v>
      </c>
      <c r="D12012" s="15">
        <v>10.72</v>
      </c>
      <c r="E12012" s="14" t="s">
        <v>20</v>
      </c>
    </row>
    <row r="12013" spans="1:5" x14ac:dyDescent="0.25">
      <c r="A12013" s="14">
        <v>477092001</v>
      </c>
      <c r="B12013" s="14" t="s">
        <v>12112</v>
      </c>
      <c r="C12013" s="14" t="s">
        <v>13031</v>
      </c>
      <c r="D12013" s="15">
        <v>1.48</v>
      </c>
      <c r="E12013" s="14" t="s">
        <v>20</v>
      </c>
    </row>
    <row r="12014" spans="1:5" x14ac:dyDescent="0.25">
      <c r="A12014" s="14">
        <v>477191001</v>
      </c>
      <c r="B12014" s="14" t="s">
        <v>12113</v>
      </c>
      <c r="C12014" s="14" t="s">
        <v>13031</v>
      </c>
      <c r="D12014" s="15">
        <v>6.51</v>
      </c>
      <c r="E12014" s="14" t="s">
        <v>20</v>
      </c>
    </row>
    <row r="12015" spans="1:5" x14ac:dyDescent="0.25">
      <c r="A12015" s="14">
        <v>1022997</v>
      </c>
      <c r="B12015" s="14" t="s">
        <v>12114</v>
      </c>
      <c r="C12015" s="14" t="s">
        <v>13030</v>
      </c>
      <c r="D12015" s="15">
        <v>211.86</v>
      </c>
      <c r="E12015" s="14" t="s">
        <v>30</v>
      </c>
    </row>
    <row r="12016" spans="1:5" x14ac:dyDescent="0.25">
      <c r="A12016" s="14">
        <v>1023580</v>
      </c>
      <c r="B12016" s="14" t="s">
        <v>12115</v>
      </c>
      <c r="C12016" s="14" t="s">
        <v>13030</v>
      </c>
      <c r="D12016" s="15">
        <v>57.55</v>
      </c>
      <c r="E12016" s="14" t="s">
        <v>30</v>
      </c>
    </row>
    <row r="12017" spans="1:5" x14ac:dyDescent="0.25">
      <c r="A12017" s="14">
        <v>1023581</v>
      </c>
      <c r="B12017" s="14" t="s">
        <v>12116</v>
      </c>
      <c r="C12017" s="14" t="s">
        <v>13030</v>
      </c>
      <c r="D12017" s="15">
        <v>57.55</v>
      </c>
      <c r="E12017" s="14" t="s">
        <v>30</v>
      </c>
    </row>
    <row r="12018" spans="1:5" x14ac:dyDescent="0.25">
      <c r="A12018" s="14">
        <v>477425002</v>
      </c>
      <c r="B12018" s="14" t="s">
        <v>12117</v>
      </c>
      <c r="C12018" s="14" t="s">
        <v>13031</v>
      </c>
      <c r="D12018" s="15">
        <v>8.34</v>
      </c>
      <c r="E12018" s="14" t="s">
        <v>20</v>
      </c>
    </row>
    <row r="12019" spans="1:5" x14ac:dyDescent="0.25">
      <c r="A12019" s="14">
        <v>477425003</v>
      </c>
      <c r="B12019" s="14" t="s">
        <v>12118</v>
      </c>
      <c r="C12019" s="14" t="s">
        <v>13031</v>
      </c>
      <c r="D12019" s="15">
        <v>8.34</v>
      </c>
      <c r="E12019" s="14" t="s">
        <v>20</v>
      </c>
    </row>
    <row r="12020" spans="1:5" x14ac:dyDescent="0.25">
      <c r="A12020" s="14">
        <v>477425005</v>
      </c>
      <c r="B12020" s="14" t="s">
        <v>12119</v>
      </c>
      <c r="C12020" s="14" t="s">
        <v>13031</v>
      </c>
      <c r="D12020" s="15">
        <v>8.34</v>
      </c>
      <c r="E12020" s="14" t="s">
        <v>20</v>
      </c>
    </row>
    <row r="12021" spans="1:5" x14ac:dyDescent="0.25">
      <c r="A12021" s="14">
        <v>478248001</v>
      </c>
      <c r="B12021" s="14" t="s">
        <v>12120</v>
      </c>
      <c r="C12021" s="14" t="s">
        <v>13031</v>
      </c>
      <c r="D12021" s="15">
        <v>50.01</v>
      </c>
      <c r="E12021" s="14" t="s">
        <v>20</v>
      </c>
    </row>
    <row r="12022" spans="1:5" x14ac:dyDescent="0.25">
      <c r="A12022" s="14">
        <v>478315001</v>
      </c>
      <c r="B12022" s="14" t="s">
        <v>12121</v>
      </c>
      <c r="C12022" s="14" t="s">
        <v>13031</v>
      </c>
      <c r="D12022" s="15">
        <v>8</v>
      </c>
      <c r="E12022" s="14" t="s">
        <v>20</v>
      </c>
    </row>
    <row r="12023" spans="1:5" x14ac:dyDescent="0.25">
      <c r="A12023" s="14">
        <v>478385001</v>
      </c>
      <c r="B12023" s="14" t="s">
        <v>12122</v>
      </c>
      <c r="C12023" s="14" t="s">
        <v>13031</v>
      </c>
      <c r="D12023" s="15">
        <v>9.41</v>
      </c>
      <c r="E12023" s="14" t="s">
        <v>20</v>
      </c>
    </row>
    <row r="12024" spans="1:5" x14ac:dyDescent="0.25">
      <c r="A12024" s="14">
        <v>478385002</v>
      </c>
      <c r="B12024" s="14" t="s">
        <v>12123</v>
      </c>
      <c r="C12024" s="14" t="s">
        <v>13031</v>
      </c>
      <c r="D12024" s="15">
        <v>9.41</v>
      </c>
      <c r="E12024" s="14" t="s">
        <v>20</v>
      </c>
    </row>
    <row r="12025" spans="1:5" x14ac:dyDescent="0.25">
      <c r="A12025" s="14">
        <v>478385003</v>
      </c>
      <c r="B12025" s="14" t="s">
        <v>12124</v>
      </c>
      <c r="C12025" s="14" t="s">
        <v>13031</v>
      </c>
      <c r="D12025" s="15">
        <v>9.41</v>
      </c>
      <c r="E12025" s="14" t="s">
        <v>20</v>
      </c>
    </row>
    <row r="12026" spans="1:5" x14ac:dyDescent="0.25">
      <c r="A12026" s="14">
        <v>478385004</v>
      </c>
      <c r="B12026" s="14" t="s">
        <v>12125</v>
      </c>
      <c r="C12026" s="14" t="s">
        <v>13031</v>
      </c>
      <c r="D12026" s="15">
        <v>9.41</v>
      </c>
      <c r="E12026" s="14" t="s">
        <v>20</v>
      </c>
    </row>
    <row r="12027" spans="1:5" x14ac:dyDescent="0.25">
      <c r="A12027" s="14">
        <v>479550002</v>
      </c>
      <c r="B12027" s="14" t="s">
        <v>12126</v>
      </c>
      <c r="C12027" s="14" t="s">
        <v>13031</v>
      </c>
      <c r="D12027" s="15">
        <v>10.039999999999999</v>
      </c>
      <c r="E12027" s="14" t="s">
        <v>20</v>
      </c>
    </row>
    <row r="12028" spans="1:5" x14ac:dyDescent="0.25">
      <c r="A12028" s="14">
        <v>479550003</v>
      </c>
      <c r="B12028" s="14" t="s">
        <v>12127</v>
      </c>
      <c r="C12028" s="14" t="s">
        <v>13031</v>
      </c>
      <c r="D12028" s="15">
        <v>10.039999999999999</v>
      </c>
      <c r="E12028" s="14" t="s">
        <v>20</v>
      </c>
    </row>
    <row r="12029" spans="1:5" x14ac:dyDescent="0.25">
      <c r="A12029" s="14">
        <v>479551001</v>
      </c>
      <c r="B12029" s="14" t="s">
        <v>12128</v>
      </c>
      <c r="C12029" s="14" t="s">
        <v>13031</v>
      </c>
      <c r="D12029" s="15">
        <v>10.039999999999999</v>
      </c>
      <c r="E12029" s="14" t="s">
        <v>20</v>
      </c>
    </row>
    <row r="12030" spans="1:5" x14ac:dyDescent="0.25">
      <c r="A12030" s="14">
        <v>479554001</v>
      </c>
      <c r="B12030" s="14" t="s">
        <v>12129</v>
      </c>
      <c r="C12030" s="14" t="s">
        <v>13031</v>
      </c>
      <c r="D12030" s="15">
        <v>10.039999999999999</v>
      </c>
      <c r="E12030" s="14" t="s">
        <v>20</v>
      </c>
    </row>
    <row r="12031" spans="1:5" x14ac:dyDescent="0.25">
      <c r="A12031" s="14">
        <v>482546002</v>
      </c>
      <c r="B12031" s="14" t="s">
        <v>12130</v>
      </c>
      <c r="C12031" s="14" t="s">
        <v>13031</v>
      </c>
      <c r="D12031" s="15">
        <v>8.2100000000000009</v>
      </c>
      <c r="E12031" s="14" t="s">
        <v>20</v>
      </c>
    </row>
    <row r="12032" spans="1:5" x14ac:dyDescent="0.25">
      <c r="A12032" s="14">
        <v>482546003</v>
      </c>
      <c r="B12032" s="14" t="s">
        <v>12131</v>
      </c>
      <c r="C12032" s="14" t="s">
        <v>13031</v>
      </c>
      <c r="D12032" s="15">
        <v>5.29</v>
      </c>
      <c r="E12032" s="14" t="s">
        <v>20</v>
      </c>
    </row>
    <row r="12033" spans="1:5" x14ac:dyDescent="0.25">
      <c r="A12033" s="14">
        <v>482546004</v>
      </c>
      <c r="B12033" s="14" t="s">
        <v>12132</v>
      </c>
      <c r="C12033" s="14" t="s">
        <v>13031</v>
      </c>
      <c r="D12033" s="15">
        <v>8.17</v>
      </c>
      <c r="E12033" s="14" t="s">
        <v>20</v>
      </c>
    </row>
    <row r="12034" spans="1:5" x14ac:dyDescent="0.25">
      <c r="A12034" s="14">
        <v>483918001</v>
      </c>
      <c r="B12034" s="14" t="s">
        <v>12133</v>
      </c>
      <c r="C12034" s="14" t="s">
        <v>13031</v>
      </c>
      <c r="D12034" s="15">
        <v>7.71</v>
      </c>
      <c r="E12034" s="14" t="s">
        <v>20</v>
      </c>
    </row>
    <row r="12035" spans="1:5" x14ac:dyDescent="0.25">
      <c r="A12035" s="14">
        <v>483921001</v>
      </c>
      <c r="B12035" s="14" t="s">
        <v>12134</v>
      </c>
      <c r="C12035" s="14" t="s">
        <v>13031</v>
      </c>
      <c r="D12035" s="15">
        <v>5.81</v>
      </c>
      <c r="E12035" s="14" t="s">
        <v>20</v>
      </c>
    </row>
    <row r="12036" spans="1:5" x14ac:dyDescent="0.25">
      <c r="A12036" s="14">
        <v>488318001</v>
      </c>
      <c r="B12036" s="14" t="s">
        <v>12135</v>
      </c>
      <c r="C12036" s="14" t="s">
        <v>13031</v>
      </c>
      <c r="D12036" s="15">
        <v>7.98</v>
      </c>
      <c r="E12036" s="14" t="s">
        <v>20</v>
      </c>
    </row>
    <row r="12037" spans="1:5" x14ac:dyDescent="0.25">
      <c r="A12037" s="14">
        <v>516218001</v>
      </c>
      <c r="B12037" s="14" t="s">
        <v>12136</v>
      </c>
      <c r="C12037" s="14" t="s">
        <v>13031</v>
      </c>
      <c r="D12037" s="15">
        <v>6.13</v>
      </c>
      <c r="E12037" s="14" t="s">
        <v>20</v>
      </c>
    </row>
    <row r="12038" spans="1:5" x14ac:dyDescent="0.25">
      <c r="A12038" s="14">
        <v>516218002</v>
      </c>
      <c r="B12038" s="14" t="s">
        <v>12137</v>
      </c>
      <c r="C12038" s="14" t="s">
        <v>13031</v>
      </c>
      <c r="D12038" s="15">
        <v>6.13</v>
      </c>
      <c r="E12038" s="14" t="s">
        <v>20</v>
      </c>
    </row>
    <row r="12039" spans="1:5" x14ac:dyDescent="0.25">
      <c r="A12039" s="14">
        <v>516218003</v>
      </c>
      <c r="B12039" s="14" t="s">
        <v>12138</v>
      </c>
      <c r="C12039" s="14" t="s">
        <v>13031</v>
      </c>
      <c r="D12039" s="15">
        <v>6.13</v>
      </c>
      <c r="E12039" s="14" t="s">
        <v>20</v>
      </c>
    </row>
    <row r="12040" spans="1:5" x14ac:dyDescent="0.25">
      <c r="A12040" s="14">
        <v>518476002</v>
      </c>
      <c r="B12040" s="14" t="s">
        <v>12139</v>
      </c>
      <c r="C12040" s="14" t="s">
        <v>13031</v>
      </c>
      <c r="D12040" s="15">
        <v>10.41</v>
      </c>
      <c r="E12040" s="14" t="s">
        <v>20</v>
      </c>
    </row>
    <row r="12041" spans="1:5" x14ac:dyDescent="0.25">
      <c r="A12041" s="14">
        <v>526858001</v>
      </c>
      <c r="B12041" s="14" t="s">
        <v>12140</v>
      </c>
      <c r="C12041" s="14" t="s">
        <v>13031</v>
      </c>
      <c r="D12041" s="15">
        <v>4.68</v>
      </c>
      <c r="E12041" s="14" t="s">
        <v>20</v>
      </c>
    </row>
    <row r="12042" spans="1:5" x14ac:dyDescent="0.25">
      <c r="A12042" s="14">
        <v>526858002</v>
      </c>
      <c r="B12042" s="14" t="s">
        <v>12141</v>
      </c>
      <c r="C12042" s="14" t="s">
        <v>13031</v>
      </c>
      <c r="D12042" s="15">
        <v>4.68</v>
      </c>
      <c r="E12042" s="14" t="s">
        <v>20</v>
      </c>
    </row>
    <row r="12043" spans="1:5" x14ac:dyDescent="0.25">
      <c r="A12043" s="14">
        <v>527494001</v>
      </c>
      <c r="B12043" s="14" t="s">
        <v>12142</v>
      </c>
      <c r="C12043" s="14" t="s">
        <v>13031</v>
      </c>
      <c r="D12043" s="15">
        <v>4.9800000000000004</v>
      </c>
      <c r="E12043" s="14" t="s">
        <v>20</v>
      </c>
    </row>
    <row r="12044" spans="1:5" x14ac:dyDescent="0.25">
      <c r="A12044" s="14">
        <v>527494002</v>
      </c>
      <c r="B12044" s="14" t="s">
        <v>12143</v>
      </c>
      <c r="C12044" s="14" t="s">
        <v>13031</v>
      </c>
      <c r="D12044" s="15">
        <v>4.9800000000000004</v>
      </c>
      <c r="E12044" s="14" t="s">
        <v>20</v>
      </c>
    </row>
    <row r="12045" spans="1:5" x14ac:dyDescent="0.25">
      <c r="A12045" s="14">
        <v>531467001</v>
      </c>
      <c r="B12045" s="14" t="s">
        <v>12144</v>
      </c>
      <c r="C12045" s="14" t="s">
        <v>13031</v>
      </c>
      <c r="D12045" s="15">
        <v>13.18</v>
      </c>
      <c r="E12045" s="14" t="s">
        <v>20</v>
      </c>
    </row>
    <row r="12046" spans="1:5" x14ac:dyDescent="0.25">
      <c r="A12046" s="14">
        <v>531467002</v>
      </c>
      <c r="B12046" s="14" t="s">
        <v>12145</v>
      </c>
      <c r="C12046" s="14" t="s">
        <v>13031</v>
      </c>
      <c r="D12046" s="15">
        <v>13.18</v>
      </c>
      <c r="E12046" s="14" t="s">
        <v>20</v>
      </c>
    </row>
    <row r="12047" spans="1:5" x14ac:dyDescent="0.25">
      <c r="A12047" s="14">
        <v>531468001</v>
      </c>
      <c r="B12047" s="14" t="s">
        <v>12146</v>
      </c>
      <c r="C12047" s="14" t="s">
        <v>13031</v>
      </c>
      <c r="D12047" s="15">
        <v>9.4600000000000009</v>
      </c>
      <c r="E12047" s="14" t="s">
        <v>20</v>
      </c>
    </row>
    <row r="12048" spans="1:5" x14ac:dyDescent="0.25">
      <c r="A12048" s="14">
        <v>531468002</v>
      </c>
      <c r="B12048" s="14" t="s">
        <v>12147</v>
      </c>
      <c r="C12048" s="14" t="s">
        <v>13031</v>
      </c>
      <c r="D12048" s="15">
        <v>9.4600000000000009</v>
      </c>
      <c r="E12048" s="14" t="s">
        <v>20</v>
      </c>
    </row>
    <row r="12049" spans="1:5" x14ac:dyDescent="0.25">
      <c r="A12049" s="14">
        <v>531596001</v>
      </c>
      <c r="B12049" s="14" t="s">
        <v>12148</v>
      </c>
      <c r="C12049" s="14" t="s">
        <v>13031</v>
      </c>
      <c r="D12049" s="15">
        <v>14.32</v>
      </c>
      <c r="E12049" s="14" t="s">
        <v>20</v>
      </c>
    </row>
    <row r="12050" spans="1:5" x14ac:dyDescent="0.25">
      <c r="A12050" s="14">
        <v>1023885</v>
      </c>
      <c r="B12050" s="14" t="s">
        <v>12149</v>
      </c>
      <c r="C12050" s="14" t="s">
        <v>13030</v>
      </c>
      <c r="D12050" s="15">
        <v>44.01</v>
      </c>
      <c r="E12050" s="14" t="s">
        <v>30</v>
      </c>
    </row>
    <row r="12051" spans="1:5" x14ac:dyDescent="0.25">
      <c r="A12051" s="14">
        <v>1023886</v>
      </c>
      <c r="B12051" s="14" t="s">
        <v>12150</v>
      </c>
      <c r="C12051" s="14" t="s">
        <v>13030</v>
      </c>
      <c r="D12051" s="15">
        <v>77.06</v>
      </c>
      <c r="E12051" s="14" t="s">
        <v>30</v>
      </c>
    </row>
    <row r="12052" spans="1:5" x14ac:dyDescent="0.25">
      <c r="A12052" s="14">
        <v>1024272</v>
      </c>
      <c r="B12052" s="14" t="s">
        <v>12151</v>
      </c>
      <c r="C12052" s="14" t="s">
        <v>13031</v>
      </c>
      <c r="D12052" s="15">
        <v>32</v>
      </c>
      <c r="E12052" s="14" t="s">
        <v>30</v>
      </c>
    </row>
    <row r="12053" spans="1:5" x14ac:dyDescent="0.25">
      <c r="A12053" s="14">
        <v>531596003</v>
      </c>
      <c r="B12053" s="14" t="s">
        <v>12152</v>
      </c>
      <c r="C12053" s="14" t="s">
        <v>13031</v>
      </c>
      <c r="D12053" s="15">
        <v>14.32</v>
      </c>
      <c r="E12053" s="14" t="s">
        <v>20</v>
      </c>
    </row>
    <row r="12054" spans="1:5" x14ac:dyDescent="0.25">
      <c r="A12054" s="14">
        <v>532076001</v>
      </c>
      <c r="B12054" s="14" t="s">
        <v>12153</v>
      </c>
      <c r="C12054" s="14" t="s">
        <v>13031</v>
      </c>
      <c r="D12054" s="15">
        <v>10.85</v>
      </c>
      <c r="E12054" s="14" t="s">
        <v>20</v>
      </c>
    </row>
    <row r="12055" spans="1:5" x14ac:dyDescent="0.25">
      <c r="A12055" s="14">
        <v>532076002</v>
      </c>
      <c r="B12055" s="14" t="s">
        <v>12154</v>
      </c>
      <c r="C12055" s="14" t="s">
        <v>13031</v>
      </c>
      <c r="D12055" s="15">
        <v>10.85</v>
      </c>
      <c r="E12055" s="14" t="s">
        <v>20</v>
      </c>
    </row>
    <row r="12056" spans="1:5" x14ac:dyDescent="0.25">
      <c r="A12056" s="14">
        <v>558713002</v>
      </c>
      <c r="B12056" s="14" t="s">
        <v>12155</v>
      </c>
      <c r="C12056" s="14" t="s">
        <v>13031</v>
      </c>
      <c r="D12056" s="15">
        <v>6.17</v>
      </c>
      <c r="E12056" s="14" t="s">
        <v>20</v>
      </c>
    </row>
    <row r="12057" spans="1:5" x14ac:dyDescent="0.25">
      <c r="A12057" s="14">
        <v>558713003</v>
      </c>
      <c r="B12057" s="14" t="s">
        <v>12156</v>
      </c>
      <c r="C12057" s="14" t="s">
        <v>13031</v>
      </c>
      <c r="D12057" s="15">
        <v>6.17</v>
      </c>
      <c r="E12057" s="14" t="s">
        <v>20</v>
      </c>
    </row>
    <row r="12058" spans="1:5" x14ac:dyDescent="0.25">
      <c r="A12058" s="14">
        <v>729680001</v>
      </c>
      <c r="B12058" s="14" t="s">
        <v>12157</v>
      </c>
      <c r="C12058" s="14" t="s">
        <v>13031</v>
      </c>
      <c r="D12058" s="15">
        <v>11.2</v>
      </c>
      <c r="E12058" s="14" t="s">
        <v>20</v>
      </c>
    </row>
    <row r="12059" spans="1:5" x14ac:dyDescent="0.25">
      <c r="A12059" s="14">
        <v>729680002</v>
      </c>
      <c r="B12059" s="14" t="s">
        <v>12158</v>
      </c>
      <c r="C12059" s="14" t="s">
        <v>13031</v>
      </c>
      <c r="D12059" s="15">
        <v>11.2</v>
      </c>
      <c r="E12059" s="14" t="s">
        <v>20</v>
      </c>
    </row>
    <row r="12060" spans="1:5" x14ac:dyDescent="0.25">
      <c r="A12060" s="14">
        <v>1024301</v>
      </c>
      <c r="B12060" s="14" t="s">
        <v>12159</v>
      </c>
      <c r="C12060" s="14" t="s">
        <v>13029</v>
      </c>
      <c r="D12060" s="15">
        <v>5.49</v>
      </c>
      <c r="E12060" s="14" t="s">
        <v>30</v>
      </c>
    </row>
    <row r="12061" spans="1:5" x14ac:dyDescent="0.25">
      <c r="A12061" s="14">
        <v>3198</v>
      </c>
      <c r="B12061" s="14" t="s">
        <v>12160</v>
      </c>
      <c r="C12061" s="14" t="s">
        <v>13031</v>
      </c>
      <c r="D12061" s="15">
        <v>6.25</v>
      </c>
      <c r="E12061" s="14" t="s">
        <v>30</v>
      </c>
    </row>
    <row r="12062" spans="1:5" x14ac:dyDescent="0.25">
      <c r="A12062" s="14">
        <v>3201</v>
      </c>
      <c r="B12062" s="14" t="s">
        <v>12161</v>
      </c>
      <c r="C12062" s="14" t="s">
        <v>13031</v>
      </c>
      <c r="D12062" s="15">
        <v>5.86</v>
      </c>
      <c r="E12062" s="14" t="s">
        <v>30</v>
      </c>
    </row>
    <row r="12063" spans="1:5" x14ac:dyDescent="0.25">
      <c r="A12063" s="14">
        <v>729681002</v>
      </c>
      <c r="B12063" s="14" t="s">
        <v>12162</v>
      </c>
      <c r="C12063" s="14" t="s">
        <v>13031</v>
      </c>
      <c r="D12063" s="15">
        <v>11.2</v>
      </c>
      <c r="E12063" s="14" t="s">
        <v>20</v>
      </c>
    </row>
    <row r="12064" spans="1:5" x14ac:dyDescent="0.25">
      <c r="A12064" s="14">
        <v>733181001</v>
      </c>
      <c r="B12064" s="14" t="s">
        <v>12163</v>
      </c>
      <c r="C12064" s="14" t="s">
        <v>13030</v>
      </c>
      <c r="D12064" s="15">
        <v>124.39</v>
      </c>
      <c r="E12064" s="14" t="s">
        <v>20</v>
      </c>
    </row>
    <row r="12065" spans="1:5" x14ac:dyDescent="0.25">
      <c r="A12065" s="14">
        <v>21323</v>
      </c>
      <c r="B12065" s="14" t="s">
        <v>12164</v>
      </c>
      <c r="C12065" s="14" t="s">
        <v>13031</v>
      </c>
      <c r="D12065" s="15">
        <v>9.76</v>
      </c>
      <c r="E12065" s="14" t="s">
        <v>30</v>
      </c>
    </row>
    <row r="12066" spans="1:5" x14ac:dyDescent="0.25">
      <c r="A12066" s="14">
        <v>25591</v>
      </c>
      <c r="B12066" s="14" t="s">
        <v>12165</v>
      </c>
      <c r="C12066" s="14" t="s">
        <v>13031</v>
      </c>
      <c r="D12066" s="15">
        <v>4.55</v>
      </c>
      <c r="E12066" s="14" t="s">
        <v>30</v>
      </c>
    </row>
    <row r="12067" spans="1:5" x14ac:dyDescent="0.25">
      <c r="A12067" s="14">
        <v>41471</v>
      </c>
      <c r="B12067" s="14" t="s">
        <v>12166</v>
      </c>
      <c r="C12067" s="14" t="s">
        <v>13031</v>
      </c>
      <c r="D12067" s="15">
        <v>5.23</v>
      </c>
      <c r="E12067" s="14" t="s">
        <v>30</v>
      </c>
    </row>
    <row r="12068" spans="1:5" x14ac:dyDescent="0.25">
      <c r="A12068" s="14">
        <v>68259</v>
      </c>
      <c r="B12068" s="14" t="s">
        <v>12167</v>
      </c>
      <c r="C12068" s="14" t="s">
        <v>13033</v>
      </c>
      <c r="D12068" s="15">
        <v>5.04</v>
      </c>
      <c r="E12068" s="14" t="s">
        <v>30</v>
      </c>
    </row>
    <row r="12069" spans="1:5" x14ac:dyDescent="0.25">
      <c r="A12069" s="14">
        <v>733182001</v>
      </c>
      <c r="B12069" s="14" t="s">
        <v>12168</v>
      </c>
      <c r="C12069" s="14" t="s">
        <v>13030</v>
      </c>
      <c r="D12069" s="15">
        <v>65.13</v>
      </c>
      <c r="E12069" s="14" t="s">
        <v>20</v>
      </c>
    </row>
    <row r="12070" spans="1:5" x14ac:dyDescent="0.25">
      <c r="A12070" s="14">
        <v>750562002</v>
      </c>
      <c r="B12070" s="14" t="s">
        <v>12169</v>
      </c>
      <c r="C12070" s="14" t="s">
        <v>13031</v>
      </c>
      <c r="D12070" s="15">
        <v>11.2</v>
      </c>
      <c r="E12070" s="14" t="s">
        <v>20</v>
      </c>
    </row>
    <row r="12071" spans="1:5" x14ac:dyDescent="0.25">
      <c r="A12071" s="14">
        <v>756566002</v>
      </c>
      <c r="B12071" s="14" t="s">
        <v>12170</v>
      </c>
      <c r="C12071" s="14" t="s">
        <v>13031</v>
      </c>
      <c r="D12071" s="15">
        <v>14.55</v>
      </c>
      <c r="E12071" s="14" t="s">
        <v>20</v>
      </c>
    </row>
    <row r="12072" spans="1:5" x14ac:dyDescent="0.25">
      <c r="A12072" s="14">
        <v>767776001</v>
      </c>
      <c r="B12072" s="14" t="s">
        <v>12171</v>
      </c>
      <c r="C12072" s="14" t="s">
        <v>13030</v>
      </c>
      <c r="D12072" s="15">
        <v>2.68</v>
      </c>
      <c r="E12072" s="14" t="s">
        <v>20</v>
      </c>
    </row>
    <row r="12073" spans="1:5" x14ac:dyDescent="0.25">
      <c r="A12073" s="14">
        <v>767776002</v>
      </c>
      <c r="B12073" s="14" t="s">
        <v>12172</v>
      </c>
      <c r="C12073" s="14" t="s">
        <v>13030</v>
      </c>
      <c r="D12073" s="15">
        <v>2.68</v>
      </c>
      <c r="E12073" s="14" t="s">
        <v>20</v>
      </c>
    </row>
    <row r="12074" spans="1:5" x14ac:dyDescent="0.25">
      <c r="A12074" s="14">
        <v>767776003</v>
      </c>
      <c r="B12074" s="14" t="s">
        <v>12173</v>
      </c>
      <c r="C12074" s="14" t="s">
        <v>13030</v>
      </c>
      <c r="D12074" s="15">
        <v>2.68</v>
      </c>
      <c r="E12074" s="14" t="s">
        <v>20</v>
      </c>
    </row>
    <row r="12075" spans="1:5" x14ac:dyDescent="0.25">
      <c r="A12075" s="14">
        <v>768367001</v>
      </c>
      <c r="B12075" s="14" t="s">
        <v>12174</v>
      </c>
      <c r="C12075" s="14" t="s">
        <v>13030</v>
      </c>
      <c r="D12075" s="15">
        <v>46.09</v>
      </c>
      <c r="E12075" s="14" t="s">
        <v>20</v>
      </c>
    </row>
    <row r="12076" spans="1:5" x14ac:dyDescent="0.25">
      <c r="A12076" s="14">
        <v>768368001</v>
      </c>
      <c r="B12076" s="14" t="s">
        <v>12175</v>
      </c>
      <c r="C12076" s="14" t="s">
        <v>13030</v>
      </c>
      <c r="D12076" s="15">
        <v>41.53</v>
      </c>
      <c r="E12076" s="14" t="s">
        <v>20</v>
      </c>
    </row>
    <row r="12077" spans="1:5" x14ac:dyDescent="0.25">
      <c r="A12077" s="14">
        <v>768369001</v>
      </c>
      <c r="B12077" s="14" t="s">
        <v>12176</v>
      </c>
      <c r="C12077" s="14" t="s">
        <v>13030</v>
      </c>
      <c r="D12077" s="15">
        <v>79.02</v>
      </c>
      <c r="E12077" s="14" t="s">
        <v>20</v>
      </c>
    </row>
    <row r="12078" spans="1:5" x14ac:dyDescent="0.25">
      <c r="A12078" s="14">
        <v>768369002</v>
      </c>
      <c r="B12078" s="14" t="s">
        <v>12177</v>
      </c>
      <c r="C12078" s="14" t="s">
        <v>13030</v>
      </c>
      <c r="D12078" s="15">
        <v>64.8</v>
      </c>
      <c r="E12078" s="14" t="s">
        <v>20</v>
      </c>
    </row>
    <row r="12079" spans="1:5" x14ac:dyDescent="0.25">
      <c r="A12079" s="14">
        <v>768370001</v>
      </c>
      <c r="B12079" s="14" t="s">
        <v>12178</v>
      </c>
      <c r="C12079" s="14" t="s">
        <v>13030</v>
      </c>
      <c r="D12079" s="15">
        <v>79.02</v>
      </c>
      <c r="E12079" s="14" t="s">
        <v>20</v>
      </c>
    </row>
    <row r="12080" spans="1:5" x14ac:dyDescent="0.25">
      <c r="A12080" s="14">
        <v>768371001</v>
      </c>
      <c r="B12080" s="14" t="s">
        <v>12179</v>
      </c>
      <c r="C12080" s="14" t="s">
        <v>13030</v>
      </c>
      <c r="D12080" s="15">
        <v>101.69</v>
      </c>
      <c r="E12080" s="14" t="s">
        <v>20</v>
      </c>
    </row>
    <row r="12081" spans="1:5" x14ac:dyDescent="0.25">
      <c r="A12081" s="14">
        <v>768372001</v>
      </c>
      <c r="B12081" s="14" t="s">
        <v>12180</v>
      </c>
      <c r="C12081" s="14" t="s">
        <v>13030</v>
      </c>
      <c r="D12081" s="15">
        <v>101.69</v>
      </c>
      <c r="E12081" s="14" t="s">
        <v>20</v>
      </c>
    </row>
    <row r="12082" spans="1:5" x14ac:dyDescent="0.25">
      <c r="A12082" s="14">
        <v>768373002</v>
      </c>
      <c r="B12082" s="14" t="s">
        <v>12181</v>
      </c>
      <c r="C12082" s="14" t="s">
        <v>13030</v>
      </c>
      <c r="D12082" s="15">
        <v>28.47</v>
      </c>
      <c r="E12082" s="14" t="s">
        <v>20</v>
      </c>
    </row>
    <row r="12083" spans="1:5" x14ac:dyDescent="0.25">
      <c r="A12083" s="14">
        <v>97162</v>
      </c>
      <c r="B12083" s="14" t="s">
        <v>12182</v>
      </c>
      <c r="C12083" s="14" t="s">
        <v>13031</v>
      </c>
      <c r="D12083" s="15">
        <v>0.73</v>
      </c>
      <c r="E12083" s="14" t="s">
        <v>30</v>
      </c>
    </row>
    <row r="12084" spans="1:5" x14ac:dyDescent="0.25">
      <c r="A12084" s="14">
        <v>155993</v>
      </c>
      <c r="B12084" s="14" t="s">
        <v>12183</v>
      </c>
      <c r="C12084" s="14" t="s">
        <v>13036</v>
      </c>
      <c r="D12084" s="15">
        <v>6.59</v>
      </c>
      <c r="E12084" s="14" t="s">
        <v>30</v>
      </c>
    </row>
    <row r="12085" spans="1:5" x14ac:dyDescent="0.25">
      <c r="A12085" s="14">
        <v>173208</v>
      </c>
      <c r="B12085" s="14" t="s">
        <v>12184</v>
      </c>
      <c r="C12085" s="14" t="s">
        <v>13031</v>
      </c>
      <c r="D12085" s="15">
        <v>0.76</v>
      </c>
      <c r="E12085" s="14" t="s">
        <v>30</v>
      </c>
    </row>
    <row r="12086" spans="1:5" x14ac:dyDescent="0.25">
      <c r="A12086" s="14">
        <v>193182</v>
      </c>
      <c r="B12086" s="14" t="s">
        <v>12185</v>
      </c>
      <c r="C12086" s="14" t="s">
        <v>13031</v>
      </c>
      <c r="D12086" s="15">
        <v>1.81</v>
      </c>
      <c r="E12086" s="14" t="s">
        <v>30</v>
      </c>
    </row>
    <row r="12087" spans="1:5" x14ac:dyDescent="0.25">
      <c r="A12087" s="14">
        <v>768381001</v>
      </c>
      <c r="B12087" s="14" t="s">
        <v>12186</v>
      </c>
      <c r="C12087" s="14" t="s">
        <v>13030</v>
      </c>
      <c r="D12087" s="15">
        <v>23.9</v>
      </c>
      <c r="E12087" s="14" t="s">
        <v>20</v>
      </c>
    </row>
    <row r="12088" spans="1:5" x14ac:dyDescent="0.25">
      <c r="A12088" s="14">
        <v>768381002</v>
      </c>
      <c r="B12088" s="14" t="s">
        <v>12187</v>
      </c>
      <c r="C12088" s="14" t="s">
        <v>13030</v>
      </c>
      <c r="D12088" s="15">
        <v>23.9</v>
      </c>
      <c r="E12088" s="14" t="s">
        <v>20</v>
      </c>
    </row>
    <row r="12089" spans="1:5" x14ac:dyDescent="0.25">
      <c r="A12089" s="14">
        <v>768382002</v>
      </c>
      <c r="B12089" s="14" t="s">
        <v>12188</v>
      </c>
      <c r="C12089" s="14" t="s">
        <v>13030</v>
      </c>
      <c r="D12089" s="15">
        <v>47.03</v>
      </c>
      <c r="E12089" s="14" t="s">
        <v>20</v>
      </c>
    </row>
    <row r="12090" spans="1:5" x14ac:dyDescent="0.25">
      <c r="A12090" s="14">
        <v>786964001</v>
      </c>
      <c r="B12090" s="14" t="s">
        <v>12189</v>
      </c>
      <c r="C12090" s="14" t="s">
        <v>13031</v>
      </c>
      <c r="D12090" s="15">
        <v>16.39</v>
      </c>
      <c r="E12090" s="14" t="s">
        <v>20</v>
      </c>
    </row>
    <row r="12091" spans="1:5" x14ac:dyDescent="0.25">
      <c r="A12091" s="14">
        <v>786964002</v>
      </c>
      <c r="B12091" s="14" t="s">
        <v>12190</v>
      </c>
      <c r="C12091" s="14" t="s">
        <v>13031</v>
      </c>
      <c r="D12091" s="15">
        <v>16.39</v>
      </c>
      <c r="E12091" s="14" t="s">
        <v>20</v>
      </c>
    </row>
    <row r="12092" spans="1:5" x14ac:dyDescent="0.25">
      <c r="A12092" s="14">
        <v>790000001</v>
      </c>
      <c r="B12092" s="14" t="s">
        <v>12191</v>
      </c>
      <c r="C12092" s="14" t="s">
        <v>13031</v>
      </c>
      <c r="D12092" s="15">
        <v>6.94</v>
      </c>
      <c r="E12092" s="14" t="s">
        <v>20</v>
      </c>
    </row>
    <row r="12093" spans="1:5" x14ac:dyDescent="0.25">
      <c r="A12093" s="14">
        <v>245330</v>
      </c>
      <c r="B12093" s="14" t="s">
        <v>12192</v>
      </c>
      <c r="C12093" s="14" t="s">
        <v>13034</v>
      </c>
      <c r="D12093" s="15">
        <v>6.43</v>
      </c>
      <c r="E12093" s="14" t="s">
        <v>30</v>
      </c>
    </row>
    <row r="12094" spans="1:5" x14ac:dyDescent="0.25">
      <c r="A12094" s="14">
        <v>790000002</v>
      </c>
      <c r="B12094" s="14" t="s">
        <v>12193</v>
      </c>
      <c r="C12094" s="14" t="s">
        <v>13031</v>
      </c>
      <c r="D12094" s="15">
        <v>6.94</v>
      </c>
      <c r="E12094" s="14" t="s">
        <v>20</v>
      </c>
    </row>
    <row r="12095" spans="1:5" x14ac:dyDescent="0.25">
      <c r="A12095" s="14">
        <v>790001001</v>
      </c>
      <c r="B12095" s="14" t="s">
        <v>12194</v>
      </c>
      <c r="C12095" s="14" t="s">
        <v>13031</v>
      </c>
      <c r="D12095" s="15">
        <v>8.35</v>
      </c>
      <c r="E12095" s="14" t="s">
        <v>20</v>
      </c>
    </row>
    <row r="12096" spans="1:5" x14ac:dyDescent="0.25">
      <c r="A12096" s="14">
        <v>790001002</v>
      </c>
      <c r="B12096" s="14" t="s">
        <v>12195</v>
      </c>
      <c r="C12096" s="14" t="s">
        <v>13031</v>
      </c>
      <c r="D12096" s="15">
        <v>8.35</v>
      </c>
      <c r="E12096" s="14" t="s">
        <v>20</v>
      </c>
    </row>
    <row r="12097" spans="1:5" x14ac:dyDescent="0.25">
      <c r="A12097" s="14">
        <v>905965001</v>
      </c>
      <c r="B12097" s="14" t="s">
        <v>12196</v>
      </c>
      <c r="C12097" s="14" t="s">
        <v>13031</v>
      </c>
      <c r="D12097" s="15">
        <v>8.15</v>
      </c>
      <c r="E12097" s="14" t="s">
        <v>20</v>
      </c>
    </row>
    <row r="12098" spans="1:5" x14ac:dyDescent="0.25">
      <c r="A12098" s="14">
        <v>905965002</v>
      </c>
      <c r="B12098" s="14" t="s">
        <v>12197</v>
      </c>
      <c r="C12098" s="14" t="s">
        <v>13031</v>
      </c>
      <c r="D12098" s="15">
        <v>8.15</v>
      </c>
      <c r="E12098" s="14" t="s">
        <v>20</v>
      </c>
    </row>
    <row r="12099" spans="1:5" x14ac:dyDescent="0.25">
      <c r="A12099" s="14">
        <v>905965005</v>
      </c>
      <c r="B12099" s="14" t="s">
        <v>12198</v>
      </c>
      <c r="C12099" s="14" t="s">
        <v>13031</v>
      </c>
      <c r="D12099" s="15">
        <v>8.15</v>
      </c>
      <c r="E12099" s="14" t="s">
        <v>20</v>
      </c>
    </row>
    <row r="12100" spans="1:5" x14ac:dyDescent="0.25">
      <c r="A12100" s="14">
        <v>907789001</v>
      </c>
      <c r="B12100" s="14" t="s">
        <v>12199</v>
      </c>
      <c r="C12100" s="14" t="s">
        <v>13029</v>
      </c>
      <c r="D12100" s="15">
        <v>2.58</v>
      </c>
      <c r="E12100" s="14" t="s">
        <v>20</v>
      </c>
    </row>
    <row r="12101" spans="1:5" x14ac:dyDescent="0.25">
      <c r="A12101" s="14">
        <v>907789002</v>
      </c>
      <c r="B12101" s="14" t="s">
        <v>12200</v>
      </c>
      <c r="C12101" s="14" t="s">
        <v>13029</v>
      </c>
      <c r="D12101" s="15">
        <v>2.58</v>
      </c>
      <c r="E12101" s="14" t="s">
        <v>20</v>
      </c>
    </row>
    <row r="12102" spans="1:5" x14ac:dyDescent="0.25">
      <c r="A12102" s="14">
        <v>907789003</v>
      </c>
      <c r="B12102" s="14" t="s">
        <v>12201</v>
      </c>
      <c r="C12102" s="14" t="s">
        <v>13029</v>
      </c>
      <c r="D12102" s="15">
        <v>2.58</v>
      </c>
      <c r="E12102" s="14" t="s">
        <v>20</v>
      </c>
    </row>
    <row r="12103" spans="1:5" x14ac:dyDescent="0.25">
      <c r="A12103" s="14">
        <v>913487001</v>
      </c>
      <c r="B12103" s="14" t="s">
        <v>12202</v>
      </c>
      <c r="C12103" s="14" t="s">
        <v>13030</v>
      </c>
      <c r="D12103" s="15">
        <v>4.6900000000000004</v>
      </c>
      <c r="E12103" s="14" t="s">
        <v>20</v>
      </c>
    </row>
    <row r="12104" spans="1:5" x14ac:dyDescent="0.25">
      <c r="A12104" s="14">
        <v>913487003</v>
      </c>
      <c r="B12104" s="14" t="s">
        <v>12203</v>
      </c>
      <c r="C12104" s="14" t="s">
        <v>13030</v>
      </c>
      <c r="D12104" s="15">
        <v>4.12</v>
      </c>
      <c r="E12104" s="14" t="s">
        <v>20</v>
      </c>
    </row>
    <row r="12105" spans="1:5" x14ac:dyDescent="0.25">
      <c r="A12105" s="14">
        <v>919131001</v>
      </c>
      <c r="B12105" s="14" t="s">
        <v>12204</v>
      </c>
      <c r="C12105" s="14" t="s">
        <v>13031</v>
      </c>
      <c r="D12105" s="15">
        <v>13.35</v>
      </c>
      <c r="E12105" s="14" t="s">
        <v>20</v>
      </c>
    </row>
    <row r="12106" spans="1:5" x14ac:dyDescent="0.25">
      <c r="A12106" s="14">
        <v>919131002</v>
      </c>
      <c r="B12106" s="14" t="s">
        <v>12205</v>
      </c>
      <c r="C12106" s="14" t="s">
        <v>13031</v>
      </c>
      <c r="D12106" s="15">
        <v>12.4</v>
      </c>
      <c r="E12106" s="14" t="s">
        <v>20</v>
      </c>
    </row>
    <row r="12107" spans="1:5" x14ac:dyDescent="0.25">
      <c r="A12107" s="14">
        <v>921715001</v>
      </c>
      <c r="B12107" s="14" t="s">
        <v>12206</v>
      </c>
      <c r="C12107" s="14" t="s">
        <v>13030</v>
      </c>
      <c r="D12107" s="15">
        <v>37.31</v>
      </c>
      <c r="E12107" s="14" t="s">
        <v>20</v>
      </c>
    </row>
    <row r="12108" spans="1:5" x14ac:dyDescent="0.25">
      <c r="A12108" s="14">
        <v>921715002</v>
      </c>
      <c r="B12108" s="14" t="s">
        <v>12207</v>
      </c>
      <c r="C12108" s="14" t="s">
        <v>13030</v>
      </c>
      <c r="D12108" s="15">
        <v>37.31</v>
      </c>
      <c r="E12108" s="14" t="s">
        <v>20</v>
      </c>
    </row>
    <row r="12109" spans="1:5" x14ac:dyDescent="0.25">
      <c r="A12109" s="14">
        <v>921715003</v>
      </c>
      <c r="B12109" s="14" t="s">
        <v>12208</v>
      </c>
      <c r="C12109" s="14" t="s">
        <v>13030</v>
      </c>
      <c r="D12109" s="15">
        <v>37.31</v>
      </c>
      <c r="E12109" s="14" t="s">
        <v>20</v>
      </c>
    </row>
    <row r="12110" spans="1:5" x14ac:dyDescent="0.25">
      <c r="A12110" s="14">
        <v>921715004</v>
      </c>
      <c r="B12110" s="14" t="s">
        <v>12209</v>
      </c>
      <c r="C12110" s="14" t="s">
        <v>13030</v>
      </c>
      <c r="D12110" s="15">
        <v>37.31</v>
      </c>
      <c r="E12110" s="14" t="s">
        <v>20</v>
      </c>
    </row>
    <row r="12111" spans="1:5" x14ac:dyDescent="0.25">
      <c r="A12111" s="14">
        <v>921715005</v>
      </c>
      <c r="B12111" s="14" t="s">
        <v>12210</v>
      </c>
      <c r="C12111" s="14" t="s">
        <v>13030</v>
      </c>
      <c r="D12111" s="15">
        <v>37.31</v>
      </c>
      <c r="E12111" s="14" t="s">
        <v>20</v>
      </c>
    </row>
    <row r="12112" spans="1:5" x14ac:dyDescent="0.25">
      <c r="A12112" s="14">
        <v>921715006</v>
      </c>
      <c r="B12112" s="14" t="s">
        <v>12211</v>
      </c>
      <c r="C12112" s="14" t="s">
        <v>13030</v>
      </c>
      <c r="D12112" s="15">
        <v>37.31</v>
      </c>
      <c r="E12112" s="14" t="s">
        <v>20</v>
      </c>
    </row>
    <row r="12113" spans="1:5" x14ac:dyDescent="0.25">
      <c r="A12113" s="14">
        <v>921717001</v>
      </c>
      <c r="B12113" s="14" t="s">
        <v>12212</v>
      </c>
      <c r="C12113" s="14" t="s">
        <v>13030</v>
      </c>
      <c r="D12113" s="15">
        <v>56.3</v>
      </c>
      <c r="E12113" s="14" t="s">
        <v>20</v>
      </c>
    </row>
    <row r="12114" spans="1:5" x14ac:dyDescent="0.25">
      <c r="A12114" s="14">
        <v>921717002</v>
      </c>
      <c r="B12114" s="14" t="s">
        <v>12213</v>
      </c>
      <c r="C12114" s="14" t="s">
        <v>13030</v>
      </c>
      <c r="D12114" s="15">
        <v>56.3</v>
      </c>
      <c r="E12114" s="14" t="s">
        <v>20</v>
      </c>
    </row>
    <row r="12115" spans="1:5" x14ac:dyDescent="0.25">
      <c r="A12115" s="14">
        <v>938023001</v>
      </c>
      <c r="B12115" s="14" t="s">
        <v>12214</v>
      </c>
      <c r="C12115" s="14" t="s">
        <v>13031</v>
      </c>
      <c r="D12115" s="15">
        <v>17.32</v>
      </c>
      <c r="E12115" s="14" t="s">
        <v>20</v>
      </c>
    </row>
    <row r="12116" spans="1:5" x14ac:dyDescent="0.25">
      <c r="A12116" s="14">
        <v>949284001</v>
      </c>
      <c r="B12116" s="14" t="s">
        <v>12215</v>
      </c>
      <c r="C12116" s="14" t="s">
        <v>13031</v>
      </c>
      <c r="D12116" s="15">
        <v>1.6</v>
      </c>
      <c r="E12116" s="14" t="s">
        <v>20</v>
      </c>
    </row>
    <row r="12117" spans="1:5" x14ac:dyDescent="0.25">
      <c r="A12117" s="14">
        <v>949284002</v>
      </c>
      <c r="B12117" s="14" t="s">
        <v>12216</v>
      </c>
      <c r="C12117" s="14" t="s">
        <v>13031</v>
      </c>
      <c r="D12117" s="15">
        <v>1.6</v>
      </c>
      <c r="E12117" s="14" t="s">
        <v>20</v>
      </c>
    </row>
    <row r="12118" spans="1:5" x14ac:dyDescent="0.25">
      <c r="A12118" s="14">
        <v>949284003</v>
      </c>
      <c r="B12118" s="14" t="s">
        <v>12217</v>
      </c>
      <c r="C12118" s="14" t="s">
        <v>13031</v>
      </c>
      <c r="D12118" s="15">
        <v>1.6</v>
      </c>
      <c r="E12118" s="14" t="s">
        <v>20</v>
      </c>
    </row>
    <row r="12119" spans="1:5" x14ac:dyDescent="0.25">
      <c r="A12119" s="14">
        <v>949285001</v>
      </c>
      <c r="B12119" s="14" t="s">
        <v>12218</v>
      </c>
      <c r="C12119" s="14" t="s">
        <v>13031</v>
      </c>
      <c r="D12119" s="15">
        <v>1.01</v>
      </c>
      <c r="E12119" s="14" t="s">
        <v>20</v>
      </c>
    </row>
    <row r="12120" spans="1:5" x14ac:dyDescent="0.25">
      <c r="A12120" s="14">
        <v>949285002</v>
      </c>
      <c r="B12120" s="14" t="s">
        <v>12219</v>
      </c>
      <c r="C12120" s="14" t="s">
        <v>13031</v>
      </c>
      <c r="D12120" s="15">
        <v>1.01</v>
      </c>
      <c r="E12120" s="14" t="s">
        <v>20</v>
      </c>
    </row>
    <row r="12121" spans="1:5" x14ac:dyDescent="0.25">
      <c r="A12121" s="14">
        <v>949286001</v>
      </c>
      <c r="B12121" s="14" t="s">
        <v>12220</v>
      </c>
      <c r="C12121" s="14" t="s">
        <v>13031</v>
      </c>
      <c r="D12121" s="15">
        <v>0.65</v>
      </c>
      <c r="E12121" s="14" t="s">
        <v>20</v>
      </c>
    </row>
    <row r="12122" spans="1:5" x14ac:dyDescent="0.25">
      <c r="A12122" s="14">
        <v>949286002</v>
      </c>
      <c r="B12122" s="14" t="s">
        <v>12221</v>
      </c>
      <c r="C12122" s="14" t="s">
        <v>13031</v>
      </c>
      <c r="D12122" s="15">
        <v>0.65</v>
      </c>
      <c r="E12122" s="14" t="s">
        <v>20</v>
      </c>
    </row>
    <row r="12123" spans="1:5" x14ac:dyDescent="0.25">
      <c r="A12123" s="14">
        <v>953943001</v>
      </c>
      <c r="B12123" s="14" t="s">
        <v>12222</v>
      </c>
      <c r="C12123" s="14" t="s">
        <v>13031</v>
      </c>
      <c r="D12123" s="15">
        <v>8.27</v>
      </c>
      <c r="E12123" s="14" t="s">
        <v>20</v>
      </c>
    </row>
    <row r="12124" spans="1:5" x14ac:dyDescent="0.25">
      <c r="A12124" s="14">
        <v>276132</v>
      </c>
      <c r="B12124" s="14" t="s">
        <v>12223</v>
      </c>
      <c r="C12124" s="14" t="s">
        <v>13031</v>
      </c>
      <c r="D12124" s="15">
        <v>5.25</v>
      </c>
      <c r="E12124" s="14" t="s">
        <v>30</v>
      </c>
    </row>
    <row r="12125" spans="1:5" x14ac:dyDescent="0.25">
      <c r="A12125" s="14">
        <v>305953</v>
      </c>
      <c r="B12125" s="14" t="s">
        <v>12224</v>
      </c>
      <c r="C12125" s="14" t="s">
        <v>13031</v>
      </c>
      <c r="D12125" s="15">
        <v>9.16</v>
      </c>
      <c r="E12125" s="14" t="s">
        <v>30</v>
      </c>
    </row>
    <row r="12126" spans="1:5" x14ac:dyDescent="0.25">
      <c r="A12126" s="14">
        <v>318706</v>
      </c>
      <c r="B12126" s="14" t="s">
        <v>12225</v>
      </c>
      <c r="C12126" s="14" t="s">
        <v>13033</v>
      </c>
      <c r="D12126" s="15">
        <v>7.44</v>
      </c>
      <c r="E12126" s="14" t="s">
        <v>30</v>
      </c>
    </row>
    <row r="12127" spans="1:5" x14ac:dyDescent="0.25">
      <c r="A12127" s="14">
        <v>333950</v>
      </c>
      <c r="B12127" s="14" t="s">
        <v>12226</v>
      </c>
      <c r="C12127" s="14" t="s">
        <v>13031</v>
      </c>
      <c r="D12127" s="15">
        <v>16.37</v>
      </c>
      <c r="E12127" s="14" t="s">
        <v>30</v>
      </c>
    </row>
    <row r="12128" spans="1:5" x14ac:dyDescent="0.25">
      <c r="A12128" s="14">
        <v>334880</v>
      </c>
      <c r="B12128" s="14" t="s">
        <v>12227</v>
      </c>
      <c r="C12128" s="14" t="s">
        <v>13031</v>
      </c>
      <c r="D12128" s="15">
        <v>2.9</v>
      </c>
      <c r="E12128" s="14" t="s">
        <v>30</v>
      </c>
    </row>
    <row r="12129" spans="1:5" x14ac:dyDescent="0.25">
      <c r="A12129" s="14">
        <v>357183</v>
      </c>
      <c r="B12129" s="14" t="s">
        <v>12228</v>
      </c>
      <c r="C12129" s="14" t="s">
        <v>13031</v>
      </c>
      <c r="D12129" s="15">
        <v>2.87</v>
      </c>
      <c r="E12129" s="14" t="s">
        <v>30</v>
      </c>
    </row>
    <row r="12130" spans="1:5" x14ac:dyDescent="0.25">
      <c r="A12130" s="14">
        <v>357186</v>
      </c>
      <c r="B12130" s="14" t="s">
        <v>12229</v>
      </c>
      <c r="C12130" s="14" t="s">
        <v>13031</v>
      </c>
      <c r="D12130" s="15">
        <v>7.33</v>
      </c>
      <c r="E12130" s="14" t="s">
        <v>30</v>
      </c>
    </row>
    <row r="12131" spans="1:5" x14ac:dyDescent="0.25">
      <c r="A12131" s="14">
        <v>382222</v>
      </c>
      <c r="B12131" s="14" t="s">
        <v>12230</v>
      </c>
      <c r="C12131" s="14" t="s">
        <v>13033</v>
      </c>
      <c r="D12131" s="15">
        <v>7.65</v>
      </c>
      <c r="E12131" s="14" t="s">
        <v>30</v>
      </c>
    </row>
    <row r="12132" spans="1:5" x14ac:dyDescent="0.25">
      <c r="A12132" s="14">
        <v>383333</v>
      </c>
      <c r="B12132" s="14" t="s">
        <v>12231</v>
      </c>
      <c r="C12132" s="14" t="s">
        <v>13031</v>
      </c>
      <c r="D12132" s="15">
        <v>3.03</v>
      </c>
      <c r="E12132" s="14" t="s">
        <v>30</v>
      </c>
    </row>
    <row r="12133" spans="1:5" x14ac:dyDescent="0.25">
      <c r="A12133" s="14">
        <v>400697</v>
      </c>
      <c r="B12133" s="14" t="s">
        <v>12232</v>
      </c>
      <c r="C12133" s="14" t="s">
        <v>13031</v>
      </c>
      <c r="D12133" s="15">
        <v>2.2799999999999998</v>
      </c>
      <c r="E12133" s="14" t="s">
        <v>30</v>
      </c>
    </row>
    <row r="12134" spans="1:5" x14ac:dyDescent="0.25">
      <c r="A12134" s="14">
        <v>400949</v>
      </c>
      <c r="B12134" s="14" t="s">
        <v>12233</v>
      </c>
      <c r="C12134" s="14" t="s">
        <v>13031</v>
      </c>
      <c r="D12134" s="15">
        <v>3.83</v>
      </c>
      <c r="E12134" s="14" t="s">
        <v>30</v>
      </c>
    </row>
    <row r="12135" spans="1:5" x14ac:dyDescent="0.25">
      <c r="A12135" s="14">
        <v>422749</v>
      </c>
      <c r="B12135" s="14" t="s">
        <v>12234</v>
      </c>
      <c r="C12135" s="14" t="s">
        <v>13031</v>
      </c>
      <c r="D12135" s="15">
        <v>49.53</v>
      </c>
      <c r="E12135" s="14" t="s">
        <v>30</v>
      </c>
    </row>
    <row r="12136" spans="1:5" x14ac:dyDescent="0.25">
      <c r="A12136" s="14">
        <v>460005</v>
      </c>
      <c r="B12136" s="14" t="s">
        <v>12235</v>
      </c>
      <c r="C12136" s="14" t="s">
        <v>13033</v>
      </c>
      <c r="D12136" s="15">
        <v>3</v>
      </c>
      <c r="E12136" s="14" t="s">
        <v>30</v>
      </c>
    </row>
    <row r="12137" spans="1:5" x14ac:dyDescent="0.25">
      <c r="A12137" s="14">
        <v>485455</v>
      </c>
      <c r="B12137" s="14" t="s">
        <v>12236</v>
      </c>
      <c r="C12137" s="14" t="s">
        <v>13031</v>
      </c>
      <c r="D12137" s="15">
        <v>5.25</v>
      </c>
      <c r="E12137" s="14" t="s">
        <v>30</v>
      </c>
    </row>
    <row r="12138" spans="1:5" x14ac:dyDescent="0.25">
      <c r="A12138" s="14">
        <v>486661</v>
      </c>
      <c r="B12138" s="14" t="s">
        <v>12237</v>
      </c>
      <c r="C12138" s="14" t="s">
        <v>13031</v>
      </c>
      <c r="D12138" s="15">
        <v>7</v>
      </c>
      <c r="E12138" s="14" t="s">
        <v>30</v>
      </c>
    </row>
    <row r="12139" spans="1:5" x14ac:dyDescent="0.25">
      <c r="A12139" s="14">
        <v>524055</v>
      </c>
      <c r="B12139" s="14" t="s">
        <v>12238</v>
      </c>
      <c r="C12139" s="14" t="s">
        <v>13031</v>
      </c>
      <c r="D12139" s="15">
        <v>14.18</v>
      </c>
      <c r="E12139" s="14" t="s">
        <v>30</v>
      </c>
    </row>
    <row r="12140" spans="1:5" x14ac:dyDescent="0.25">
      <c r="A12140" s="14">
        <v>524056</v>
      </c>
      <c r="B12140" s="14" t="s">
        <v>12239</v>
      </c>
      <c r="C12140" s="14" t="s">
        <v>13031</v>
      </c>
      <c r="D12140" s="15">
        <v>14.18</v>
      </c>
      <c r="E12140" s="14" t="s">
        <v>30</v>
      </c>
    </row>
    <row r="12141" spans="1:5" x14ac:dyDescent="0.25">
      <c r="A12141" s="14">
        <v>533862</v>
      </c>
      <c r="B12141" s="14" t="s">
        <v>12240</v>
      </c>
      <c r="C12141" s="14" t="s">
        <v>13031</v>
      </c>
      <c r="D12141" s="15">
        <v>2.66</v>
      </c>
      <c r="E12141" s="14" t="s">
        <v>30</v>
      </c>
    </row>
    <row r="12142" spans="1:5" x14ac:dyDescent="0.25">
      <c r="A12142" s="14">
        <v>541875</v>
      </c>
      <c r="B12142" s="14" t="s">
        <v>12241</v>
      </c>
      <c r="C12142" s="14" t="s">
        <v>13031</v>
      </c>
      <c r="D12142" s="15">
        <v>17.149999999999999</v>
      </c>
      <c r="E12142" s="14" t="s">
        <v>30</v>
      </c>
    </row>
    <row r="12143" spans="1:5" x14ac:dyDescent="0.25">
      <c r="A12143" s="14">
        <v>565918</v>
      </c>
      <c r="B12143" s="14" t="s">
        <v>12242</v>
      </c>
      <c r="C12143" s="14" t="s">
        <v>13030</v>
      </c>
      <c r="D12143" s="15">
        <v>48</v>
      </c>
      <c r="E12143" s="14" t="s">
        <v>30</v>
      </c>
    </row>
    <row r="12144" spans="1:5" x14ac:dyDescent="0.25">
      <c r="A12144" s="14">
        <v>566230</v>
      </c>
      <c r="B12144" s="14" t="s">
        <v>12243</v>
      </c>
      <c r="C12144" s="14" t="s">
        <v>13031</v>
      </c>
      <c r="D12144" s="15">
        <v>9.6999999999999993</v>
      </c>
      <c r="E12144" s="14" t="s">
        <v>30</v>
      </c>
    </row>
    <row r="12145" spans="1:5" x14ac:dyDescent="0.25">
      <c r="A12145" s="14">
        <v>566334</v>
      </c>
      <c r="B12145" s="14" t="s">
        <v>12244</v>
      </c>
      <c r="C12145" s="14" t="s">
        <v>13031</v>
      </c>
      <c r="D12145" s="15">
        <v>17.149999999999999</v>
      </c>
      <c r="E12145" s="14" t="s">
        <v>30</v>
      </c>
    </row>
    <row r="12146" spans="1:5" x14ac:dyDescent="0.25">
      <c r="A12146" s="14">
        <v>569593</v>
      </c>
      <c r="B12146" s="14" t="s">
        <v>12245</v>
      </c>
      <c r="C12146" s="14" t="s">
        <v>13031</v>
      </c>
      <c r="D12146" s="15">
        <v>30.75</v>
      </c>
      <c r="E12146" s="14" t="s">
        <v>30</v>
      </c>
    </row>
    <row r="12147" spans="1:5" x14ac:dyDescent="0.25">
      <c r="A12147" s="14">
        <v>731985</v>
      </c>
      <c r="B12147" s="14" t="s">
        <v>12246</v>
      </c>
      <c r="C12147" s="14" t="s">
        <v>13031</v>
      </c>
      <c r="D12147" s="15">
        <v>15.13</v>
      </c>
      <c r="E12147" s="14" t="s">
        <v>30</v>
      </c>
    </row>
    <row r="12148" spans="1:5" x14ac:dyDescent="0.25">
      <c r="A12148" s="14">
        <v>731986</v>
      </c>
      <c r="B12148" s="14" t="s">
        <v>12247</v>
      </c>
      <c r="C12148" s="14" t="s">
        <v>13031</v>
      </c>
      <c r="D12148" s="15">
        <v>15.13</v>
      </c>
      <c r="E12148" s="14" t="s">
        <v>30</v>
      </c>
    </row>
    <row r="12149" spans="1:5" x14ac:dyDescent="0.25">
      <c r="A12149" s="14">
        <v>765238</v>
      </c>
      <c r="B12149" s="14" t="s">
        <v>12248</v>
      </c>
      <c r="C12149" s="14" t="s">
        <v>13031</v>
      </c>
      <c r="D12149" s="15">
        <v>11.15</v>
      </c>
      <c r="E12149" s="14" t="s">
        <v>30</v>
      </c>
    </row>
    <row r="12150" spans="1:5" x14ac:dyDescent="0.25">
      <c r="A12150" s="14">
        <v>768129</v>
      </c>
      <c r="B12150" s="14" t="s">
        <v>12249</v>
      </c>
      <c r="C12150" s="14" t="s">
        <v>13031</v>
      </c>
      <c r="D12150" s="15">
        <v>20.3</v>
      </c>
      <c r="E12150" s="14" t="s">
        <v>30</v>
      </c>
    </row>
    <row r="12151" spans="1:5" x14ac:dyDescent="0.25">
      <c r="A12151" s="14">
        <v>770562</v>
      </c>
      <c r="B12151" s="14" t="s">
        <v>12250</v>
      </c>
      <c r="C12151" s="14" t="s">
        <v>13031</v>
      </c>
      <c r="D12151" s="15">
        <v>10.28</v>
      </c>
      <c r="E12151" s="14" t="s">
        <v>30</v>
      </c>
    </row>
    <row r="12152" spans="1:5" x14ac:dyDescent="0.25">
      <c r="A12152" s="14">
        <v>773693</v>
      </c>
      <c r="B12152" s="14" t="s">
        <v>12251</v>
      </c>
      <c r="C12152" s="14" t="s">
        <v>13036</v>
      </c>
      <c r="D12152" s="15">
        <v>1.6</v>
      </c>
      <c r="E12152" s="14" t="s">
        <v>30</v>
      </c>
    </row>
    <row r="12153" spans="1:5" x14ac:dyDescent="0.25">
      <c r="A12153" s="14">
        <v>897765</v>
      </c>
      <c r="B12153" s="14" t="s">
        <v>12252</v>
      </c>
      <c r="C12153" s="14" t="s">
        <v>13033</v>
      </c>
      <c r="D12153" s="15">
        <v>16.47</v>
      </c>
      <c r="E12153" s="14" t="s">
        <v>30</v>
      </c>
    </row>
    <row r="12154" spans="1:5" x14ac:dyDescent="0.25">
      <c r="A12154" s="14">
        <v>901713</v>
      </c>
      <c r="B12154" s="14" t="s">
        <v>12253</v>
      </c>
      <c r="C12154" s="14" t="s">
        <v>13030</v>
      </c>
      <c r="D12154" s="15">
        <v>43.15</v>
      </c>
      <c r="E12154" s="14" t="s">
        <v>30</v>
      </c>
    </row>
    <row r="12155" spans="1:5" x14ac:dyDescent="0.25">
      <c r="A12155" s="14">
        <v>916700</v>
      </c>
      <c r="B12155" s="14" t="s">
        <v>12254</v>
      </c>
      <c r="C12155" s="14" t="s">
        <v>13030</v>
      </c>
      <c r="D12155" s="15">
        <v>0</v>
      </c>
      <c r="E12155" s="14" t="s">
        <v>30</v>
      </c>
    </row>
    <row r="12156" spans="1:5" x14ac:dyDescent="0.25">
      <c r="A12156" s="14">
        <v>932688</v>
      </c>
      <c r="B12156" s="14" t="s">
        <v>12255</v>
      </c>
      <c r="C12156" s="14" t="s">
        <v>13029</v>
      </c>
      <c r="D12156" s="15">
        <v>1.23</v>
      </c>
      <c r="E12156" s="14" t="s">
        <v>30</v>
      </c>
    </row>
    <row r="12157" spans="1:5" x14ac:dyDescent="0.25">
      <c r="A12157" s="14">
        <v>947382</v>
      </c>
      <c r="B12157" s="14" t="s">
        <v>12256</v>
      </c>
      <c r="C12157" s="14" t="s">
        <v>13029</v>
      </c>
      <c r="D12157" s="15">
        <v>9.42</v>
      </c>
      <c r="E12157" s="14" t="s">
        <v>30</v>
      </c>
    </row>
    <row r="12158" spans="1:5" x14ac:dyDescent="0.25">
      <c r="A12158" s="14">
        <v>947383</v>
      </c>
      <c r="B12158" s="14" t="s">
        <v>12257</v>
      </c>
      <c r="C12158" s="14" t="s">
        <v>13029</v>
      </c>
      <c r="D12158" s="15">
        <v>9.42</v>
      </c>
      <c r="E12158" s="14" t="s">
        <v>30</v>
      </c>
    </row>
    <row r="12159" spans="1:5" x14ac:dyDescent="0.25">
      <c r="A12159" s="14">
        <v>964095</v>
      </c>
      <c r="B12159" s="14" t="s">
        <v>12258</v>
      </c>
      <c r="C12159" s="14" t="s">
        <v>13029</v>
      </c>
      <c r="D12159" s="15">
        <v>34.43</v>
      </c>
      <c r="E12159" s="14" t="s">
        <v>30</v>
      </c>
    </row>
    <row r="12160" spans="1:5" x14ac:dyDescent="0.25">
      <c r="A12160" s="14">
        <v>964096</v>
      </c>
      <c r="B12160" s="14" t="s">
        <v>12259</v>
      </c>
      <c r="C12160" s="14" t="s">
        <v>13029</v>
      </c>
      <c r="D12160" s="15">
        <v>34.43</v>
      </c>
      <c r="E12160" s="14" t="s">
        <v>30</v>
      </c>
    </row>
    <row r="12161" spans="1:5" x14ac:dyDescent="0.25">
      <c r="A12161" s="14">
        <v>972637</v>
      </c>
      <c r="B12161" s="14" t="s">
        <v>12260</v>
      </c>
      <c r="C12161" s="14" t="s">
        <v>13033</v>
      </c>
      <c r="D12161" s="15">
        <v>6.33</v>
      </c>
      <c r="E12161" s="14" t="s">
        <v>30</v>
      </c>
    </row>
    <row r="12162" spans="1:5" x14ac:dyDescent="0.25">
      <c r="A12162" s="14">
        <v>972638</v>
      </c>
      <c r="B12162" s="14" t="s">
        <v>12261</v>
      </c>
      <c r="C12162" s="14" t="s">
        <v>13033</v>
      </c>
      <c r="D12162" s="15">
        <v>6.33</v>
      </c>
      <c r="E12162" s="14" t="s">
        <v>30</v>
      </c>
    </row>
    <row r="12163" spans="1:5" x14ac:dyDescent="0.25">
      <c r="A12163" s="14">
        <v>975379</v>
      </c>
      <c r="B12163" s="14" t="s">
        <v>12262</v>
      </c>
      <c r="C12163" s="14" t="s">
        <v>13037</v>
      </c>
      <c r="D12163" s="15">
        <v>7.0000000000000007E-2</v>
      </c>
      <c r="E12163" s="14" t="s">
        <v>30</v>
      </c>
    </row>
    <row r="12164" spans="1:5" x14ac:dyDescent="0.25">
      <c r="A12164" s="14">
        <v>992683</v>
      </c>
      <c r="B12164" s="14" t="s">
        <v>12263</v>
      </c>
      <c r="C12164" s="14" t="s">
        <v>13031</v>
      </c>
      <c r="D12164" s="15">
        <v>14.18</v>
      </c>
      <c r="E12164" s="14" t="s">
        <v>30</v>
      </c>
    </row>
    <row r="12165" spans="1:5" x14ac:dyDescent="0.25">
      <c r="A12165" s="14">
        <v>998456</v>
      </c>
      <c r="B12165" s="14" t="s">
        <v>12264</v>
      </c>
      <c r="C12165" s="14" t="s">
        <v>13033</v>
      </c>
      <c r="D12165" s="15">
        <v>12.7</v>
      </c>
      <c r="E12165" s="14" t="s">
        <v>30</v>
      </c>
    </row>
    <row r="12166" spans="1:5" x14ac:dyDescent="0.25">
      <c r="A12166" s="14">
        <v>956391002</v>
      </c>
      <c r="B12166" s="14" t="s">
        <v>12265</v>
      </c>
      <c r="C12166" s="14" t="s">
        <v>13030</v>
      </c>
      <c r="D12166" s="15">
        <v>135.59</v>
      </c>
      <c r="E12166" s="14" t="s">
        <v>20</v>
      </c>
    </row>
    <row r="12167" spans="1:5" x14ac:dyDescent="0.25">
      <c r="A12167" s="14">
        <v>956391003</v>
      </c>
      <c r="B12167" s="14" t="s">
        <v>12266</v>
      </c>
      <c r="C12167" s="14" t="s">
        <v>13030</v>
      </c>
      <c r="D12167" s="15">
        <v>135.59</v>
      </c>
      <c r="E12167" s="14" t="s">
        <v>20</v>
      </c>
    </row>
    <row r="12168" spans="1:5" x14ac:dyDescent="0.25">
      <c r="A12168" s="14">
        <v>969802005</v>
      </c>
      <c r="B12168" s="14" t="s">
        <v>12267</v>
      </c>
      <c r="C12168" s="14" t="s">
        <v>13031</v>
      </c>
      <c r="D12168" s="15">
        <v>7.62</v>
      </c>
      <c r="E12168" s="14" t="s">
        <v>20</v>
      </c>
    </row>
    <row r="12169" spans="1:5" x14ac:dyDescent="0.25">
      <c r="A12169" s="14">
        <v>1022866</v>
      </c>
      <c r="B12169" s="14" t="s">
        <v>12268</v>
      </c>
      <c r="C12169" s="14" t="s">
        <v>13030</v>
      </c>
      <c r="D12169" s="15">
        <v>30.12</v>
      </c>
      <c r="E12169" s="14" t="s">
        <v>20</v>
      </c>
    </row>
    <row r="12170" spans="1:5" x14ac:dyDescent="0.25">
      <c r="A12170" s="14">
        <v>1022867</v>
      </c>
      <c r="B12170" s="14" t="s">
        <v>12269</v>
      </c>
      <c r="C12170" s="14" t="s">
        <v>13030</v>
      </c>
      <c r="D12170" s="15">
        <v>29.29</v>
      </c>
      <c r="E12170" s="14" t="s">
        <v>20</v>
      </c>
    </row>
    <row r="12171" spans="1:5" x14ac:dyDescent="0.25">
      <c r="A12171" s="14">
        <v>1022868</v>
      </c>
      <c r="B12171" s="14" t="s">
        <v>12270</v>
      </c>
      <c r="C12171" s="14" t="s">
        <v>13030</v>
      </c>
      <c r="D12171" s="15">
        <v>54.22</v>
      </c>
      <c r="E12171" s="14" t="s">
        <v>20</v>
      </c>
    </row>
    <row r="12172" spans="1:5" x14ac:dyDescent="0.25">
      <c r="A12172" s="14">
        <v>1022869</v>
      </c>
      <c r="B12172" s="14" t="s">
        <v>12271</v>
      </c>
      <c r="C12172" s="14" t="s">
        <v>13030</v>
      </c>
      <c r="D12172" s="15">
        <v>34.22</v>
      </c>
      <c r="E12172" s="14" t="s">
        <v>20</v>
      </c>
    </row>
    <row r="12173" spans="1:5" x14ac:dyDescent="0.25">
      <c r="A12173" s="14">
        <v>1022870</v>
      </c>
      <c r="B12173" s="14" t="s">
        <v>12272</v>
      </c>
      <c r="C12173" s="14" t="s">
        <v>13030</v>
      </c>
      <c r="D12173" s="15">
        <v>61.02</v>
      </c>
      <c r="E12173" s="14" t="s">
        <v>20</v>
      </c>
    </row>
    <row r="12174" spans="1:5" x14ac:dyDescent="0.25">
      <c r="A12174" s="14">
        <v>1022871</v>
      </c>
      <c r="B12174" s="14" t="s">
        <v>12273</v>
      </c>
      <c r="C12174" s="14" t="s">
        <v>13030</v>
      </c>
      <c r="D12174" s="15">
        <v>19.8</v>
      </c>
      <c r="E12174" s="14" t="s">
        <v>20</v>
      </c>
    </row>
    <row r="12175" spans="1:5" x14ac:dyDescent="0.25">
      <c r="A12175" s="14">
        <v>1023462</v>
      </c>
      <c r="B12175" s="14" t="s">
        <v>61</v>
      </c>
      <c r="C12175" s="14" t="s">
        <v>13030</v>
      </c>
      <c r="D12175" s="15">
        <v>57.01</v>
      </c>
      <c r="E12175" s="14" t="s">
        <v>20</v>
      </c>
    </row>
    <row r="12176" spans="1:5" x14ac:dyDescent="0.25">
      <c r="A12176" s="14">
        <v>998457</v>
      </c>
      <c r="B12176" s="14" t="s">
        <v>12274</v>
      </c>
      <c r="C12176" s="14" t="s">
        <v>13033</v>
      </c>
      <c r="D12176" s="15">
        <v>10.5</v>
      </c>
      <c r="E12176" s="14" t="s">
        <v>30</v>
      </c>
    </row>
    <row r="12177" spans="1:5" x14ac:dyDescent="0.25">
      <c r="A12177" s="14">
        <v>1004634</v>
      </c>
      <c r="B12177" s="14" t="s">
        <v>12275</v>
      </c>
      <c r="C12177" s="14" t="s">
        <v>13031</v>
      </c>
      <c r="D12177" s="15">
        <v>7.12</v>
      </c>
      <c r="E12177" s="14" t="s">
        <v>30</v>
      </c>
    </row>
    <row r="12178" spans="1:5" x14ac:dyDescent="0.25">
      <c r="A12178" s="14">
        <v>1004635</v>
      </c>
      <c r="B12178" s="14" t="s">
        <v>12276</v>
      </c>
      <c r="C12178" s="14" t="s">
        <v>13031</v>
      </c>
      <c r="D12178" s="15">
        <v>20.34</v>
      </c>
      <c r="E12178" s="14" t="s">
        <v>30</v>
      </c>
    </row>
    <row r="12179" spans="1:5" x14ac:dyDescent="0.25">
      <c r="A12179" s="14">
        <v>48339002</v>
      </c>
      <c r="B12179" s="14" t="s">
        <v>12277</v>
      </c>
      <c r="C12179" s="14" t="s">
        <v>13031</v>
      </c>
      <c r="D12179" s="15">
        <v>9.6199999999999992</v>
      </c>
      <c r="E12179" s="14" t="s">
        <v>30</v>
      </c>
    </row>
    <row r="12180" spans="1:5" x14ac:dyDescent="0.25">
      <c r="A12180" s="14">
        <v>48339003</v>
      </c>
      <c r="B12180" s="14" t="s">
        <v>12278</v>
      </c>
      <c r="C12180" s="14" t="s">
        <v>13031</v>
      </c>
      <c r="D12180" s="15">
        <v>9.44</v>
      </c>
      <c r="E12180" s="14" t="s">
        <v>30</v>
      </c>
    </row>
    <row r="12181" spans="1:5" x14ac:dyDescent="0.25">
      <c r="A12181" s="14">
        <v>48406006</v>
      </c>
      <c r="B12181" s="14" t="s">
        <v>12279</v>
      </c>
      <c r="C12181" s="14" t="s">
        <v>13031</v>
      </c>
      <c r="D12181" s="15">
        <v>1.82</v>
      </c>
      <c r="E12181" s="14" t="s">
        <v>30</v>
      </c>
    </row>
    <row r="12182" spans="1:5" x14ac:dyDescent="0.25">
      <c r="A12182" s="14">
        <v>48406007</v>
      </c>
      <c r="B12182" s="14" t="s">
        <v>12280</v>
      </c>
      <c r="C12182" s="14" t="s">
        <v>13031</v>
      </c>
      <c r="D12182" s="15">
        <v>1.82</v>
      </c>
      <c r="E12182" s="14" t="s">
        <v>30</v>
      </c>
    </row>
    <row r="12183" spans="1:5" x14ac:dyDescent="0.25">
      <c r="A12183" s="14">
        <v>48406011</v>
      </c>
      <c r="B12183" s="14" t="s">
        <v>12281</v>
      </c>
      <c r="C12183" s="14" t="s">
        <v>13031</v>
      </c>
      <c r="D12183" s="15">
        <v>1.82</v>
      </c>
      <c r="E12183" s="14" t="s">
        <v>30</v>
      </c>
    </row>
    <row r="12184" spans="1:5" x14ac:dyDescent="0.25">
      <c r="A12184" s="14">
        <v>48407001</v>
      </c>
      <c r="B12184" s="14" t="s">
        <v>12282</v>
      </c>
      <c r="C12184" s="14" t="s">
        <v>13031</v>
      </c>
      <c r="D12184" s="15">
        <v>1.85</v>
      </c>
      <c r="E12184" s="14" t="s">
        <v>30</v>
      </c>
    </row>
    <row r="12185" spans="1:5" x14ac:dyDescent="0.25">
      <c r="A12185" s="14">
        <v>48485002</v>
      </c>
      <c r="B12185" s="14" t="s">
        <v>12283</v>
      </c>
      <c r="C12185" s="14" t="s">
        <v>13031</v>
      </c>
      <c r="D12185" s="15">
        <v>0.94</v>
      </c>
      <c r="E12185" s="14" t="s">
        <v>30</v>
      </c>
    </row>
    <row r="12186" spans="1:5" x14ac:dyDescent="0.25">
      <c r="A12186" s="14">
        <v>48495001</v>
      </c>
      <c r="B12186" s="14" t="s">
        <v>12284</v>
      </c>
      <c r="C12186" s="14" t="s">
        <v>13031</v>
      </c>
      <c r="D12186" s="15">
        <v>8.7799999999999994</v>
      </c>
      <c r="E12186" s="14" t="s">
        <v>30</v>
      </c>
    </row>
    <row r="12187" spans="1:5" x14ac:dyDescent="0.25">
      <c r="A12187" s="14">
        <v>48495009</v>
      </c>
      <c r="B12187" s="14" t="s">
        <v>12285</v>
      </c>
      <c r="C12187" s="14" t="s">
        <v>13031</v>
      </c>
      <c r="D12187" s="15">
        <v>8.7799999999999994</v>
      </c>
      <c r="E12187" s="14" t="s">
        <v>30</v>
      </c>
    </row>
    <row r="12188" spans="1:5" x14ac:dyDescent="0.25">
      <c r="A12188" s="14">
        <v>48495012</v>
      </c>
      <c r="B12188" s="14" t="s">
        <v>12286</v>
      </c>
      <c r="C12188" s="14" t="s">
        <v>13031</v>
      </c>
      <c r="D12188" s="15">
        <v>8.7799999999999994</v>
      </c>
      <c r="E12188" s="14" t="s">
        <v>30</v>
      </c>
    </row>
    <row r="12189" spans="1:5" x14ac:dyDescent="0.25">
      <c r="A12189" s="14">
        <v>51623001</v>
      </c>
      <c r="B12189" s="14" t="s">
        <v>12287</v>
      </c>
      <c r="C12189" s="14" t="s">
        <v>13031</v>
      </c>
      <c r="D12189" s="15">
        <v>8.9700000000000006</v>
      </c>
      <c r="E12189" s="14" t="s">
        <v>30</v>
      </c>
    </row>
    <row r="12190" spans="1:5" x14ac:dyDescent="0.25">
      <c r="A12190" s="14">
        <v>51623003</v>
      </c>
      <c r="B12190" s="14" t="s">
        <v>12288</v>
      </c>
      <c r="C12190" s="14" t="s">
        <v>13031</v>
      </c>
      <c r="D12190" s="15">
        <v>6.79</v>
      </c>
      <c r="E12190" s="14" t="s">
        <v>30</v>
      </c>
    </row>
    <row r="12191" spans="1:5" x14ac:dyDescent="0.25">
      <c r="A12191" s="14">
        <v>397684002</v>
      </c>
      <c r="B12191" s="14" t="s">
        <v>12289</v>
      </c>
      <c r="C12191" s="14" t="s">
        <v>13031</v>
      </c>
      <c r="D12191" s="15">
        <v>9.5500000000000007</v>
      </c>
      <c r="E12191" s="14" t="s">
        <v>30</v>
      </c>
    </row>
    <row r="12192" spans="1:5" x14ac:dyDescent="0.25">
      <c r="A12192" s="14">
        <v>397684003</v>
      </c>
      <c r="B12192" s="14" t="s">
        <v>12290</v>
      </c>
      <c r="C12192" s="14" t="s">
        <v>13031</v>
      </c>
      <c r="D12192" s="15">
        <v>9.5500000000000007</v>
      </c>
      <c r="E12192" s="14" t="s">
        <v>30</v>
      </c>
    </row>
    <row r="12193" spans="1:5" x14ac:dyDescent="0.25">
      <c r="A12193" s="14">
        <v>450569003</v>
      </c>
      <c r="B12193" s="14" t="s">
        <v>12291</v>
      </c>
      <c r="C12193" s="14" t="s">
        <v>13031</v>
      </c>
      <c r="D12193" s="15">
        <v>10</v>
      </c>
      <c r="E12193" s="14" t="s">
        <v>30</v>
      </c>
    </row>
    <row r="12194" spans="1:5" x14ac:dyDescent="0.25">
      <c r="A12194" s="14">
        <v>454713001</v>
      </c>
      <c r="B12194" s="14" t="s">
        <v>12292</v>
      </c>
      <c r="C12194" s="14" t="s">
        <v>13029</v>
      </c>
      <c r="D12194" s="15">
        <v>2.64</v>
      </c>
      <c r="E12194" s="14" t="s">
        <v>30</v>
      </c>
    </row>
    <row r="12195" spans="1:5" x14ac:dyDescent="0.25">
      <c r="A12195" s="14">
        <v>454714001</v>
      </c>
      <c r="B12195" s="14" t="s">
        <v>12293</v>
      </c>
      <c r="C12195" s="14" t="s">
        <v>13029</v>
      </c>
      <c r="D12195" s="15">
        <v>5.08</v>
      </c>
      <c r="E12195" s="14" t="s">
        <v>30</v>
      </c>
    </row>
    <row r="12196" spans="1:5" x14ac:dyDescent="0.25">
      <c r="A12196" s="14">
        <v>454714002</v>
      </c>
      <c r="B12196" s="14" t="s">
        <v>12294</v>
      </c>
      <c r="C12196" s="14" t="s">
        <v>13029</v>
      </c>
      <c r="D12196" s="15">
        <v>5.08</v>
      </c>
      <c r="E12196" s="14" t="s">
        <v>30</v>
      </c>
    </row>
    <row r="12197" spans="1:5" x14ac:dyDescent="0.25">
      <c r="A12197" s="14">
        <v>460093002</v>
      </c>
      <c r="B12197" s="14" t="s">
        <v>12295</v>
      </c>
      <c r="C12197" s="14" t="s">
        <v>13031</v>
      </c>
      <c r="D12197" s="15">
        <v>1.64</v>
      </c>
      <c r="E12197" s="14" t="s">
        <v>30</v>
      </c>
    </row>
    <row r="12198" spans="1:5" x14ac:dyDescent="0.25">
      <c r="A12198" s="14">
        <v>460093003</v>
      </c>
      <c r="B12198" s="14" t="s">
        <v>12296</v>
      </c>
      <c r="C12198" s="14" t="s">
        <v>13031</v>
      </c>
      <c r="D12198" s="15">
        <v>1.64</v>
      </c>
      <c r="E12198" s="14" t="s">
        <v>30</v>
      </c>
    </row>
    <row r="12199" spans="1:5" x14ac:dyDescent="0.25">
      <c r="A12199" s="14">
        <v>470943003</v>
      </c>
      <c r="B12199" s="14" t="s">
        <v>12297</v>
      </c>
      <c r="C12199" s="14" t="s">
        <v>13031</v>
      </c>
      <c r="D12199" s="15">
        <v>8.9</v>
      </c>
      <c r="E12199" s="14" t="s">
        <v>30</v>
      </c>
    </row>
    <row r="12200" spans="1:5" x14ac:dyDescent="0.25">
      <c r="A12200" s="14">
        <v>472692001</v>
      </c>
      <c r="B12200" s="14" t="s">
        <v>12298</v>
      </c>
      <c r="C12200" s="14" t="s">
        <v>13031</v>
      </c>
      <c r="D12200" s="15">
        <v>35.28</v>
      </c>
      <c r="E12200" s="14" t="s">
        <v>30</v>
      </c>
    </row>
    <row r="12201" spans="1:5" x14ac:dyDescent="0.25">
      <c r="A12201" s="14">
        <v>477432003</v>
      </c>
      <c r="B12201" s="14" t="s">
        <v>12299</v>
      </c>
      <c r="C12201" s="14" t="s">
        <v>13031</v>
      </c>
      <c r="D12201" s="15">
        <v>5.73</v>
      </c>
      <c r="E12201" s="14" t="s">
        <v>30</v>
      </c>
    </row>
    <row r="12202" spans="1:5" x14ac:dyDescent="0.25">
      <c r="A12202" s="14">
        <v>541669001</v>
      </c>
      <c r="B12202" s="14" t="s">
        <v>12300</v>
      </c>
      <c r="C12202" s="14" t="s">
        <v>13031</v>
      </c>
      <c r="D12202" s="15">
        <v>4.1100000000000003</v>
      </c>
      <c r="E12202" s="14" t="s">
        <v>30</v>
      </c>
    </row>
    <row r="12203" spans="1:5" x14ac:dyDescent="0.25">
      <c r="A12203" s="14">
        <v>773608001</v>
      </c>
      <c r="B12203" s="14" t="s">
        <v>12301</v>
      </c>
      <c r="C12203" s="14" t="s">
        <v>13031</v>
      </c>
      <c r="D12203" s="15">
        <v>13.6</v>
      </c>
      <c r="E12203" s="14" t="s">
        <v>30</v>
      </c>
    </row>
    <row r="12204" spans="1:5" x14ac:dyDescent="0.25">
      <c r="A12204" s="14">
        <v>773608002</v>
      </c>
      <c r="B12204" s="14" t="s">
        <v>12302</v>
      </c>
      <c r="C12204" s="14" t="s">
        <v>13031</v>
      </c>
      <c r="D12204" s="15">
        <v>13.6</v>
      </c>
      <c r="E12204" s="14" t="s">
        <v>30</v>
      </c>
    </row>
    <row r="12205" spans="1:5" x14ac:dyDescent="0.25">
      <c r="A12205" s="14">
        <v>864385001</v>
      </c>
      <c r="B12205" s="14" t="s">
        <v>12303</v>
      </c>
      <c r="C12205" s="14" t="s">
        <v>13029</v>
      </c>
      <c r="D12205" s="15">
        <v>12.34</v>
      </c>
      <c r="E12205" s="14" t="s">
        <v>30</v>
      </c>
    </row>
    <row r="12206" spans="1:5" x14ac:dyDescent="0.25">
      <c r="A12206" s="14" t="s">
        <v>12304</v>
      </c>
      <c r="B12206" s="14" t="s">
        <v>12305</v>
      </c>
      <c r="C12206" s="14" t="s">
        <v>13038</v>
      </c>
      <c r="D12206" s="15">
        <v>6.76</v>
      </c>
      <c r="E12206" s="14" t="s">
        <v>30</v>
      </c>
    </row>
    <row r="12207" spans="1:5" x14ac:dyDescent="0.25">
      <c r="A12207" s="14">
        <v>942122</v>
      </c>
      <c r="B12207" s="14" t="s">
        <v>12306</v>
      </c>
      <c r="C12207" s="14" t="s">
        <v>13032</v>
      </c>
      <c r="D12207" s="15">
        <v>93</v>
      </c>
      <c r="E12207" s="14" t="s">
        <v>30</v>
      </c>
    </row>
    <row r="12208" spans="1:5" x14ac:dyDescent="0.25">
      <c r="A12208" s="14">
        <v>1022416</v>
      </c>
      <c r="B12208" s="14" t="s">
        <v>12307</v>
      </c>
      <c r="C12208" s="14" t="s">
        <v>13029</v>
      </c>
      <c r="D12208" s="15">
        <v>10.24</v>
      </c>
      <c r="E12208" s="14" t="s">
        <v>30</v>
      </c>
    </row>
    <row r="12209" spans="1:5" x14ac:dyDescent="0.25">
      <c r="A12209" s="14">
        <v>1023325</v>
      </c>
      <c r="B12209" s="14" t="s">
        <v>12308</v>
      </c>
      <c r="C12209" s="14" t="s">
        <v>13031</v>
      </c>
      <c r="D12209" s="15">
        <v>8.84</v>
      </c>
      <c r="E12209" s="14" t="s">
        <v>30</v>
      </c>
    </row>
    <row r="12210" spans="1:5" x14ac:dyDescent="0.25">
      <c r="A12210" s="14">
        <v>1019787</v>
      </c>
      <c r="B12210" s="14" t="s">
        <v>12309</v>
      </c>
      <c r="C12210" s="14" t="s">
        <v>13031</v>
      </c>
      <c r="D12210" s="15">
        <v>1.31</v>
      </c>
      <c r="E12210" s="14" t="s">
        <v>30</v>
      </c>
    </row>
    <row r="12211" spans="1:5" x14ac:dyDescent="0.25">
      <c r="A12211" s="14">
        <v>1022836</v>
      </c>
      <c r="B12211" s="14" t="s">
        <v>12310</v>
      </c>
      <c r="C12211" s="14" t="s">
        <v>13030</v>
      </c>
      <c r="D12211" s="15">
        <v>125.02</v>
      </c>
      <c r="E12211" s="14" t="s">
        <v>30</v>
      </c>
    </row>
    <row r="12212" spans="1:5" x14ac:dyDescent="0.25">
      <c r="A12212" s="14">
        <v>1022837</v>
      </c>
      <c r="B12212" s="14" t="s">
        <v>12311</v>
      </c>
      <c r="C12212" s="14" t="s">
        <v>13030</v>
      </c>
      <c r="D12212" s="15">
        <v>125.02</v>
      </c>
      <c r="E12212" s="14" t="s">
        <v>30</v>
      </c>
    </row>
    <row r="12213" spans="1:5" x14ac:dyDescent="0.25">
      <c r="A12213" s="14">
        <v>1022840</v>
      </c>
      <c r="B12213" s="14" t="s">
        <v>12312</v>
      </c>
      <c r="C12213" s="14" t="s">
        <v>13030</v>
      </c>
      <c r="D12213" s="15">
        <v>125.02</v>
      </c>
      <c r="E12213" s="14" t="s">
        <v>30</v>
      </c>
    </row>
    <row r="12214" spans="1:5" x14ac:dyDescent="0.25">
      <c r="A12214" s="14">
        <v>1023779</v>
      </c>
      <c r="B12214" s="14" t="s">
        <v>12313</v>
      </c>
      <c r="C12214" s="14" t="s">
        <v>13030</v>
      </c>
      <c r="D12214" s="15">
        <v>27.69</v>
      </c>
      <c r="E12214" s="14" t="s">
        <v>30</v>
      </c>
    </row>
    <row r="12215" spans="1:5" x14ac:dyDescent="0.25">
      <c r="A12215" s="14">
        <v>1016161</v>
      </c>
      <c r="B12215" s="14" t="s">
        <v>12314</v>
      </c>
      <c r="C12215" s="14" t="s">
        <v>13029</v>
      </c>
      <c r="D12215" s="15">
        <v>28</v>
      </c>
      <c r="E12215" s="14" t="s">
        <v>30</v>
      </c>
    </row>
    <row r="12216" spans="1:5" x14ac:dyDescent="0.25">
      <c r="A12216" s="14">
        <v>1016744</v>
      </c>
      <c r="B12216" s="14" t="s">
        <v>12315</v>
      </c>
      <c r="C12216" s="14" t="s">
        <v>13031</v>
      </c>
      <c r="D12216" s="15">
        <v>3.14</v>
      </c>
      <c r="E12216" s="14" t="s">
        <v>30</v>
      </c>
    </row>
    <row r="12217" spans="1:5" x14ac:dyDescent="0.25">
      <c r="A12217" s="14">
        <v>1022832</v>
      </c>
      <c r="B12217" s="14" t="s">
        <v>12316</v>
      </c>
      <c r="C12217" s="14" t="s">
        <v>13030</v>
      </c>
      <c r="D12217" s="15">
        <v>59.94</v>
      </c>
      <c r="E12217" s="14" t="s">
        <v>30</v>
      </c>
    </row>
    <row r="12218" spans="1:5" x14ac:dyDescent="0.25">
      <c r="A12218" s="14">
        <v>1022833</v>
      </c>
      <c r="B12218" s="14" t="s">
        <v>12317</v>
      </c>
      <c r="C12218" s="14" t="s">
        <v>13030</v>
      </c>
      <c r="D12218" s="15">
        <v>47.74</v>
      </c>
      <c r="E12218" s="14" t="s">
        <v>30</v>
      </c>
    </row>
    <row r="12219" spans="1:5" x14ac:dyDescent="0.25">
      <c r="A12219" s="14">
        <v>1022976</v>
      </c>
      <c r="B12219" s="14" t="s">
        <v>12318</v>
      </c>
      <c r="C12219" s="14" t="s">
        <v>13031</v>
      </c>
      <c r="D12219" s="15">
        <v>10.41</v>
      </c>
      <c r="E12219" s="14" t="s">
        <v>30</v>
      </c>
    </row>
    <row r="12220" spans="1:5" x14ac:dyDescent="0.25">
      <c r="A12220" s="14">
        <v>1022977</v>
      </c>
      <c r="B12220" s="14" t="s">
        <v>12319</v>
      </c>
      <c r="C12220" s="14" t="s">
        <v>13031</v>
      </c>
      <c r="D12220" s="15">
        <v>10.41</v>
      </c>
      <c r="E12220" s="14" t="s">
        <v>30</v>
      </c>
    </row>
    <row r="12221" spans="1:5" x14ac:dyDescent="0.25">
      <c r="A12221" s="14">
        <v>1024554</v>
      </c>
      <c r="B12221" s="14" t="s">
        <v>12320</v>
      </c>
      <c r="C12221" s="14" t="s">
        <v>13029</v>
      </c>
      <c r="D12221" s="15">
        <v>34.11</v>
      </c>
      <c r="E12221" s="14" t="s">
        <v>30</v>
      </c>
    </row>
    <row r="12222" spans="1:5" x14ac:dyDescent="0.25">
      <c r="A12222" s="14">
        <v>1024555</v>
      </c>
      <c r="B12222" s="14" t="s">
        <v>12321</v>
      </c>
      <c r="C12222" s="14" t="s">
        <v>13029</v>
      </c>
      <c r="D12222" s="15">
        <v>34.11</v>
      </c>
      <c r="E12222" s="14" t="s">
        <v>30</v>
      </c>
    </row>
    <row r="12223" spans="1:5" x14ac:dyDescent="0.25">
      <c r="A12223" s="14">
        <v>1014654003</v>
      </c>
      <c r="B12223" s="14" t="s">
        <v>12322</v>
      </c>
      <c r="C12223" s="14" t="s">
        <v>13030</v>
      </c>
      <c r="D12223" s="15">
        <v>30.46</v>
      </c>
      <c r="E12223" s="14" t="s">
        <v>30</v>
      </c>
    </row>
    <row r="12224" spans="1:5" x14ac:dyDescent="0.25">
      <c r="A12224" s="14">
        <v>436435</v>
      </c>
      <c r="B12224" s="14" t="s">
        <v>12323</v>
      </c>
      <c r="C12224" s="14" t="s">
        <v>13029</v>
      </c>
      <c r="D12224" s="15">
        <v>31.38</v>
      </c>
      <c r="E12224" s="14" t="s">
        <v>30</v>
      </c>
    </row>
    <row r="12225" spans="1:5" x14ac:dyDescent="0.25">
      <c r="A12225" s="14">
        <v>735815</v>
      </c>
      <c r="B12225" s="14" t="s">
        <v>12324</v>
      </c>
      <c r="C12225" s="14" t="s">
        <v>13029</v>
      </c>
      <c r="D12225" s="15">
        <v>35.53</v>
      </c>
      <c r="E12225" s="14" t="s">
        <v>30</v>
      </c>
    </row>
    <row r="12226" spans="1:5" x14ac:dyDescent="0.25">
      <c r="A12226" s="14">
        <v>946581</v>
      </c>
      <c r="B12226" s="14" t="s">
        <v>12325</v>
      </c>
      <c r="C12226" s="14" t="s">
        <v>13029</v>
      </c>
      <c r="D12226" s="15">
        <v>35.53</v>
      </c>
      <c r="E12226" s="14" t="s">
        <v>30</v>
      </c>
    </row>
    <row r="12227" spans="1:5" x14ac:dyDescent="0.25">
      <c r="A12227" s="14">
        <v>1024740</v>
      </c>
      <c r="B12227" s="14" t="s">
        <v>12326</v>
      </c>
      <c r="C12227" s="14" t="s">
        <v>13029</v>
      </c>
      <c r="D12227" s="15">
        <v>55.11</v>
      </c>
      <c r="E12227" s="14" t="s">
        <v>30</v>
      </c>
    </row>
    <row r="12228" spans="1:5" x14ac:dyDescent="0.25">
      <c r="A12228" s="14">
        <v>1024741</v>
      </c>
      <c r="B12228" s="14" t="s">
        <v>12327</v>
      </c>
      <c r="C12228" s="14" t="s">
        <v>13029</v>
      </c>
      <c r="D12228" s="15">
        <v>47.99</v>
      </c>
      <c r="E12228" s="14" t="s">
        <v>30</v>
      </c>
    </row>
    <row r="12229" spans="1:5" x14ac:dyDescent="0.25">
      <c r="A12229" s="14">
        <v>1022338</v>
      </c>
      <c r="B12229" s="14" t="s">
        <v>12328</v>
      </c>
      <c r="C12229" s="14" t="s">
        <v>13030</v>
      </c>
      <c r="D12229" s="15">
        <v>61.22</v>
      </c>
      <c r="E12229" s="14" t="s">
        <v>30</v>
      </c>
    </row>
    <row r="12230" spans="1:5" x14ac:dyDescent="0.25">
      <c r="A12230" s="14">
        <v>1022339</v>
      </c>
      <c r="B12230" s="14" t="s">
        <v>12329</v>
      </c>
      <c r="C12230" s="14" t="s">
        <v>13030</v>
      </c>
      <c r="D12230" s="15">
        <v>93.96</v>
      </c>
      <c r="E12230" s="14" t="s">
        <v>30</v>
      </c>
    </row>
    <row r="12231" spans="1:5" x14ac:dyDescent="0.25">
      <c r="A12231" s="14">
        <v>1022342</v>
      </c>
      <c r="B12231" s="14" t="s">
        <v>12330</v>
      </c>
      <c r="C12231" s="14" t="s">
        <v>13030</v>
      </c>
      <c r="D12231" s="15">
        <v>87.74</v>
      </c>
      <c r="E12231" s="14" t="s">
        <v>30</v>
      </c>
    </row>
    <row r="12232" spans="1:5" x14ac:dyDescent="0.25">
      <c r="A12232" s="14">
        <v>1022344</v>
      </c>
      <c r="B12232" s="14" t="s">
        <v>12331</v>
      </c>
      <c r="C12232" s="14" t="s">
        <v>13030</v>
      </c>
      <c r="D12232" s="15">
        <v>82.58</v>
      </c>
      <c r="E12232" s="14" t="s">
        <v>30</v>
      </c>
    </row>
    <row r="12233" spans="1:5" x14ac:dyDescent="0.25">
      <c r="A12233" s="14">
        <v>1024380</v>
      </c>
      <c r="B12233" s="14" t="s">
        <v>12332</v>
      </c>
      <c r="C12233" s="14" t="s">
        <v>13031</v>
      </c>
      <c r="D12233" s="15">
        <v>11.81</v>
      </c>
      <c r="E12233" s="14" t="s">
        <v>30</v>
      </c>
    </row>
    <row r="12234" spans="1:5" x14ac:dyDescent="0.25">
      <c r="A12234" s="14">
        <v>1024744</v>
      </c>
      <c r="B12234" s="14" t="s">
        <v>12333</v>
      </c>
      <c r="C12234" s="14" t="s">
        <v>13029</v>
      </c>
      <c r="D12234" s="15">
        <v>21.75</v>
      </c>
      <c r="E12234" s="14" t="s">
        <v>30</v>
      </c>
    </row>
    <row r="12235" spans="1:5" x14ac:dyDescent="0.25">
      <c r="A12235" s="14">
        <v>1024782</v>
      </c>
      <c r="B12235" s="14" t="s">
        <v>12334</v>
      </c>
      <c r="C12235" s="14" t="s">
        <v>13030</v>
      </c>
      <c r="D12235" s="15">
        <v>69.42</v>
      </c>
      <c r="E12235" s="14" t="s">
        <v>30</v>
      </c>
    </row>
    <row r="12236" spans="1:5" x14ac:dyDescent="0.25">
      <c r="A12236" s="14">
        <v>1024783</v>
      </c>
      <c r="B12236" s="14" t="s">
        <v>12335</v>
      </c>
      <c r="C12236" s="14" t="s">
        <v>13030</v>
      </c>
      <c r="D12236" s="15">
        <v>69.5</v>
      </c>
      <c r="E12236" s="14" t="s">
        <v>30</v>
      </c>
    </row>
    <row r="12237" spans="1:5" x14ac:dyDescent="0.25">
      <c r="A12237" s="14">
        <v>241529</v>
      </c>
      <c r="B12237" s="14" t="s">
        <v>12336</v>
      </c>
      <c r="C12237" s="14" t="s">
        <v>13031</v>
      </c>
      <c r="D12237" s="15">
        <v>20.5</v>
      </c>
      <c r="E12237" s="14" t="s">
        <v>30</v>
      </c>
    </row>
    <row r="12238" spans="1:5" x14ac:dyDescent="0.25">
      <c r="A12238" s="14">
        <v>1024282</v>
      </c>
      <c r="B12238" s="14" t="s">
        <v>12337</v>
      </c>
      <c r="C12238" s="14" t="s">
        <v>13031</v>
      </c>
      <c r="D12238" s="15">
        <v>13.87</v>
      </c>
      <c r="E12238" s="14" t="s">
        <v>30</v>
      </c>
    </row>
    <row r="12239" spans="1:5" x14ac:dyDescent="0.25">
      <c r="A12239" s="14">
        <v>1024290</v>
      </c>
      <c r="B12239" s="14" t="s">
        <v>12338</v>
      </c>
      <c r="C12239" s="14" t="s">
        <v>13031</v>
      </c>
      <c r="D12239" s="15">
        <v>20.7</v>
      </c>
      <c r="E12239" s="14" t="s">
        <v>30</v>
      </c>
    </row>
    <row r="12240" spans="1:5" x14ac:dyDescent="0.25">
      <c r="A12240" s="14">
        <v>1024291</v>
      </c>
      <c r="B12240" s="14" t="s">
        <v>12339</v>
      </c>
      <c r="C12240" s="14" t="s">
        <v>13031</v>
      </c>
      <c r="D12240" s="15">
        <v>8.6</v>
      </c>
      <c r="E12240" s="14" t="s">
        <v>30</v>
      </c>
    </row>
    <row r="12241" spans="1:5" x14ac:dyDescent="0.25">
      <c r="A12241" s="14">
        <v>1024298</v>
      </c>
      <c r="B12241" s="14" t="s">
        <v>12340</v>
      </c>
      <c r="C12241" s="14" t="s">
        <v>13031</v>
      </c>
      <c r="D12241" s="15">
        <v>17.5</v>
      </c>
      <c r="E12241" s="14" t="s">
        <v>30</v>
      </c>
    </row>
    <row r="12242" spans="1:5" x14ac:dyDescent="0.25">
      <c r="A12242" s="14">
        <v>1019035</v>
      </c>
      <c r="B12242" s="14" t="s">
        <v>12341</v>
      </c>
      <c r="C12242" s="14" t="s">
        <v>13029</v>
      </c>
      <c r="D12242" s="15">
        <v>23.25</v>
      </c>
      <c r="E12242" s="14" t="s">
        <v>30</v>
      </c>
    </row>
    <row r="12243" spans="1:5" x14ac:dyDescent="0.25">
      <c r="A12243" s="14">
        <v>1023582</v>
      </c>
      <c r="B12243" s="14" t="s">
        <v>12342</v>
      </c>
      <c r="C12243" s="14" t="s">
        <v>13030</v>
      </c>
      <c r="D12243" s="15">
        <v>129.59</v>
      </c>
      <c r="E12243" s="14" t="s">
        <v>30</v>
      </c>
    </row>
    <row r="12244" spans="1:5" x14ac:dyDescent="0.25">
      <c r="A12244" s="14">
        <v>1023828</v>
      </c>
      <c r="B12244" s="14" t="s">
        <v>12343</v>
      </c>
      <c r="C12244" s="14" t="s">
        <v>13029</v>
      </c>
      <c r="D12244" s="15">
        <v>26.69</v>
      </c>
      <c r="E12244" s="14" t="s">
        <v>30</v>
      </c>
    </row>
    <row r="12245" spans="1:5" x14ac:dyDescent="0.25">
      <c r="A12245" s="14">
        <v>1024572</v>
      </c>
      <c r="B12245" s="14" t="s">
        <v>12344</v>
      </c>
      <c r="C12245" s="14" t="s">
        <v>13030</v>
      </c>
      <c r="D12245" s="15">
        <v>5</v>
      </c>
      <c r="E12245" s="14" t="s">
        <v>30</v>
      </c>
    </row>
    <row r="12246" spans="1:5" x14ac:dyDescent="0.25">
      <c r="A12246" s="14">
        <v>1024835</v>
      </c>
      <c r="B12246" s="14" t="s">
        <v>12345</v>
      </c>
      <c r="C12246" s="14" t="s">
        <v>13029</v>
      </c>
      <c r="D12246" s="15">
        <v>14.16</v>
      </c>
      <c r="E12246" s="14" t="s">
        <v>30</v>
      </c>
    </row>
    <row r="12247" spans="1:5" x14ac:dyDescent="0.25">
      <c r="A12247" s="14">
        <v>1024847</v>
      </c>
      <c r="B12247" s="14" t="s">
        <v>12346</v>
      </c>
      <c r="C12247" s="14" t="s">
        <v>13029</v>
      </c>
      <c r="D12247" s="15">
        <v>17.41</v>
      </c>
      <c r="E12247" s="16" t="s">
        <v>30</v>
      </c>
    </row>
    <row r="12248" spans="1:5" x14ac:dyDescent="0.25">
      <c r="A12248" s="14">
        <v>1025625</v>
      </c>
      <c r="B12248" s="14" t="s">
        <v>12347</v>
      </c>
      <c r="C12248" s="14" t="s">
        <v>13030</v>
      </c>
      <c r="D12248" s="15">
        <v>23.7</v>
      </c>
      <c r="E12248" s="16" t="s">
        <v>30</v>
      </c>
    </row>
    <row r="12249" spans="1:5" x14ac:dyDescent="0.25">
      <c r="A12249" s="14">
        <v>1025657</v>
      </c>
      <c r="B12249" s="14" t="s">
        <v>12348</v>
      </c>
      <c r="C12249" s="14" t="s">
        <v>13029</v>
      </c>
      <c r="D12249" s="15">
        <v>34.58</v>
      </c>
      <c r="E12249" s="16" t="s">
        <v>30</v>
      </c>
    </row>
    <row r="12250" spans="1:5" x14ac:dyDescent="0.25">
      <c r="A12250" s="14">
        <v>1025658</v>
      </c>
      <c r="B12250" s="14" t="s">
        <v>12349</v>
      </c>
      <c r="C12250" s="14" t="s">
        <v>13029</v>
      </c>
      <c r="D12250" s="15">
        <v>29.08</v>
      </c>
      <c r="E12250" s="16" t="s">
        <v>30</v>
      </c>
    </row>
    <row r="12251" spans="1:5" x14ac:dyDescent="0.25">
      <c r="A12251" s="14">
        <v>1025661</v>
      </c>
      <c r="B12251" s="14" t="s">
        <v>12350</v>
      </c>
      <c r="C12251" s="14" t="s">
        <v>13029</v>
      </c>
      <c r="D12251" s="15">
        <v>29.08</v>
      </c>
      <c r="E12251" s="16" t="s">
        <v>30</v>
      </c>
    </row>
    <row r="12252" spans="1:5" x14ac:dyDescent="0.25">
      <c r="A12252" s="14">
        <v>1025662</v>
      </c>
      <c r="B12252" s="14" t="s">
        <v>12351</v>
      </c>
      <c r="C12252" s="14" t="s">
        <v>13029</v>
      </c>
      <c r="D12252" s="15">
        <v>27.62</v>
      </c>
      <c r="E12252" s="16" t="s">
        <v>30</v>
      </c>
    </row>
    <row r="12253" spans="1:5" x14ac:dyDescent="0.25">
      <c r="A12253" s="14">
        <v>1025921</v>
      </c>
      <c r="B12253" s="14" t="s">
        <v>12352</v>
      </c>
      <c r="C12253" s="14" t="s">
        <v>13029</v>
      </c>
      <c r="D12253" s="15">
        <v>26.64</v>
      </c>
      <c r="E12253" s="16" t="s">
        <v>30</v>
      </c>
    </row>
    <row r="12254" spans="1:5" x14ac:dyDescent="0.25">
      <c r="A12254" s="14">
        <v>946420</v>
      </c>
      <c r="B12254" s="14" t="s">
        <v>12353</v>
      </c>
      <c r="C12254" s="14" t="s">
        <v>13029</v>
      </c>
      <c r="D12254" s="15">
        <v>41.47</v>
      </c>
      <c r="E12254" s="16" t="s">
        <v>30</v>
      </c>
    </row>
    <row r="12255" spans="1:5" x14ac:dyDescent="0.25">
      <c r="A12255" s="14">
        <v>1022834</v>
      </c>
      <c r="B12255" s="14" t="s">
        <v>12354</v>
      </c>
      <c r="C12255" s="14" t="s">
        <v>13030</v>
      </c>
      <c r="D12255" s="15">
        <v>29.05</v>
      </c>
      <c r="E12255" s="16" t="s">
        <v>30</v>
      </c>
    </row>
    <row r="12256" spans="1:5" x14ac:dyDescent="0.25">
      <c r="A12256" s="14">
        <v>1024831</v>
      </c>
      <c r="B12256" s="14" t="s">
        <v>12355</v>
      </c>
      <c r="C12256" s="14" t="s">
        <v>13029</v>
      </c>
      <c r="D12256" s="15">
        <v>21.79</v>
      </c>
      <c r="E12256" s="16" t="s">
        <v>30</v>
      </c>
    </row>
    <row r="12257" spans="1:5" x14ac:dyDescent="0.25">
      <c r="A12257" s="14">
        <v>714269002</v>
      </c>
      <c r="B12257" s="14" t="s">
        <v>12356</v>
      </c>
      <c r="C12257" s="14" t="s">
        <v>13030</v>
      </c>
      <c r="D12257" s="15">
        <v>3.48</v>
      </c>
      <c r="E12257" s="16" t="s">
        <v>30</v>
      </c>
    </row>
    <row r="12258" spans="1:5" x14ac:dyDescent="0.25">
      <c r="A12258" s="14">
        <v>986726005</v>
      </c>
      <c r="B12258" s="14" t="s">
        <v>12357</v>
      </c>
      <c r="C12258" s="14" t="s">
        <v>13030</v>
      </c>
      <c r="D12258" s="15">
        <v>4.07</v>
      </c>
      <c r="E12258" s="16" t="s">
        <v>30</v>
      </c>
    </row>
    <row r="12259" spans="1:5" x14ac:dyDescent="0.25">
      <c r="A12259" s="14">
        <v>1024289</v>
      </c>
      <c r="B12259" s="14" t="s">
        <v>12358</v>
      </c>
      <c r="C12259" s="14" t="s">
        <v>13031</v>
      </c>
      <c r="D12259" s="15">
        <v>10.38</v>
      </c>
      <c r="E12259" s="16" t="s">
        <v>30</v>
      </c>
    </row>
    <row r="12260" spans="1:5" x14ac:dyDescent="0.25">
      <c r="A12260" s="14">
        <v>1024293</v>
      </c>
      <c r="B12260" s="14" t="s">
        <v>12359</v>
      </c>
      <c r="C12260" s="14" t="s">
        <v>13031</v>
      </c>
      <c r="D12260" s="15">
        <v>0.77</v>
      </c>
      <c r="E12260" s="16" t="s">
        <v>30</v>
      </c>
    </row>
    <row r="12261" spans="1:5" x14ac:dyDescent="0.25">
      <c r="A12261" s="14">
        <v>1025598</v>
      </c>
      <c r="B12261" s="14" t="s">
        <v>12360</v>
      </c>
      <c r="C12261" s="14" t="s">
        <v>13031</v>
      </c>
      <c r="D12261" s="15">
        <v>1.4</v>
      </c>
      <c r="E12261" s="16" t="s">
        <v>30</v>
      </c>
    </row>
    <row r="12262" spans="1:5" x14ac:dyDescent="0.25">
      <c r="A12262" s="14">
        <v>6791</v>
      </c>
      <c r="B12262" s="14" t="s">
        <v>12361</v>
      </c>
      <c r="C12262" s="14" t="s">
        <v>13034</v>
      </c>
      <c r="D12262" s="15">
        <v>7.52</v>
      </c>
      <c r="E12262" s="16" t="s">
        <v>30</v>
      </c>
    </row>
    <row r="12263" spans="1:5" x14ac:dyDescent="0.25">
      <c r="A12263" s="14">
        <v>269087</v>
      </c>
      <c r="B12263" s="14" t="s">
        <v>12362</v>
      </c>
      <c r="C12263" s="14" t="s">
        <v>13034</v>
      </c>
      <c r="D12263" s="15">
        <v>8.8699999999999992</v>
      </c>
      <c r="E12263" s="16" t="s">
        <v>30</v>
      </c>
    </row>
    <row r="12264" spans="1:5" x14ac:dyDescent="0.25">
      <c r="A12264" s="14">
        <v>292696</v>
      </c>
      <c r="B12264" s="14" t="s">
        <v>12363</v>
      </c>
      <c r="C12264" s="14" t="s">
        <v>13034</v>
      </c>
      <c r="D12264" s="15">
        <v>8.8699999999999992</v>
      </c>
      <c r="E12264" s="16" t="s">
        <v>30</v>
      </c>
    </row>
    <row r="12265" spans="1:5" x14ac:dyDescent="0.25">
      <c r="A12265" s="14">
        <v>925594</v>
      </c>
      <c r="B12265" s="14" t="s">
        <v>12364</v>
      </c>
      <c r="C12265" s="14" t="s">
        <v>13034</v>
      </c>
      <c r="D12265" s="15">
        <v>24.79</v>
      </c>
      <c r="E12265" s="16" t="s">
        <v>30</v>
      </c>
    </row>
    <row r="12266" spans="1:5" x14ac:dyDescent="0.25">
      <c r="A12266" s="14">
        <v>925595</v>
      </c>
      <c r="B12266" s="14" t="s">
        <v>12365</v>
      </c>
      <c r="C12266" s="14" t="s">
        <v>13034</v>
      </c>
      <c r="D12266" s="15">
        <v>26.99</v>
      </c>
      <c r="E12266" s="16" t="s">
        <v>30</v>
      </c>
    </row>
    <row r="12267" spans="1:5" x14ac:dyDescent="0.25">
      <c r="A12267" s="14">
        <v>1019510</v>
      </c>
      <c r="B12267" s="14" t="s">
        <v>12366</v>
      </c>
      <c r="C12267" s="14" t="s">
        <v>13031</v>
      </c>
      <c r="D12267" s="15">
        <v>6.65</v>
      </c>
      <c r="E12267" s="16" t="s">
        <v>30</v>
      </c>
    </row>
    <row r="12268" spans="1:5" x14ac:dyDescent="0.25">
      <c r="A12268" s="14">
        <v>1019511</v>
      </c>
      <c r="B12268" s="14" t="s">
        <v>12367</v>
      </c>
      <c r="C12268" s="14" t="s">
        <v>13031</v>
      </c>
      <c r="D12268" s="15">
        <v>7.02</v>
      </c>
      <c r="E12268" s="16" t="s">
        <v>30</v>
      </c>
    </row>
    <row r="12269" spans="1:5" x14ac:dyDescent="0.25">
      <c r="A12269" s="14">
        <v>1024285</v>
      </c>
      <c r="B12269" s="14" t="s">
        <v>12368</v>
      </c>
      <c r="C12269" s="14" t="s">
        <v>13031</v>
      </c>
      <c r="D12269" s="15">
        <v>5.0599999999999996</v>
      </c>
      <c r="E12269" s="16" t="s">
        <v>30</v>
      </c>
    </row>
    <row r="12270" spans="1:5" x14ac:dyDescent="0.25">
      <c r="A12270" s="14">
        <v>1025609</v>
      </c>
      <c r="B12270" s="14" t="s">
        <v>12369</v>
      </c>
      <c r="C12270" s="14" t="s">
        <v>13030</v>
      </c>
      <c r="D12270" s="15">
        <v>71.97</v>
      </c>
      <c r="E12270" s="16" t="s">
        <v>30</v>
      </c>
    </row>
    <row r="12271" spans="1:5" x14ac:dyDescent="0.25">
      <c r="A12271" s="14">
        <v>934481</v>
      </c>
      <c r="B12271" s="14" t="s">
        <v>12370</v>
      </c>
      <c r="C12271" s="14" t="s">
        <v>13029</v>
      </c>
      <c r="D12271" s="15">
        <v>7.69</v>
      </c>
      <c r="E12271" s="16" t="s">
        <v>30</v>
      </c>
    </row>
    <row r="12272" spans="1:5" x14ac:dyDescent="0.25">
      <c r="A12272" s="14">
        <v>990573</v>
      </c>
      <c r="B12272" s="14" t="s">
        <v>12371</v>
      </c>
      <c r="C12272" s="14" t="s">
        <v>13029</v>
      </c>
      <c r="D12272" s="15">
        <v>1.7</v>
      </c>
      <c r="E12272" s="16" t="s">
        <v>30</v>
      </c>
    </row>
    <row r="12273" spans="1:5" x14ac:dyDescent="0.25">
      <c r="A12273" s="14">
        <v>1022981</v>
      </c>
      <c r="B12273" s="14" t="s">
        <v>12372</v>
      </c>
      <c r="C12273" s="14" t="s">
        <v>13031</v>
      </c>
      <c r="D12273" s="15">
        <v>148.37</v>
      </c>
      <c r="E12273" s="16" t="s">
        <v>30</v>
      </c>
    </row>
    <row r="12274" spans="1:5" x14ac:dyDescent="0.25">
      <c r="A12274" s="14">
        <v>1022982</v>
      </c>
      <c r="B12274" s="14" t="s">
        <v>12373</v>
      </c>
      <c r="C12274" s="14" t="s">
        <v>13031</v>
      </c>
      <c r="D12274" s="15">
        <v>144.38</v>
      </c>
      <c r="E12274" s="16" t="s">
        <v>30</v>
      </c>
    </row>
    <row r="12275" spans="1:5" x14ac:dyDescent="0.25">
      <c r="A12275" s="14">
        <v>1023475</v>
      </c>
      <c r="B12275" s="14" t="s">
        <v>12374</v>
      </c>
      <c r="C12275" s="14" t="s">
        <v>13030</v>
      </c>
      <c r="D12275" s="15">
        <v>58.22</v>
      </c>
      <c r="E12275" s="16" t="s">
        <v>30</v>
      </c>
    </row>
    <row r="12276" spans="1:5" x14ac:dyDescent="0.25">
      <c r="A12276" s="14">
        <v>1023477</v>
      </c>
      <c r="B12276" s="14" t="s">
        <v>12375</v>
      </c>
      <c r="C12276" s="14" t="s">
        <v>13030</v>
      </c>
      <c r="D12276" s="15">
        <v>843.22</v>
      </c>
      <c r="E12276" s="16" t="s">
        <v>30</v>
      </c>
    </row>
    <row r="12277" spans="1:5" x14ac:dyDescent="0.25">
      <c r="A12277" s="14">
        <v>1024244</v>
      </c>
      <c r="B12277" s="14" t="s">
        <v>12376</v>
      </c>
      <c r="C12277" s="14" t="s">
        <v>13031</v>
      </c>
      <c r="D12277" s="15">
        <v>11.81</v>
      </c>
      <c r="E12277" s="16" t="s">
        <v>30</v>
      </c>
    </row>
    <row r="12278" spans="1:5" x14ac:dyDescent="0.25">
      <c r="A12278" s="14">
        <v>1025288</v>
      </c>
      <c r="B12278" s="14" t="s">
        <v>12377</v>
      </c>
      <c r="C12278" s="14" t="s">
        <v>13031</v>
      </c>
      <c r="D12278" s="15">
        <v>30.31</v>
      </c>
      <c r="E12278" s="16" t="s">
        <v>30</v>
      </c>
    </row>
    <row r="12279" spans="1:5" x14ac:dyDescent="0.25">
      <c r="A12279" s="14">
        <v>1025652</v>
      </c>
      <c r="B12279" s="14" t="s">
        <v>12378</v>
      </c>
      <c r="C12279" s="14" t="s">
        <v>13029</v>
      </c>
      <c r="D12279" s="15">
        <v>23.67</v>
      </c>
      <c r="E12279" s="16" t="s">
        <v>30</v>
      </c>
    </row>
    <row r="12280" spans="1:5" x14ac:dyDescent="0.25">
      <c r="A12280" s="14">
        <v>1025653</v>
      </c>
      <c r="B12280" s="14" t="s">
        <v>12379</v>
      </c>
      <c r="C12280" s="14" t="s">
        <v>13029</v>
      </c>
      <c r="D12280" s="15">
        <v>23.67</v>
      </c>
      <c r="E12280" s="16" t="s">
        <v>30</v>
      </c>
    </row>
    <row r="12281" spans="1:5" x14ac:dyDescent="0.25">
      <c r="A12281" s="14">
        <v>1025654</v>
      </c>
      <c r="B12281" s="14" t="s">
        <v>12380</v>
      </c>
      <c r="C12281" s="14" t="s">
        <v>13029</v>
      </c>
      <c r="D12281" s="15">
        <v>23.67</v>
      </c>
      <c r="E12281" s="16" t="s">
        <v>30</v>
      </c>
    </row>
    <row r="12282" spans="1:5" x14ac:dyDescent="0.25">
      <c r="A12282" s="14">
        <v>1025853</v>
      </c>
      <c r="B12282" s="14" t="s">
        <v>12381</v>
      </c>
      <c r="C12282" s="14" t="s">
        <v>13031</v>
      </c>
      <c r="D12282" s="15">
        <v>18.72</v>
      </c>
      <c r="E12282" s="16" t="s">
        <v>30</v>
      </c>
    </row>
    <row r="12283" spans="1:5" x14ac:dyDescent="0.25">
      <c r="A12283" s="14">
        <v>1025854</v>
      </c>
      <c r="B12283" s="14" t="s">
        <v>12382</v>
      </c>
      <c r="C12283" s="14" t="s">
        <v>13031</v>
      </c>
      <c r="D12283" s="15">
        <v>18.72</v>
      </c>
      <c r="E12283" s="16" t="s">
        <v>30</v>
      </c>
    </row>
    <row r="12284" spans="1:5" x14ac:dyDescent="0.25">
      <c r="A12284" s="14">
        <v>1026511</v>
      </c>
      <c r="B12284" s="14" t="s">
        <v>12383</v>
      </c>
      <c r="C12284" s="14" t="s">
        <v>13031</v>
      </c>
      <c r="D12284" s="15">
        <v>13.5</v>
      </c>
      <c r="E12284" s="16" t="s">
        <v>30</v>
      </c>
    </row>
    <row r="12285" spans="1:5" x14ac:dyDescent="0.25">
      <c r="A12285" s="14">
        <v>1022074004</v>
      </c>
      <c r="B12285" s="14" t="s">
        <v>12384</v>
      </c>
      <c r="C12285" s="14" t="s">
        <v>13030</v>
      </c>
      <c r="D12285" s="15">
        <v>38.979999999999997</v>
      </c>
      <c r="E12285" s="14" t="s">
        <v>30</v>
      </c>
    </row>
    <row r="12286" spans="1:5" x14ac:dyDescent="0.25">
      <c r="A12286" s="14">
        <v>3388</v>
      </c>
      <c r="B12286" s="14" t="s">
        <v>12385</v>
      </c>
      <c r="C12286" s="14" t="s">
        <v>13031</v>
      </c>
      <c r="D12286" s="15">
        <v>4.5</v>
      </c>
      <c r="E12286" s="14" t="s">
        <v>30</v>
      </c>
    </row>
    <row r="12287" spans="1:5" x14ac:dyDescent="0.25">
      <c r="A12287" s="14">
        <v>29786</v>
      </c>
      <c r="B12287" s="14" t="s">
        <v>12386</v>
      </c>
      <c r="C12287" s="14" t="s">
        <v>13031</v>
      </c>
      <c r="D12287" s="15">
        <v>8.4</v>
      </c>
      <c r="E12287" s="14" t="s">
        <v>30</v>
      </c>
    </row>
    <row r="12288" spans="1:5" x14ac:dyDescent="0.25">
      <c r="A12288" s="14">
        <v>1022835</v>
      </c>
      <c r="B12288" s="14" t="s">
        <v>12387</v>
      </c>
      <c r="C12288" s="14" t="s">
        <v>13030</v>
      </c>
      <c r="D12288" s="15">
        <v>135.43</v>
      </c>
      <c r="E12288" s="14" t="s">
        <v>30</v>
      </c>
    </row>
    <row r="12289" spans="1:5" x14ac:dyDescent="0.25">
      <c r="A12289" s="14">
        <v>1022845</v>
      </c>
      <c r="B12289" s="14" t="s">
        <v>12388</v>
      </c>
      <c r="C12289" s="14" t="s">
        <v>13030</v>
      </c>
      <c r="D12289" s="15">
        <v>201.46</v>
      </c>
      <c r="E12289" s="14" t="s">
        <v>30</v>
      </c>
    </row>
    <row r="12290" spans="1:5" x14ac:dyDescent="0.25">
      <c r="A12290" s="14">
        <v>1023463</v>
      </c>
      <c r="B12290" s="14" t="s">
        <v>12389</v>
      </c>
      <c r="C12290" s="14" t="s">
        <v>13030</v>
      </c>
      <c r="D12290" s="15">
        <v>57.01</v>
      </c>
      <c r="E12290" s="14" t="s">
        <v>20</v>
      </c>
    </row>
    <row r="12291" spans="1:5" x14ac:dyDescent="0.25">
      <c r="A12291" s="14">
        <v>1023464</v>
      </c>
      <c r="B12291" s="14" t="s">
        <v>12390</v>
      </c>
      <c r="C12291" s="14" t="s">
        <v>13030</v>
      </c>
      <c r="D12291" s="15">
        <v>57.01</v>
      </c>
      <c r="E12291" s="14" t="s">
        <v>20</v>
      </c>
    </row>
    <row r="12292" spans="1:5" x14ac:dyDescent="0.25">
      <c r="A12292" s="14">
        <v>1024549</v>
      </c>
      <c r="B12292" s="14" t="s">
        <v>12391</v>
      </c>
      <c r="C12292" s="14" t="s">
        <v>13030</v>
      </c>
      <c r="D12292" s="15">
        <v>57.17</v>
      </c>
      <c r="E12292" s="14" t="s">
        <v>30</v>
      </c>
    </row>
    <row r="12293" spans="1:5" x14ac:dyDescent="0.25">
      <c r="A12293" s="14">
        <v>1024550</v>
      </c>
      <c r="B12293" s="14" t="s">
        <v>12392</v>
      </c>
      <c r="C12293" s="14" t="s">
        <v>13030</v>
      </c>
      <c r="D12293" s="15">
        <v>57.17</v>
      </c>
      <c r="E12293" s="14" t="s">
        <v>30</v>
      </c>
    </row>
    <row r="12294" spans="1:5" x14ac:dyDescent="0.25">
      <c r="A12294" s="14">
        <v>1025904</v>
      </c>
      <c r="B12294" s="14" t="s">
        <v>12393</v>
      </c>
      <c r="C12294" s="14" t="s">
        <v>13030</v>
      </c>
      <c r="D12294" s="15">
        <v>59.32</v>
      </c>
      <c r="E12294" s="14" t="s">
        <v>30</v>
      </c>
    </row>
    <row r="12295" spans="1:5" x14ac:dyDescent="0.25">
      <c r="A12295" s="14">
        <v>1026523</v>
      </c>
      <c r="B12295" s="14" t="s">
        <v>12394</v>
      </c>
      <c r="C12295" s="14" t="s">
        <v>13030</v>
      </c>
      <c r="D12295" s="15">
        <v>11.74</v>
      </c>
      <c r="E12295" s="14" t="s">
        <v>30</v>
      </c>
    </row>
    <row r="12296" spans="1:5" x14ac:dyDescent="0.25">
      <c r="A12296" s="14">
        <v>1026524</v>
      </c>
      <c r="B12296" s="14" t="s">
        <v>12395</v>
      </c>
      <c r="C12296" s="14" t="s">
        <v>13030</v>
      </c>
      <c r="D12296" s="15">
        <v>22.86</v>
      </c>
      <c r="E12296" s="14" t="s">
        <v>30</v>
      </c>
    </row>
    <row r="12297" spans="1:5" x14ac:dyDescent="0.25">
      <c r="A12297" s="14">
        <v>1024262</v>
      </c>
      <c r="B12297" s="14" t="s">
        <v>12396</v>
      </c>
      <c r="C12297" s="14" t="s">
        <v>13031</v>
      </c>
      <c r="D12297" s="15">
        <v>11.9</v>
      </c>
      <c r="E12297" s="14" t="s">
        <v>30</v>
      </c>
    </row>
    <row r="12298" spans="1:5" x14ac:dyDescent="0.25">
      <c r="A12298" s="14">
        <v>1024263</v>
      </c>
      <c r="B12298" s="14" t="s">
        <v>12397</v>
      </c>
      <c r="C12298" s="14" t="s">
        <v>13031</v>
      </c>
      <c r="D12298" s="15">
        <v>3.98</v>
      </c>
      <c r="E12298" s="14" t="s">
        <v>30</v>
      </c>
    </row>
    <row r="12299" spans="1:5" x14ac:dyDescent="0.25">
      <c r="A12299" s="14">
        <v>1024264</v>
      </c>
      <c r="B12299" s="14" t="s">
        <v>12398</v>
      </c>
      <c r="C12299" s="14" t="s">
        <v>13031</v>
      </c>
      <c r="D12299" s="15">
        <v>4.76</v>
      </c>
      <c r="E12299" s="14" t="s">
        <v>30</v>
      </c>
    </row>
    <row r="12300" spans="1:5" x14ac:dyDescent="0.25">
      <c r="A12300" s="14">
        <v>1024265</v>
      </c>
      <c r="B12300" s="14" t="s">
        <v>12399</v>
      </c>
      <c r="C12300" s="14" t="s">
        <v>13031</v>
      </c>
      <c r="D12300" s="15">
        <v>5.0999999999999996</v>
      </c>
      <c r="E12300" s="14" t="s">
        <v>30</v>
      </c>
    </row>
    <row r="12301" spans="1:5" x14ac:dyDescent="0.25">
      <c r="A12301" s="14">
        <v>1024266</v>
      </c>
      <c r="B12301" s="14" t="s">
        <v>12400</v>
      </c>
      <c r="C12301" s="14" t="s">
        <v>13031</v>
      </c>
      <c r="D12301" s="15">
        <v>4.95</v>
      </c>
      <c r="E12301" s="14" t="s">
        <v>30</v>
      </c>
    </row>
    <row r="12302" spans="1:5" x14ac:dyDescent="0.25">
      <c r="A12302" s="14">
        <v>1024267</v>
      </c>
      <c r="B12302" s="14" t="s">
        <v>12401</v>
      </c>
      <c r="C12302" s="14" t="s">
        <v>13031</v>
      </c>
      <c r="D12302" s="15">
        <v>4.95</v>
      </c>
      <c r="E12302" s="14" t="s">
        <v>30</v>
      </c>
    </row>
    <row r="12303" spans="1:5" x14ac:dyDescent="0.25">
      <c r="A12303" s="14">
        <v>1024268</v>
      </c>
      <c r="B12303" s="14" t="s">
        <v>12402</v>
      </c>
      <c r="C12303" s="14" t="s">
        <v>13031</v>
      </c>
      <c r="D12303" s="15">
        <v>6.9</v>
      </c>
      <c r="E12303" s="14" t="s">
        <v>30</v>
      </c>
    </row>
    <row r="12304" spans="1:5" x14ac:dyDescent="0.25">
      <c r="A12304" s="14">
        <v>1024269</v>
      </c>
      <c r="B12304" s="14" t="s">
        <v>12403</v>
      </c>
      <c r="C12304" s="14" t="s">
        <v>13031</v>
      </c>
      <c r="D12304" s="15">
        <v>3.3</v>
      </c>
      <c r="E12304" s="14" t="s">
        <v>30</v>
      </c>
    </row>
    <row r="12305" spans="1:5" x14ac:dyDescent="0.25">
      <c r="A12305" s="14">
        <v>1024270</v>
      </c>
      <c r="B12305" s="14" t="s">
        <v>12404</v>
      </c>
      <c r="C12305" s="14" t="s">
        <v>13031</v>
      </c>
      <c r="D12305" s="15">
        <v>5.7</v>
      </c>
      <c r="E12305" s="14" t="s">
        <v>30</v>
      </c>
    </row>
    <row r="12306" spans="1:5" x14ac:dyDescent="0.25">
      <c r="A12306" s="14">
        <v>1025593</v>
      </c>
      <c r="B12306" s="14" t="s">
        <v>12405</v>
      </c>
      <c r="C12306" s="14" t="s">
        <v>13031</v>
      </c>
      <c r="D12306" s="15">
        <v>14.56</v>
      </c>
      <c r="E12306" s="14" t="s">
        <v>30</v>
      </c>
    </row>
    <row r="12307" spans="1:5" x14ac:dyDescent="0.25">
      <c r="A12307" s="14">
        <v>1025594</v>
      </c>
      <c r="B12307" s="14" t="s">
        <v>12406</v>
      </c>
      <c r="C12307" s="14" t="s">
        <v>13031</v>
      </c>
      <c r="D12307" s="15">
        <v>14.56</v>
      </c>
      <c r="E12307" s="14" t="s">
        <v>30</v>
      </c>
    </row>
    <row r="12308" spans="1:5" x14ac:dyDescent="0.25">
      <c r="A12308" s="14">
        <v>1025595</v>
      </c>
      <c r="B12308" s="14" t="s">
        <v>12407</v>
      </c>
      <c r="C12308" s="14" t="s">
        <v>13031</v>
      </c>
      <c r="D12308" s="15">
        <v>19.059999999999999</v>
      </c>
      <c r="E12308" s="14" t="s">
        <v>30</v>
      </c>
    </row>
    <row r="12309" spans="1:5" x14ac:dyDescent="0.25">
      <c r="A12309" s="14">
        <v>1015951</v>
      </c>
      <c r="B12309" s="14" t="s">
        <v>12408</v>
      </c>
      <c r="C12309" s="14" t="s">
        <v>13029</v>
      </c>
      <c r="D12309" s="15">
        <v>8.8000000000000007</v>
      </c>
      <c r="E12309" s="14" t="s">
        <v>30</v>
      </c>
    </row>
    <row r="12310" spans="1:5" x14ac:dyDescent="0.25">
      <c r="A12310" s="14">
        <v>1022831</v>
      </c>
      <c r="B12310" s="14" t="s">
        <v>12409</v>
      </c>
      <c r="C12310" s="14" t="s">
        <v>13030</v>
      </c>
      <c r="D12310" s="15">
        <v>165.58</v>
      </c>
      <c r="E12310" s="14" t="s">
        <v>30</v>
      </c>
    </row>
    <row r="12311" spans="1:5" x14ac:dyDescent="0.25">
      <c r="A12311" s="14">
        <v>1023781</v>
      </c>
      <c r="B12311" s="14" t="s">
        <v>12410</v>
      </c>
      <c r="C12311" s="14" t="s">
        <v>13031</v>
      </c>
      <c r="D12311" s="15">
        <v>13.02</v>
      </c>
      <c r="E12311" s="14" t="s">
        <v>20</v>
      </c>
    </row>
    <row r="12312" spans="1:5" x14ac:dyDescent="0.25">
      <c r="A12312" s="14">
        <v>1024558</v>
      </c>
      <c r="B12312" s="14" t="s">
        <v>12411</v>
      </c>
      <c r="C12312" s="14" t="s">
        <v>13029</v>
      </c>
      <c r="D12312" s="15">
        <v>18.89</v>
      </c>
      <c r="E12312" s="14" t="s">
        <v>30</v>
      </c>
    </row>
    <row r="12313" spans="1:5" x14ac:dyDescent="0.25">
      <c r="A12313" s="14">
        <v>1024559</v>
      </c>
      <c r="B12313" s="14" t="s">
        <v>12412</v>
      </c>
      <c r="C12313" s="14" t="s">
        <v>13029</v>
      </c>
      <c r="D12313" s="15">
        <v>18.89</v>
      </c>
      <c r="E12313" s="14" t="s">
        <v>30</v>
      </c>
    </row>
    <row r="12314" spans="1:5" x14ac:dyDescent="0.25">
      <c r="A12314" s="14">
        <v>1024560</v>
      </c>
      <c r="B12314" s="14" t="s">
        <v>12413</v>
      </c>
      <c r="C12314" s="14" t="s">
        <v>13029</v>
      </c>
      <c r="D12314" s="15">
        <v>18.89</v>
      </c>
      <c r="E12314" s="14" t="s">
        <v>30</v>
      </c>
    </row>
    <row r="12315" spans="1:5" x14ac:dyDescent="0.25">
      <c r="A12315" s="14">
        <v>1024561</v>
      </c>
      <c r="B12315" s="14" t="s">
        <v>12414</v>
      </c>
      <c r="C12315" s="14" t="s">
        <v>13029</v>
      </c>
      <c r="D12315" s="15">
        <v>18.89</v>
      </c>
      <c r="E12315" s="14" t="s">
        <v>30</v>
      </c>
    </row>
    <row r="12316" spans="1:5" x14ac:dyDescent="0.25">
      <c r="A12316" s="14">
        <v>1024562</v>
      </c>
      <c r="B12316" s="14" t="s">
        <v>12415</v>
      </c>
      <c r="C12316" s="14" t="s">
        <v>13029</v>
      </c>
      <c r="D12316" s="15">
        <v>18.89</v>
      </c>
      <c r="E12316" s="14" t="s">
        <v>30</v>
      </c>
    </row>
    <row r="12317" spans="1:5" x14ac:dyDescent="0.25">
      <c r="A12317" s="14">
        <v>1024563</v>
      </c>
      <c r="B12317" s="14" t="s">
        <v>12416</v>
      </c>
      <c r="C12317" s="14" t="s">
        <v>13029</v>
      </c>
      <c r="D12317" s="15">
        <v>18.89</v>
      </c>
      <c r="E12317" s="14" t="s">
        <v>30</v>
      </c>
    </row>
    <row r="12318" spans="1:5" x14ac:dyDescent="0.25">
      <c r="A12318" s="14">
        <v>1024564</v>
      </c>
      <c r="B12318" s="14" t="s">
        <v>12417</v>
      </c>
      <c r="C12318" s="14" t="s">
        <v>13029</v>
      </c>
      <c r="D12318" s="15">
        <v>18.89</v>
      </c>
      <c r="E12318" s="14" t="s">
        <v>30</v>
      </c>
    </row>
    <row r="12319" spans="1:5" x14ac:dyDescent="0.25">
      <c r="A12319" s="14">
        <v>1024565</v>
      </c>
      <c r="B12319" s="14" t="s">
        <v>12418</v>
      </c>
      <c r="C12319" s="14" t="s">
        <v>13029</v>
      </c>
      <c r="D12319" s="15">
        <v>18.89</v>
      </c>
      <c r="E12319" s="14" t="s">
        <v>30</v>
      </c>
    </row>
    <row r="12320" spans="1:5" x14ac:dyDescent="0.25">
      <c r="A12320" s="14">
        <v>1024566</v>
      </c>
      <c r="B12320" s="14" t="s">
        <v>12419</v>
      </c>
      <c r="C12320" s="14" t="s">
        <v>13029</v>
      </c>
      <c r="D12320" s="15">
        <v>18.89</v>
      </c>
      <c r="E12320" s="14" t="s">
        <v>30</v>
      </c>
    </row>
    <row r="12321" spans="1:5" x14ac:dyDescent="0.25">
      <c r="A12321" s="14">
        <v>1024789</v>
      </c>
      <c r="B12321" s="14" t="s">
        <v>12420</v>
      </c>
      <c r="C12321" s="14" t="s">
        <v>13030</v>
      </c>
      <c r="D12321" s="15">
        <v>23.66</v>
      </c>
      <c r="E12321" s="14" t="s">
        <v>30</v>
      </c>
    </row>
    <row r="12322" spans="1:5" x14ac:dyDescent="0.25">
      <c r="A12322" s="14">
        <v>1025978</v>
      </c>
      <c r="B12322" s="14" t="s">
        <v>12421</v>
      </c>
      <c r="C12322" s="14" t="s">
        <v>13029</v>
      </c>
      <c r="D12322" s="15">
        <v>15.03</v>
      </c>
      <c r="E12322" s="14" t="s">
        <v>30</v>
      </c>
    </row>
    <row r="12323" spans="1:5" x14ac:dyDescent="0.25">
      <c r="A12323" s="14">
        <v>1024538</v>
      </c>
      <c r="B12323" s="14" t="s">
        <v>12422</v>
      </c>
      <c r="C12323" s="14" t="s">
        <v>13031</v>
      </c>
      <c r="D12323" s="15">
        <v>12.14</v>
      </c>
      <c r="E12323" s="14" t="s">
        <v>20</v>
      </c>
    </row>
    <row r="12324" spans="1:5" x14ac:dyDescent="0.25">
      <c r="A12324" s="14">
        <v>1024539</v>
      </c>
      <c r="B12324" s="14" t="s">
        <v>12423</v>
      </c>
      <c r="C12324" s="14" t="s">
        <v>13031</v>
      </c>
      <c r="D12324" s="15">
        <v>12.14</v>
      </c>
      <c r="E12324" s="14" t="s">
        <v>20</v>
      </c>
    </row>
    <row r="12325" spans="1:5" x14ac:dyDescent="0.25">
      <c r="A12325" s="14">
        <v>1024317</v>
      </c>
      <c r="B12325" s="14" t="s">
        <v>12424</v>
      </c>
      <c r="C12325" s="14" t="s">
        <v>13030</v>
      </c>
      <c r="D12325" s="15">
        <v>149.08000000000001</v>
      </c>
      <c r="E12325" s="14" t="s">
        <v>20</v>
      </c>
    </row>
    <row r="12326" spans="1:5" x14ac:dyDescent="0.25">
      <c r="A12326" s="14">
        <v>1026691</v>
      </c>
      <c r="B12326" s="14" t="s">
        <v>12425</v>
      </c>
      <c r="C12326" s="14" t="s">
        <v>13030</v>
      </c>
      <c r="D12326" s="15">
        <v>110.99</v>
      </c>
      <c r="E12326" s="14" t="s">
        <v>20</v>
      </c>
    </row>
    <row r="12327" spans="1:5" x14ac:dyDescent="0.25">
      <c r="A12327" s="14">
        <v>1026692</v>
      </c>
      <c r="B12327" s="14" t="s">
        <v>12426</v>
      </c>
      <c r="C12327" s="14" t="s">
        <v>13030</v>
      </c>
      <c r="D12327" s="15">
        <v>90.41</v>
      </c>
      <c r="E12327" s="14" t="s">
        <v>20</v>
      </c>
    </row>
    <row r="12328" spans="1:5" x14ac:dyDescent="0.25">
      <c r="A12328" s="14">
        <v>1022073002</v>
      </c>
      <c r="B12328" s="14" t="s">
        <v>12427</v>
      </c>
      <c r="C12328" s="14" t="s">
        <v>13030</v>
      </c>
      <c r="D12328" s="15">
        <v>15.59</v>
      </c>
      <c r="E12328" s="14" t="s">
        <v>30</v>
      </c>
    </row>
    <row r="12329" spans="1:5" x14ac:dyDescent="0.25">
      <c r="A12329" s="14">
        <v>1023002</v>
      </c>
      <c r="B12329" s="14" t="s">
        <v>12428</v>
      </c>
      <c r="C12329" s="14" t="s">
        <v>13030</v>
      </c>
      <c r="D12329" s="15">
        <v>129.59</v>
      </c>
      <c r="E12329" s="14" t="s">
        <v>30</v>
      </c>
    </row>
    <row r="12330" spans="1:5" x14ac:dyDescent="0.25">
      <c r="A12330" s="14">
        <v>1023003</v>
      </c>
      <c r="B12330" s="14" t="s">
        <v>12429</v>
      </c>
      <c r="C12330" s="14" t="s">
        <v>13030</v>
      </c>
      <c r="D12330" s="15">
        <v>129.59</v>
      </c>
      <c r="E12330" s="14" t="s">
        <v>30</v>
      </c>
    </row>
    <row r="12331" spans="1:5" x14ac:dyDescent="0.25">
      <c r="A12331" s="14">
        <v>1026693</v>
      </c>
      <c r="B12331" s="14" t="s">
        <v>12430</v>
      </c>
      <c r="C12331" s="14" t="s">
        <v>13030</v>
      </c>
      <c r="D12331" s="15">
        <v>100.96</v>
      </c>
      <c r="E12331" s="14" t="s">
        <v>20</v>
      </c>
    </row>
    <row r="12332" spans="1:5" x14ac:dyDescent="0.25">
      <c r="A12332" s="14">
        <v>1026694</v>
      </c>
      <c r="B12332" s="14" t="s">
        <v>12431</v>
      </c>
      <c r="C12332" s="14" t="s">
        <v>13030</v>
      </c>
      <c r="D12332" s="15">
        <v>175.78</v>
      </c>
      <c r="E12332" s="14" t="s">
        <v>20</v>
      </c>
    </row>
    <row r="12333" spans="1:5" x14ac:dyDescent="0.25">
      <c r="A12333" s="14">
        <v>1026517</v>
      </c>
      <c r="B12333" s="14" t="s">
        <v>12432</v>
      </c>
      <c r="C12333" s="14" t="s">
        <v>13030</v>
      </c>
      <c r="D12333" s="15">
        <v>45.31</v>
      </c>
      <c r="E12333" s="14" t="s">
        <v>30</v>
      </c>
    </row>
    <row r="12334" spans="1:5" x14ac:dyDescent="0.25">
      <c r="A12334" s="14">
        <v>1026518</v>
      </c>
      <c r="B12334" s="14" t="s">
        <v>12433</v>
      </c>
      <c r="C12334" s="14" t="s">
        <v>13030</v>
      </c>
      <c r="D12334" s="15">
        <v>74.84</v>
      </c>
      <c r="E12334" s="14" t="s">
        <v>30</v>
      </c>
    </row>
    <row r="12335" spans="1:5" x14ac:dyDescent="0.25">
      <c r="A12335" s="14">
        <v>1026519</v>
      </c>
      <c r="B12335" s="14" t="s">
        <v>12434</v>
      </c>
      <c r="C12335" s="14" t="s">
        <v>13030</v>
      </c>
      <c r="D12335" s="15">
        <v>3.47</v>
      </c>
      <c r="E12335" s="14" t="s">
        <v>30</v>
      </c>
    </row>
    <row r="12336" spans="1:5" x14ac:dyDescent="0.25">
      <c r="A12336" s="14">
        <v>1026520</v>
      </c>
      <c r="B12336" s="14" t="s">
        <v>12435</v>
      </c>
      <c r="C12336" s="14" t="s">
        <v>13030</v>
      </c>
      <c r="D12336" s="15">
        <v>31.2</v>
      </c>
      <c r="E12336" s="14" t="s">
        <v>30</v>
      </c>
    </row>
    <row r="12337" spans="1:5" x14ac:dyDescent="0.25">
      <c r="A12337" s="14">
        <v>1026521</v>
      </c>
      <c r="B12337" s="14" t="s">
        <v>12436</v>
      </c>
      <c r="C12337" s="14" t="s">
        <v>13030</v>
      </c>
      <c r="D12337" s="15">
        <v>31.2</v>
      </c>
      <c r="E12337" s="14" t="s">
        <v>30</v>
      </c>
    </row>
    <row r="12338" spans="1:5" x14ac:dyDescent="0.25">
      <c r="A12338" s="14">
        <v>1026695</v>
      </c>
      <c r="B12338" s="14" t="s">
        <v>12437</v>
      </c>
      <c r="C12338" s="14" t="s">
        <v>13030</v>
      </c>
      <c r="D12338" s="15">
        <v>114.58</v>
      </c>
      <c r="E12338" s="14" t="s">
        <v>20</v>
      </c>
    </row>
    <row r="12339" spans="1:5" x14ac:dyDescent="0.25">
      <c r="A12339" s="14">
        <v>1025607</v>
      </c>
      <c r="B12339" s="14" t="s">
        <v>12438</v>
      </c>
      <c r="C12339" s="14" t="s">
        <v>13030</v>
      </c>
      <c r="D12339" s="15">
        <v>89.96</v>
      </c>
      <c r="E12339" s="14" t="s">
        <v>20</v>
      </c>
    </row>
    <row r="12340" spans="1:5" x14ac:dyDescent="0.25">
      <c r="A12340" s="14">
        <v>1025608</v>
      </c>
      <c r="B12340" s="14" t="s">
        <v>12439</v>
      </c>
      <c r="C12340" s="14" t="s">
        <v>13030</v>
      </c>
      <c r="D12340" s="15">
        <v>144</v>
      </c>
      <c r="E12340" s="14" t="s">
        <v>20</v>
      </c>
    </row>
    <row r="12341" spans="1:5" x14ac:dyDescent="0.25">
      <c r="A12341" s="14">
        <v>496599</v>
      </c>
      <c r="B12341" s="14" t="s">
        <v>12440</v>
      </c>
      <c r="C12341" s="14" t="s">
        <v>13031</v>
      </c>
      <c r="D12341" s="15">
        <v>9.6300000000000008</v>
      </c>
      <c r="E12341" s="14" t="s">
        <v>30</v>
      </c>
    </row>
    <row r="12342" spans="1:5" x14ac:dyDescent="0.25">
      <c r="A12342" s="14">
        <v>716257</v>
      </c>
      <c r="B12342" s="14" t="s">
        <v>12441</v>
      </c>
      <c r="C12342" s="14" t="s">
        <v>13031</v>
      </c>
      <c r="D12342" s="15">
        <v>1.99</v>
      </c>
      <c r="E12342" s="14" t="s">
        <v>30</v>
      </c>
    </row>
    <row r="12343" spans="1:5" x14ac:dyDescent="0.25">
      <c r="A12343" s="14">
        <v>791337</v>
      </c>
      <c r="B12343" s="14" t="s">
        <v>12442</v>
      </c>
      <c r="C12343" s="14" t="s">
        <v>13034</v>
      </c>
      <c r="D12343" s="15">
        <v>41.26</v>
      </c>
      <c r="E12343" s="14" t="s">
        <v>30</v>
      </c>
    </row>
    <row r="12344" spans="1:5" x14ac:dyDescent="0.25">
      <c r="A12344" s="14">
        <v>1024261</v>
      </c>
      <c r="B12344" s="14" t="s">
        <v>12443</v>
      </c>
      <c r="C12344" s="14" t="s">
        <v>13031</v>
      </c>
      <c r="D12344" s="15">
        <v>7.9</v>
      </c>
      <c r="E12344" s="14" t="s">
        <v>30</v>
      </c>
    </row>
    <row r="12345" spans="1:5" x14ac:dyDescent="0.25">
      <c r="A12345" s="14">
        <v>1024748</v>
      </c>
      <c r="B12345" s="14" t="s">
        <v>12444</v>
      </c>
      <c r="C12345" s="14" t="s">
        <v>13029</v>
      </c>
      <c r="D12345" s="15">
        <v>5.45</v>
      </c>
      <c r="E12345" s="14" t="s">
        <v>30</v>
      </c>
    </row>
    <row r="12346" spans="1:5" x14ac:dyDescent="0.25">
      <c r="A12346" s="14">
        <v>1025592</v>
      </c>
      <c r="B12346" s="14" t="s">
        <v>12445</v>
      </c>
      <c r="C12346" s="14" t="s">
        <v>13031</v>
      </c>
      <c r="D12346" s="15">
        <v>7.21</v>
      </c>
      <c r="E12346" s="14" t="s">
        <v>30</v>
      </c>
    </row>
    <row r="12347" spans="1:5" x14ac:dyDescent="0.25">
      <c r="A12347" s="14">
        <v>1025596</v>
      </c>
      <c r="B12347" s="14" t="s">
        <v>12446</v>
      </c>
      <c r="C12347" s="14" t="s">
        <v>13031</v>
      </c>
      <c r="D12347" s="15">
        <v>40</v>
      </c>
      <c r="E12347" s="14" t="s">
        <v>30</v>
      </c>
    </row>
    <row r="12348" spans="1:5" x14ac:dyDescent="0.25">
      <c r="A12348" s="14">
        <v>1026500</v>
      </c>
      <c r="B12348" s="14" t="s">
        <v>12447</v>
      </c>
      <c r="C12348" s="14" t="s">
        <v>13029</v>
      </c>
      <c r="D12348" s="15">
        <v>10.99</v>
      </c>
      <c r="E12348" s="14" t="s">
        <v>30</v>
      </c>
    </row>
    <row r="12349" spans="1:5" x14ac:dyDescent="0.25">
      <c r="A12349" s="14">
        <v>1026625</v>
      </c>
      <c r="B12349" s="14" t="s">
        <v>12448</v>
      </c>
      <c r="C12349" s="14" t="s">
        <v>13031</v>
      </c>
      <c r="D12349" s="15">
        <v>11.9</v>
      </c>
      <c r="E12349" s="14" t="s">
        <v>30</v>
      </c>
    </row>
    <row r="12350" spans="1:5" x14ac:dyDescent="0.25">
      <c r="A12350" s="14">
        <v>1026642</v>
      </c>
      <c r="B12350" s="14" t="s">
        <v>12449</v>
      </c>
      <c r="C12350" s="14" t="s">
        <v>13031</v>
      </c>
      <c r="D12350" s="15">
        <v>12.71</v>
      </c>
      <c r="E12350" s="14" t="s">
        <v>30</v>
      </c>
    </row>
    <row r="12351" spans="1:5" x14ac:dyDescent="0.25">
      <c r="A12351" s="14">
        <v>1026598</v>
      </c>
      <c r="B12351" s="14" t="s">
        <v>12450</v>
      </c>
      <c r="C12351" s="14" t="s">
        <v>13030</v>
      </c>
      <c r="D12351" s="15">
        <v>68.36</v>
      </c>
      <c r="E12351" s="14" t="s">
        <v>20</v>
      </c>
    </row>
    <row r="12352" spans="1:5" x14ac:dyDescent="0.25">
      <c r="A12352" s="14">
        <v>1026599</v>
      </c>
      <c r="B12352" s="14" t="s">
        <v>12451</v>
      </c>
      <c r="C12352" s="14" t="s">
        <v>13030</v>
      </c>
      <c r="D12352" s="15">
        <v>83.5</v>
      </c>
      <c r="E12352" s="14" t="s">
        <v>20</v>
      </c>
    </row>
    <row r="12353" spans="1:5" x14ac:dyDescent="0.25">
      <c r="A12353" s="14">
        <v>149337</v>
      </c>
      <c r="B12353" s="14" t="s">
        <v>12452</v>
      </c>
      <c r="C12353" s="14" t="s">
        <v>13036</v>
      </c>
      <c r="D12353" s="15">
        <v>6.27</v>
      </c>
      <c r="E12353" s="14" t="s">
        <v>30</v>
      </c>
    </row>
    <row r="12354" spans="1:5" x14ac:dyDescent="0.25">
      <c r="A12354" s="14">
        <v>363549</v>
      </c>
      <c r="B12354" s="14" t="s">
        <v>12453</v>
      </c>
      <c r="C12354" s="14" t="s">
        <v>13030</v>
      </c>
      <c r="D12354" s="15">
        <v>21.8</v>
      </c>
      <c r="E12354" s="14" t="s">
        <v>30</v>
      </c>
    </row>
    <row r="12355" spans="1:5" x14ac:dyDescent="0.25">
      <c r="A12355" s="14">
        <v>431331</v>
      </c>
      <c r="B12355" s="14" t="s">
        <v>12454</v>
      </c>
      <c r="C12355" s="14" t="s">
        <v>13030</v>
      </c>
      <c r="D12355" s="15">
        <v>118.08</v>
      </c>
      <c r="E12355" s="14" t="s">
        <v>30</v>
      </c>
    </row>
    <row r="12356" spans="1:5" x14ac:dyDescent="0.25">
      <c r="A12356" s="14">
        <v>1024182</v>
      </c>
      <c r="B12356" s="14" t="s">
        <v>12455</v>
      </c>
      <c r="C12356" s="14" t="s">
        <v>13031</v>
      </c>
      <c r="D12356" s="15">
        <v>8.64</v>
      </c>
      <c r="E12356" s="14" t="s">
        <v>30</v>
      </c>
    </row>
    <row r="12357" spans="1:5" x14ac:dyDescent="0.25">
      <c r="A12357" s="14">
        <v>1024183</v>
      </c>
      <c r="B12357" s="14" t="s">
        <v>12456</v>
      </c>
      <c r="C12357" s="14" t="s">
        <v>13031</v>
      </c>
      <c r="D12357" s="15">
        <v>8.64</v>
      </c>
      <c r="E12357" s="14" t="s">
        <v>30</v>
      </c>
    </row>
    <row r="12358" spans="1:5" x14ac:dyDescent="0.25">
      <c r="A12358" s="14">
        <v>1024184</v>
      </c>
      <c r="B12358" s="14" t="s">
        <v>12457</v>
      </c>
      <c r="C12358" s="14" t="s">
        <v>13031</v>
      </c>
      <c r="D12358" s="15">
        <v>8.64</v>
      </c>
      <c r="E12358" s="14" t="s">
        <v>30</v>
      </c>
    </row>
    <row r="12359" spans="1:5" x14ac:dyDescent="0.25">
      <c r="A12359" s="14">
        <v>1024185</v>
      </c>
      <c r="B12359" s="14" t="s">
        <v>12458</v>
      </c>
      <c r="C12359" s="14" t="s">
        <v>13031</v>
      </c>
      <c r="D12359" s="15">
        <v>14.15</v>
      </c>
      <c r="E12359" s="14" t="s">
        <v>30</v>
      </c>
    </row>
    <row r="12360" spans="1:5" x14ac:dyDescent="0.25">
      <c r="A12360" s="14">
        <v>1025898</v>
      </c>
      <c r="B12360" s="14" t="s">
        <v>12459</v>
      </c>
      <c r="C12360" s="14" t="s">
        <v>13031</v>
      </c>
      <c r="D12360" s="15">
        <v>5.69</v>
      </c>
      <c r="E12360" s="14" t="s">
        <v>30</v>
      </c>
    </row>
    <row r="12361" spans="1:5" x14ac:dyDescent="0.25">
      <c r="A12361" s="14">
        <v>1025899</v>
      </c>
      <c r="B12361" s="14" t="s">
        <v>12460</v>
      </c>
      <c r="C12361" s="14" t="s">
        <v>13031</v>
      </c>
      <c r="D12361" s="15">
        <v>5.69</v>
      </c>
      <c r="E12361" s="14" t="s">
        <v>30</v>
      </c>
    </row>
    <row r="12362" spans="1:5" x14ac:dyDescent="0.25">
      <c r="A12362" s="14">
        <v>1026492</v>
      </c>
      <c r="B12362" s="14" t="s">
        <v>12461</v>
      </c>
      <c r="C12362" s="14" t="s">
        <v>13029</v>
      </c>
      <c r="D12362" s="15">
        <v>15.14</v>
      </c>
      <c r="E12362" s="14" t="s">
        <v>30</v>
      </c>
    </row>
    <row r="12363" spans="1:5" x14ac:dyDescent="0.25">
      <c r="A12363" s="14">
        <v>1026640</v>
      </c>
      <c r="B12363" s="14" t="s">
        <v>12462</v>
      </c>
      <c r="C12363" s="14" t="s">
        <v>13029</v>
      </c>
      <c r="D12363" s="15">
        <v>14.77</v>
      </c>
      <c r="E12363" s="14" t="s">
        <v>30</v>
      </c>
    </row>
    <row r="12364" spans="1:5" x14ac:dyDescent="0.25">
      <c r="A12364" s="14">
        <v>1026641</v>
      </c>
      <c r="B12364" s="14" t="s">
        <v>12463</v>
      </c>
      <c r="C12364" s="14" t="s">
        <v>13029</v>
      </c>
      <c r="D12364" s="15">
        <v>15.36</v>
      </c>
      <c r="E12364" s="14" t="s">
        <v>30</v>
      </c>
    </row>
    <row r="12365" spans="1:5" x14ac:dyDescent="0.25">
      <c r="A12365" s="14">
        <v>1022073003</v>
      </c>
      <c r="B12365" s="14" t="s">
        <v>12464</v>
      </c>
      <c r="C12365" s="14" t="s">
        <v>13030</v>
      </c>
      <c r="D12365" s="15">
        <v>15.59</v>
      </c>
      <c r="E12365" s="14" t="s">
        <v>30</v>
      </c>
    </row>
    <row r="12366" spans="1:5" x14ac:dyDescent="0.25">
      <c r="A12366" s="14">
        <v>1022074001</v>
      </c>
      <c r="B12366" s="14" t="s">
        <v>12465</v>
      </c>
      <c r="C12366" s="14" t="s">
        <v>13030</v>
      </c>
      <c r="D12366" s="15">
        <v>38.979999999999997</v>
      </c>
      <c r="E12366" s="14" t="s">
        <v>30</v>
      </c>
    </row>
    <row r="12367" spans="1:5" x14ac:dyDescent="0.25">
      <c r="A12367" s="14">
        <v>1022074002</v>
      </c>
      <c r="B12367" s="14" t="s">
        <v>12466</v>
      </c>
      <c r="C12367" s="14" t="s">
        <v>13030</v>
      </c>
      <c r="D12367" s="15">
        <v>38.979999999999997</v>
      </c>
      <c r="E12367" s="14" t="s">
        <v>30</v>
      </c>
    </row>
    <row r="12368" spans="1:5" x14ac:dyDescent="0.25">
      <c r="A12368" s="14">
        <v>1022074003</v>
      </c>
      <c r="B12368" s="14" t="s">
        <v>12467</v>
      </c>
      <c r="C12368" s="14" t="s">
        <v>13030</v>
      </c>
      <c r="D12368" s="15">
        <v>38.979999999999997</v>
      </c>
      <c r="E12368" s="14" t="s">
        <v>30</v>
      </c>
    </row>
    <row r="12369" spans="1:5" x14ac:dyDescent="0.25">
      <c r="A12369" s="14">
        <v>376510</v>
      </c>
      <c r="B12369" s="14" t="s">
        <v>12468</v>
      </c>
      <c r="C12369" s="14" t="s">
        <v>13029</v>
      </c>
      <c r="D12369" s="15">
        <v>14.03</v>
      </c>
      <c r="E12369" s="14" t="s">
        <v>30</v>
      </c>
    </row>
    <row r="12370" spans="1:5" x14ac:dyDescent="0.25">
      <c r="A12370" s="14">
        <v>1019509</v>
      </c>
      <c r="B12370" s="14" t="s">
        <v>12469</v>
      </c>
      <c r="C12370" s="14" t="s">
        <v>13031</v>
      </c>
      <c r="D12370" s="15">
        <v>8.24</v>
      </c>
      <c r="E12370" s="14" t="s">
        <v>30</v>
      </c>
    </row>
    <row r="12371" spans="1:5" x14ac:dyDescent="0.25">
      <c r="A12371" s="14">
        <v>1023831</v>
      </c>
      <c r="B12371" s="14" t="s">
        <v>12470</v>
      </c>
      <c r="C12371" s="14" t="s">
        <v>13029</v>
      </c>
      <c r="D12371" s="15">
        <v>23.72</v>
      </c>
      <c r="E12371" s="14" t="s">
        <v>30</v>
      </c>
    </row>
    <row r="12372" spans="1:5" x14ac:dyDescent="0.25">
      <c r="A12372" s="14">
        <v>1023832</v>
      </c>
      <c r="B12372" s="14" t="s">
        <v>12471</v>
      </c>
      <c r="C12372" s="14" t="s">
        <v>13029</v>
      </c>
      <c r="D12372" s="15">
        <v>41.42</v>
      </c>
      <c r="E12372" s="14" t="s">
        <v>30</v>
      </c>
    </row>
    <row r="12373" spans="1:5" x14ac:dyDescent="0.25">
      <c r="A12373" s="14">
        <v>1023833</v>
      </c>
      <c r="B12373" s="14" t="s">
        <v>12472</v>
      </c>
      <c r="C12373" s="14" t="s">
        <v>13029</v>
      </c>
      <c r="D12373" s="15">
        <v>41.42</v>
      </c>
      <c r="E12373" s="14" t="s">
        <v>30</v>
      </c>
    </row>
    <row r="12374" spans="1:5" x14ac:dyDescent="0.25">
      <c r="A12374" s="14">
        <v>1024747</v>
      </c>
      <c r="B12374" s="14" t="s">
        <v>12473</v>
      </c>
      <c r="C12374" s="14" t="s">
        <v>13029</v>
      </c>
      <c r="D12374" s="15">
        <v>5.45</v>
      </c>
      <c r="E12374" s="14" t="s">
        <v>30</v>
      </c>
    </row>
    <row r="12375" spans="1:5" x14ac:dyDescent="0.25">
      <c r="A12375" s="14">
        <v>1024832</v>
      </c>
      <c r="B12375" s="14" t="s">
        <v>12474</v>
      </c>
      <c r="C12375" s="14" t="s">
        <v>13029</v>
      </c>
      <c r="D12375" s="15">
        <v>25.5</v>
      </c>
      <c r="E12375" s="14" t="s">
        <v>30</v>
      </c>
    </row>
    <row r="12376" spans="1:5" x14ac:dyDescent="0.25">
      <c r="A12376" s="14">
        <v>1024833</v>
      </c>
      <c r="B12376" s="14" t="s">
        <v>12475</v>
      </c>
      <c r="C12376" s="14" t="s">
        <v>13029</v>
      </c>
      <c r="D12376" s="15">
        <v>40.68</v>
      </c>
      <c r="E12376" s="14" t="s">
        <v>30</v>
      </c>
    </row>
    <row r="12377" spans="1:5" x14ac:dyDescent="0.25">
      <c r="A12377" s="14">
        <v>1024991</v>
      </c>
      <c r="B12377" s="14" t="s">
        <v>12476</v>
      </c>
      <c r="C12377" s="14" t="s">
        <v>13033</v>
      </c>
      <c r="D12377" s="15">
        <v>13</v>
      </c>
      <c r="E12377" s="14" t="s">
        <v>30</v>
      </c>
    </row>
    <row r="12378" spans="1:5" x14ac:dyDescent="0.25">
      <c r="A12378" s="14">
        <v>59618003</v>
      </c>
      <c r="B12378" s="14" t="s">
        <v>12477</v>
      </c>
      <c r="C12378" s="14" t="s">
        <v>13029</v>
      </c>
      <c r="D12378" s="15">
        <v>16.23</v>
      </c>
      <c r="E12378" s="14" t="s">
        <v>30</v>
      </c>
    </row>
    <row r="12379" spans="1:5" x14ac:dyDescent="0.25">
      <c r="A12379" s="14">
        <v>1024863001</v>
      </c>
      <c r="B12379" s="14" t="s">
        <v>12478</v>
      </c>
      <c r="C12379" s="14" t="s">
        <v>13030</v>
      </c>
      <c r="D12379" s="15">
        <v>4.49</v>
      </c>
      <c r="E12379" s="14" t="s">
        <v>30</v>
      </c>
    </row>
    <row r="12380" spans="1:5" x14ac:dyDescent="0.25">
      <c r="A12380" s="14">
        <v>1024863002</v>
      </c>
      <c r="B12380" s="14" t="s">
        <v>89</v>
      </c>
      <c r="C12380" s="14" t="s">
        <v>13030</v>
      </c>
      <c r="D12380" s="15">
        <v>4.49</v>
      </c>
      <c r="E12380" s="14" t="s">
        <v>30</v>
      </c>
    </row>
    <row r="12381" spans="1:5" x14ac:dyDescent="0.25">
      <c r="A12381" s="14">
        <v>1024438</v>
      </c>
      <c r="B12381" s="14" t="s">
        <v>12479</v>
      </c>
      <c r="C12381" s="14" t="s">
        <v>13029</v>
      </c>
      <c r="D12381" s="15">
        <v>45.03</v>
      </c>
      <c r="E12381" s="14" t="s">
        <v>30</v>
      </c>
    </row>
    <row r="12382" spans="1:5" x14ac:dyDescent="0.25">
      <c r="A12382" s="14">
        <v>1024543</v>
      </c>
      <c r="B12382" s="14" t="s">
        <v>12480</v>
      </c>
      <c r="C12382" s="14" t="s">
        <v>13031</v>
      </c>
      <c r="D12382" s="15">
        <v>2.2999999999999998</v>
      </c>
      <c r="E12382" s="14" t="s">
        <v>30</v>
      </c>
    </row>
    <row r="12383" spans="1:5" x14ac:dyDescent="0.25">
      <c r="A12383" s="14">
        <v>215669002</v>
      </c>
      <c r="B12383" s="14" t="s">
        <v>12481</v>
      </c>
      <c r="C12383" s="14" t="s">
        <v>13030</v>
      </c>
      <c r="D12383" s="15">
        <v>83.59</v>
      </c>
      <c r="E12383" s="14" t="s">
        <v>20</v>
      </c>
    </row>
    <row r="12384" spans="1:5" x14ac:dyDescent="0.25">
      <c r="A12384" s="14">
        <v>1026593</v>
      </c>
      <c r="B12384" s="14" t="s">
        <v>12482</v>
      </c>
      <c r="C12384" s="14" t="s">
        <v>13030</v>
      </c>
      <c r="D12384" s="15">
        <v>81.33</v>
      </c>
      <c r="E12384" s="14" t="s">
        <v>20</v>
      </c>
    </row>
    <row r="12385" spans="1:5" x14ac:dyDescent="0.25">
      <c r="A12385" s="14">
        <v>1027557</v>
      </c>
      <c r="B12385" s="14" t="s">
        <v>12483</v>
      </c>
      <c r="C12385" s="14" t="s">
        <v>13031</v>
      </c>
      <c r="D12385" s="15">
        <v>5.21</v>
      </c>
      <c r="E12385" s="14" t="s">
        <v>30</v>
      </c>
    </row>
    <row r="12386" spans="1:5" x14ac:dyDescent="0.25">
      <c r="A12386" s="14">
        <v>1027558</v>
      </c>
      <c r="B12386" s="14" t="s">
        <v>12484</v>
      </c>
      <c r="C12386" s="14" t="s">
        <v>13031</v>
      </c>
      <c r="D12386" s="15">
        <v>4.7699999999999996</v>
      </c>
      <c r="E12386" s="14" t="s">
        <v>30</v>
      </c>
    </row>
    <row r="12387" spans="1:5" x14ac:dyDescent="0.25">
      <c r="A12387" s="14">
        <v>1027559</v>
      </c>
      <c r="B12387" s="14" t="s">
        <v>12485</v>
      </c>
      <c r="C12387" s="14" t="s">
        <v>13031</v>
      </c>
      <c r="D12387" s="15">
        <v>4.7699999999999996</v>
      </c>
      <c r="E12387" s="14" t="s">
        <v>30</v>
      </c>
    </row>
    <row r="12388" spans="1:5" x14ac:dyDescent="0.25">
      <c r="A12388" s="14">
        <v>1027560</v>
      </c>
      <c r="B12388" s="14" t="s">
        <v>12486</v>
      </c>
      <c r="C12388" s="14" t="s">
        <v>13031</v>
      </c>
      <c r="D12388" s="15">
        <v>4.7699999999999996</v>
      </c>
      <c r="E12388" s="14" t="s">
        <v>30</v>
      </c>
    </row>
    <row r="12389" spans="1:5" x14ac:dyDescent="0.25">
      <c r="A12389" s="14">
        <v>1025985</v>
      </c>
      <c r="B12389" s="14" t="s">
        <v>12487</v>
      </c>
      <c r="C12389" s="14" t="s">
        <v>13029</v>
      </c>
      <c r="D12389" s="15">
        <v>27.33</v>
      </c>
      <c r="E12389" s="14" t="s">
        <v>30</v>
      </c>
    </row>
    <row r="12390" spans="1:5" x14ac:dyDescent="0.25">
      <c r="A12390" s="14">
        <v>1024746</v>
      </c>
      <c r="B12390" s="14" t="s">
        <v>12488</v>
      </c>
      <c r="C12390" s="14" t="s">
        <v>13029</v>
      </c>
      <c r="D12390" s="15">
        <v>5.45</v>
      </c>
      <c r="E12390" s="14" t="s">
        <v>30</v>
      </c>
    </row>
    <row r="12391" spans="1:5" x14ac:dyDescent="0.25">
      <c r="A12391" s="14">
        <v>1025900</v>
      </c>
      <c r="B12391" s="14" t="s">
        <v>12489</v>
      </c>
      <c r="C12391" s="14" t="s">
        <v>13031</v>
      </c>
      <c r="D12391" s="15">
        <v>5.69</v>
      </c>
      <c r="E12391" s="14" t="s">
        <v>30</v>
      </c>
    </row>
    <row r="12392" spans="1:5" x14ac:dyDescent="0.25">
      <c r="A12392" s="14">
        <v>1026601</v>
      </c>
      <c r="B12392" s="14" t="s">
        <v>12490</v>
      </c>
      <c r="C12392" s="14" t="s">
        <v>13030</v>
      </c>
      <c r="D12392" s="15">
        <v>27.73</v>
      </c>
      <c r="E12392" s="14" t="s">
        <v>30</v>
      </c>
    </row>
    <row r="12393" spans="1:5" x14ac:dyDescent="0.25">
      <c r="A12393" s="14">
        <v>1026595</v>
      </c>
      <c r="B12393" s="14" t="s">
        <v>12491</v>
      </c>
      <c r="C12393" s="14" t="s">
        <v>13030</v>
      </c>
      <c r="D12393" s="15">
        <v>165.61</v>
      </c>
      <c r="E12393" s="14" t="s">
        <v>20</v>
      </c>
    </row>
    <row r="12394" spans="1:5" x14ac:dyDescent="0.25">
      <c r="A12394" s="14">
        <v>1026596</v>
      </c>
      <c r="B12394" s="14" t="s">
        <v>12492</v>
      </c>
      <c r="C12394" s="14" t="s">
        <v>13030</v>
      </c>
      <c r="D12394" s="15">
        <v>43.15</v>
      </c>
      <c r="E12394" s="14" t="s">
        <v>20</v>
      </c>
    </row>
    <row r="12395" spans="1:5" x14ac:dyDescent="0.25">
      <c r="A12395" s="14">
        <v>1026714</v>
      </c>
      <c r="B12395" s="14" t="s">
        <v>12493</v>
      </c>
      <c r="C12395" s="14" t="s">
        <v>13030</v>
      </c>
      <c r="D12395" s="15">
        <v>83.59</v>
      </c>
      <c r="E12395" s="14" t="s">
        <v>20</v>
      </c>
    </row>
    <row r="12396" spans="1:5" x14ac:dyDescent="0.25">
      <c r="A12396" s="14">
        <v>1026715</v>
      </c>
      <c r="B12396" s="14" t="s">
        <v>12494</v>
      </c>
      <c r="C12396" s="14" t="s">
        <v>13030</v>
      </c>
      <c r="D12396" s="15">
        <v>21.75</v>
      </c>
      <c r="E12396" s="14" t="s">
        <v>20</v>
      </c>
    </row>
    <row r="12397" spans="1:5" x14ac:dyDescent="0.25">
      <c r="A12397" s="14">
        <v>1027082</v>
      </c>
      <c r="B12397" s="14" t="s">
        <v>12495</v>
      </c>
      <c r="C12397" s="14" t="s">
        <v>13031</v>
      </c>
      <c r="D12397" s="15">
        <v>32.6</v>
      </c>
      <c r="E12397" s="14" t="s">
        <v>30</v>
      </c>
    </row>
    <row r="12398" spans="1:5" x14ac:dyDescent="0.25">
      <c r="A12398" s="14">
        <v>1000461</v>
      </c>
      <c r="B12398" s="14" t="s">
        <v>12496</v>
      </c>
      <c r="C12398" s="14" t="s">
        <v>13031</v>
      </c>
      <c r="D12398" s="15">
        <v>29.6</v>
      </c>
      <c r="E12398" s="14" t="s">
        <v>30</v>
      </c>
    </row>
    <row r="12399" spans="1:5" x14ac:dyDescent="0.25">
      <c r="A12399" s="14">
        <v>1002144</v>
      </c>
      <c r="B12399" s="14" t="s">
        <v>12497</v>
      </c>
      <c r="C12399" s="14" t="s">
        <v>13033</v>
      </c>
      <c r="D12399" s="15">
        <v>12.88</v>
      </c>
      <c r="E12399" s="14" t="s">
        <v>30</v>
      </c>
    </row>
    <row r="12400" spans="1:5" x14ac:dyDescent="0.25">
      <c r="A12400" s="14">
        <v>1002147</v>
      </c>
      <c r="B12400" s="14" t="s">
        <v>12498</v>
      </c>
      <c r="C12400" s="14" t="s">
        <v>13033</v>
      </c>
      <c r="D12400" s="15">
        <v>12.88</v>
      </c>
      <c r="E12400" s="14" t="s">
        <v>30</v>
      </c>
    </row>
    <row r="12401" spans="1:5" x14ac:dyDescent="0.25">
      <c r="A12401" s="14">
        <v>1002149</v>
      </c>
      <c r="B12401" s="14" t="s">
        <v>12499</v>
      </c>
      <c r="C12401" s="14" t="s">
        <v>13033</v>
      </c>
      <c r="D12401" s="15">
        <v>9.32</v>
      </c>
      <c r="E12401" s="14" t="s">
        <v>30</v>
      </c>
    </row>
    <row r="12402" spans="1:5" x14ac:dyDescent="0.25">
      <c r="A12402" s="14">
        <v>1002152</v>
      </c>
      <c r="B12402" s="14" t="s">
        <v>12500</v>
      </c>
      <c r="C12402" s="14" t="s">
        <v>13033</v>
      </c>
      <c r="D12402" s="15">
        <v>9.32</v>
      </c>
      <c r="E12402" s="14" t="s">
        <v>30</v>
      </c>
    </row>
    <row r="12403" spans="1:5" x14ac:dyDescent="0.25">
      <c r="A12403" s="14">
        <v>1002153</v>
      </c>
      <c r="B12403" s="14" t="s">
        <v>12501</v>
      </c>
      <c r="C12403" s="14" t="s">
        <v>13033</v>
      </c>
      <c r="D12403" s="15">
        <v>28.81</v>
      </c>
      <c r="E12403" s="14" t="s">
        <v>30</v>
      </c>
    </row>
    <row r="12404" spans="1:5" x14ac:dyDescent="0.25">
      <c r="A12404" s="14">
        <v>1002154</v>
      </c>
      <c r="B12404" s="14" t="s">
        <v>12502</v>
      </c>
      <c r="C12404" s="14" t="s">
        <v>13033</v>
      </c>
      <c r="D12404" s="15">
        <v>9.32</v>
      </c>
      <c r="E12404" s="14" t="s">
        <v>30</v>
      </c>
    </row>
    <row r="12405" spans="1:5" x14ac:dyDescent="0.25">
      <c r="A12405" s="14">
        <v>1023728</v>
      </c>
      <c r="B12405" s="14" t="s">
        <v>12503</v>
      </c>
      <c r="C12405" s="14" t="s">
        <v>13031</v>
      </c>
      <c r="D12405" s="15">
        <v>2.73</v>
      </c>
      <c r="E12405" s="14" t="s">
        <v>30</v>
      </c>
    </row>
    <row r="12406" spans="1:5" x14ac:dyDescent="0.25">
      <c r="A12406" s="14">
        <v>1025014</v>
      </c>
      <c r="B12406" s="14" t="s">
        <v>12504</v>
      </c>
      <c r="C12406" s="14" t="s">
        <v>13031</v>
      </c>
      <c r="D12406" s="15">
        <v>2.94</v>
      </c>
      <c r="E12406" s="14" t="s">
        <v>30</v>
      </c>
    </row>
    <row r="12407" spans="1:5" x14ac:dyDescent="0.25">
      <c r="A12407" s="14">
        <v>1025591</v>
      </c>
      <c r="B12407" s="14" t="s">
        <v>12505</v>
      </c>
      <c r="C12407" s="14" t="s">
        <v>13031</v>
      </c>
      <c r="D12407" s="15">
        <v>3.8</v>
      </c>
      <c r="E12407" s="14" t="s">
        <v>30</v>
      </c>
    </row>
    <row r="12408" spans="1:5" x14ac:dyDescent="0.25">
      <c r="A12408" s="14">
        <v>1026716</v>
      </c>
      <c r="B12408" s="14" t="s">
        <v>12506</v>
      </c>
      <c r="C12408" s="14" t="s">
        <v>13030</v>
      </c>
      <c r="D12408" s="15">
        <v>21.75</v>
      </c>
      <c r="E12408" s="14" t="s">
        <v>20</v>
      </c>
    </row>
    <row r="12409" spans="1:5" x14ac:dyDescent="0.25">
      <c r="A12409" s="14">
        <v>1026631</v>
      </c>
      <c r="B12409" s="14" t="s">
        <v>12507</v>
      </c>
      <c r="C12409" s="14" t="s">
        <v>13029</v>
      </c>
      <c r="D12409" s="15">
        <v>11.85</v>
      </c>
      <c r="E12409" s="14" t="s">
        <v>30</v>
      </c>
    </row>
    <row r="12410" spans="1:5" x14ac:dyDescent="0.25">
      <c r="A12410" s="14">
        <v>1026717</v>
      </c>
      <c r="B12410" s="14" t="s">
        <v>12508</v>
      </c>
      <c r="C12410" s="14" t="s">
        <v>13030</v>
      </c>
      <c r="D12410" s="15">
        <v>10.79</v>
      </c>
      <c r="E12410" s="14" t="s">
        <v>20</v>
      </c>
    </row>
    <row r="12411" spans="1:5" x14ac:dyDescent="0.25">
      <c r="A12411" s="14">
        <v>1026594</v>
      </c>
      <c r="B12411" s="14" t="s">
        <v>12509</v>
      </c>
      <c r="C12411" s="14" t="s">
        <v>13030</v>
      </c>
      <c r="D12411" s="15">
        <v>1152.47</v>
      </c>
      <c r="E12411" s="14" t="s">
        <v>20</v>
      </c>
    </row>
    <row r="12412" spans="1:5" x14ac:dyDescent="0.25">
      <c r="A12412" s="14">
        <v>1025655</v>
      </c>
      <c r="B12412" s="14" t="s">
        <v>12510</v>
      </c>
      <c r="C12412" s="14" t="s">
        <v>13029</v>
      </c>
      <c r="D12412" s="15">
        <v>41.89</v>
      </c>
      <c r="E12412" s="14" t="s">
        <v>30</v>
      </c>
    </row>
    <row r="12413" spans="1:5" x14ac:dyDescent="0.25">
      <c r="A12413" s="14">
        <v>1025656</v>
      </c>
      <c r="B12413" s="14" t="s">
        <v>12511</v>
      </c>
      <c r="C12413" s="14" t="s">
        <v>13029</v>
      </c>
      <c r="D12413" s="15">
        <v>41.89</v>
      </c>
      <c r="E12413" s="14" t="s">
        <v>30</v>
      </c>
    </row>
    <row r="12414" spans="1:5" x14ac:dyDescent="0.25">
      <c r="A12414" s="14">
        <v>1026597</v>
      </c>
      <c r="B12414" s="14" t="s">
        <v>12512</v>
      </c>
      <c r="C12414" s="14" t="s">
        <v>13030</v>
      </c>
      <c r="D12414" s="15">
        <v>68.36</v>
      </c>
      <c r="E12414" s="14" t="s">
        <v>20</v>
      </c>
    </row>
    <row r="12415" spans="1:5" x14ac:dyDescent="0.25">
      <c r="A12415" s="14">
        <v>1027098</v>
      </c>
      <c r="B12415" s="14" t="s">
        <v>12513</v>
      </c>
      <c r="C12415" s="14" t="s">
        <v>13029</v>
      </c>
      <c r="D12415" s="15">
        <v>13.72</v>
      </c>
      <c r="E12415" s="14" t="s">
        <v>30</v>
      </c>
    </row>
    <row r="12416" spans="1:5" x14ac:dyDescent="0.25">
      <c r="A12416" s="14">
        <v>1027099</v>
      </c>
      <c r="B12416" s="14" t="s">
        <v>12514</v>
      </c>
      <c r="C12416" s="14" t="s">
        <v>13029</v>
      </c>
      <c r="D12416" s="15">
        <v>13.72</v>
      </c>
      <c r="E12416" s="14" t="s">
        <v>30</v>
      </c>
    </row>
    <row r="12417" spans="1:5" x14ac:dyDescent="0.25">
      <c r="A12417" s="14">
        <v>1027100</v>
      </c>
      <c r="B12417" s="14" t="s">
        <v>12515</v>
      </c>
      <c r="C12417" s="14" t="s">
        <v>13029</v>
      </c>
      <c r="D12417" s="15">
        <v>13.72</v>
      </c>
      <c r="E12417" s="14" t="s">
        <v>30</v>
      </c>
    </row>
    <row r="12418" spans="1:5" x14ac:dyDescent="0.25">
      <c r="A12418" s="14">
        <v>1027561</v>
      </c>
      <c r="B12418" s="14" t="s">
        <v>12516</v>
      </c>
      <c r="C12418" s="14" t="s">
        <v>13031</v>
      </c>
      <c r="D12418" s="15">
        <v>11.81</v>
      </c>
      <c r="E12418" s="14" t="s">
        <v>30</v>
      </c>
    </row>
    <row r="12419" spans="1:5" x14ac:dyDescent="0.25">
      <c r="A12419" s="14">
        <v>1028229</v>
      </c>
      <c r="B12419" s="14" t="s">
        <v>12517</v>
      </c>
      <c r="C12419" s="14" t="s">
        <v>13031</v>
      </c>
      <c r="D12419" s="15">
        <v>8.01</v>
      </c>
      <c r="E12419" s="14" t="s">
        <v>30</v>
      </c>
    </row>
    <row r="12420" spans="1:5" x14ac:dyDescent="0.25">
      <c r="A12420" s="14">
        <v>1028270</v>
      </c>
      <c r="B12420" s="14" t="s">
        <v>12518</v>
      </c>
      <c r="C12420" s="14" t="s">
        <v>13030</v>
      </c>
      <c r="D12420" s="15">
        <v>24.55</v>
      </c>
      <c r="E12420" s="14" t="s">
        <v>30</v>
      </c>
    </row>
    <row r="12421" spans="1:5" x14ac:dyDescent="0.25">
      <c r="A12421" s="14">
        <v>1028274</v>
      </c>
      <c r="B12421" s="14" t="s">
        <v>12519</v>
      </c>
      <c r="C12421" s="14" t="s">
        <v>13030</v>
      </c>
      <c r="D12421" s="15">
        <v>25.45</v>
      </c>
      <c r="E12421" s="14" t="s">
        <v>30</v>
      </c>
    </row>
    <row r="12422" spans="1:5" x14ac:dyDescent="0.25">
      <c r="A12422" s="14">
        <v>1028275</v>
      </c>
      <c r="B12422" s="14" t="s">
        <v>12520</v>
      </c>
      <c r="C12422" s="14" t="s">
        <v>13030</v>
      </c>
      <c r="D12422" s="15">
        <v>25.45</v>
      </c>
      <c r="E12422" s="14" t="s">
        <v>30</v>
      </c>
    </row>
    <row r="12423" spans="1:5" x14ac:dyDescent="0.25">
      <c r="A12423" s="14">
        <v>1028276</v>
      </c>
      <c r="B12423" s="14" t="s">
        <v>12521</v>
      </c>
      <c r="C12423" s="14" t="s">
        <v>13030</v>
      </c>
      <c r="D12423" s="15">
        <v>31.39</v>
      </c>
      <c r="E12423" s="14" t="s">
        <v>30</v>
      </c>
    </row>
    <row r="12424" spans="1:5" x14ac:dyDescent="0.25">
      <c r="A12424" s="14">
        <v>1026967</v>
      </c>
      <c r="B12424" s="14" t="s">
        <v>12522</v>
      </c>
      <c r="C12424" s="14" t="s">
        <v>13031</v>
      </c>
      <c r="D12424" s="15">
        <v>6.8</v>
      </c>
      <c r="E12424" s="14" t="s">
        <v>30</v>
      </c>
    </row>
    <row r="12425" spans="1:5" x14ac:dyDescent="0.25">
      <c r="A12425" s="14">
        <v>1026968</v>
      </c>
      <c r="B12425" s="14" t="s">
        <v>12523</v>
      </c>
      <c r="C12425" s="14" t="s">
        <v>13031</v>
      </c>
      <c r="D12425" s="15">
        <v>8.89</v>
      </c>
      <c r="E12425" s="14" t="s">
        <v>30</v>
      </c>
    </row>
    <row r="12426" spans="1:5" x14ac:dyDescent="0.25">
      <c r="A12426" s="14">
        <v>1026969</v>
      </c>
      <c r="B12426" s="14" t="s">
        <v>12524</v>
      </c>
      <c r="C12426" s="14" t="s">
        <v>13031</v>
      </c>
      <c r="D12426" s="15">
        <v>4.8</v>
      </c>
      <c r="E12426" s="14" t="s">
        <v>30</v>
      </c>
    </row>
    <row r="12427" spans="1:5" x14ac:dyDescent="0.25">
      <c r="A12427" s="14">
        <v>1026970</v>
      </c>
      <c r="B12427" s="14" t="s">
        <v>12525</v>
      </c>
      <c r="C12427" s="14" t="s">
        <v>13031</v>
      </c>
      <c r="D12427" s="15">
        <v>7.98</v>
      </c>
      <c r="E12427" s="14" t="s">
        <v>30</v>
      </c>
    </row>
    <row r="12428" spans="1:5" x14ac:dyDescent="0.25">
      <c r="A12428" s="14">
        <v>1027545</v>
      </c>
      <c r="B12428" s="14" t="s">
        <v>12526</v>
      </c>
      <c r="C12428" s="14" t="s">
        <v>13030</v>
      </c>
      <c r="D12428" s="15">
        <v>17.100000000000001</v>
      </c>
      <c r="E12428" s="14" t="s">
        <v>30</v>
      </c>
    </row>
    <row r="12429" spans="1:5" x14ac:dyDescent="0.25">
      <c r="A12429" s="14">
        <v>1027546</v>
      </c>
      <c r="B12429" s="14" t="s">
        <v>12527</v>
      </c>
      <c r="C12429" s="14" t="s">
        <v>13030</v>
      </c>
      <c r="D12429" s="15">
        <v>79.260000000000005</v>
      </c>
      <c r="E12429" s="14" t="s">
        <v>30</v>
      </c>
    </row>
    <row r="12430" spans="1:5" x14ac:dyDescent="0.25">
      <c r="A12430" s="14">
        <v>1027549</v>
      </c>
      <c r="B12430" s="14" t="s">
        <v>12528</v>
      </c>
      <c r="C12430" s="14" t="s">
        <v>13030</v>
      </c>
      <c r="D12430" s="15">
        <v>55.24</v>
      </c>
      <c r="E12430" s="14" t="s">
        <v>30</v>
      </c>
    </row>
    <row r="12431" spans="1:5" x14ac:dyDescent="0.25">
      <c r="A12431" s="14">
        <v>1027552</v>
      </c>
      <c r="B12431" s="14" t="s">
        <v>12529</v>
      </c>
      <c r="C12431" s="14" t="s">
        <v>13029</v>
      </c>
      <c r="D12431" s="15">
        <v>39.340000000000003</v>
      </c>
      <c r="E12431" s="14" t="s">
        <v>30</v>
      </c>
    </row>
    <row r="12432" spans="1:5" x14ac:dyDescent="0.25">
      <c r="A12432" s="14">
        <v>1027553</v>
      </c>
      <c r="B12432" s="14" t="s">
        <v>12530</v>
      </c>
      <c r="C12432" s="14" t="s">
        <v>13029</v>
      </c>
      <c r="D12432" s="15">
        <v>38.07</v>
      </c>
      <c r="E12432" s="14" t="s">
        <v>30</v>
      </c>
    </row>
    <row r="12433" spans="1:5" x14ac:dyDescent="0.25">
      <c r="A12433" s="14">
        <v>1027554</v>
      </c>
      <c r="B12433" s="14" t="s">
        <v>12531</v>
      </c>
      <c r="C12433" s="14" t="s">
        <v>13029</v>
      </c>
      <c r="D12433" s="15">
        <v>38.07</v>
      </c>
      <c r="E12433" s="14" t="s">
        <v>30</v>
      </c>
    </row>
    <row r="12434" spans="1:5" x14ac:dyDescent="0.25">
      <c r="A12434" s="14">
        <v>1027555</v>
      </c>
      <c r="B12434" s="14" t="s">
        <v>12532</v>
      </c>
      <c r="C12434" s="14" t="s">
        <v>13029</v>
      </c>
      <c r="D12434" s="15">
        <v>38.07</v>
      </c>
      <c r="E12434" s="14" t="s">
        <v>30</v>
      </c>
    </row>
    <row r="12435" spans="1:5" x14ac:dyDescent="0.25">
      <c r="A12435" s="14">
        <v>1028208</v>
      </c>
      <c r="B12435" s="14" t="s">
        <v>12533</v>
      </c>
      <c r="C12435" s="14" t="s">
        <v>13034</v>
      </c>
      <c r="D12435" s="15">
        <v>39.35</v>
      </c>
      <c r="E12435" s="14" t="s">
        <v>30</v>
      </c>
    </row>
    <row r="12436" spans="1:5" x14ac:dyDescent="0.25">
      <c r="A12436" s="14">
        <v>1028209</v>
      </c>
      <c r="B12436" s="14" t="s">
        <v>12534</v>
      </c>
      <c r="C12436" s="14" t="s">
        <v>13034</v>
      </c>
      <c r="D12436" s="15">
        <v>49.86</v>
      </c>
      <c r="E12436" s="14" t="s">
        <v>30</v>
      </c>
    </row>
    <row r="12437" spans="1:5" x14ac:dyDescent="0.25">
      <c r="A12437" s="14">
        <v>1022088</v>
      </c>
      <c r="B12437" s="14" t="s">
        <v>12535</v>
      </c>
      <c r="C12437" s="14" t="s">
        <v>13039</v>
      </c>
      <c r="D12437" s="15">
        <v>41.63</v>
      </c>
      <c r="E12437" s="14" t="s">
        <v>30</v>
      </c>
    </row>
    <row r="12438" spans="1:5" x14ac:dyDescent="0.25">
      <c r="A12438" s="14">
        <v>1026627</v>
      </c>
      <c r="B12438" s="14" t="s">
        <v>12536</v>
      </c>
      <c r="C12438" s="14" t="s">
        <v>13040</v>
      </c>
      <c r="D12438" s="15">
        <v>13.94</v>
      </c>
      <c r="E12438" s="14" t="s">
        <v>30</v>
      </c>
    </row>
    <row r="12439" spans="1:5" x14ac:dyDescent="0.25">
      <c r="A12439" s="14">
        <v>1026628</v>
      </c>
      <c r="B12439" s="14" t="s">
        <v>12537</v>
      </c>
      <c r="C12439" s="14" t="s">
        <v>13041</v>
      </c>
      <c r="D12439" s="15">
        <v>19.87</v>
      </c>
      <c r="E12439" s="14" t="s">
        <v>30</v>
      </c>
    </row>
    <row r="12440" spans="1:5" x14ac:dyDescent="0.25">
      <c r="A12440" s="14">
        <v>1026629</v>
      </c>
      <c r="B12440" s="14" t="s">
        <v>12538</v>
      </c>
      <c r="C12440" s="14" t="s">
        <v>13042</v>
      </c>
      <c r="D12440" s="15">
        <v>13.77</v>
      </c>
      <c r="E12440" s="14" t="s">
        <v>30</v>
      </c>
    </row>
    <row r="12441" spans="1:5" x14ac:dyDescent="0.25">
      <c r="A12441" s="14">
        <v>1027394</v>
      </c>
      <c r="B12441" s="14" t="s">
        <v>12539</v>
      </c>
      <c r="C12441" s="14" t="s">
        <v>13043</v>
      </c>
      <c r="D12441" s="15">
        <v>17.739999999999998</v>
      </c>
      <c r="E12441" s="14" t="s">
        <v>30</v>
      </c>
    </row>
    <row r="12442" spans="1:5" x14ac:dyDescent="0.25">
      <c r="A12442" s="14">
        <v>1027980</v>
      </c>
      <c r="B12442" s="14" t="s">
        <v>12540</v>
      </c>
      <c r="C12442" s="14" t="s">
        <v>13044</v>
      </c>
      <c r="D12442" s="15">
        <v>9.43</v>
      </c>
      <c r="E12442" s="14" t="s">
        <v>30</v>
      </c>
    </row>
    <row r="12443" spans="1:5" x14ac:dyDescent="0.25">
      <c r="A12443" s="14">
        <v>1028227</v>
      </c>
      <c r="B12443" s="14" t="s">
        <v>12541</v>
      </c>
      <c r="C12443" s="14" t="s">
        <v>13045</v>
      </c>
      <c r="D12443" s="15">
        <v>3.31</v>
      </c>
      <c r="E12443" s="14" t="s">
        <v>30</v>
      </c>
    </row>
    <row r="12444" spans="1:5" x14ac:dyDescent="0.25">
      <c r="A12444" s="14">
        <v>1028232</v>
      </c>
      <c r="B12444" s="14" t="s">
        <v>12542</v>
      </c>
      <c r="C12444" s="14" t="s">
        <v>13046</v>
      </c>
      <c r="D12444" s="15">
        <v>25.4</v>
      </c>
      <c r="E12444" s="14" t="s">
        <v>30</v>
      </c>
    </row>
    <row r="12445" spans="1:5" x14ac:dyDescent="0.25">
      <c r="A12445" s="14">
        <v>1028234</v>
      </c>
      <c r="B12445" s="14" t="s">
        <v>12543</v>
      </c>
      <c r="C12445" s="14" t="s">
        <v>13042</v>
      </c>
      <c r="D12445" s="15">
        <v>10.199999999999999</v>
      </c>
      <c r="E12445" s="14" t="s">
        <v>30</v>
      </c>
    </row>
    <row r="12446" spans="1:5" x14ac:dyDescent="0.25">
      <c r="A12446" s="14">
        <v>1027578</v>
      </c>
      <c r="B12446" s="14" t="s">
        <v>12544</v>
      </c>
      <c r="C12446" s="14" t="s">
        <v>13030</v>
      </c>
      <c r="D12446" s="15">
        <v>34.9</v>
      </c>
      <c r="E12446" s="14" t="s">
        <v>30</v>
      </c>
    </row>
    <row r="12447" spans="1:5" x14ac:dyDescent="0.25">
      <c r="A12447" s="14">
        <v>1028593</v>
      </c>
      <c r="B12447" s="14" t="s">
        <v>12545</v>
      </c>
      <c r="C12447" s="14" t="s">
        <v>13031</v>
      </c>
      <c r="D12447" s="15">
        <v>5.66</v>
      </c>
      <c r="E12447" s="14" t="s">
        <v>30</v>
      </c>
    </row>
    <row r="12448" spans="1:5" x14ac:dyDescent="0.25">
      <c r="A12448" s="14">
        <v>1028594</v>
      </c>
      <c r="B12448" s="14" t="s">
        <v>12546</v>
      </c>
      <c r="C12448" s="14" t="s">
        <v>13031</v>
      </c>
      <c r="D12448" s="15">
        <v>5.43</v>
      </c>
      <c r="E12448" s="14" t="s">
        <v>30</v>
      </c>
    </row>
    <row r="12449" spans="1:5" x14ac:dyDescent="0.25">
      <c r="A12449" s="14">
        <v>164417</v>
      </c>
      <c r="B12449" s="14" t="s">
        <v>12547</v>
      </c>
      <c r="C12449" s="14" t="s">
        <v>13031</v>
      </c>
      <c r="D12449" s="15">
        <v>8.6</v>
      </c>
      <c r="E12449" s="14" t="s">
        <v>30</v>
      </c>
    </row>
    <row r="12450" spans="1:5" x14ac:dyDescent="0.25">
      <c r="A12450" s="14">
        <v>984684</v>
      </c>
      <c r="B12450" s="14" t="s">
        <v>12548</v>
      </c>
      <c r="C12450" s="14" t="s">
        <v>13033</v>
      </c>
      <c r="D12450" s="15">
        <v>17.02</v>
      </c>
      <c r="E12450" s="14" t="s">
        <v>30</v>
      </c>
    </row>
    <row r="12451" spans="1:5" x14ac:dyDescent="0.25">
      <c r="A12451" s="14">
        <v>1025868</v>
      </c>
      <c r="B12451" s="14" t="s">
        <v>12549</v>
      </c>
      <c r="C12451" s="14" t="s">
        <v>13031</v>
      </c>
      <c r="D12451" s="15">
        <v>8.84</v>
      </c>
      <c r="E12451" s="14" t="s">
        <v>30</v>
      </c>
    </row>
    <row r="12452" spans="1:5" x14ac:dyDescent="0.25">
      <c r="A12452" s="14">
        <v>1025869</v>
      </c>
      <c r="B12452" s="14" t="s">
        <v>12550</v>
      </c>
      <c r="C12452" s="14" t="s">
        <v>13031</v>
      </c>
      <c r="D12452" s="15">
        <v>11.21</v>
      </c>
      <c r="E12452" s="14" t="s">
        <v>30</v>
      </c>
    </row>
    <row r="12453" spans="1:5" x14ac:dyDescent="0.25">
      <c r="A12453" s="14">
        <v>1025870</v>
      </c>
      <c r="B12453" s="14" t="s">
        <v>12551</v>
      </c>
      <c r="C12453" s="14" t="s">
        <v>13031</v>
      </c>
      <c r="D12453" s="15">
        <v>11.21</v>
      </c>
      <c r="E12453" s="14" t="s">
        <v>30</v>
      </c>
    </row>
    <row r="12454" spans="1:5" x14ac:dyDescent="0.25">
      <c r="A12454" s="14">
        <v>1025902</v>
      </c>
      <c r="B12454" s="14" t="s">
        <v>12552</v>
      </c>
      <c r="C12454" s="14" t="s">
        <v>13031</v>
      </c>
      <c r="D12454" s="15">
        <v>9.73</v>
      </c>
      <c r="E12454" s="14" t="s">
        <v>30</v>
      </c>
    </row>
    <row r="12455" spans="1:5" x14ac:dyDescent="0.25">
      <c r="A12455" s="14">
        <v>1025903</v>
      </c>
      <c r="B12455" s="14" t="s">
        <v>12553</v>
      </c>
      <c r="C12455" s="14" t="s">
        <v>13031</v>
      </c>
      <c r="D12455" s="15">
        <v>9.73</v>
      </c>
      <c r="E12455" s="14" t="s">
        <v>30</v>
      </c>
    </row>
    <row r="12456" spans="1:5" x14ac:dyDescent="0.25">
      <c r="A12456" s="14">
        <v>1025916</v>
      </c>
      <c r="B12456" s="14" t="s">
        <v>12554</v>
      </c>
      <c r="C12456" s="14" t="s">
        <v>13029</v>
      </c>
      <c r="D12456" s="15">
        <v>34.11</v>
      </c>
      <c r="E12456" s="14" t="s">
        <v>30</v>
      </c>
    </row>
    <row r="12457" spans="1:5" x14ac:dyDescent="0.25">
      <c r="A12457" s="14">
        <v>1025917</v>
      </c>
      <c r="B12457" s="14" t="s">
        <v>12555</v>
      </c>
      <c r="C12457" s="14" t="s">
        <v>13029</v>
      </c>
      <c r="D12457" s="15">
        <v>28.72</v>
      </c>
      <c r="E12457" s="14" t="s">
        <v>30</v>
      </c>
    </row>
    <row r="12458" spans="1:5" x14ac:dyDescent="0.25">
      <c r="A12458" s="14">
        <v>1025918</v>
      </c>
      <c r="B12458" s="14" t="s">
        <v>12556</v>
      </c>
      <c r="C12458" s="14" t="s">
        <v>13029</v>
      </c>
      <c r="D12458" s="15">
        <v>39.31</v>
      </c>
      <c r="E12458" s="14" t="s">
        <v>30</v>
      </c>
    </row>
    <row r="12459" spans="1:5" x14ac:dyDescent="0.25">
      <c r="A12459" s="14">
        <v>1027085</v>
      </c>
      <c r="B12459" s="14" t="s">
        <v>12557</v>
      </c>
      <c r="C12459" s="14" t="s">
        <v>13031</v>
      </c>
      <c r="D12459" s="15">
        <v>5.76</v>
      </c>
      <c r="E12459" s="14" t="s">
        <v>30</v>
      </c>
    </row>
    <row r="12460" spans="1:5" x14ac:dyDescent="0.25">
      <c r="A12460" s="14">
        <v>1027086</v>
      </c>
      <c r="B12460" s="14" t="s">
        <v>12558</v>
      </c>
      <c r="C12460" s="14" t="s">
        <v>13031</v>
      </c>
      <c r="D12460" s="15">
        <v>7.37</v>
      </c>
      <c r="E12460" s="14" t="s">
        <v>30</v>
      </c>
    </row>
    <row r="12461" spans="1:5" x14ac:dyDescent="0.25">
      <c r="A12461" s="14">
        <v>1027724</v>
      </c>
      <c r="B12461" s="14" t="s">
        <v>12559</v>
      </c>
      <c r="C12461" s="14" t="s">
        <v>13029</v>
      </c>
      <c r="D12461" s="15">
        <v>8.76</v>
      </c>
      <c r="E12461" s="14" t="s">
        <v>30</v>
      </c>
    </row>
    <row r="12462" spans="1:5" x14ac:dyDescent="0.25">
      <c r="A12462" s="14">
        <v>1028269</v>
      </c>
      <c r="B12462" s="14" t="s">
        <v>12560</v>
      </c>
      <c r="C12462" s="14" t="s">
        <v>13030</v>
      </c>
      <c r="D12462" s="15">
        <v>145.36000000000001</v>
      </c>
      <c r="E12462" s="14" t="s">
        <v>30</v>
      </c>
    </row>
    <row r="12463" spans="1:5" x14ac:dyDescent="0.25">
      <c r="A12463" s="14">
        <v>1028454</v>
      </c>
      <c r="B12463" s="14" t="s">
        <v>12561</v>
      </c>
      <c r="C12463" s="14" t="s">
        <v>13031</v>
      </c>
      <c r="D12463" s="15">
        <v>5.87</v>
      </c>
      <c r="E12463" s="14" t="s">
        <v>30</v>
      </c>
    </row>
    <row r="12464" spans="1:5" x14ac:dyDescent="0.25">
      <c r="A12464" s="14">
        <v>1022073001</v>
      </c>
      <c r="B12464" s="14" t="s">
        <v>12562</v>
      </c>
      <c r="C12464" s="14" t="s">
        <v>13030</v>
      </c>
      <c r="D12464" s="15">
        <v>15.59</v>
      </c>
      <c r="E12464" s="14" t="s">
        <v>30</v>
      </c>
    </row>
    <row r="12465" spans="1:5" x14ac:dyDescent="0.25">
      <c r="A12465" s="14">
        <v>496598</v>
      </c>
      <c r="B12465" s="14" t="s">
        <v>12563</v>
      </c>
      <c r="C12465" s="14" t="s">
        <v>13031</v>
      </c>
      <c r="D12465" s="15">
        <v>5.5</v>
      </c>
      <c r="E12465" s="14" t="s">
        <v>30</v>
      </c>
    </row>
    <row r="12466" spans="1:5" x14ac:dyDescent="0.25">
      <c r="A12466" s="14">
        <v>536318</v>
      </c>
      <c r="B12466" s="14" t="s">
        <v>12564</v>
      </c>
      <c r="C12466" s="14" t="s">
        <v>13031</v>
      </c>
      <c r="D12466" s="15">
        <v>5.64</v>
      </c>
      <c r="E12466" s="14" t="s">
        <v>30</v>
      </c>
    </row>
    <row r="12467" spans="1:5" x14ac:dyDescent="0.25">
      <c r="A12467" s="14">
        <v>946424</v>
      </c>
      <c r="B12467" s="14" t="s">
        <v>12565</v>
      </c>
      <c r="C12467" s="14" t="s">
        <v>13029</v>
      </c>
      <c r="D12467" s="15">
        <v>12.4</v>
      </c>
      <c r="E12467" s="14" t="s">
        <v>30</v>
      </c>
    </row>
    <row r="12468" spans="1:5" x14ac:dyDescent="0.25">
      <c r="A12468" s="14">
        <v>946425</v>
      </c>
      <c r="B12468" s="14" t="s">
        <v>12566</v>
      </c>
      <c r="C12468" s="14" t="s">
        <v>13029</v>
      </c>
      <c r="D12468" s="15">
        <v>12.4</v>
      </c>
      <c r="E12468" s="14" t="s">
        <v>30</v>
      </c>
    </row>
    <row r="12469" spans="1:5" x14ac:dyDescent="0.25">
      <c r="A12469" s="14">
        <v>946426</v>
      </c>
      <c r="B12469" s="14" t="s">
        <v>12567</v>
      </c>
      <c r="C12469" s="14" t="s">
        <v>13029</v>
      </c>
      <c r="D12469" s="15">
        <v>12.4</v>
      </c>
      <c r="E12469" s="14" t="s">
        <v>30</v>
      </c>
    </row>
    <row r="12470" spans="1:5" x14ac:dyDescent="0.25">
      <c r="A12470" s="14">
        <v>946427</v>
      </c>
      <c r="B12470" s="14" t="s">
        <v>12568</v>
      </c>
      <c r="C12470" s="14" t="s">
        <v>13029</v>
      </c>
      <c r="D12470" s="15">
        <v>12.4</v>
      </c>
      <c r="E12470" s="14" t="s">
        <v>30</v>
      </c>
    </row>
    <row r="12471" spans="1:5" x14ac:dyDescent="0.25">
      <c r="A12471" s="14">
        <v>1009698</v>
      </c>
      <c r="B12471" s="14" t="s">
        <v>12569</v>
      </c>
      <c r="C12471" s="14" t="s">
        <v>13029</v>
      </c>
      <c r="D12471" s="15">
        <v>3.61</v>
      </c>
      <c r="E12471" s="14" t="s">
        <v>30</v>
      </c>
    </row>
    <row r="12472" spans="1:5" x14ac:dyDescent="0.25">
      <c r="A12472" s="14">
        <v>1009699</v>
      </c>
      <c r="B12472" s="14" t="s">
        <v>12570</v>
      </c>
      <c r="C12472" s="14" t="s">
        <v>13029</v>
      </c>
      <c r="D12472" s="15">
        <v>5.7</v>
      </c>
      <c r="E12472" s="14" t="s">
        <v>30</v>
      </c>
    </row>
    <row r="12473" spans="1:5" x14ac:dyDescent="0.25">
      <c r="A12473" s="14">
        <v>1009700</v>
      </c>
      <c r="B12473" s="14" t="s">
        <v>12571</v>
      </c>
      <c r="C12473" s="14" t="s">
        <v>13029</v>
      </c>
      <c r="D12473" s="15">
        <v>8.36</v>
      </c>
      <c r="E12473" s="14" t="s">
        <v>30</v>
      </c>
    </row>
    <row r="12474" spans="1:5" x14ac:dyDescent="0.25">
      <c r="A12474" s="14">
        <v>1009701</v>
      </c>
      <c r="B12474" s="14" t="s">
        <v>12572</v>
      </c>
      <c r="C12474" s="14" t="s">
        <v>13029</v>
      </c>
      <c r="D12474" s="15">
        <v>8.36</v>
      </c>
      <c r="E12474" s="14" t="s">
        <v>30</v>
      </c>
    </row>
    <row r="12475" spans="1:5" x14ac:dyDescent="0.25">
      <c r="A12475" s="14">
        <v>1022298</v>
      </c>
      <c r="B12475" s="14" t="s">
        <v>12573</v>
      </c>
      <c r="C12475" s="14" t="s">
        <v>13029</v>
      </c>
      <c r="D12475" s="15">
        <v>13.17</v>
      </c>
      <c r="E12475" s="14" t="s">
        <v>30</v>
      </c>
    </row>
    <row r="12476" spans="1:5" x14ac:dyDescent="0.25">
      <c r="A12476" s="14">
        <v>1027029</v>
      </c>
      <c r="B12476" s="14" t="s">
        <v>12574</v>
      </c>
      <c r="C12476" s="14" t="s">
        <v>13030</v>
      </c>
      <c r="D12476" s="15">
        <v>91.36</v>
      </c>
      <c r="E12476" s="14" t="s">
        <v>20</v>
      </c>
    </row>
    <row r="12477" spans="1:5" x14ac:dyDescent="0.25">
      <c r="A12477" s="14">
        <v>1027106</v>
      </c>
      <c r="B12477" s="14" t="s">
        <v>12575</v>
      </c>
      <c r="C12477" s="14" t="s">
        <v>13029</v>
      </c>
      <c r="D12477" s="15">
        <v>22.37</v>
      </c>
      <c r="E12477" s="14" t="s">
        <v>30</v>
      </c>
    </row>
    <row r="12478" spans="1:5" x14ac:dyDescent="0.25">
      <c r="A12478" s="14">
        <v>1028207</v>
      </c>
      <c r="B12478" s="14" t="s">
        <v>12576</v>
      </c>
      <c r="C12478" s="14" t="s">
        <v>13034</v>
      </c>
      <c r="D12478" s="15">
        <v>34.1</v>
      </c>
      <c r="E12478" s="14" t="s">
        <v>30</v>
      </c>
    </row>
    <row r="12479" spans="1:5" x14ac:dyDescent="0.25">
      <c r="A12479" s="14">
        <v>1028312</v>
      </c>
      <c r="B12479" s="14" t="s">
        <v>12577</v>
      </c>
      <c r="C12479" s="14" t="s">
        <v>13030</v>
      </c>
      <c r="D12479" s="15">
        <v>135.53</v>
      </c>
      <c r="E12479" s="14" t="s">
        <v>30</v>
      </c>
    </row>
    <row r="12480" spans="1:5" x14ac:dyDescent="0.25">
      <c r="A12480" s="14">
        <v>1028313</v>
      </c>
      <c r="B12480" s="14" t="s">
        <v>12578</v>
      </c>
      <c r="C12480" s="14" t="s">
        <v>13030</v>
      </c>
      <c r="D12480" s="15">
        <v>27.05</v>
      </c>
      <c r="E12480" s="14" t="s">
        <v>30</v>
      </c>
    </row>
    <row r="12481" spans="1:5" x14ac:dyDescent="0.25">
      <c r="A12481" s="14">
        <v>1028346</v>
      </c>
      <c r="B12481" s="14" t="s">
        <v>12579</v>
      </c>
      <c r="C12481" s="14" t="s">
        <v>13029</v>
      </c>
      <c r="D12481" s="15">
        <v>16.02</v>
      </c>
      <c r="E12481" s="14" t="s">
        <v>30</v>
      </c>
    </row>
    <row r="12482" spans="1:5" x14ac:dyDescent="0.25">
      <c r="A12482" s="14">
        <v>1028347</v>
      </c>
      <c r="B12482" s="14" t="s">
        <v>12580</v>
      </c>
      <c r="C12482" s="14" t="s">
        <v>13029</v>
      </c>
      <c r="D12482" s="15">
        <v>14.41</v>
      </c>
      <c r="E12482" s="14" t="s">
        <v>30</v>
      </c>
    </row>
    <row r="12483" spans="1:5" x14ac:dyDescent="0.25">
      <c r="A12483" s="14">
        <v>1028352</v>
      </c>
      <c r="B12483" s="14" t="s">
        <v>12581</v>
      </c>
      <c r="C12483" s="14" t="s">
        <v>13029</v>
      </c>
      <c r="D12483" s="15">
        <v>14.27</v>
      </c>
      <c r="E12483" s="14" t="s">
        <v>30</v>
      </c>
    </row>
    <row r="12484" spans="1:5" x14ac:dyDescent="0.25">
      <c r="A12484" s="14">
        <v>1028353</v>
      </c>
      <c r="B12484" s="14" t="s">
        <v>12582</v>
      </c>
      <c r="C12484" s="14" t="s">
        <v>13029</v>
      </c>
      <c r="D12484" s="15">
        <v>14.27</v>
      </c>
      <c r="E12484" s="14" t="s">
        <v>30</v>
      </c>
    </row>
    <row r="12485" spans="1:5" x14ac:dyDescent="0.25">
      <c r="A12485" s="14">
        <v>1028354</v>
      </c>
      <c r="B12485" s="14" t="s">
        <v>12583</v>
      </c>
      <c r="C12485" s="14" t="s">
        <v>13029</v>
      </c>
      <c r="D12485" s="15">
        <v>14.27</v>
      </c>
      <c r="E12485" s="14" t="s">
        <v>30</v>
      </c>
    </row>
    <row r="12486" spans="1:5" x14ac:dyDescent="0.25">
      <c r="A12486" s="14">
        <v>772718</v>
      </c>
      <c r="B12486" s="14" t="s">
        <v>12584</v>
      </c>
      <c r="C12486" s="14" t="s">
        <v>13030</v>
      </c>
      <c r="D12486" s="15">
        <v>18.920000000000002</v>
      </c>
      <c r="E12486" s="14" t="s">
        <v>30</v>
      </c>
    </row>
    <row r="12487" spans="1:5" x14ac:dyDescent="0.25">
      <c r="A12487" s="14">
        <v>928094</v>
      </c>
      <c r="B12487" s="14" t="s">
        <v>12585</v>
      </c>
      <c r="C12487" s="14" t="s">
        <v>13033</v>
      </c>
      <c r="D12487" s="15">
        <v>7</v>
      </c>
      <c r="E12487" s="14" t="s">
        <v>30</v>
      </c>
    </row>
    <row r="12488" spans="1:5" x14ac:dyDescent="0.25">
      <c r="A12488" s="14">
        <v>1024529</v>
      </c>
      <c r="B12488" s="14" t="s">
        <v>12586</v>
      </c>
      <c r="C12488" s="14" t="s">
        <v>13031</v>
      </c>
      <c r="D12488" s="15">
        <v>4.1900000000000004</v>
      </c>
      <c r="E12488" s="14" t="s">
        <v>20</v>
      </c>
    </row>
    <row r="12489" spans="1:5" x14ac:dyDescent="0.25">
      <c r="A12489" s="14">
        <v>1024531</v>
      </c>
      <c r="B12489" s="14" t="s">
        <v>12587</v>
      </c>
      <c r="C12489" s="14" t="s">
        <v>13031</v>
      </c>
      <c r="D12489" s="15">
        <v>6.53</v>
      </c>
      <c r="E12489" s="14" t="s">
        <v>20</v>
      </c>
    </row>
    <row r="12490" spans="1:5" x14ac:dyDescent="0.25">
      <c r="A12490" s="14">
        <v>1024534</v>
      </c>
      <c r="B12490" s="14" t="s">
        <v>12588</v>
      </c>
      <c r="C12490" s="14" t="s">
        <v>13031</v>
      </c>
      <c r="D12490" s="15">
        <v>4.8899999999999997</v>
      </c>
      <c r="E12490" s="14" t="s">
        <v>20</v>
      </c>
    </row>
    <row r="12491" spans="1:5" x14ac:dyDescent="0.25">
      <c r="A12491" s="14">
        <v>1024535</v>
      </c>
      <c r="B12491" s="14" t="s">
        <v>12589</v>
      </c>
      <c r="C12491" s="14" t="s">
        <v>13031</v>
      </c>
      <c r="D12491" s="15">
        <v>6.29</v>
      </c>
      <c r="E12491" s="14" t="s">
        <v>20</v>
      </c>
    </row>
    <row r="12492" spans="1:5" x14ac:dyDescent="0.25">
      <c r="A12492" s="14">
        <v>1025276</v>
      </c>
      <c r="B12492" s="14" t="s">
        <v>12590</v>
      </c>
      <c r="C12492" s="14" t="s">
        <v>13033</v>
      </c>
      <c r="D12492" s="15">
        <v>7.58</v>
      </c>
      <c r="E12492" s="14" t="s">
        <v>30</v>
      </c>
    </row>
    <row r="12493" spans="1:5" x14ac:dyDescent="0.25">
      <c r="A12493" s="14">
        <v>1026600</v>
      </c>
      <c r="B12493" s="14" t="s">
        <v>12591</v>
      </c>
      <c r="C12493" s="14" t="s">
        <v>13030</v>
      </c>
      <c r="D12493" s="15">
        <v>57.56</v>
      </c>
      <c r="E12493" s="14" t="s">
        <v>20</v>
      </c>
    </row>
    <row r="12494" spans="1:5" x14ac:dyDescent="0.25">
      <c r="A12494" s="14">
        <v>1026643</v>
      </c>
      <c r="B12494" s="14" t="s">
        <v>12592</v>
      </c>
      <c r="C12494" s="14" t="s">
        <v>13031</v>
      </c>
      <c r="D12494" s="15">
        <v>65.12</v>
      </c>
      <c r="E12494" s="14" t="s">
        <v>30</v>
      </c>
    </row>
    <row r="12495" spans="1:5" x14ac:dyDescent="0.25">
      <c r="A12495" s="14">
        <v>1026644</v>
      </c>
      <c r="B12495" s="14" t="s">
        <v>12593</v>
      </c>
      <c r="C12495" s="14" t="s">
        <v>13031</v>
      </c>
      <c r="D12495" s="15">
        <v>115.28</v>
      </c>
      <c r="E12495" s="14" t="s">
        <v>30</v>
      </c>
    </row>
    <row r="12496" spans="1:5" x14ac:dyDescent="0.25">
      <c r="A12496" s="14">
        <v>1027094</v>
      </c>
      <c r="B12496" s="14" t="s">
        <v>12594</v>
      </c>
      <c r="C12496" s="14" t="s">
        <v>13031</v>
      </c>
      <c r="D12496" s="15">
        <v>4.28</v>
      </c>
      <c r="E12496" s="14" t="s">
        <v>30</v>
      </c>
    </row>
    <row r="12497" spans="1:5" x14ac:dyDescent="0.25">
      <c r="A12497" s="14">
        <v>1028481</v>
      </c>
      <c r="B12497" s="14" t="s">
        <v>12595</v>
      </c>
      <c r="C12497" s="14" t="s">
        <v>13029</v>
      </c>
      <c r="D12497" s="15">
        <v>34.9</v>
      </c>
      <c r="E12497" s="14" t="s">
        <v>30</v>
      </c>
    </row>
    <row r="12498" spans="1:5" x14ac:dyDescent="0.25">
      <c r="A12498" s="14">
        <v>1028482</v>
      </c>
      <c r="B12498" s="14" t="s">
        <v>12596</v>
      </c>
      <c r="C12498" s="14" t="s">
        <v>13029</v>
      </c>
      <c r="D12498" s="15">
        <v>58.7</v>
      </c>
      <c r="E12498" s="14" t="s">
        <v>30</v>
      </c>
    </row>
    <row r="12499" spans="1:5" x14ac:dyDescent="0.25">
      <c r="A12499" s="14">
        <v>1028599</v>
      </c>
      <c r="B12499" s="14" t="s">
        <v>12597</v>
      </c>
      <c r="C12499" s="14" t="s">
        <v>13031</v>
      </c>
      <c r="D12499" s="15">
        <v>14.55</v>
      </c>
      <c r="E12499" s="14" t="s">
        <v>30</v>
      </c>
    </row>
    <row r="12500" spans="1:5" x14ac:dyDescent="0.25">
      <c r="A12500" s="14">
        <v>1028600</v>
      </c>
      <c r="B12500" s="14" t="s">
        <v>12598</v>
      </c>
      <c r="C12500" s="14" t="s">
        <v>13031</v>
      </c>
      <c r="D12500" s="15">
        <v>15.55</v>
      </c>
      <c r="E12500" s="14" t="s">
        <v>30</v>
      </c>
    </row>
    <row r="12501" spans="1:5" x14ac:dyDescent="0.25">
      <c r="A12501" s="14">
        <v>1028803</v>
      </c>
      <c r="B12501" s="14" t="s">
        <v>12599</v>
      </c>
      <c r="C12501" s="14" t="s">
        <v>13029</v>
      </c>
      <c r="D12501" s="15">
        <v>34.9</v>
      </c>
      <c r="E12501" s="14" t="s">
        <v>30</v>
      </c>
    </row>
    <row r="12502" spans="1:5" x14ac:dyDescent="0.25">
      <c r="A12502" s="14">
        <v>1028804</v>
      </c>
      <c r="B12502" s="14" t="s">
        <v>12600</v>
      </c>
      <c r="C12502" s="14" t="s">
        <v>13029</v>
      </c>
      <c r="D12502" s="15">
        <v>29.6</v>
      </c>
      <c r="E12502" s="14" t="s">
        <v>30</v>
      </c>
    </row>
    <row r="12503" spans="1:5" x14ac:dyDescent="0.25">
      <c r="A12503" s="14">
        <v>1028806</v>
      </c>
      <c r="B12503" s="14" t="s">
        <v>12601</v>
      </c>
      <c r="C12503" s="14" t="s">
        <v>13029</v>
      </c>
      <c r="D12503" s="15">
        <v>81.790000000000006</v>
      </c>
      <c r="E12503" s="14" t="s">
        <v>30</v>
      </c>
    </row>
    <row r="12504" spans="1:5" x14ac:dyDescent="0.25">
      <c r="A12504" s="14">
        <v>1028807</v>
      </c>
      <c r="B12504" s="14" t="s">
        <v>12602</v>
      </c>
      <c r="C12504" s="14" t="s">
        <v>13029</v>
      </c>
      <c r="D12504" s="15">
        <v>77.06</v>
      </c>
      <c r="E12504" s="14" t="s">
        <v>30</v>
      </c>
    </row>
    <row r="12505" spans="1:5" x14ac:dyDescent="0.25">
      <c r="A12505" s="14">
        <v>1028808</v>
      </c>
      <c r="B12505" s="14" t="s">
        <v>12603</v>
      </c>
      <c r="C12505" s="14" t="s">
        <v>13029</v>
      </c>
      <c r="D12505" s="15">
        <v>46.23</v>
      </c>
      <c r="E12505" s="14" t="s">
        <v>30</v>
      </c>
    </row>
    <row r="12506" spans="1:5" x14ac:dyDescent="0.25">
      <c r="A12506" s="14">
        <v>5244</v>
      </c>
      <c r="B12506" s="14" t="s">
        <v>12604</v>
      </c>
      <c r="C12506" s="14" t="s">
        <v>13031</v>
      </c>
      <c r="D12506" s="15">
        <v>5.94</v>
      </c>
      <c r="E12506" s="14" t="s">
        <v>30</v>
      </c>
    </row>
    <row r="12507" spans="1:5" x14ac:dyDescent="0.25">
      <c r="A12507" s="14">
        <v>1008868</v>
      </c>
      <c r="B12507" s="14" t="s">
        <v>12605</v>
      </c>
      <c r="C12507" s="14" t="s">
        <v>13030</v>
      </c>
      <c r="D12507" s="15">
        <v>1638.69</v>
      </c>
      <c r="E12507" s="14" t="s">
        <v>30</v>
      </c>
    </row>
    <row r="12508" spans="1:5" x14ac:dyDescent="0.25">
      <c r="A12508" s="14">
        <v>1017155</v>
      </c>
      <c r="B12508" s="14" t="s">
        <v>12606</v>
      </c>
      <c r="C12508" s="14" t="s">
        <v>13030</v>
      </c>
      <c r="D12508" s="15">
        <v>104.16</v>
      </c>
      <c r="E12508" s="14" t="s">
        <v>30</v>
      </c>
    </row>
    <row r="12509" spans="1:5" x14ac:dyDescent="0.25">
      <c r="A12509" s="14">
        <v>1017159</v>
      </c>
      <c r="B12509" s="14" t="s">
        <v>12607</v>
      </c>
      <c r="C12509" s="14" t="s">
        <v>13030</v>
      </c>
      <c r="D12509" s="15">
        <v>180.61</v>
      </c>
      <c r="E12509" s="14" t="s">
        <v>30</v>
      </c>
    </row>
    <row r="12510" spans="1:5" x14ac:dyDescent="0.25">
      <c r="A12510" s="14">
        <v>1022402</v>
      </c>
      <c r="B12510" s="14" t="s">
        <v>12608</v>
      </c>
      <c r="C12510" s="14" t="s">
        <v>13031</v>
      </c>
      <c r="D12510" s="15">
        <v>7.65</v>
      </c>
      <c r="E12510" s="14" t="s">
        <v>20</v>
      </c>
    </row>
    <row r="12511" spans="1:5" x14ac:dyDescent="0.25">
      <c r="A12511" s="14">
        <v>1022403</v>
      </c>
      <c r="B12511" s="14" t="s">
        <v>12609</v>
      </c>
      <c r="C12511" s="14" t="s">
        <v>13031</v>
      </c>
      <c r="D12511" s="15">
        <v>7.65</v>
      </c>
      <c r="E12511" s="14" t="s">
        <v>20</v>
      </c>
    </row>
    <row r="12512" spans="1:5" x14ac:dyDescent="0.25">
      <c r="A12512" s="14">
        <v>1022404</v>
      </c>
      <c r="B12512" s="14" t="s">
        <v>12610</v>
      </c>
      <c r="C12512" s="14" t="s">
        <v>13031</v>
      </c>
      <c r="D12512" s="15">
        <v>7.65</v>
      </c>
      <c r="E12512" s="14" t="s">
        <v>20</v>
      </c>
    </row>
    <row r="12513" spans="1:5" x14ac:dyDescent="0.25">
      <c r="A12513" s="14">
        <v>1022405</v>
      </c>
      <c r="B12513" s="14" t="s">
        <v>12611</v>
      </c>
      <c r="C12513" s="14" t="s">
        <v>13031</v>
      </c>
      <c r="D12513" s="15">
        <v>7.65</v>
      </c>
      <c r="E12513" s="14" t="s">
        <v>20</v>
      </c>
    </row>
    <row r="12514" spans="1:5" x14ac:dyDescent="0.25">
      <c r="A12514" s="14">
        <v>1027376</v>
      </c>
      <c r="B12514" s="14" t="s">
        <v>12612</v>
      </c>
      <c r="C12514" s="14" t="s">
        <v>13029</v>
      </c>
      <c r="D12514" s="15">
        <v>9.0399999999999991</v>
      </c>
      <c r="E12514" s="14" t="s">
        <v>30</v>
      </c>
    </row>
    <row r="12515" spans="1:5" x14ac:dyDescent="0.25">
      <c r="A12515" s="14">
        <v>1027377</v>
      </c>
      <c r="B12515" s="14" t="s">
        <v>12613</v>
      </c>
      <c r="C12515" s="14" t="s">
        <v>13029</v>
      </c>
      <c r="D12515" s="15">
        <v>9.0399999999999991</v>
      </c>
      <c r="E12515" s="14" t="s">
        <v>30</v>
      </c>
    </row>
    <row r="12516" spans="1:5" x14ac:dyDescent="0.25">
      <c r="A12516" s="14">
        <v>1027378</v>
      </c>
      <c r="B12516" s="14" t="s">
        <v>12614</v>
      </c>
      <c r="C12516" s="14" t="s">
        <v>13029</v>
      </c>
      <c r="D12516" s="15">
        <v>9.0399999999999991</v>
      </c>
      <c r="E12516" s="14" t="s">
        <v>30</v>
      </c>
    </row>
    <row r="12517" spans="1:5" x14ac:dyDescent="0.25">
      <c r="A12517" s="14">
        <v>1027379</v>
      </c>
      <c r="B12517" s="14" t="s">
        <v>12615</v>
      </c>
      <c r="C12517" s="14" t="s">
        <v>13029</v>
      </c>
      <c r="D12517" s="15">
        <v>9.0399999999999991</v>
      </c>
      <c r="E12517" s="14" t="s">
        <v>30</v>
      </c>
    </row>
    <row r="12518" spans="1:5" x14ac:dyDescent="0.25">
      <c r="A12518" s="14">
        <v>1027380</v>
      </c>
      <c r="B12518" s="14" t="s">
        <v>12616</v>
      </c>
      <c r="C12518" s="14" t="s">
        <v>13029</v>
      </c>
      <c r="D12518" s="15">
        <v>9.0399999999999991</v>
      </c>
      <c r="E12518" s="14" t="s">
        <v>30</v>
      </c>
    </row>
    <row r="12519" spans="1:5" x14ac:dyDescent="0.25">
      <c r="A12519" s="14">
        <v>1027725</v>
      </c>
      <c r="B12519" s="14" t="s">
        <v>12617</v>
      </c>
      <c r="C12519" s="14" t="s">
        <v>13029</v>
      </c>
      <c r="D12519" s="15">
        <v>10.4</v>
      </c>
      <c r="E12519" s="14" t="s">
        <v>30</v>
      </c>
    </row>
    <row r="12520" spans="1:5" x14ac:dyDescent="0.25">
      <c r="A12520" s="14">
        <v>1027726</v>
      </c>
      <c r="B12520" s="14" t="s">
        <v>12618</v>
      </c>
      <c r="C12520" s="14" t="s">
        <v>13029</v>
      </c>
      <c r="D12520" s="15">
        <v>9.31</v>
      </c>
      <c r="E12520" s="14" t="s">
        <v>30</v>
      </c>
    </row>
    <row r="12521" spans="1:5" x14ac:dyDescent="0.25">
      <c r="A12521" s="14">
        <v>1027971</v>
      </c>
      <c r="B12521" s="14" t="s">
        <v>12619</v>
      </c>
      <c r="C12521" s="14" t="s">
        <v>13031</v>
      </c>
      <c r="D12521" s="15">
        <v>11.99</v>
      </c>
      <c r="E12521" s="14" t="s">
        <v>30</v>
      </c>
    </row>
    <row r="12522" spans="1:5" x14ac:dyDescent="0.25">
      <c r="A12522" s="14">
        <v>1027972</v>
      </c>
      <c r="B12522" s="14" t="s">
        <v>12620</v>
      </c>
      <c r="C12522" s="14" t="s">
        <v>13031</v>
      </c>
      <c r="D12522" s="15">
        <v>7.65</v>
      </c>
      <c r="E12522" s="14" t="s">
        <v>30</v>
      </c>
    </row>
    <row r="12523" spans="1:5" x14ac:dyDescent="0.25">
      <c r="A12523" s="14">
        <v>1027973</v>
      </c>
      <c r="B12523" s="14" t="s">
        <v>12621</v>
      </c>
      <c r="C12523" s="14" t="s">
        <v>13031</v>
      </c>
      <c r="D12523" s="15">
        <v>4.75</v>
      </c>
      <c r="E12523" s="14" t="s">
        <v>30</v>
      </c>
    </row>
    <row r="12524" spans="1:5" x14ac:dyDescent="0.25">
      <c r="A12524" s="14">
        <v>1027974</v>
      </c>
      <c r="B12524" s="14" t="s">
        <v>12622</v>
      </c>
      <c r="C12524" s="14" t="s">
        <v>13031</v>
      </c>
      <c r="D12524" s="15">
        <v>11.21</v>
      </c>
      <c r="E12524" s="14" t="s">
        <v>30</v>
      </c>
    </row>
    <row r="12525" spans="1:5" x14ac:dyDescent="0.25">
      <c r="A12525" s="14">
        <v>1027975</v>
      </c>
      <c r="B12525" s="14" t="s">
        <v>12623</v>
      </c>
      <c r="C12525" s="14" t="s">
        <v>13031</v>
      </c>
      <c r="D12525" s="15">
        <v>9.43</v>
      </c>
      <c r="E12525" s="14" t="s">
        <v>30</v>
      </c>
    </row>
    <row r="12526" spans="1:5" x14ac:dyDescent="0.25">
      <c r="A12526" s="14">
        <v>1027976</v>
      </c>
      <c r="B12526" s="14" t="s">
        <v>12624</v>
      </c>
      <c r="C12526" s="14" t="s">
        <v>13031</v>
      </c>
      <c r="D12526" s="15">
        <v>10.38</v>
      </c>
      <c r="E12526" s="14" t="s">
        <v>30</v>
      </c>
    </row>
    <row r="12527" spans="1:5" x14ac:dyDescent="0.25">
      <c r="A12527" s="14">
        <v>1027977</v>
      </c>
      <c r="B12527" s="14" t="s">
        <v>12625</v>
      </c>
      <c r="C12527" s="14" t="s">
        <v>13031</v>
      </c>
      <c r="D12527" s="15">
        <v>9.43</v>
      </c>
      <c r="E12527" s="14" t="s">
        <v>30</v>
      </c>
    </row>
    <row r="12528" spans="1:5" x14ac:dyDescent="0.25">
      <c r="A12528" s="14">
        <v>1027978</v>
      </c>
      <c r="B12528" s="14" t="s">
        <v>12626</v>
      </c>
      <c r="C12528" s="14" t="s">
        <v>13031</v>
      </c>
      <c r="D12528" s="15">
        <v>3.5</v>
      </c>
      <c r="E12528" s="14" t="s">
        <v>30</v>
      </c>
    </row>
    <row r="12529" spans="1:5" x14ac:dyDescent="0.25">
      <c r="A12529" s="14">
        <v>1027979</v>
      </c>
      <c r="B12529" s="14" t="s">
        <v>12627</v>
      </c>
      <c r="C12529" s="14" t="s">
        <v>13031</v>
      </c>
      <c r="D12529" s="15">
        <v>10.62</v>
      </c>
      <c r="E12529" s="14" t="s">
        <v>30</v>
      </c>
    </row>
    <row r="12530" spans="1:5" x14ac:dyDescent="0.25">
      <c r="A12530" s="14">
        <v>1028258</v>
      </c>
      <c r="B12530" s="14" t="s">
        <v>12628</v>
      </c>
      <c r="C12530" s="14" t="s">
        <v>13029</v>
      </c>
      <c r="D12530" s="15">
        <v>23.08</v>
      </c>
      <c r="E12530" s="14" t="s">
        <v>30</v>
      </c>
    </row>
    <row r="12531" spans="1:5" x14ac:dyDescent="0.25">
      <c r="A12531" s="14">
        <v>1028260</v>
      </c>
      <c r="B12531" s="14" t="s">
        <v>12629</v>
      </c>
      <c r="C12531" s="14" t="s">
        <v>13029</v>
      </c>
      <c r="D12531" s="15">
        <v>44.42</v>
      </c>
      <c r="E12531" s="14" t="s">
        <v>30</v>
      </c>
    </row>
    <row r="12532" spans="1:5" x14ac:dyDescent="0.25">
      <c r="A12532" s="14">
        <v>1028261</v>
      </c>
      <c r="B12532" s="14" t="s">
        <v>12630</v>
      </c>
      <c r="C12532" s="14" t="s">
        <v>13029</v>
      </c>
      <c r="D12532" s="15">
        <v>62.92</v>
      </c>
      <c r="E12532" s="14" t="s">
        <v>30</v>
      </c>
    </row>
    <row r="12533" spans="1:5" x14ac:dyDescent="0.25">
      <c r="A12533" s="14">
        <v>1028262</v>
      </c>
      <c r="B12533" s="14" t="s">
        <v>12631</v>
      </c>
      <c r="C12533" s="14" t="s">
        <v>13029</v>
      </c>
      <c r="D12533" s="15">
        <v>65.400000000000006</v>
      </c>
      <c r="E12533" s="14" t="s">
        <v>30</v>
      </c>
    </row>
    <row r="12534" spans="1:5" x14ac:dyDescent="0.25">
      <c r="A12534" s="14">
        <v>1028263</v>
      </c>
      <c r="B12534" s="14" t="s">
        <v>12632</v>
      </c>
      <c r="C12534" s="14" t="s">
        <v>13029</v>
      </c>
      <c r="D12534" s="15">
        <v>43.85</v>
      </c>
      <c r="E12534" s="14" t="s">
        <v>30</v>
      </c>
    </row>
    <row r="12535" spans="1:5" x14ac:dyDescent="0.25">
      <c r="A12535" s="14">
        <v>1028264</v>
      </c>
      <c r="B12535" s="14" t="s">
        <v>12633</v>
      </c>
      <c r="C12535" s="14" t="s">
        <v>13029</v>
      </c>
      <c r="D12535" s="15">
        <v>71.180000000000007</v>
      </c>
      <c r="E12535" s="14" t="s">
        <v>30</v>
      </c>
    </row>
    <row r="12536" spans="1:5" x14ac:dyDescent="0.25">
      <c r="A12536" s="14">
        <v>1028271</v>
      </c>
      <c r="B12536" s="14" t="s">
        <v>12634</v>
      </c>
      <c r="C12536" s="14" t="s">
        <v>13030</v>
      </c>
      <c r="D12536" s="15">
        <v>45.65</v>
      </c>
      <c r="E12536" s="14" t="s">
        <v>30</v>
      </c>
    </row>
    <row r="12537" spans="1:5" x14ac:dyDescent="0.25">
      <c r="A12537" s="14">
        <v>1028357</v>
      </c>
      <c r="B12537" s="14" t="s">
        <v>12635</v>
      </c>
      <c r="C12537" s="14" t="s">
        <v>13029</v>
      </c>
      <c r="D12537" s="15">
        <v>17.739999999999998</v>
      </c>
      <c r="E12537" s="14" t="s">
        <v>30</v>
      </c>
    </row>
    <row r="12538" spans="1:5" x14ac:dyDescent="0.25">
      <c r="A12538" s="14">
        <v>1028359</v>
      </c>
      <c r="B12538" s="14" t="s">
        <v>12636</v>
      </c>
      <c r="C12538" s="14" t="s">
        <v>13029</v>
      </c>
      <c r="D12538" s="15">
        <v>17.739999999999998</v>
      </c>
      <c r="E12538" s="14" t="s">
        <v>30</v>
      </c>
    </row>
    <row r="12539" spans="1:5" x14ac:dyDescent="0.25">
      <c r="A12539" s="14">
        <v>1028360</v>
      </c>
      <c r="B12539" s="14" t="s">
        <v>12637</v>
      </c>
      <c r="C12539" s="14" t="s">
        <v>13029</v>
      </c>
      <c r="D12539" s="15">
        <v>17.739999999999998</v>
      </c>
      <c r="E12539" s="14" t="s">
        <v>30</v>
      </c>
    </row>
    <row r="12540" spans="1:5" x14ac:dyDescent="0.25">
      <c r="A12540" s="14">
        <v>1028361</v>
      </c>
      <c r="B12540" s="14" t="s">
        <v>12638</v>
      </c>
      <c r="C12540" s="14" t="s">
        <v>13029</v>
      </c>
      <c r="D12540" s="15">
        <v>17.739999999999998</v>
      </c>
      <c r="E12540" s="14" t="s">
        <v>30</v>
      </c>
    </row>
    <row r="12541" spans="1:5" x14ac:dyDescent="0.25">
      <c r="A12541" s="14">
        <v>1028362</v>
      </c>
      <c r="B12541" s="14" t="s">
        <v>12639</v>
      </c>
      <c r="C12541" s="14" t="s">
        <v>13029</v>
      </c>
      <c r="D12541" s="15">
        <v>17.739999999999998</v>
      </c>
      <c r="E12541" s="14" t="s">
        <v>30</v>
      </c>
    </row>
    <row r="12542" spans="1:5" x14ac:dyDescent="0.25">
      <c r="A12542" s="14">
        <v>1028761</v>
      </c>
      <c r="B12542" s="14" t="s">
        <v>12640</v>
      </c>
      <c r="C12542" s="14" t="s">
        <v>13030</v>
      </c>
      <c r="D12542" s="15">
        <v>33.15</v>
      </c>
      <c r="E12542" s="14" t="s">
        <v>30</v>
      </c>
    </row>
    <row r="12543" spans="1:5" x14ac:dyDescent="0.25">
      <c r="A12543" s="14">
        <v>1027528</v>
      </c>
      <c r="B12543" s="14" t="s">
        <v>12641</v>
      </c>
      <c r="C12543" s="14" t="s">
        <v>13031</v>
      </c>
      <c r="D12543" s="15">
        <v>17.29</v>
      </c>
      <c r="E12543" s="14" t="s">
        <v>30</v>
      </c>
    </row>
    <row r="12544" spans="1:5" x14ac:dyDescent="0.25">
      <c r="A12544" s="14">
        <v>1028244</v>
      </c>
      <c r="B12544" s="14" t="s">
        <v>12642</v>
      </c>
      <c r="C12544" s="14" t="s">
        <v>13029</v>
      </c>
      <c r="D12544" s="15">
        <v>38.07</v>
      </c>
      <c r="E12544" s="14" t="s">
        <v>30</v>
      </c>
    </row>
    <row r="12545" spans="1:5" x14ac:dyDescent="0.25">
      <c r="A12545" s="14">
        <v>1028245</v>
      </c>
      <c r="B12545" s="14" t="s">
        <v>12643</v>
      </c>
      <c r="C12545" s="14" t="s">
        <v>13029</v>
      </c>
      <c r="D12545" s="15">
        <v>38.07</v>
      </c>
      <c r="E12545" s="14" t="s">
        <v>30</v>
      </c>
    </row>
    <row r="12546" spans="1:5" x14ac:dyDescent="0.25">
      <c r="A12546" s="14">
        <v>1028311</v>
      </c>
      <c r="B12546" s="14" t="s">
        <v>12644</v>
      </c>
      <c r="C12546" s="14" t="s">
        <v>13030</v>
      </c>
      <c r="D12546" s="15">
        <v>33.83</v>
      </c>
      <c r="E12546" s="14" t="s">
        <v>30</v>
      </c>
    </row>
    <row r="12547" spans="1:5" x14ac:dyDescent="0.25">
      <c r="A12547" s="14">
        <v>1028763</v>
      </c>
      <c r="B12547" s="14" t="s">
        <v>12645</v>
      </c>
      <c r="C12547" s="14" t="s">
        <v>13030</v>
      </c>
      <c r="D12547" s="15">
        <v>41.97</v>
      </c>
      <c r="E12547" s="14" t="s">
        <v>30</v>
      </c>
    </row>
    <row r="12548" spans="1:5" x14ac:dyDescent="0.25">
      <c r="A12548" s="14">
        <v>925597</v>
      </c>
      <c r="B12548" s="14" t="s">
        <v>12646</v>
      </c>
      <c r="C12548" s="14" t="s">
        <v>13034</v>
      </c>
      <c r="D12548" s="15">
        <v>32.5</v>
      </c>
      <c r="E12548" s="14" t="s">
        <v>30</v>
      </c>
    </row>
    <row r="12549" spans="1:5" x14ac:dyDescent="0.25">
      <c r="A12549" s="14">
        <v>946423</v>
      </c>
      <c r="B12549" s="14" t="s">
        <v>12647</v>
      </c>
      <c r="C12549" s="14" t="s">
        <v>13029</v>
      </c>
      <c r="D12549" s="15">
        <v>38.5</v>
      </c>
      <c r="E12549" s="14" t="s">
        <v>30</v>
      </c>
    </row>
    <row r="12550" spans="1:5" x14ac:dyDescent="0.25">
      <c r="A12550" s="14">
        <v>1023834</v>
      </c>
      <c r="B12550" s="14" t="s">
        <v>12648</v>
      </c>
      <c r="C12550" s="14" t="s">
        <v>13029</v>
      </c>
      <c r="D12550" s="15">
        <v>29.6</v>
      </c>
      <c r="E12550" s="14" t="s">
        <v>30</v>
      </c>
    </row>
    <row r="12551" spans="1:5" x14ac:dyDescent="0.25">
      <c r="A12551" s="14">
        <v>1023835</v>
      </c>
      <c r="B12551" s="14" t="s">
        <v>12649</v>
      </c>
      <c r="C12551" s="14" t="s">
        <v>13029</v>
      </c>
      <c r="D12551" s="15">
        <v>29.6</v>
      </c>
      <c r="E12551" s="14" t="s">
        <v>30</v>
      </c>
    </row>
    <row r="12552" spans="1:5" x14ac:dyDescent="0.25">
      <c r="A12552" s="14">
        <v>1023836</v>
      </c>
      <c r="B12552" s="14" t="s">
        <v>12650</v>
      </c>
      <c r="C12552" s="14" t="s">
        <v>13029</v>
      </c>
      <c r="D12552" s="15">
        <v>29.6</v>
      </c>
      <c r="E12552" s="14" t="s">
        <v>30</v>
      </c>
    </row>
    <row r="12553" spans="1:5" x14ac:dyDescent="0.25">
      <c r="A12553" s="14">
        <v>1023837</v>
      </c>
      <c r="B12553" s="14" t="s">
        <v>12651</v>
      </c>
      <c r="C12553" s="14" t="s">
        <v>13029</v>
      </c>
      <c r="D12553" s="15">
        <v>29.6</v>
      </c>
      <c r="E12553" s="14" t="s">
        <v>30</v>
      </c>
    </row>
    <row r="12554" spans="1:5" x14ac:dyDescent="0.25">
      <c r="A12554" s="14">
        <v>1023838</v>
      </c>
      <c r="B12554" s="14" t="s">
        <v>12652</v>
      </c>
      <c r="C12554" s="14" t="s">
        <v>13029</v>
      </c>
      <c r="D12554" s="15">
        <v>29.6</v>
      </c>
      <c r="E12554" s="14" t="s">
        <v>30</v>
      </c>
    </row>
    <row r="12555" spans="1:5" x14ac:dyDescent="0.25">
      <c r="A12555" s="14">
        <v>1024557</v>
      </c>
      <c r="B12555" s="14" t="s">
        <v>12653</v>
      </c>
      <c r="C12555" s="14" t="s">
        <v>13029</v>
      </c>
      <c r="D12555" s="15">
        <v>51.29</v>
      </c>
      <c r="E12555" s="14" t="s">
        <v>30</v>
      </c>
    </row>
    <row r="12556" spans="1:5" x14ac:dyDescent="0.25">
      <c r="A12556" s="14">
        <v>1025737</v>
      </c>
      <c r="B12556" s="14" t="s">
        <v>12654</v>
      </c>
      <c r="C12556" s="14" t="s">
        <v>13029</v>
      </c>
      <c r="D12556" s="15">
        <v>50.36</v>
      </c>
      <c r="E12556" s="14" t="s">
        <v>30</v>
      </c>
    </row>
    <row r="12557" spans="1:5" x14ac:dyDescent="0.25">
      <c r="A12557" s="14">
        <v>1025738</v>
      </c>
      <c r="B12557" s="14" t="s">
        <v>12655</v>
      </c>
      <c r="C12557" s="14" t="s">
        <v>13029</v>
      </c>
      <c r="D12557" s="15">
        <v>38.5</v>
      </c>
      <c r="E12557" s="14" t="s">
        <v>30</v>
      </c>
    </row>
    <row r="12558" spans="1:5" x14ac:dyDescent="0.25">
      <c r="A12558" s="14">
        <v>1025740</v>
      </c>
      <c r="B12558" s="14" t="s">
        <v>12656</v>
      </c>
      <c r="C12558" s="14" t="s">
        <v>13029</v>
      </c>
      <c r="D12558" s="15">
        <v>50.36</v>
      </c>
      <c r="E12558" s="14" t="s">
        <v>30</v>
      </c>
    </row>
    <row r="12559" spans="1:5" x14ac:dyDescent="0.25">
      <c r="A12559" s="14">
        <v>1027107</v>
      </c>
      <c r="B12559" s="14" t="s">
        <v>12657</v>
      </c>
      <c r="C12559" s="14" t="s">
        <v>13029</v>
      </c>
      <c r="D12559" s="15">
        <v>44.43</v>
      </c>
      <c r="E12559" s="14" t="s">
        <v>30</v>
      </c>
    </row>
    <row r="12560" spans="1:5" x14ac:dyDescent="0.25">
      <c r="A12560" s="14">
        <v>1027108</v>
      </c>
      <c r="B12560" s="14" t="s">
        <v>12658</v>
      </c>
      <c r="C12560" s="14" t="s">
        <v>13029</v>
      </c>
      <c r="D12560" s="15">
        <v>44.43</v>
      </c>
      <c r="E12560" s="14" t="s">
        <v>30</v>
      </c>
    </row>
    <row r="12561" spans="1:5" x14ac:dyDescent="0.25">
      <c r="A12561" s="14">
        <v>1027109</v>
      </c>
      <c r="B12561" s="14" t="s">
        <v>12659</v>
      </c>
      <c r="C12561" s="14" t="s">
        <v>13029</v>
      </c>
      <c r="D12561" s="15">
        <v>44.43</v>
      </c>
      <c r="E12561" s="14" t="s">
        <v>30</v>
      </c>
    </row>
    <row r="12562" spans="1:5" x14ac:dyDescent="0.25">
      <c r="A12562" s="14">
        <v>1027110</v>
      </c>
      <c r="B12562" s="14" t="s">
        <v>12660</v>
      </c>
      <c r="C12562" s="14" t="s">
        <v>13029</v>
      </c>
      <c r="D12562" s="15">
        <v>44.43</v>
      </c>
      <c r="E12562" s="14" t="s">
        <v>30</v>
      </c>
    </row>
    <row r="12563" spans="1:5" x14ac:dyDescent="0.25">
      <c r="A12563" s="14">
        <v>1027111</v>
      </c>
      <c r="B12563" s="14" t="s">
        <v>12661</v>
      </c>
      <c r="C12563" s="14" t="s">
        <v>13029</v>
      </c>
      <c r="D12563" s="15">
        <v>44.43</v>
      </c>
      <c r="E12563" s="14" t="s">
        <v>30</v>
      </c>
    </row>
    <row r="12564" spans="1:5" x14ac:dyDescent="0.25">
      <c r="A12564" s="14">
        <v>1027112</v>
      </c>
      <c r="B12564" s="14" t="s">
        <v>12662</v>
      </c>
      <c r="C12564" s="14" t="s">
        <v>13029</v>
      </c>
      <c r="D12564" s="15">
        <v>57.14</v>
      </c>
      <c r="E12564" s="14" t="s">
        <v>30</v>
      </c>
    </row>
    <row r="12565" spans="1:5" x14ac:dyDescent="0.25">
      <c r="A12565" s="14">
        <v>1027113</v>
      </c>
      <c r="B12565" s="14" t="s">
        <v>12663</v>
      </c>
      <c r="C12565" s="14" t="s">
        <v>13029</v>
      </c>
      <c r="D12565" s="15">
        <v>57.14</v>
      </c>
      <c r="E12565" s="14" t="s">
        <v>30</v>
      </c>
    </row>
    <row r="12566" spans="1:5" x14ac:dyDescent="0.25">
      <c r="A12566" s="14">
        <v>1027114</v>
      </c>
      <c r="B12566" s="14" t="s">
        <v>12664</v>
      </c>
      <c r="C12566" s="14" t="s">
        <v>13029</v>
      </c>
      <c r="D12566" s="15">
        <v>57.14</v>
      </c>
      <c r="E12566" s="14" t="s">
        <v>30</v>
      </c>
    </row>
    <row r="12567" spans="1:5" x14ac:dyDescent="0.25">
      <c r="A12567" s="14">
        <v>1027115</v>
      </c>
      <c r="B12567" s="14" t="s">
        <v>12665</v>
      </c>
      <c r="C12567" s="14" t="s">
        <v>13029</v>
      </c>
      <c r="D12567" s="15">
        <v>57.14</v>
      </c>
      <c r="E12567" s="14" t="s">
        <v>30</v>
      </c>
    </row>
    <row r="12568" spans="1:5" x14ac:dyDescent="0.25">
      <c r="A12568" s="14">
        <v>1027116</v>
      </c>
      <c r="B12568" s="14" t="s">
        <v>12666</v>
      </c>
      <c r="C12568" s="14" t="s">
        <v>13029</v>
      </c>
      <c r="D12568" s="15">
        <v>57.14</v>
      </c>
      <c r="E12568" s="14" t="s">
        <v>30</v>
      </c>
    </row>
    <row r="12569" spans="1:5" x14ac:dyDescent="0.25">
      <c r="A12569" s="14">
        <v>1027117</v>
      </c>
      <c r="B12569" s="14" t="s">
        <v>12667</v>
      </c>
      <c r="C12569" s="14" t="s">
        <v>13029</v>
      </c>
      <c r="D12569" s="15">
        <v>57.14</v>
      </c>
      <c r="E12569" s="14" t="s">
        <v>30</v>
      </c>
    </row>
    <row r="12570" spans="1:5" x14ac:dyDescent="0.25">
      <c r="A12570" s="14">
        <v>1027118</v>
      </c>
      <c r="B12570" s="14" t="s">
        <v>12668</v>
      </c>
      <c r="C12570" s="14" t="s">
        <v>13029</v>
      </c>
      <c r="D12570" s="15">
        <v>12.68</v>
      </c>
      <c r="E12570" s="14" t="s">
        <v>30</v>
      </c>
    </row>
    <row r="12571" spans="1:5" x14ac:dyDescent="0.25">
      <c r="A12571" s="14">
        <v>1027119</v>
      </c>
      <c r="B12571" s="14" t="s">
        <v>12669</v>
      </c>
      <c r="C12571" s="14" t="s">
        <v>13029</v>
      </c>
      <c r="D12571" s="15">
        <v>23.05</v>
      </c>
      <c r="E12571" s="14" t="s">
        <v>30</v>
      </c>
    </row>
    <row r="12572" spans="1:5" x14ac:dyDescent="0.25">
      <c r="A12572" s="14">
        <v>1027120</v>
      </c>
      <c r="B12572" s="14" t="s">
        <v>12670</v>
      </c>
      <c r="C12572" s="14" t="s">
        <v>13029</v>
      </c>
      <c r="D12572" s="15">
        <v>23.05</v>
      </c>
      <c r="E12572" s="14" t="s">
        <v>30</v>
      </c>
    </row>
    <row r="12573" spans="1:5" x14ac:dyDescent="0.25">
      <c r="A12573" s="14">
        <v>1027121</v>
      </c>
      <c r="B12573" s="14" t="s">
        <v>12671</v>
      </c>
      <c r="C12573" s="14" t="s">
        <v>13029</v>
      </c>
      <c r="D12573" s="15">
        <v>23.05</v>
      </c>
      <c r="E12573" s="14" t="s">
        <v>30</v>
      </c>
    </row>
    <row r="12574" spans="1:5" x14ac:dyDescent="0.25">
      <c r="A12574" s="14">
        <v>1027530</v>
      </c>
      <c r="B12574" s="14" t="s">
        <v>12672</v>
      </c>
      <c r="C12574" s="14" t="s">
        <v>13030</v>
      </c>
      <c r="D12574" s="15">
        <v>22.88</v>
      </c>
      <c r="E12574" s="14" t="s">
        <v>20</v>
      </c>
    </row>
    <row r="12575" spans="1:5" x14ac:dyDescent="0.25">
      <c r="A12575" s="14">
        <v>1028562</v>
      </c>
      <c r="B12575" s="14" t="s">
        <v>12673</v>
      </c>
      <c r="C12575" s="14" t="s">
        <v>13030</v>
      </c>
      <c r="D12575" s="15">
        <v>62.6</v>
      </c>
      <c r="E12575" s="14" t="s">
        <v>30</v>
      </c>
    </row>
    <row r="12576" spans="1:5" x14ac:dyDescent="0.25">
      <c r="A12576" s="14">
        <v>1028563</v>
      </c>
      <c r="B12576" s="14" t="s">
        <v>12674</v>
      </c>
      <c r="C12576" s="14" t="s">
        <v>13030</v>
      </c>
      <c r="D12576" s="15">
        <v>127.43</v>
      </c>
      <c r="E12576" s="14" t="s">
        <v>30</v>
      </c>
    </row>
    <row r="12577" spans="1:5" x14ac:dyDescent="0.25">
      <c r="A12577" s="14">
        <v>1027097</v>
      </c>
      <c r="B12577" s="14" t="s">
        <v>12675</v>
      </c>
      <c r="C12577" s="14" t="s">
        <v>13029</v>
      </c>
      <c r="D12577" s="15">
        <v>13.72</v>
      </c>
      <c r="E12577" s="14" t="s">
        <v>30</v>
      </c>
    </row>
    <row r="12578" spans="1:5" x14ac:dyDescent="0.25">
      <c r="A12578" s="14">
        <v>1027531</v>
      </c>
      <c r="B12578" s="14" t="s">
        <v>12676</v>
      </c>
      <c r="C12578" s="14" t="s">
        <v>13030</v>
      </c>
      <c r="D12578" s="15">
        <v>19.489999999999998</v>
      </c>
      <c r="E12578" s="14" t="s">
        <v>30</v>
      </c>
    </row>
    <row r="12579" spans="1:5" x14ac:dyDescent="0.25">
      <c r="A12579" s="14">
        <v>1027532</v>
      </c>
      <c r="B12579" s="14" t="s">
        <v>12677</v>
      </c>
      <c r="C12579" s="14" t="s">
        <v>13030</v>
      </c>
      <c r="D12579" s="15">
        <v>19.489999999999998</v>
      </c>
      <c r="E12579" s="14" t="s">
        <v>30</v>
      </c>
    </row>
    <row r="12580" spans="1:5" x14ac:dyDescent="0.25">
      <c r="A12580" s="14">
        <v>1027533</v>
      </c>
      <c r="B12580" s="14" t="s">
        <v>12678</v>
      </c>
      <c r="C12580" s="14" t="s">
        <v>13030</v>
      </c>
      <c r="D12580" s="15">
        <v>19.489999999999998</v>
      </c>
      <c r="E12580" s="14" t="s">
        <v>30</v>
      </c>
    </row>
    <row r="12581" spans="1:5" x14ac:dyDescent="0.25">
      <c r="A12581" s="14">
        <v>1027535</v>
      </c>
      <c r="B12581" s="14" t="s">
        <v>12679</v>
      </c>
      <c r="C12581" s="14" t="s">
        <v>13030</v>
      </c>
      <c r="D12581" s="15">
        <v>19.489999999999998</v>
      </c>
      <c r="E12581" s="14" t="s">
        <v>30</v>
      </c>
    </row>
    <row r="12582" spans="1:5" x14ac:dyDescent="0.25">
      <c r="A12582" s="14">
        <v>1027536</v>
      </c>
      <c r="B12582" s="14" t="s">
        <v>12680</v>
      </c>
      <c r="C12582" s="14" t="s">
        <v>13030</v>
      </c>
      <c r="D12582" s="15">
        <v>19.489999999999998</v>
      </c>
      <c r="E12582" s="14" t="s">
        <v>30</v>
      </c>
    </row>
    <row r="12583" spans="1:5" x14ac:dyDescent="0.25">
      <c r="A12583" s="14">
        <v>1027537</v>
      </c>
      <c r="B12583" s="14" t="s">
        <v>12681</v>
      </c>
      <c r="C12583" s="14" t="s">
        <v>13030</v>
      </c>
      <c r="D12583" s="15">
        <v>19.489999999999998</v>
      </c>
      <c r="E12583" s="14" t="s">
        <v>30</v>
      </c>
    </row>
    <row r="12584" spans="1:5" x14ac:dyDescent="0.25">
      <c r="A12584" s="14">
        <v>1027538</v>
      </c>
      <c r="B12584" s="14" t="s">
        <v>12682</v>
      </c>
      <c r="C12584" s="14" t="s">
        <v>13030</v>
      </c>
      <c r="D12584" s="15">
        <v>19.489999999999998</v>
      </c>
      <c r="E12584" s="14" t="s">
        <v>30</v>
      </c>
    </row>
    <row r="12585" spans="1:5" x14ac:dyDescent="0.25">
      <c r="A12585" s="14">
        <v>1027539</v>
      </c>
      <c r="B12585" s="14" t="s">
        <v>12683</v>
      </c>
      <c r="C12585" s="14" t="s">
        <v>13030</v>
      </c>
      <c r="D12585" s="15">
        <v>19.489999999999998</v>
      </c>
      <c r="E12585" s="14" t="s">
        <v>30</v>
      </c>
    </row>
    <row r="12586" spans="1:5" x14ac:dyDescent="0.25">
      <c r="A12586" s="14">
        <v>1027540</v>
      </c>
      <c r="B12586" s="14" t="s">
        <v>12684</v>
      </c>
      <c r="C12586" s="14" t="s">
        <v>13030</v>
      </c>
      <c r="D12586" s="15">
        <v>19.489999999999998</v>
      </c>
      <c r="E12586" s="14" t="s">
        <v>30</v>
      </c>
    </row>
    <row r="12587" spans="1:5" x14ac:dyDescent="0.25">
      <c r="A12587" s="14">
        <v>1028301</v>
      </c>
      <c r="B12587" s="14" t="s">
        <v>12685</v>
      </c>
      <c r="C12587" s="14" t="s">
        <v>13030</v>
      </c>
      <c r="D12587" s="15">
        <v>38.979999999999997</v>
      </c>
      <c r="E12587" s="14" t="s">
        <v>30</v>
      </c>
    </row>
    <row r="12588" spans="1:5" x14ac:dyDescent="0.25">
      <c r="A12588" s="14">
        <v>1028302</v>
      </c>
      <c r="B12588" s="14" t="s">
        <v>12686</v>
      </c>
      <c r="C12588" s="14" t="s">
        <v>13030</v>
      </c>
      <c r="D12588" s="15">
        <v>38.979999999999997</v>
      </c>
      <c r="E12588" s="14" t="s">
        <v>30</v>
      </c>
    </row>
    <row r="12589" spans="1:5" x14ac:dyDescent="0.25">
      <c r="A12589" s="14">
        <v>1028303</v>
      </c>
      <c r="B12589" s="14" t="s">
        <v>12687</v>
      </c>
      <c r="C12589" s="14" t="s">
        <v>13030</v>
      </c>
      <c r="D12589" s="15">
        <v>38.979999999999997</v>
      </c>
      <c r="E12589" s="14" t="s">
        <v>30</v>
      </c>
    </row>
    <row r="12590" spans="1:5" x14ac:dyDescent="0.25">
      <c r="A12590" s="14">
        <v>1028304</v>
      </c>
      <c r="B12590" s="14" t="s">
        <v>12688</v>
      </c>
      <c r="C12590" s="14" t="s">
        <v>13030</v>
      </c>
      <c r="D12590" s="15">
        <v>38.979999999999997</v>
      </c>
      <c r="E12590" s="14" t="s">
        <v>30</v>
      </c>
    </row>
    <row r="12591" spans="1:5" x14ac:dyDescent="0.25">
      <c r="A12591" s="14">
        <v>1028305</v>
      </c>
      <c r="B12591" s="14" t="s">
        <v>12689</v>
      </c>
      <c r="C12591" s="14" t="s">
        <v>13030</v>
      </c>
      <c r="D12591" s="15">
        <v>38.979999999999997</v>
      </c>
      <c r="E12591" s="14" t="s">
        <v>30</v>
      </c>
    </row>
    <row r="12592" spans="1:5" x14ac:dyDescent="0.25">
      <c r="A12592" s="14">
        <v>1028358</v>
      </c>
      <c r="B12592" s="14" t="s">
        <v>12690</v>
      </c>
      <c r="C12592" s="14" t="s">
        <v>13029</v>
      </c>
      <c r="D12592" s="15">
        <v>17.739999999999998</v>
      </c>
      <c r="E12592" s="14" t="s">
        <v>30</v>
      </c>
    </row>
    <row r="12593" spans="1:5" x14ac:dyDescent="0.25">
      <c r="A12593" s="14">
        <v>1029171</v>
      </c>
      <c r="B12593" s="14" t="s">
        <v>12691</v>
      </c>
      <c r="C12593" s="14" t="s">
        <v>13031</v>
      </c>
      <c r="D12593" s="15">
        <v>10.73</v>
      </c>
      <c r="E12593" s="14" t="s">
        <v>20</v>
      </c>
    </row>
    <row r="12594" spans="1:5" x14ac:dyDescent="0.25">
      <c r="A12594" s="14">
        <v>1029190</v>
      </c>
      <c r="B12594" s="14" t="s">
        <v>12692</v>
      </c>
      <c r="C12594" s="14" t="s">
        <v>13029</v>
      </c>
      <c r="D12594" s="15">
        <v>28.07</v>
      </c>
      <c r="E12594" s="14" t="s">
        <v>30</v>
      </c>
    </row>
    <row r="12595" spans="1:5" x14ac:dyDescent="0.25">
      <c r="A12595" s="14">
        <v>1029191</v>
      </c>
      <c r="B12595" s="14" t="s">
        <v>12693</v>
      </c>
      <c r="C12595" s="14" t="s">
        <v>13029</v>
      </c>
      <c r="D12595" s="15">
        <v>28.07</v>
      </c>
      <c r="E12595" s="14" t="s">
        <v>30</v>
      </c>
    </row>
    <row r="12596" spans="1:5" x14ac:dyDescent="0.25">
      <c r="A12596" s="14">
        <v>1029192</v>
      </c>
      <c r="B12596" s="14" t="s">
        <v>12694</v>
      </c>
      <c r="C12596" s="14" t="s">
        <v>13029</v>
      </c>
      <c r="D12596" s="15">
        <v>29.24</v>
      </c>
      <c r="E12596" s="14" t="s">
        <v>30</v>
      </c>
    </row>
    <row r="12597" spans="1:5" x14ac:dyDescent="0.25">
      <c r="A12597" s="14">
        <v>1029194</v>
      </c>
      <c r="B12597" s="14" t="s">
        <v>12695</v>
      </c>
      <c r="C12597" s="14" t="s">
        <v>13029</v>
      </c>
      <c r="D12597" s="15">
        <v>32.159999999999997</v>
      </c>
      <c r="E12597" s="14" t="s">
        <v>30</v>
      </c>
    </row>
    <row r="12598" spans="1:5" x14ac:dyDescent="0.25">
      <c r="A12598" s="14">
        <v>1029739</v>
      </c>
      <c r="B12598" s="14" t="s">
        <v>12696</v>
      </c>
      <c r="C12598" s="14" t="s">
        <v>13030</v>
      </c>
      <c r="D12598" s="15">
        <v>59.72</v>
      </c>
      <c r="E12598" s="14" t="s">
        <v>30</v>
      </c>
    </row>
    <row r="12599" spans="1:5" x14ac:dyDescent="0.25">
      <c r="A12599" s="14">
        <v>1029740</v>
      </c>
      <c r="B12599" s="14" t="s">
        <v>12697</v>
      </c>
      <c r="C12599" s="14" t="s">
        <v>13030</v>
      </c>
      <c r="D12599" s="15">
        <v>89.97</v>
      </c>
      <c r="E12599" s="14" t="s">
        <v>30</v>
      </c>
    </row>
    <row r="12600" spans="1:5" x14ac:dyDescent="0.25">
      <c r="A12600" s="14">
        <v>925596</v>
      </c>
      <c r="B12600" s="14" t="s">
        <v>12698</v>
      </c>
      <c r="C12600" s="14" t="s">
        <v>13034</v>
      </c>
      <c r="D12600" s="15">
        <v>30.3</v>
      </c>
      <c r="E12600" s="14" t="s">
        <v>30</v>
      </c>
    </row>
    <row r="12601" spans="1:5" x14ac:dyDescent="0.25">
      <c r="A12601" s="14">
        <v>941467</v>
      </c>
      <c r="B12601" s="14" t="s">
        <v>12699</v>
      </c>
      <c r="C12601" s="14" t="s">
        <v>13034</v>
      </c>
      <c r="D12601" s="15">
        <v>71.06</v>
      </c>
      <c r="E12601" s="14" t="s">
        <v>30</v>
      </c>
    </row>
    <row r="12602" spans="1:5" x14ac:dyDescent="0.25">
      <c r="A12602" s="14">
        <v>957859</v>
      </c>
      <c r="B12602" s="14" t="s">
        <v>12700</v>
      </c>
      <c r="C12602" s="14" t="s">
        <v>13034</v>
      </c>
      <c r="D12602" s="15">
        <v>74.31</v>
      </c>
      <c r="E12602" s="14" t="s">
        <v>30</v>
      </c>
    </row>
    <row r="12603" spans="1:5" x14ac:dyDescent="0.25">
      <c r="A12603" s="14">
        <v>1004588</v>
      </c>
      <c r="B12603" s="14" t="s">
        <v>12701</v>
      </c>
      <c r="C12603" s="14" t="s">
        <v>13034</v>
      </c>
      <c r="D12603" s="15">
        <v>57.27</v>
      </c>
      <c r="E12603" s="14" t="s">
        <v>30</v>
      </c>
    </row>
    <row r="12604" spans="1:5" x14ac:dyDescent="0.25">
      <c r="A12604" s="14">
        <v>1018927</v>
      </c>
      <c r="B12604" s="14" t="s">
        <v>12702</v>
      </c>
      <c r="C12604" s="14" t="s">
        <v>13034</v>
      </c>
      <c r="D12604" s="15">
        <v>41.51</v>
      </c>
      <c r="E12604" s="14" t="s">
        <v>30</v>
      </c>
    </row>
    <row r="12605" spans="1:5" x14ac:dyDescent="0.25">
      <c r="A12605" s="14">
        <v>1024328</v>
      </c>
      <c r="B12605" s="14" t="s">
        <v>12703</v>
      </c>
      <c r="C12605" s="14" t="s">
        <v>13031</v>
      </c>
      <c r="D12605" s="15">
        <v>36.200000000000003</v>
      </c>
      <c r="E12605" s="14" t="s">
        <v>30</v>
      </c>
    </row>
    <row r="12606" spans="1:5" x14ac:dyDescent="0.25">
      <c r="A12606" s="14">
        <v>1024329</v>
      </c>
      <c r="B12606" s="14" t="s">
        <v>12704</v>
      </c>
      <c r="C12606" s="14" t="s">
        <v>13031</v>
      </c>
      <c r="D12606" s="15">
        <v>36.200000000000003</v>
      </c>
      <c r="E12606" s="14" t="s">
        <v>30</v>
      </c>
    </row>
    <row r="12607" spans="1:5" x14ac:dyDescent="0.25">
      <c r="A12607" s="14">
        <v>1026501</v>
      </c>
      <c r="B12607" s="14" t="s">
        <v>12705</v>
      </c>
      <c r="C12607" s="14" t="s">
        <v>13029</v>
      </c>
      <c r="D12607" s="15">
        <v>41.5</v>
      </c>
      <c r="E12607" s="14" t="s">
        <v>30</v>
      </c>
    </row>
    <row r="12608" spans="1:5" x14ac:dyDescent="0.25">
      <c r="A12608" s="14">
        <v>1026502</v>
      </c>
      <c r="B12608" s="14" t="s">
        <v>12706</v>
      </c>
      <c r="C12608" s="14" t="s">
        <v>13029</v>
      </c>
      <c r="D12608" s="15">
        <v>41.5</v>
      </c>
      <c r="E12608" s="14" t="s">
        <v>30</v>
      </c>
    </row>
    <row r="12609" spans="1:5" x14ac:dyDescent="0.25">
      <c r="A12609" s="14">
        <v>1028206</v>
      </c>
      <c r="B12609" s="14" t="s">
        <v>12707</v>
      </c>
      <c r="C12609" s="14" t="s">
        <v>13034</v>
      </c>
      <c r="D12609" s="15">
        <v>28.85</v>
      </c>
      <c r="E12609" s="14" t="s">
        <v>30</v>
      </c>
    </row>
    <row r="12610" spans="1:5" x14ac:dyDescent="0.25">
      <c r="A12610" s="14">
        <v>1028300</v>
      </c>
      <c r="B12610" s="14" t="s">
        <v>12708</v>
      </c>
      <c r="C12610" s="14" t="s">
        <v>13030</v>
      </c>
      <c r="D12610" s="15">
        <v>13.05</v>
      </c>
      <c r="E12610" s="14" t="s">
        <v>30</v>
      </c>
    </row>
    <row r="12611" spans="1:5" x14ac:dyDescent="0.25">
      <c r="A12611" s="14">
        <v>1028322</v>
      </c>
      <c r="B12611" s="14" t="s">
        <v>12709</v>
      </c>
      <c r="C12611" s="14" t="s">
        <v>13033</v>
      </c>
      <c r="D12611" s="15">
        <v>21.98</v>
      </c>
      <c r="E12611" s="14" t="s">
        <v>30</v>
      </c>
    </row>
    <row r="12612" spans="1:5" x14ac:dyDescent="0.25">
      <c r="A12612" s="14">
        <v>1028323</v>
      </c>
      <c r="B12612" s="14" t="s">
        <v>12710</v>
      </c>
      <c r="C12612" s="14" t="s">
        <v>13033</v>
      </c>
      <c r="D12612" s="15">
        <v>21.98</v>
      </c>
      <c r="E12612" s="14" t="s">
        <v>30</v>
      </c>
    </row>
    <row r="12613" spans="1:5" x14ac:dyDescent="0.25">
      <c r="A12613" s="14">
        <v>1028324</v>
      </c>
      <c r="B12613" s="14" t="s">
        <v>12711</v>
      </c>
      <c r="C12613" s="14" t="s">
        <v>13033</v>
      </c>
      <c r="D12613" s="15">
        <v>21.98</v>
      </c>
      <c r="E12613" s="14" t="s">
        <v>30</v>
      </c>
    </row>
    <row r="12614" spans="1:5" x14ac:dyDescent="0.25">
      <c r="A12614" s="14">
        <v>1029738</v>
      </c>
      <c r="B12614" s="14" t="s">
        <v>12712</v>
      </c>
      <c r="C12614" s="14" t="s">
        <v>13030</v>
      </c>
      <c r="D12614" s="15">
        <v>15.51</v>
      </c>
      <c r="E12614" s="14" t="s">
        <v>30</v>
      </c>
    </row>
    <row r="12615" spans="1:5" x14ac:dyDescent="0.25">
      <c r="A12615" s="14">
        <v>1029871</v>
      </c>
      <c r="B12615" s="14" t="s">
        <v>12713</v>
      </c>
      <c r="C12615" s="14" t="s">
        <v>13030</v>
      </c>
      <c r="D12615" s="15">
        <v>80.8</v>
      </c>
      <c r="E12615" s="14" t="s">
        <v>30</v>
      </c>
    </row>
    <row r="12616" spans="1:5" x14ac:dyDescent="0.25">
      <c r="A12616" s="14">
        <v>1029878</v>
      </c>
      <c r="B12616" s="14" t="s">
        <v>12714</v>
      </c>
      <c r="C12616" s="14" t="s">
        <v>13030</v>
      </c>
      <c r="D12616" s="15">
        <v>4.29</v>
      </c>
      <c r="E12616" s="14" t="s">
        <v>30</v>
      </c>
    </row>
    <row r="12617" spans="1:5" x14ac:dyDescent="0.25">
      <c r="A12617" s="14">
        <v>1025871</v>
      </c>
      <c r="B12617" s="14" t="s">
        <v>12715</v>
      </c>
      <c r="C12617" s="14" t="s">
        <v>13031</v>
      </c>
      <c r="D12617" s="15">
        <v>35.19</v>
      </c>
      <c r="E12617" s="14" t="s">
        <v>30</v>
      </c>
    </row>
    <row r="12618" spans="1:5" x14ac:dyDescent="0.25">
      <c r="A12618" s="14">
        <v>1025872</v>
      </c>
      <c r="B12618" s="14" t="s">
        <v>12716</v>
      </c>
      <c r="C12618" s="14" t="s">
        <v>13031</v>
      </c>
      <c r="D12618" s="15">
        <v>34.78</v>
      </c>
      <c r="E12618" s="14" t="s">
        <v>30</v>
      </c>
    </row>
    <row r="12619" spans="1:5" x14ac:dyDescent="0.25">
      <c r="A12619" s="14">
        <v>1025873</v>
      </c>
      <c r="B12619" s="14" t="s">
        <v>12717</v>
      </c>
      <c r="C12619" s="14" t="s">
        <v>13031</v>
      </c>
      <c r="D12619" s="15">
        <v>35.19</v>
      </c>
      <c r="E12619" s="14" t="s">
        <v>30</v>
      </c>
    </row>
    <row r="12620" spans="1:5" x14ac:dyDescent="0.25">
      <c r="A12620" s="14">
        <v>1028225</v>
      </c>
      <c r="B12620" s="14" t="s">
        <v>12718</v>
      </c>
      <c r="C12620" s="14" t="s">
        <v>13031</v>
      </c>
      <c r="D12620" s="15">
        <v>3.03</v>
      </c>
      <c r="E12620" s="14" t="s">
        <v>30</v>
      </c>
    </row>
    <row r="12621" spans="1:5" x14ac:dyDescent="0.25">
      <c r="A12621" s="14">
        <v>1028564</v>
      </c>
      <c r="B12621" s="14" t="s">
        <v>12719</v>
      </c>
      <c r="C12621" s="14" t="s">
        <v>13030</v>
      </c>
      <c r="D12621" s="15">
        <v>62.6</v>
      </c>
      <c r="E12621" s="14" t="s">
        <v>30</v>
      </c>
    </row>
    <row r="12622" spans="1:5" x14ac:dyDescent="0.25">
      <c r="A12622" s="14">
        <v>1029514</v>
      </c>
      <c r="B12622" s="14" t="s">
        <v>12720</v>
      </c>
      <c r="C12622" s="14" t="s">
        <v>13031</v>
      </c>
      <c r="D12622" s="15">
        <v>12.6</v>
      </c>
      <c r="E12622" s="14" t="s">
        <v>30</v>
      </c>
    </row>
    <row r="12623" spans="1:5" x14ac:dyDescent="0.25">
      <c r="A12623" s="14">
        <v>1029741</v>
      </c>
      <c r="B12623" s="14" t="s">
        <v>12721</v>
      </c>
      <c r="C12623" s="14" t="s">
        <v>13030</v>
      </c>
      <c r="D12623" s="15">
        <v>71.959999999999994</v>
      </c>
      <c r="E12623" s="14" t="s">
        <v>30</v>
      </c>
    </row>
    <row r="12624" spans="1:5" x14ac:dyDescent="0.25">
      <c r="A12624" s="14">
        <v>1029801</v>
      </c>
      <c r="B12624" s="14" t="s">
        <v>12722</v>
      </c>
      <c r="C12624" s="14" t="s">
        <v>13033</v>
      </c>
      <c r="D12624" s="15">
        <v>24</v>
      </c>
      <c r="E12624" s="14" t="s">
        <v>30</v>
      </c>
    </row>
    <row r="12625" spans="1:5" x14ac:dyDescent="0.25">
      <c r="A12625" s="14">
        <v>1028246</v>
      </c>
      <c r="B12625" s="14" t="s">
        <v>12723</v>
      </c>
      <c r="C12625" s="14" t="s">
        <v>13047</v>
      </c>
      <c r="D12625" s="15">
        <v>5.45</v>
      </c>
      <c r="E12625" s="14" t="s">
        <v>30</v>
      </c>
    </row>
    <row r="12626" spans="1:5" x14ac:dyDescent="0.25">
      <c r="A12626" s="14">
        <v>1028247</v>
      </c>
      <c r="B12626" s="14" t="s">
        <v>12724</v>
      </c>
      <c r="C12626" s="14" t="s">
        <v>13047</v>
      </c>
      <c r="D12626" s="15">
        <v>5.45</v>
      </c>
      <c r="E12626" s="14" t="s">
        <v>30</v>
      </c>
    </row>
    <row r="12627" spans="1:5" x14ac:dyDescent="0.25">
      <c r="A12627" s="14">
        <v>1028248</v>
      </c>
      <c r="B12627" s="14" t="s">
        <v>12725</v>
      </c>
      <c r="C12627" s="14" t="s">
        <v>13047</v>
      </c>
      <c r="D12627" s="15">
        <v>5.45</v>
      </c>
      <c r="E12627" s="14" t="s">
        <v>30</v>
      </c>
    </row>
    <row r="12628" spans="1:5" x14ac:dyDescent="0.25">
      <c r="A12628" s="14">
        <v>1028250</v>
      </c>
      <c r="B12628" s="14" t="s">
        <v>12726</v>
      </c>
      <c r="C12628" s="14" t="s">
        <v>13047</v>
      </c>
      <c r="D12628" s="15">
        <v>5.45</v>
      </c>
      <c r="E12628" s="14" t="s">
        <v>30</v>
      </c>
    </row>
    <row r="12629" spans="1:5" x14ac:dyDescent="0.25">
      <c r="A12629" s="14">
        <v>1028255</v>
      </c>
      <c r="B12629" s="14" t="s">
        <v>12727</v>
      </c>
      <c r="C12629" s="14" t="s">
        <v>13047</v>
      </c>
      <c r="D12629" s="15">
        <v>5.45</v>
      </c>
      <c r="E12629" s="14" t="s">
        <v>30</v>
      </c>
    </row>
    <row r="12630" spans="1:5" x14ac:dyDescent="0.25">
      <c r="A12630" s="14">
        <v>1028256</v>
      </c>
      <c r="B12630" s="14" t="s">
        <v>12728</v>
      </c>
      <c r="C12630" s="14" t="s">
        <v>13047</v>
      </c>
      <c r="D12630" s="15">
        <v>5.45</v>
      </c>
      <c r="E12630" s="14" t="s">
        <v>30</v>
      </c>
    </row>
    <row r="12631" spans="1:5" x14ac:dyDescent="0.25">
      <c r="A12631" s="14">
        <v>1029167</v>
      </c>
      <c r="B12631" s="14" t="s">
        <v>12729</v>
      </c>
      <c r="C12631" s="14" t="s">
        <v>13031</v>
      </c>
      <c r="D12631" s="15">
        <v>11.81</v>
      </c>
      <c r="E12631" s="14" t="s">
        <v>30</v>
      </c>
    </row>
    <row r="12632" spans="1:5" x14ac:dyDescent="0.25">
      <c r="A12632" s="14">
        <v>1029168</v>
      </c>
      <c r="B12632" s="14" t="s">
        <v>12730</v>
      </c>
      <c r="C12632" s="14" t="s">
        <v>13031</v>
      </c>
      <c r="D12632" s="15">
        <v>11.81</v>
      </c>
      <c r="E12632" s="14" t="s">
        <v>30</v>
      </c>
    </row>
    <row r="12633" spans="1:5" x14ac:dyDescent="0.25">
      <c r="A12633" s="14">
        <v>1029169</v>
      </c>
      <c r="B12633" s="14" t="s">
        <v>12731</v>
      </c>
      <c r="C12633" s="14" t="s">
        <v>13031</v>
      </c>
      <c r="D12633" s="15">
        <v>14.77</v>
      </c>
      <c r="E12633" s="14" t="s">
        <v>30</v>
      </c>
    </row>
    <row r="12634" spans="1:5" x14ac:dyDescent="0.25">
      <c r="A12634" s="14">
        <v>791339</v>
      </c>
      <c r="B12634" s="14" t="s">
        <v>12732</v>
      </c>
      <c r="C12634" s="14" t="s">
        <v>13034</v>
      </c>
      <c r="D12634" s="15">
        <v>52.28</v>
      </c>
      <c r="E12634" s="14" t="s">
        <v>30</v>
      </c>
    </row>
    <row r="12635" spans="1:5" x14ac:dyDescent="0.25">
      <c r="A12635" s="14">
        <v>1018929</v>
      </c>
      <c r="B12635" s="14" t="s">
        <v>12733</v>
      </c>
      <c r="C12635" s="14" t="s">
        <v>13034</v>
      </c>
      <c r="D12635" s="15">
        <v>41.51</v>
      </c>
      <c r="E12635" s="14" t="s">
        <v>30</v>
      </c>
    </row>
    <row r="12636" spans="1:5" x14ac:dyDescent="0.25">
      <c r="A12636" s="14">
        <v>1024540</v>
      </c>
      <c r="B12636" s="14" t="s">
        <v>12734</v>
      </c>
      <c r="C12636" s="14" t="s">
        <v>13031</v>
      </c>
      <c r="D12636" s="15">
        <v>12.14</v>
      </c>
      <c r="E12636" s="14" t="s">
        <v>20</v>
      </c>
    </row>
    <row r="12637" spans="1:5" x14ac:dyDescent="0.25">
      <c r="A12637" s="14">
        <v>1024541</v>
      </c>
      <c r="B12637" s="14" t="s">
        <v>12735</v>
      </c>
      <c r="C12637" s="14" t="s">
        <v>13031</v>
      </c>
      <c r="D12637" s="15">
        <v>12.14</v>
      </c>
      <c r="E12637" s="14" t="s">
        <v>20</v>
      </c>
    </row>
    <row r="12638" spans="1:5" x14ac:dyDescent="0.25">
      <c r="A12638" s="14">
        <v>1024542</v>
      </c>
      <c r="B12638" s="14" t="s">
        <v>12736</v>
      </c>
      <c r="C12638" s="14" t="s">
        <v>13031</v>
      </c>
      <c r="D12638" s="15">
        <v>18.25</v>
      </c>
      <c r="E12638" s="14" t="s">
        <v>20</v>
      </c>
    </row>
    <row r="12639" spans="1:5" x14ac:dyDescent="0.25">
      <c r="A12639" s="14">
        <v>1025906</v>
      </c>
      <c r="B12639" s="14" t="s">
        <v>12737</v>
      </c>
      <c r="C12639" s="14" t="s">
        <v>13031</v>
      </c>
      <c r="D12639" s="15">
        <v>8.48</v>
      </c>
      <c r="E12639" s="14" t="s">
        <v>20</v>
      </c>
    </row>
    <row r="12640" spans="1:5" x14ac:dyDescent="0.25">
      <c r="A12640" s="14">
        <v>1025907</v>
      </c>
      <c r="B12640" s="14" t="s">
        <v>12738</v>
      </c>
      <c r="C12640" s="14" t="s">
        <v>13031</v>
      </c>
      <c r="D12640" s="15">
        <v>8.48</v>
      </c>
      <c r="E12640" s="14" t="s">
        <v>20</v>
      </c>
    </row>
    <row r="12641" spans="1:5" x14ac:dyDescent="0.25">
      <c r="A12641" s="14">
        <v>1025908</v>
      </c>
      <c r="B12641" s="14" t="s">
        <v>12739</v>
      </c>
      <c r="C12641" s="14" t="s">
        <v>13031</v>
      </c>
      <c r="D12641" s="15">
        <v>8.48</v>
      </c>
      <c r="E12641" s="14" t="s">
        <v>20</v>
      </c>
    </row>
    <row r="12642" spans="1:5" x14ac:dyDescent="0.25">
      <c r="A12642" s="14">
        <v>1025909</v>
      </c>
      <c r="B12642" s="14" t="s">
        <v>12740</v>
      </c>
      <c r="C12642" s="14" t="s">
        <v>13031</v>
      </c>
      <c r="D12642" s="15">
        <v>8.48</v>
      </c>
      <c r="E12642" s="14" t="s">
        <v>20</v>
      </c>
    </row>
    <row r="12643" spans="1:5" x14ac:dyDescent="0.25">
      <c r="A12643" s="14">
        <v>1025910</v>
      </c>
      <c r="B12643" s="14" t="s">
        <v>12741</v>
      </c>
      <c r="C12643" s="14" t="s">
        <v>13031</v>
      </c>
      <c r="D12643" s="15">
        <v>8.48</v>
      </c>
      <c r="E12643" s="14" t="s">
        <v>20</v>
      </c>
    </row>
    <row r="12644" spans="1:5" x14ac:dyDescent="0.25">
      <c r="A12644" s="14">
        <v>1025911</v>
      </c>
      <c r="B12644" s="14" t="s">
        <v>12742</v>
      </c>
      <c r="C12644" s="14" t="s">
        <v>13031</v>
      </c>
      <c r="D12644" s="15">
        <v>8.48</v>
      </c>
      <c r="E12644" s="14" t="s">
        <v>20</v>
      </c>
    </row>
    <row r="12645" spans="1:5" x14ac:dyDescent="0.25">
      <c r="A12645" s="14">
        <v>1025912</v>
      </c>
      <c r="B12645" s="14" t="s">
        <v>12743</v>
      </c>
      <c r="C12645" s="14" t="s">
        <v>13031</v>
      </c>
      <c r="D12645" s="15">
        <v>10.92</v>
      </c>
      <c r="E12645" s="14" t="s">
        <v>20</v>
      </c>
    </row>
    <row r="12646" spans="1:5" x14ac:dyDescent="0.25">
      <c r="A12646" s="14">
        <v>1029316</v>
      </c>
      <c r="B12646" s="14" t="s">
        <v>12744</v>
      </c>
      <c r="C12646" s="14" t="s">
        <v>13029</v>
      </c>
      <c r="D12646" s="15">
        <v>5.62</v>
      </c>
      <c r="E12646" s="14" t="s">
        <v>30</v>
      </c>
    </row>
    <row r="12647" spans="1:5" x14ac:dyDescent="0.25">
      <c r="A12647" s="14">
        <v>1029317</v>
      </c>
      <c r="B12647" s="14" t="s">
        <v>12745</v>
      </c>
      <c r="C12647" s="14" t="s">
        <v>13029</v>
      </c>
      <c r="D12647" s="15">
        <v>21.95</v>
      </c>
      <c r="E12647" s="14" t="s">
        <v>30</v>
      </c>
    </row>
    <row r="12648" spans="1:5" x14ac:dyDescent="0.25">
      <c r="A12648" s="14">
        <v>1029754</v>
      </c>
      <c r="B12648" s="14" t="s">
        <v>12746</v>
      </c>
      <c r="C12648" s="14" t="s">
        <v>13029</v>
      </c>
      <c r="D12648" s="15">
        <v>7.11</v>
      </c>
      <c r="E12648" s="14" t="s">
        <v>30</v>
      </c>
    </row>
    <row r="12649" spans="1:5" x14ac:dyDescent="0.25">
      <c r="A12649" s="14">
        <v>1029757</v>
      </c>
      <c r="B12649" s="14" t="s">
        <v>12747</v>
      </c>
      <c r="C12649" s="14" t="s">
        <v>13030</v>
      </c>
      <c r="D12649" s="15">
        <v>7.53</v>
      </c>
      <c r="E12649" s="14" t="s">
        <v>30</v>
      </c>
    </row>
    <row r="12650" spans="1:5" x14ac:dyDescent="0.25">
      <c r="A12650" s="14">
        <v>1029796</v>
      </c>
      <c r="B12650" s="14" t="s">
        <v>12748</v>
      </c>
      <c r="C12650" s="14" t="s">
        <v>13029</v>
      </c>
      <c r="D12650" s="15">
        <v>4.5</v>
      </c>
      <c r="E12650" s="14" t="s">
        <v>30</v>
      </c>
    </row>
    <row r="12651" spans="1:5" x14ac:dyDescent="0.25">
      <c r="A12651" s="14">
        <v>1029875</v>
      </c>
      <c r="B12651" s="14" t="s">
        <v>12749</v>
      </c>
      <c r="C12651" s="14" t="s">
        <v>13030</v>
      </c>
      <c r="D12651" s="15">
        <v>11.86</v>
      </c>
      <c r="E12651" s="14" t="s">
        <v>30</v>
      </c>
    </row>
    <row r="12652" spans="1:5" x14ac:dyDescent="0.25">
      <c r="A12652" s="14">
        <v>1029876</v>
      </c>
      <c r="B12652" s="14" t="s">
        <v>12750</v>
      </c>
      <c r="C12652" s="14" t="s">
        <v>13030</v>
      </c>
      <c r="D12652" s="15">
        <v>11.86</v>
      </c>
      <c r="E12652" s="14" t="s">
        <v>30</v>
      </c>
    </row>
    <row r="12653" spans="1:5" x14ac:dyDescent="0.25">
      <c r="A12653" s="14">
        <v>1029882</v>
      </c>
      <c r="B12653" s="14" t="s">
        <v>12751</v>
      </c>
      <c r="C12653" s="14" t="s">
        <v>13029</v>
      </c>
      <c r="D12653" s="15">
        <v>14.27</v>
      </c>
      <c r="E12653" s="14" t="s">
        <v>30</v>
      </c>
    </row>
    <row r="12654" spans="1:5" x14ac:dyDescent="0.25">
      <c r="A12654" s="14">
        <v>532460</v>
      </c>
      <c r="B12654" s="14" t="s">
        <v>12752</v>
      </c>
      <c r="C12654" s="14" t="s">
        <v>13033</v>
      </c>
      <c r="D12654" s="15">
        <v>10.7</v>
      </c>
      <c r="E12654" s="14" t="s">
        <v>30</v>
      </c>
    </row>
    <row r="12655" spans="1:5" x14ac:dyDescent="0.25">
      <c r="A12655" s="14">
        <v>1023839</v>
      </c>
      <c r="B12655" s="14" t="s">
        <v>12753</v>
      </c>
      <c r="C12655" s="14" t="s">
        <v>13029</v>
      </c>
      <c r="D12655" s="15">
        <v>29.6</v>
      </c>
      <c r="E12655" s="14" t="s">
        <v>30</v>
      </c>
    </row>
    <row r="12656" spans="1:5" x14ac:dyDescent="0.25">
      <c r="A12656" s="14">
        <v>1025273</v>
      </c>
      <c r="B12656" s="14" t="s">
        <v>12754</v>
      </c>
      <c r="C12656" s="14" t="s">
        <v>13033</v>
      </c>
      <c r="D12656" s="15">
        <v>6.23</v>
      </c>
      <c r="E12656" s="14" t="s">
        <v>30</v>
      </c>
    </row>
    <row r="12657" spans="1:5" x14ac:dyDescent="0.25">
      <c r="A12657" s="14">
        <v>1025274</v>
      </c>
      <c r="B12657" s="14" t="s">
        <v>12755</v>
      </c>
      <c r="C12657" s="14" t="s">
        <v>13033</v>
      </c>
      <c r="D12657" s="15">
        <v>6.75</v>
      </c>
      <c r="E12657" s="14" t="s">
        <v>30</v>
      </c>
    </row>
    <row r="12658" spans="1:5" x14ac:dyDescent="0.25">
      <c r="A12658" s="14">
        <v>1025275</v>
      </c>
      <c r="B12658" s="14" t="s">
        <v>12756</v>
      </c>
      <c r="C12658" s="14" t="s">
        <v>13033</v>
      </c>
      <c r="D12658" s="15">
        <v>5.92</v>
      </c>
      <c r="E12658" s="14" t="s">
        <v>30</v>
      </c>
    </row>
    <row r="12659" spans="1:5" x14ac:dyDescent="0.25">
      <c r="A12659" s="14">
        <v>1028228</v>
      </c>
      <c r="B12659" s="14" t="s">
        <v>12757</v>
      </c>
      <c r="C12659" s="14" t="s">
        <v>13031</v>
      </c>
      <c r="D12659" s="15">
        <v>4.5</v>
      </c>
      <c r="E12659" s="14" t="s">
        <v>30</v>
      </c>
    </row>
    <row r="12660" spans="1:5" x14ac:dyDescent="0.25">
      <c r="A12660" s="14">
        <v>1029200</v>
      </c>
      <c r="B12660" s="14" t="s">
        <v>12758</v>
      </c>
      <c r="C12660" s="14" t="s">
        <v>13030</v>
      </c>
      <c r="D12660" s="15">
        <v>65.17</v>
      </c>
      <c r="E12660" s="14" t="s">
        <v>30</v>
      </c>
    </row>
    <row r="12661" spans="1:5" x14ac:dyDescent="0.25">
      <c r="A12661" s="14">
        <v>1029870</v>
      </c>
      <c r="B12661" s="14" t="s">
        <v>12759</v>
      </c>
      <c r="C12661" s="14" t="s">
        <v>13030</v>
      </c>
      <c r="D12661" s="15">
        <v>66.75</v>
      </c>
      <c r="E12661" s="14" t="s">
        <v>30</v>
      </c>
    </row>
    <row r="12662" spans="1:5" x14ac:dyDescent="0.25">
      <c r="A12662" s="14">
        <v>1030709</v>
      </c>
      <c r="B12662" s="14" t="s">
        <v>12760</v>
      </c>
      <c r="C12662" s="14" t="s">
        <v>13030</v>
      </c>
      <c r="D12662" s="15">
        <v>20.27</v>
      </c>
      <c r="E12662" s="14" t="s">
        <v>30</v>
      </c>
    </row>
    <row r="12663" spans="1:5" x14ac:dyDescent="0.25">
      <c r="A12663" s="14">
        <v>1024532</v>
      </c>
      <c r="B12663" s="14" t="s">
        <v>12761</v>
      </c>
      <c r="C12663" s="14" t="s">
        <v>13031</v>
      </c>
      <c r="D12663" s="15">
        <v>5.13</v>
      </c>
      <c r="E12663" s="14" t="s">
        <v>20</v>
      </c>
    </row>
    <row r="12664" spans="1:5" x14ac:dyDescent="0.25">
      <c r="A12664" s="14">
        <v>1024533</v>
      </c>
      <c r="B12664" s="14" t="s">
        <v>12762</v>
      </c>
      <c r="C12664" s="14" t="s">
        <v>13031</v>
      </c>
      <c r="D12664" s="15">
        <v>5.59</v>
      </c>
      <c r="E12664" s="14" t="s">
        <v>20</v>
      </c>
    </row>
    <row r="12665" spans="1:5" x14ac:dyDescent="0.25">
      <c r="A12665" s="14">
        <v>1027095</v>
      </c>
      <c r="B12665" s="14" t="s">
        <v>12763</v>
      </c>
      <c r="C12665" s="14" t="s">
        <v>13029</v>
      </c>
      <c r="D12665" s="15">
        <v>9.09</v>
      </c>
      <c r="E12665" s="14" t="s">
        <v>30</v>
      </c>
    </row>
    <row r="12666" spans="1:5" x14ac:dyDescent="0.25">
      <c r="A12666" s="14">
        <v>1028249</v>
      </c>
      <c r="B12666" s="14" t="s">
        <v>12764</v>
      </c>
      <c r="C12666" s="14" t="s">
        <v>13029</v>
      </c>
      <c r="D12666" s="15">
        <v>5.45</v>
      </c>
      <c r="E12666" s="14" t="s">
        <v>30</v>
      </c>
    </row>
    <row r="12667" spans="1:5" x14ac:dyDescent="0.25">
      <c r="A12667" s="14">
        <v>1028251</v>
      </c>
      <c r="B12667" s="14" t="s">
        <v>12765</v>
      </c>
      <c r="C12667" s="14" t="s">
        <v>13029</v>
      </c>
      <c r="D12667" s="15">
        <v>5.45</v>
      </c>
      <c r="E12667" s="14" t="s">
        <v>30</v>
      </c>
    </row>
    <row r="12668" spans="1:5" x14ac:dyDescent="0.25">
      <c r="A12668" s="14">
        <v>1028252</v>
      </c>
      <c r="B12668" s="14" t="s">
        <v>12766</v>
      </c>
      <c r="C12668" s="14" t="s">
        <v>13029</v>
      </c>
      <c r="D12668" s="15">
        <v>5.45</v>
      </c>
      <c r="E12668" s="14" t="s">
        <v>30</v>
      </c>
    </row>
    <row r="12669" spans="1:5" x14ac:dyDescent="0.25">
      <c r="A12669" s="14">
        <v>1028253</v>
      </c>
      <c r="B12669" s="14" t="s">
        <v>12767</v>
      </c>
      <c r="C12669" s="14" t="s">
        <v>13029</v>
      </c>
      <c r="D12669" s="15">
        <v>5.45</v>
      </c>
      <c r="E12669" s="14" t="s">
        <v>30</v>
      </c>
    </row>
    <row r="12670" spans="1:5" x14ac:dyDescent="0.25">
      <c r="A12670" s="14">
        <v>1029170</v>
      </c>
      <c r="B12670" s="14" t="s">
        <v>12768</v>
      </c>
      <c r="C12670" s="14" t="s">
        <v>13031</v>
      </c>
      <c r="D12670" s="15">
        <v>224.68</v>
      </c>
      <c r="E12670" s="14" t="s">
        <v>30</v>
      </c>
    </row>
    <row r="12671" spans="1:5" x14ac:dyDescent="0.25">
      <c r="A12671" s="14">
        <v>1029869</v>
      </c>
      <c r="B12671" s="14" t="s">
        <v>12769</v>
      </c>
      <c r="C12671" s="14" t="s">
        <v>13030</v>
      </c>
      <c r="D12671" s="15">
        <v>66.75</v>
      </c>
      <c r="E12671" s="14" t="s">
        <v>30</v>
      </c>
    </row>
    <row r="12672" spans="1:5" x14ac:dyDescent="0.25">
      <c r="A12672" s="14">
        <v>1030656</v>
      </c>
      <c r="B12672" s="14" t="s">
        <v>12770</v>
      </c>
      <c r="C12672" s="14" t="s">
        <v>13030</v>
      </c>
      <c r="D12672" s="15">
        <v>27.73</v>
      </c>
      <c r="E12672" s="14" t="s">
        <v>30</v>
      </c>
    </row>
    <row r="12673" spans="1:5" x14ac:dyDescent="0.25">
      <c r="A12673" s="14">
        <v>1031036</v>
      </c>
      <c r="B12673" s="14" t="s">
        <v>12771</v>
      </c>
      <c r="C12673" s="14" t="s">
        <v>13030</v>
      </c>
      <c r="D12673" s="15">
        <v>64.010000000000005</v>
      </c>
      <c r="E12673" s="14" t="s">
        <v>30</v>
      </c>
    </row>
    <row r="12674" spans="1:5" x14ac:dyDescent="0.25">
      <c r="A12674" s="14">
        <v>1031037</v>
      </c>
      <c r="B12674" s="14" t="s">
        <v>12772</v>
      </c>
      <c r="C12674" s="14" t="s">
        <v>13030</v>
      </c>
      <c r="D12674" s="15">
        <v>32.28</v>
      </c>
      <c r="E12674" s="14" t="s">
        <v>30</v>
      </c>
    </row>
    <row r="12675" spans="1:5" x14ac:dyDescent="0.25">
      <c r="A12675" s="14">
        <v>1031954</v>
      </c>
      <c r="B12675" s="14" t="s">
        <v>12773</v>
      </c>
      <c r="C12675" s="14" t="s">
        <v>13031</v>
      </c>
      <c r="D12675" s="15">
        <v>11.02</v>
      </c>
      <c r="E12675" s="14" t="s">
        <v>20</v>
      </c>
    </row>
    <row r="12676" spans="1:5" x14ac:dyDescent="0.25">
      <c r="A12676" s="14">
        <v>733861</v>
      </c>
      <c r="B12676" s="14" t="s">
        <v>12774</v>
      </c>
      <c r="C12676" s="14" t="s">
        <v>13029</v>
      </c>
      <c r="D12676" s="15">
        <v>4.5</v>
      </c>
      <c r="E12676" s="14" t="s">
        <v>30</v>
      </c>
    </row>
    <row r="12677" spans="1:5" x14ac:dyDescent="0.25">
      <c r="A12677" s="14">
        <v>1027727</v>
      </c>
      <c r="B12677" s="14" t="s">
        <v>12775</v>
      </c>
      <c r="C12677" s="14" t="s">
        <v>13029</v>
      </c>
      <c r="D12677" s="15">
        <v>12.06</v>
      </c>
      <c r="E12677" s="14" t="s">
        <v>30</v>
      </c>
    </row>
    <row r="12678" spans="1:5" x14ac:dyDescent="0.25">
      <c r="A12678" s="14">
        <v>1028776</v>
      </c>
      <c r="B12678" s="14" t="s">
        <v>12776</v>
      </c>
      <c r="C12678" s="14" t="s">
        <v>13030</v>
      </c>
      <c r="D12678" s="15">
        <v>50</v>
      </c>
      <c r="E12678" s="14" t="s">
        <v>30</v>
      </c>
    </row>
    <row r="12679" spans="1:5" x14ac:dyDescent="0.25">
      <c r="A12679" s="14">
        <v>1029711</v>
      </c>
      <c r="B12679" s="14" t="s">
        <v>12777</v>
      </c>
      <c r="C12679" s="14" t="s">
        <v>13031</v>
      </c>
      <c r="D12679" s="15">
        <v>21.89</v>
      </c>
      <c r="E12679" s="14" t="s">
        <v>30</v>
      </c>
    </row>
    <row r="12680" spans="1:5" x14ac:dyDescent="0.25">
      <c r="A12680" s="14">
        <v>1030657</v>
      </c>
      <c r="B12680" s="14" t="s">
        <v>12778</v>
      </c>
      <c r="C12680" s="14" t="s">
        <v>13030</v>
      </c>
      <c r="D12680" s="15">
        <v>111.12</v>
      </c>
      <c r="E12680" s="14" t="s">
        <v>30</v>
      </c>
    </row>
    <row r="12681" spans="1:5" x14ac:dyDescent="0.25">
      <c r="A12681" s="14">
        <v>1031097</v>
      </c>
      <c r="B12681" s="14" t="s">
        <v>12779</v>
      </c>
      <c r="C12681" s="14" t="s">
        <v>13030</v>
      </c>
      <c r="D12681" s="15">
        <v>58.25</v>
      </c>
      <c r="E12681" s="14" t="s">
        <v>20</v>
      </c>
    </row>
    <row r="12682" spans="1:5" x14ac:dyDescent="0.25">
      <c r="A12682" s="14">
        <v>1032007</v>
      </c>
      <c r="B12682" s="14" t="s">
        <v>12780</v>
      </c>
      <c r="C12682" s="14" t="s">
        <v>13030</v>
      </c>
      <c r="D12682" s="15">
        <v>541.97</v>
      </c>
      <c r="E12682" s="14" t="s">
        <v>30</v>
      </c>
    </row>
    <row r="12683" spans="1:5" x14ac:dyDescent="0.25">
      <c r="A12683" s="14">
        <v>786357</v>
      </c>
      <c r="B12683" s="14" t="s">
        <v>12781</v>
      </c>
      <c r="C12683" s="14" t="s">
        <v>13037</v>
      </c>
      <c r="D12683" s="15">
        <v>0.04</v>
      </c>
      <c r="E12683" s="14" t="s">
        <v>30</v>
      </c>
    </row>
    <row r="12684" spans="1:5" x14ac:dyDescent="0.25">
      <c r="A12684" s="14">
        <v>1012185</v>
      </c>
      <c r="B12684" s="14" t="s">
        <v>12782</v>
      </c>
      <c r="C12684" s="14" t="s">
        <v>13031</v>
      </c>
      <c r="D12684" s="15">
        <v>32.200000000000003</v>
      </c>
      <c r="E12684" s="14" t="s">
        <v>20</v>
      </c>
    </row>
    <row r="12685" spans="1:5" x14ac:dyDescent="0.25">
      <c r="A12685" s="14">
        <v>1019806</v>
      </c>
      <c r="B12685" s="14" t="s">
        <v>12783</v>
      </c>
      <c r="C12685" s="14" t="s">
        <v>13030</v>
      </c>
      <c r="D12685" s="15">
        <v>21.64</v>
      </c>
      <c r="E12685" s="14" t="s">
        <v>20</v>
      </c>
    </row>
    <row r="12686" spans="1:5" x14ac:dyDescent="0.25">
      <c r="A12686" s="14">
        <v>1023840</v>
      </c>
      <c r="B12686" s="14" t="s">
        <v>12784</v>
      </c>
      <c r="C12686" s="14" t="s">
        <v>13029</v>
      </c>
      <c r="D12686" s="15">
        <v>29.6</v>
      </c>
      <c r="E12686" s="14" t="s">
        <v>30</v>
      </c>
    </row>
    <row r="12687" spans="1:5" x14ac:dyDescent="0.25">
      <c r="A12687" s="14">
        <v>1023842</v>
      </c>
      <c r="B12687" s="14" t="s">
        <v>12785</v>
      </c>
      <c r="C12687" s="14" t="s">
        <v>13029</v>
      </c>
      <c r="D12687" s="15">
        <v>29.6</v>
      </c>
      <c r="E12687" s="14" t="s">
        <v>30</v>
      </c>
    </row>
    <row r="12688" spans="1:5" x14ac:dyDescent="0.25">
      <c r="A12688" s="14">
        <v>1025651</v>
      </c>
      <c r="B12688" s="14" t="s">
        <v>12786</v>
      </c>
      <c r="C12688" s="14" t="s">
        <v>13029</v>
      </c>
      <c r="D12688" s="15">
        <v>21.89</v>
      </c>
      <c r="E12688" s="14" t="s">
        <v>30</v>
      </c>
    </row>
    <row r="12689" spans="1:5" x14ac:dyDescent="0.25">
      <c r="A12689" s="14">
        <v>1029195</v>
      </c>
      <c r="B12689" s="14" t="s">
        <v>12787</v>
      </c>
      <c r="C12689" s="14" t="s">
        <v>13029</v>
      </c>
      <c r="D12689" s="15">
        <v>32.72</v>
      </c>
      <c r="E12689" s="14" t="s">
        <v>30</v>
      </c>
    </row>
    <row r="12690" spans="1:5" x14ac:dyDescent="0.25">
      <c r="A12690" s="14">
        <v>1024530</v>
      </c>
      <c r="B12690" s="14" t="s">
        <v>12788</v>
      </c>
      <c r="C12690" s="14" t="s">
        <v>13031</v>
      </c>
      <c r="D12690" s="15">
        <v>4.43</v>
      </c>
      <c r="E12690" s="14" t="s">
        <v>20</v>
      </c>
    </row>
    <row r="12691" spans="1:5" x14ac:dyDescent="0.25">
      <c r="A12691" s="14">
        <v>1029755</v>
      </c>
      <c r="B12691" s="14" t="s">
        <v>12789</v>
      </c>
      <c r="C12691" s="14" t="s">
        <v>13029</v>
      </c>
      <c r="D12691" s="15">
        <v>104.55</v>
      </c>
      <c r="E12691" s="14" t="s">
        <v>30</v>
      </c>
    </row>
    <row r="12692" spans="1:5" x14ac:dyDescent="0.25">
      <c r="A12692" s="14">
        <v>1029756</v>
      </c>
      <c r="B12692" s="14" t="s">
        <v>12790</v>
      </c>
      <c r="C12692" s="14" t="s">
        <v>13029</v>
      </c>
      <c r="D12692" s="15">
        <v>104.55</v>
      </c>
      <c r="E12692" s="14" t="s">
        <v>30</v>
      </c>
    </row>
    <row r="12693" spans="1:5" x14ac:dyDescent="0.25">
      <c r="A12693" s="14">
        <v>1032397</v>
      </c>
      <c r="B12693" s="14" t="s">
        <v>12791</v>
      </c>
      <c r="C12693" s="14" t="s">
        <v>13031</v>
      </c>
      <c r="D12693" s="15">
        <v>3.23</v>
      </c>
      <c r="E12693" s="14" t="s">
        <v>30</v>
      </c>
    </row>
    <row r="12694" spans="1:5" x14ac:dyDescent="0.25">
      <c r="A12694" s="14">
        <v>1032398</v>
      </c>
      <c r="B12694" s="14" t="s">
        <v>12792</v>
      </c>
      <c r="C12694" s="14" t="s">
        <v>13030</v>
      </c>
      <c r="D12694" s="15">
        <v>64.760000000000005</v>
      </c>
      <c r="E12694" s="14" t="s">
        <v>30</v>
      </c>
    </row>
    <row r="12695" spans="1:5" x14ac:dyDescent="0.25">
      <c r="A12695" s="14">
        <v>1032399</v>
      </c>
      <c r="B12695" s="14" t="s">
        <v>12793</v>
      </c>
      <c r="C12695" s="14" t="s">
        <v>13030</v>
      </c>
      <c r="D12695" s="15">
        <v>82.77</v>
      </c>
      <c r="E12695" s="14" t="s">
        <v>30</v>
      </c>
    </row>
    <row r="12696" spans="1:5" x14ac:dyDescent="0.25">
      <c r="A12696" s="14">
        <v>998093001</v>
      </c>
      <c r="B12696" s="14" t="s">
        <v>12794</v>
      </c>
      <c r="C12696" s="14" t="s">
        <v>13029</v>
      </c>
      <c r="D12696" s="15">
        <v>18.96</v>
      </c>
      <c r="E12696" s="14" t="s">
        <v>30</v>
      </c>
    </row>
    <row r="12697" spans="1:5" x14ac:dyDescent="0.25">
      <c r="A12697" s="14">
        <v>998093002</v>
      </c>
      <c r="B12697" s="14" t="s">
        <v>12795</v>
      </c>
      <c r="C12697" s="14" t="s">
        <v>13029</v>
      </c>
      <c r="D12697" s="15">
        <v>18.96</v>
      </c>
      <c r="E12697" s="14" t="s">
        <v>30</v>
      </c>
    </row>
    <row r="12698" spans="1:5" x14ac:dyDescent="0.25">
      <c r="A12698" s="14">
        <v>998093003</v>
      </c>
      <c r="B12698" s="14" t="s">
        <v>12796</v>
      </c>
      <c r="C12698" s="14" t="s">
        <v>13029</v>
      </c>
      <c r="D12698" s="15">
        <v>18.96</v>
      </c>
      <c r="E12698" s="14" t="s">
        <v>30</v>
      </c>
    </row>
    <row r="12699" spans="1:5" x14ac:dyDescent="0.25">
      <c r="A12699" s="14">
        <v>998093004</v>
      </c>
      <c r="B12699" s="14" t="s">
        <v>12797</v>
      </c>
      <c r="C12699" s="14" t="s">
        <v>13029</v>
      </c>
      <c r="D12699" s="15">
        <v>18.96</v>
      </c>
      <c r="E12699" s="14" t="s">
        <v>30</v>
      </c>
    </row>
    <row r="12700" spans="1:5" x14ac:dyDescent="0.25">
      <c r="A12700" s="14">
        <v>1031955</v>
      </c>
      <c r="B12700" s="14" t="s">
        <v>12798</v>
      </c>
      <c r="C12700" s="14" t="s">
        <v>13031</v>
      </c>
      <c r="D12700" s="15">
        <v>2.33</v>
      </c>
      <c r="E12700" s="14" t="s">
        <v>20</v>
      </c>
    </row>
    <row r="12701" spans="1:5" x14ac:dyDescent="0.25">
      <c r="A12701" s="14">
        <v>1031956</v>
      </c>
      <c r="B12701" s="14" t="s">
        <v>12799</v>
      </c>
      <c r="C12701" s="14" t="s">
        <v>13031</v>
      </c>
      <c r="D12701" s="15">
        <v>2.33</v>
      </c>
      <c r="E12701" s="14" t="s">
        <v>20</v>
      </c>
    </row>
    <row r="12702" spans="1:5" x14ac:dyDescent="0.25">
      <c r="A12702" s="14">
        <v>1031957</v>
      </c>
      <c r="B12702" s="14" t="s">
        <v>12800</v>
      </c>
      <c r="C12702" s="14" t="s">
        <v>13031</v>
      </c>
      <c r="D12702" s="15">
        <v>2.33</v>
      </c>
      <c r="E12702" s="14" t="s">
        <v>20</v>
      </c>
    </row>
    <row r="12703" spans="1:5" x14ac:dyDescent="0.25">
      <c r="A12703" s="14">
        <v>1031958</v>
      </c>
      <c r="B12703" s="14" t="s">
        <v>12801</v>
      </c>
      <c r="C12703" s="14" t="s">
        <v>13031</v>
      </c>
      <c r="D12703" s="15">
        <v>2.33</v>
      </c>
      <c r="E12703" s="14" t="s">
        <v>20</v>
      </c>
    </row>
    <row r="12704" spans="1:5" x14ac:dyDescent="0.25">
      <c r="A12704" s="14">
        <v>1031959</v>
      </c>
      <c r="B12704" s="14" t="s">
        <v>12802</v>
      </c>
      <c r="C12704" s="14" t="s">
        <v>13031</v>
      </c>
      <c r="D12704" s="15">
        <v>3.28</v>
      </c>
      <c r="E12704" s="14" t="s">
        <v>20</v>
      </c>
    </row>
    <row r="12705" spans="1:5" x14ac:dyDescent="0.25">
      <c r="A12705" s="14">
        <v>1031960</v>
      </c>
      <c r="B12705" s="14" t="s">
        <v>12803</v>
      </c>
      <c r="C12705" s="14" t="s">
        <v>13031</v>
      </c>
      <c r="D12705" s="15">
        <v>3.48</v>
      </c>
      <c r="E12705" s="14" t="s">
        <v>20</v>
      </c>
    </row>
    <row r="12706" spans="1:5" x14ac:dyDescent="0.25">
      <c r="A12706" s="14">
        <v>1031961</v>
      </c>
      <c r="B12706" s="14" t="s">
        <v>12804</v>
      </c>
      <c r="C12706" s="14" t="s">
        <v>13031</v>
      </c>
      <c r="D12706" s="15">
        <v>3.48</v>
      </c>
      <c r="E12706" s="14" t="s">
        <v>20</v>
      </c>
    </row>
    <row r="12707" spans="1:5" x14ac:dyDescent="0.25">
      <c r="A12707" s="14">
        <v>1031962</v>
      </c>
      <c r="B12707" s="14" t="s">
        <v>12805</v>
      </c>
      <c r="C12707" s="14" t="s">
        <v>13031</v>
      </c>
      <c r="D12707" s="15">
        <v>3.48</v>
      </c>
      <c r="E12707" s="14" t="s">
        <v>20</v>
      </c>
    </row>
    <row r="12708" spans="1:5" x14ac:dyDescent="0.25">
      <c r="A12708" s="14">
        <v>1032392</v>
      </c>
      <c r="B12708" s="14" t="s">
        <v>12806</v>
      </c>
      <c r="C12708" s="14" t="s">
        <v>13031</v>
      </c>
      <c r="D12708" s="15">
        <v>5.87</v>
      </c>
      <c r="E12708" s="14" t="s">
        <v>30</v>
      </c>
    </row>
    <row r="12709" spans="1:5" x14ac:dyDescent="0.25">
      <c r="A12709" s="14">
        <v>1032393</v>
      </c>
      <c r="B12709" s="14" t="s">
        <v>12807</v>
      </c>
      <c r="C12709" s="14" t="s">
        <v>13031</v>
      </c>
      <c r="D12709" s="15">
        <v>5.87</v>
      </c>
      <c r="E12709" s="14" t="s">
        <v>30</v>
      </c>
    </row>
    <row r="12710" spans="1:5" x14ac:dyDescent="0.25">
      <c r="A12710" s="14">
        <v>1032133</v>
      </c>
      <c r="B12710" s="14" t="s">
        <v>12808</v>
      </c>
      <c r="C12710" s="14" t="s">
        <v>13031</v>
      </c>
      <c r="D12710" s="15">
        <v>5.23</v>
      </c>
      <c r="E12710" s="14" t="s">
        <v>30</v>
      </c>
    </row>
    <row r="12711" spans="1:5" x14ac:dyDescent="0.25">
      <c r="A12711" s="14">
        <v>1032134</v>
      </c>
      <c r="B12711" s="14" t="s">
        <v>12809</v>
      </c>
      <c r="C12711" s="14" t="s">
        <v>13031</v>
      </c>
      <c r="D12711" s="15">
        <v>5.04</v>
      </c>
      <c r="E12711" s="14" t="s">
        <v>30</v>
      </c>
    </row>
    <row r="12712" spans="1:5" x14ac:dyDescent="0.25">
      <c r="A12712" s="14">
        <v>1032135</v>
      </c>
      <c r="B12712" s="14" t="s">
        <v>12810</v>
      </c>
      <c r="C12712" s="14" t="s">
        <v>13031</v>
      </c>
      <c r="D12712" s="15">
        <v>5.04</v>
      </c>
      <c r="E12712" s="14" t="s">
        <v>30</v>
      </c>
    </row>
    <row r="12713" spans="1:5" x14ac:dyDescent="0.25">
      <c r="A12713" s="14">
        <v>1028601</v>
      </c>
      <c r="B12713" s="14" t="s">
        <v>12811</v>
      </c>
      <c r="C12713" s="14" t="s">
        <v>13031</v>
      </c>
      <c r="D12713" s="15">
        <v>4.1500000000000004</v>
      </c>
      <c r="E12713" s="14" t="s">
        <v>30</v>
      </c>
    </row>
    <row r="12714" spans="1:5" x14ac:dyDescent="0.25">
      <c r="A12714" s="14">
        <v>1028602</v>
      </c>
      <c r="B12714" s="14" t="s">
        <v>12812</v>
      </c>
      <c r="C12714" s="14" t="s">
        <v>13031</v>
      </c>
      <c r="D12714" s="15">
        <v>4.1500000000000004</v>
      </c>
      <c r="E12714" s="14" t="s">
        <v>30</v>
      </c>
    </row>
    <row r="12715" spans="1:5" x14ac:dyDescent="0.25">
      <c r="A12715" s="14">
        <v>1032051</v>
      </c>
      <c r="B12715" s="14" t="s">
        <v>12813</v>
      </c>
      <c r="C12715" s="14" t="s">
        <v>13029</v>
      </c>
      <c r="D12715" s="15">
        <v>23.14</v>
      </c>
      <c r="E12715" s="14" t="s">
        <v>30</v>
      </c>
    </row>
    <row r="12716" spans="1:5" x14ac:dyDescent="0.25">
      <c r="A12716" s="14">
        <v>1032052</v>
      </c>
      <c r="B12716" s="14" t="s">
        <v>12814</v>
      </c>
      <c r="C12716" s="14" t="s">
        <v>13029</v>
      </c>
      <c r="D12716" s="15">
        <v>23.14</v>
      </c>
      <c r="E12716" s="14" t="s">
        <v>30</v>
      </c>
    </row>
    <row r="12717" spans="1:5" x14ac:dyDescent="0.25">
      <c r="A12717" s="14">
        <v>1033022</v>
      </c>
      <c r="B12717" s="14" t="s">
        <v>12815</v>
      </c>
      <c r="C12717" s="14" t="s">
        <v>13031</v>
      </c>
      <c r="D12717" s="15">
        <v>6</v>
      </c>
      <c r="E12717" s="14" t="s">
        <v>30</v>
      </c>
    </row>
    <row r="12718" spans="1:5" x14ac:dyDescent="0.25">
      <c r="A12718" s="14">
        <v>1026626</v>
      </c>
      <c r="B12718" s="14" t="s">
        <v>12816</v>
      </c>
      <c r="C12718" s="14" t="s">
        <v>13029</v>
      </c>
      <c r="D12718" s="15">
        <v>30.14</v>
      </c>
      <c r="E12718" s="14" t="s">
        <v>30</v>
      </c>
    </row>
    <row r="12719" spans="1:5" x14ac:dyDescent="0.25">
      <c r="A12719" s="14">
        <v>1028398</v>
      </c>
      <c r="B12719" s="14" t="s">
        <v>12817</v>
      </c>
      <c r="C12719" s="14" t="s">
        <v>13037</v>
      </c>
      <c r="D12719" s="15">
        <v>0.06</v>
      </c>
      <c r="E12719" s="14" t="s">
        <v>30</v>
      </c>
    </row>
    <row r="12720" spans="1:5" x14ac:dyDescent="0.25">
      <c r="A12720" s="14">
        <v>1029872</v>
      </c>
      <c r="B12720" s="14" t="s">
        <v>12818</v>
      </c>
      <c r="C12720" s="14" t="s">
        <v>13030</v>
      </c>
      <c r="D12720" s="15">
        <v>96.3</v>
      </c>
      <c r="E12720" s="14" t="s">
        <v>30</v>
      </c>
    </row>
    <row r="12721" spans="1:5" x14ac:dyDescent="0.25">
      <c r="A12721" s="14">
        <v>1029873</v>
      </c>
      <c r="B12721" s="14" t="s">
        <v>12819</v>
      </c>
      <c r="C12721" s="14" t="s">
        <v>13030</v>
      </c>
      <c r="D12721" s="15">
        <v>77.040000000000006</v>
      </c>
      <c r="E12721" s="14" t="s">
        <v>30</v>
      </c>
    </row>
    <row r="12722" spans="1:5" x14ac:dyDescent="0.25">
      <c r="A12722" s="14">
        <v>1029874</v>
      </c>
      <c r="B12722" s="14" t="s">
        <v>12820</v>
      </c>
      <c r="C12722" s="14" t="s">
        <v>13030</v>
      </c>
      <c r="D12722" s="15">
        <v>164.8</v>
      </c>
      <c r="E12722" s="14" t="s">
        <v>30</v>
      </c>
    </row>
    <row r="12723" spans="1:5" x14ac:dyDescent="0.25">
      <c r="A12723" s="14">
        <v>1031877</v>
      </c>
      <c r="B12723" s="14" t="s">
        <v>12821</v>
      </c>
      <c r="C12723" s="14" t="s">
        <v>13029</v>
      </c>
      <c r="D12723" s="15">
        <v>14.2</v>
      </c>
      <c r="E12723" s="14" t="s">
        <v>30</v>
      </c>
    </row>
    <row r="12724" spans="1:5" x14ac:dyDescent="0.25">
      <c r="A12724" s="14">
        <v>1031878</v>
      </c>
      <c r="B12724" s="14" t="s">
        <v>12822</v>
      </c>
      <c r="C12724" s="14" t="s">
        <v>13029</v>
      </c>
      <c r="D12724" s="15">
        <v>14.2</v>
      </c>
      <c r="E12724" s="14" t="s">
        <v>30</v>
      </c>
    </row>
    <row r="12725" spans="1:5" x14ac:dyDescent="0.25">
      <c r="A12725" s="14">
        <v>1031879</v>
      </c>
      <c r="B12725" s="14" t="s">
        <v>12823</v>
      </c>
      <c r="C12725" s="14" t="s">
        <v>13029</v>
      </c>
      <c r="D12725" s="15">
        <v>20.8</v>
      </c>
      <c r="E12725" s="14" t="s">
        <v>30</v>
      </c>
    </row>
    <row r="12726" spans="1:5" x14ac:dyDescent="0.25">
      <c r="A12726" s="14">
        <v>1031880</v>
      </c>
      <c r="B12726" s="14" t="s">
        <v>12824</v>
      </c>
      <c r="C12726" s="14" t="s">
        <v>13029</v>
      </c>
      <c r="D12726" s="15">
        <v>7.1</v>
      </c>
      <c r="E12726" s="14" t="s">
        <v>30</v>
      </c>
    </row>
    <row r="12727" spans="1:5" x14ac:dyDescent="0.25">
      <c r="A12727" s="14">
        <v>1031881</v>
      </c>
      <c r="B12727" s="14" t="s">
        <v>12825</v>
      </c>
      <c r="C12727" s="14" t="s">
        <v>13029</v>
      </c>
      <c r="D12727" s="15">
        <v>7.1</v>
      </c>
      <c r="E12727" s="14" t="s">
        <v>30</v>
      </c>
    </row>
    <row r="12728" spans="1:5" x14ac:dyDescent="0.25">
      <c r="A12728" s="14">
        <v>1031882</v>
      </c>
      <c r="B12728" s="14" t="s">
        <v>12826</v>
      </c>
      <c r="C12728" s="14" t="s">
        <v>13029</v>
      </c>
      <c r="D12728" s="15">
        <v>20.8</v>
      </c>
      <c r="E12728" s="14" t="s">
        <v>30</v>
      </c>
    </row>
    <row r="12729" spans="1:5" x14ac:dyDescent="0.25">
      <c r="A12729" s="14">
        <v>1031883</v>
      </c>
      <c r="B12729" s="14" t="s">
        <v>12827</v>
      </c>
      <c r="C12729" s="14" t="s">
        <v>13029</v>
      </c>
      <c r="D12729" s="15">
        <v>45.6</v>
      </c>
      <c r="E12729" s="14" t="s">
        <v>30</v>
      </c>
    </row>
    <row r="12730" spans="1:5" x14ac:dyDescent="0.25">
      <c r="A12730" s="14">
        <v>1031884</v>
      </c>
      <c r="B12730" s="14" t="s">
        <v>12828</v>
      </c>
      <c r="C12730" s="14" t="s">
        <v>13029</v>
      </c>
      <c r="D12730" s="15">
        <v>45.6</v>
      </c>
      <c r="E12730" s="14" t="s">
        <v>30</v>
      </c>
    </row>
    <row r="12731" spans="1:5" x14ac:dyDescent="0.25">
      <c r="A12731" s="14">
        <v>1032073</v>
      </c>
      <c r="B12731" s="14" t="s">
        <v>12829</v>
      </c>
      <c r="C12731" s="14" t="s">
        <v>13030</v>
      </c>
      <c r="D12731" s="15">
        <v>28.54</v>
      </c>
      <c r="E12731" s="14" t="s">
        <v>20</v>
      </c>
    </row>
    <row r="12732" spans="1:5" x14ac:dyDescent="0.25">
      <c r="A12732" s="14">
        <v>1032074</v>
      </c>
      <c r="B12732" s="14" t="s">
        <v>12830</v>
      </c>
      <c r="C12732" s="14" t="s">
        <v>13030</v>
      </c>
      <c r="D12732" s="15">
        <v>28.54</v>
      </c>
      <c r="E12732" s="14" t="s">
        <v>20</v>
      </c>
    </row>
    <row r="12733" spans="1:5" x14ac:dyDescent="0.25">
      <c r="A12733" s="14">
        <v>1032075</v>
      </c>
      <c r="B12733" s="14" t="s">
        <v>12831</v>
      </c>
      <c r="C12733" s="14" t="s">
        <v>13030</v>
      </c>
      <c r="D12733" s="15">
        <v>28.54</v>
      </c>
      <c r="E12733" s="14" t="s">
        <v>20</v>
      </c>
    </row>
    <row r="12734" spans="1:5" x14ac:dyDescent="0.25">
      <c r="A12734" s="14">
        <v>565735</v>
      </c>
      <c r="B12734" s="14" t="s">
        <v>12832</v>
      </c>
      <c r="C12734" s="14" t="s">
        <v>13030</v>
      </c>
      <c r="D12734" s="15">
        <v>59</v>
      </c>
      <c r="E12734" s="14" t="s">
        <v>30</v>
      </c>
    </row>
    <row r="12735" spans="1:5" x14ac:dyDescent="0.25">
      <c r="A12735" s="14">
        <v>1009702</v>
      </c>
      <c r="B12735" s="14" t="s">
        <v>12833</v>
      </c>
      <c r="C12735" s="14" t="s">
        <v>13029</v>
      </c>
      <c r="D12735" s="15">
        <v>5.32</v>
      </c>
      <c r="E12735" s="14" t="s">
        <v>30</v>
      </c>
    </row>
    <row r="12736" spans="1:5" x14ac:dyDescent="0.25">
      <c r="A12736" s="14">
        <v>1016217</v>
      </c>
      <c r="B12736" s="14" t="s">
        <v>12834</v>
      </c>
      <c r="C12736" s="14" t="s">
        <v>13036</v>
      </c>
      <c r="D12736" s="15">
        <v>0.5</v>
      </c>
      <c r="E12736" s="14" t="s">
        <v>30</v>
      </c>
    </row>
    <row r="12737" spans="1:5" x14ac:dyDescent="0.25">
      <c r="A12737" s="14">
        <v>1030644</v>
      </c>
      <c r="B12737" s="14" t="s">
        <v>12835</v>
      </c>
      <c r="C12737" s="14" t="s">
        <v>13033</v>
      </c>
      <c r="D12737" s="15">
        <v>10.96</v>
      </c>
      <c r="E12737" s="14" t="s">
        <v>30</v>
      </c>
    </row>
    <row r="12738" spans="1:5" x14ac:dyDescent="0.25">
      <c r="A12738" s="14">
        <v>1033023</v>
      </c>
      <c r="B12738" s="14" t="s">
        <v>12836</v>
      </c>
      <c r="C12738" s="14" t="s">
        <v>13031</v>
      </c>
      <c r="D12738" s="15">
        <v>3.5</v>
      </c>
      <c r="E12738" s="14" t="s">
        <v>30</v>
      </c>
    </row>
    <row r="12739" spans="1:5" x14ac:dyDescent="0.25">
      <c r="A12739" s="14">
        <v>420406002</v>
      </c>
      <c r="B12739" s="14" t="s">
        <v>12837</v>
      </c>
      <c r="C12739" s="14" t="s">
        <v>13029</v>
      </c>
      <c r="D12739" s="15">
        <v>13.61</v>
      </c>
      <c r="E12739" s="14" t="s">
        <v>30</v>
      </c>
    </row>
    <row r="12740" spans="1:5" x14ac:dyDescent="0.25">
      <c r="A12740" s="14">
        <v>426289</v>
      </c>
      <c r="B12740" s="14" t="s">
        <v>12838</v>
      </c>
      <c r="C12740" s="14" t="s">
        <v>13033</v>
      </c>
      <c r="D12740" s="15">
        <v>17.57</v>
      </c>
      <c r="E12740" s="14" t="s">
        <v>30</v>
      </c>
    </row>
    <row r="12741" spans="1:5" x14ac:dyDescent="0.25">
      <c r="A12741" s="14">
        <v>1030740</v>
      </c>
      <c r="B12741" s="14" t="s">
        <v>12839</v>
      </c>
      <c r="C12741" s="14" t="s">
        <v>13031</v>
      </c>
      <c r="D12741" s="15">
        <v>28.2</v>
      </c>
      <c r="E12741" s="14" t="s">
        <v>30</v>
      </c>
    </row>
    <row r="12742" spans="1:5" x14ac:dyDescent="0.25">
      <c r="A12742" s="14">
        <v>1027393</v>
      </c>
      <c r="B12742" s="14" t="s">
        <v>12840</v>
      </c>
      <c r="C12742" s="14" t="s">
        <v>13031</v>
      </c>
      <c r="D12742" s="15">
        <v>17.739999999999998</v>
      </c>
      <c r="E12742" s="14" t="s">
        <v>30</v>
      </c>
    </row>
    <row r="12743" spans="1:5" x14ac:dyDescent="0.25">
      <c r="A12743" s="14">
        <v>1028233</v>
      </c>
      <c r="B12743" s="14" t="s">
        <v>12841</v>
      </c>
      <c r="C12743" s="14" t="s">
        <v>13029</v>
      </c>
      <c r="D12743" s="15">
        <v>6.86</v>
      </c>
      <c r="E12743" s="14" t="s">
        <v>30</v>
      </c>
    </row>
    <row r="12744" spans="1:5" x14ac:dyDescent="0.25">
      <c r="A12744" s="14">
        <v>1033164</v>
      </c>
      <c r="B12744" s="14" t="s">
        <v>12842</v>
      </c>
      <c r="C12744" s="14" t="s">
        <v>13031</v>
      </c>
      <c r="D12744" s="15">
        <v>8.9</v>
      </c>
      <c r="E12744" s="14" t="s">
        <v>30</v>
      </c>
    </row>
    <row r="12745" spans="1:5" x14ac:dyDescent="0.25">
      <c r="A12745" s="14">
        <v>1033165</v>
      </c>
      <c r="B12745" s="14" t="s">
        <v>12843</v>
      </c>
      <c r="C12745" s="14" t="s">
        <v>13031</v>
      </c>
      <c r="D12745" s="15">
        <v>8.9</v>
      </c>
      <c r="E12745" s="14" t="s">
        <v>30</v>
      </c>
    </row>
    <row r="12746" spans="1:5" x14ac:dyDescent="0.25">
      <c r="A12746" s="14">
        <v>1033166</v>
      </c>
      <c r="B12746" s="14" t="s">
        <v>12844</v>
      </c>
      <c r="C12746" s="14" t="s">
        <v>13031</v>
      </c>
      <c r="D12746" s="15">
        <v>8.9</v>
      </c>
      <c r="E12746" s="14" t="s">
        <v>30</v>
      </c>
    </row>
    <row r="12747" spans="1:5" x14ac:dyDescent="0.25">
      <c r="A12747" s="14">
        <v>1033167</v>
      </c>
      <c r="B12747" s="14" t="s">
        <v>12845</v>
      </c>
      <c r="C12747" s="14" t="s">
        <v>13031</v>
      </c>
      <c r="D12747" s="15">
        <v>8.9</v>
      </c>
      <c r="E12747" s="14" t="s">
        <v>30</v>
      </c>
    </row>
    <row r="12748" spans="1:5" x14ac:dyDescent="0.25">
      <c r="A12748" s="14">
        <v>1033168</v>
      </c>
      <c r="B12748" s="14" t="s">
        <v>12846</v>
      </c>
      <c r="C12748" s="14" t="s">
        <v>13031</v>
      </c>
      <c r="D12748" s="15">
        <v>8.9</v>
      </c>
      <c r="E12748" s="14" t="s">
        <v>30</v>
      </c>
    </row>
    <row r="12749" spans="1:5" x14ac:dyDescent="0.25">
      <c r="A12749" s="14">
        <v>1033169</v>
      </c>
      <c r="B12749" s="14" t="s">
        <v>12847</v>
      </c>
      <c r="C12749" s="14" t="s">
        <v>13031</v>
      </c>
      <c r="D12749" s="15">
        <v>11.86</v>
      </c>
      <c r="E12749" s="14" t="s">
        <v>30</v>
      </c>
    </row>
    <row r="12750" spans="1:5" x14ac:dyDescent="0.25">
      <c r="A12750" s="14">
        <v>1033170</v>
      </c>
      <c r="B12750" s="14" t="s">
        <v>12848</v>
      </c>
      <c r="C12750" s="14" t="s">
        <v>13031</v>
      </c>
      <c r="D12750" s="15">
        <v>13.14</v>
      </c>
      <c r="E12750" s="14" t="s">
        <v>30</v>
      </c>
    </row>
    <row r="12751" spans="1:5" x14ac:dyDescent="0.25">
      <c r="A12751" s="14">
        <v>418511</v>
      </c>
      <c r="B12751" s="14" t="s">
        <v>12849</v>
      </c>
      <c r="C12751" s="14" t="s">
        <v>13031</v>
      </c>
      <c r="D12751" s="15">
        <v>11.5</v>
      </c>
      <c r="E12751" s="14" t="s">
        <v>30</v>
      </c>
    </row>
    <row r="12752" spans="1:5" x14ac:dyDescent="0.25">
      <c r="A12752" s="14">
        <v>1033103</v>
      </c>
      <c r="B12752" s="14" t="s">
        <v>12850</v>
      </c>
      <c r="C12752" s="14" t="s">
        <v>13031</v>
      </c>
      <c r="D12752" s="15">
        <v>21.3</v>
      </c>
      <c r="E12752" s="14" t="s">
        <v>30</v>
      </c>
    </row>
    <row r="12753" spans="1:5" x14ac:dyDescent="0.25">
      <c r="A12753" s="14">
        <v>1033105</v>
      </c>
      <c r="B12753" s="14" t="s">
        <v>12851</v>
      </c>
      <c r="C12753" s="14" t="s">
        <v>13031</v>
      </c>
      <c r="D12753" s="15">
        <v>8.24</v>
      </c>
      <c r="E12753" s="14" t="s">
        <v>30</v>
      </c>
    </row>
    <row r="12754" spans="1:5" x14ac:dyDescent="0.25">
      <c r="A12754" s="14">
        <v>1033106</v>
      </c>
      <c r="B12754" s="14" t="s">
        <v>77</v>
      </c>
      <c r="C12754" s="14" t="s">
        <v>13031</v>
      </c>
      <c r="D12754" s="15">
        <v>5.73</v>
      </c>
      <c r="E12754" s="14" t="s">
        <v>30</v>
      </c>
    </row>
    <row r="12755" spans="1:5" x14ac:dyDescent="0.25">
      <c r="A12755" s="14">
        <v>1034252</v>
      </c>
      <c r="B12755" s="14" t="s">
        <v>12852</v>
      </c>
      <c r="C12755" s="14" t="s">
        <v>13031</v>
      </c>
      <c r="D12755" s="15">
        <v>9.9</v>
      </c>
      <c r="E12755" s="14" t="s">
        <v>30</v>
      </c>
    </row>
    <row r="12756" spans="1:5" x14ac:dyDescent="0.25">
      <c r="A12756" s="14">
        <v>1034253</v>
      </c>
      <c r="B12756" s="14" t="s">
        <v>12853</v>
      </c>
      <c r="C12756" s="14" t="s">
        <v>13031</v>
      </c>
      <c r="D12756" s="15">
        <v>9.9</v>
      </c>
      <c r="E12756" s="14" t="s">
        <v>30</v>
      </c>
    </row>
    <row r="12757" spans="1:5" x14ac:dyDescent="0.25">
      <c r="A12757" s="14">
        <v>1034254</v>
      </c>
      <c r="B12757" s="14" t="s">
        <v>12854</v>
      </c>
      <c r="C12757" s="14" t="s">
        <v>13031</v>
      </c>
      <c r="D12757" s="15">
        <v>9.9</v>
      </c>
      <c r="E12757" s="14" t="s">
        <v>30</v>
      </c>
    </row>
    <row r="12758" spans="1:5" x14ac:dyDescent="0.25">
      <c r="A12758" s="14">
        <v>1034255</v>
      </c>
      <c r="B12758" s="14" t="s">
        <v>12855</v>
      </c>
      <c r="C12758" s="14" t="s">
        <v>13031</v>
      </c>
      <c r="D12758" s="15">
        <v>9.9</v>
      </c>
      <c r="E12758" s="14" t="s">
        <v>30</v>
      </c>
    </row>
    <row r="12759" spans="1:5" x14ac:dyDescent="0.25">
      <c r="A12759" s="14">
        <v>1034267</v>
      </c>
      <c r="B12759" s="14" t="s">
        <v>12856</v>
      </c>
      <c r="C12759" s="14" t="s">
        <v>13031</v>
      </c>
      <c r="D12759" s="15">
        <v>5.5</v>
      </c>
      <c r="E12759" s="14" t="s">
        <v>30</v>
      </c>
    </row>
    <row r="12760" spans="1:5" x14ac:dyDescent="0.25">
      <c r="A12760" s="14">
        <v>1034268</v>
      </c>
      <c r="B12760" s="14" t="s">
        <v>12857</v>
      </c>
      <c r="C12760" s="14" t="s">
        <v>13031</v>
      </c>
      <c r="D12760" s="15">
        <v>8.9</v>
      </c>
      <c r="E12760" s="14" t="s">
        <v>30</v>
      </c>
    </row>
    <row r="12761" spans="1:5" x14ac:dyDescent="0.25">
      <c r="A12761" s="14">
        <v>1034269</v>
      </c>
      <c r="B12761" s="14" t="s">
        <v>12858</v>
      </c>
      <c r="C12761" s="14" t="s">
        <v>13031</v>
      </c>
      <c r="D12761" s="15">
        <v>9.1999999999999993</v>
      </c>
      <c r="E12761" s="14" t="s">
        <v>30</v>
      </c>
    </row>
    <row r="12762" spans="1:5" x14ac:dyDescent="0.25">
      <c r="A12762" s="14">
        <v>1034270</v>
      </c>
      <c r="B12762" s="14" t="s">
        <v>12859</v>
      </c>
      <c r="C12762" s="14" t="s">
        <v>13031</v>
      </c>
      <c r="D12762" s="15">
        <v>7.5</v>
      </c>
      <c r="E12762" s="14" t="s">
        <v>30</v>
      </c>
    </row>
    <row r="12763" spans="1:5" x14ac:dyDescent="0.25">
      <c r="A12763" s="14">
        <v>1034271</v>
      </c>
      <c r="B12763" s="14" t="s">
        <v>12860</v>
      </c>
      <c r="C12763" s="14" t="s">
        <v>13031</v>
      </c>
      <c r="D12763" s="15">
        <v>9.6999999999999993</v>
      </c>
      <c r="E12763" s="14" t="s">
        <v>30</v>
      </c>
    </row>
    <row r="12764" spans="1:5" x14ac:dyDescent="0.25">
      <c r="A12764" s="14">
        <v>117225</v>
      </c>
      <c r="B12764" s="14" t="s">
        <v>12861</v>
      </c>
      <c r="C12764" s="14" t="s">
        <v>13031</v>
      </c>
      <c r="D12764" s="15">
        <v>4.45</v>
      </c>
      <c r="E12764" s="14" t="s">
        <v>30</v>
      </c>
    </row>
    <row r="12765" spans="1:5" x14ac:dyDescent="0.25">
      <c r="A12765" s="14">
        <v>1033107</v>
      </c>
      <c r="B12765" s="14" t="s">
        <v>12862</v>
      </c>
      <c r="C12765" s="14" t="s">
        <v>13031</v>
      </c>
      <c r="D12765" s="15">
        <v>8.84</v>
      </c>
      <c r="E12765" s="14" t="s">
        <v>30</v>
      </c>
    </row>
    <row r="12766" spans="1:5" x14ac:dyDescent="0.25">
      <c r="A12766" s="14">
        <v>1033626</v>
      </c>
      <c r="B12766" s="14" t="s">
        <v>12863</v>
      </c>
      <c r="C12766" s="14" t="s">
        <v>13031</v>
      </c>
      <c r="D12766" s="15">
        <v>5.34</v>
      </c>
      <c r="E12766" s="14" t="s">
        <v>20</v>
      </c>
    </row>
    <row r="12767" spans="1:5" x14ac:dyDescent="0.25">
      <c r="A12767" s="14">
        <v>1033627</v>
      </c>
      <c r="B12767" s="14" t="s">
        <v>12864</v>
      </c>
      <c r="C12767" s="14" t="s">
        <v>13031</v>
      </c>
      <c r="D12767" s="15">
        <v>5.34</v>
      </c>
      <c r="E12767" s="14" t="s">
        <v>20</v>
      </c>
    </row>
    <row r="12768" spans="1:5" x14ac:dyDescent="0.25">
      <c r="A12768" s="14">
        <v>1033630</v>
      </c>
      <c r="B12768" s="14" t="s">
        <v>12865</v>
      </c>
      <c r="C12768" s="14" t="s">
        <v>13031</v>
      </c>
      <c r="D12768" s="15">
        <v>44.49</v>
      </c>
      <c r="E12768" s="14" t="s">
        <v>30</v>
      </c>
    </row>
    <row r="12769" spans="1:5" x14ac:dyDescent="0.25">
      <c r="A12769" s="14">
        <v>1033631</v>
      </c>
      <c r="B12769" s="14" t="s">
        <v>12866</v>
      </c>
      <c r="C12769" s="14" t="s">
        <v>13031</v>
      </c>
      <c r="D12769" s="15">
        <v>44.49</v>
      </c>
      <c r="E12769" s="14" t="s">
        <v>30</v>
      </c>
    </row>
    <row r="12770" spans="1:5" x14ac:dyDescent="0.25">
      <c r="A12770" s="14">
        <v>1033632</v>
      </c>
      <c r="B12770" s="14" t="s">
        <v>12867</v>
      </c>
      <c r="C12770" s="14" t="s">
        <v>13031</v>
      </c>
      <c r="D12770" s="15">
        <v>87.59</v>
      </c>
      <c r="E12770" s="14" t="s">
        <v>30</v>
      </c>
    </row>
    <row r="12771" spans="1:5" x14ac:dyDescent="0.25">
      <c r="A12771" s="14">
        <v>1033633</v>
      </c>
      <c r="B12771" s="14" t="s">
        <v>12868</v>
      </c>
      <c r="C12771" s="14" t="s">
        <v>13031</v>
      </c>
      <c r="D12771" s="15">
        <v>87.59</v>
      </c>
      <c r="E12771" s="14" t="s">
        <v>30</v>
      </c>
    </row>
    <row r="12772" spans="1:5" x14ac:dyDescent="0.25">
      <c r="A12772" s="14">
        <v>1033634</v>
      </c>
      <c r="B12772" s="14" t="s">
        <v>12869</v>
      </c>
      <c r="C12772" s="14" t="s">
        <v>13031</v>
      </c>
      <c r="D12772" s="15">
        <v>130.15</v>
      </c>
      <c r="E12772" s="14" t="s">
        <v>30</v>
      </c>
    </row>
    <row r="12773" spans="1:5" x14ac:dyDescent="0.25">
      <c r="A12773" s="14">
        <v>1033635</v>
      </c>
      <c r="B12773" s="14" t="s">
        <v>12870</v>
      </c>
      <c r="C12773" s="14" t="s">
        <v>13031</v>
      </c>
      <c r="D12773" s="15">
        <v>130.15</v>
      </c>
      <c r="E12773" s="14" t="s">
        <v>30</v>
      </c>
    </row>
    <row r="12774" spans="1:5" x14ac:dyDescent="0.25">
      <c r="A12774" s="14">
        <v>1033636</v>
      </c>
      <c r="B12774" s="14" t="s">
        <v>12871</v>
      </c>
      <c r="C12774" s="14" t="s">
        <v>13031</v>
      </c>
      <c r="D12774" s="15">
        <v>6.43</v>
      </c>
      <c r="E12774" s="14" t="s">
        <v>30</v>
      </c>
    </row>
    <row r="12775" spans="1:5" x14ac:dyDescent="0.25">
      <c r="A12775" s="14">
        <v>499477001</v>
      </c>
      <c r="B12775" s="14" t="s">
        <v>12872</v>
      </c>
      <c r="C12775" s="14" t="s">
        <v>13031</v>
      </c>
      <c r="D12775" s="15">
        <v>4.1500000000000004</v>
      </c>
      <c r="E12775" s="14" t="s">
        <v>30</v>
      </c>
    </row>
    <row r="12776" spans="1:5" x14ac:dyDescent="0.25">
      <c r="A12776" s="14">
        <v>499477002</v>
      </c>
      <c r="B12776" s="14" t="s">
        <v>12873</v>
      </c>
      <c r="C12776" s="14" t="s">
        <v>13031</v>
      </c>
      <c r="D12776" s="15">
        <v>4.1500000000000004</v>
      </c>
      <c r="E12776" s="14" t="s">
        <v>30</v>
      </c>
    </row>
    <row r="12777" spans="1:5" x14ac:dyDescent="0.25">
      <c r="A12777" s="14">
        <v>1034974</v>
      </c>
      <c r="B12777" s="14" t="s">
        <v>12874</v>
      </c>
      <c r="C12777" s="14" t="s">
        <v>13031</v>
      </c>
      <c r="D12777" s="15">
        <v>12.99</v>
      </c>
      <c r="E12777" s="14" t="s">
        <v>20</v>
      </c>
    </row>
    <row r="12778" spans="1:5" x14ac:dyDescent="0.25">
      <c r="A12778" s="14">
        <v>1034975</v>
      </c>
      <c r="B12778" s="14" t="s">
        <v>12875</v>
      </c>
      <c r="C12778" s="14" t="s">
        <v>13031</v>
      </c>
      <c r="D12778" s="15">
        <v>12.99</v>
      </c>
      <c r="E12778" s="14" t="s">
        <v>20</v>
      </c>
    </row>
    <row r="12779" spans="1:5" x14ac:dyDescent="0.25">
      <c r="A12779" s="14">
        <v>1035008</v>
      </c>
      <c r="B12779" s="14" t="s">
        <v>12876</v>
      </c>
      <c r="C12779" s="14" t="s">
        <v>13031</v>
      </c>
      <c r="D12779" s="15">
        <v>5.3</v>
      </c>
      <c r="E12779" s="14" t="s">
        <v>30</v>
      </c>
    </row>
    <row r="12780" spans="1:5" x14ac:dyDescent="0.25">
      <c r="A12780" s="14">
        <v>1031162</v>
      </c>
      <c r="B12780" s="14" t="s">
        <v>12877</v>
      </c>
      <c r="C12780" s="14" t="s">
        <v>13031</v>
      </c>
      <c r="D12780" s="15">
        <v>6.46</v>
      </c>
      <c r="E12780" s="14" t="s">
        <v>30</v>
      </c>
    </row>
    <row r="12781" spans="1:5" x14ac:dyDescent="0.25">
      <c r="A12781" s="14">
        <v>1031163</v>
      </c>
      <c r="B12781" s="14" t="s">
        <v>12878</v>
      </c>
      <c r="C12781" s="14" t="s">
        <v>13031</v>
      </c>
      <c r="D12781" s="15">
        <v>6.46</v>
      </c>
      <c r="E12781" s="14" t="s">
        <v>30</v>
      </c>
    </row>
    <row r="12782" spans="1:5" x14ac:dyDescent="0.25">
      <c r="A12782" s="14">
        <v>1031164</v>
      </c>
      <c r="B12782" s="14" t="s">
        <v>12879</v>
      </c>
      <c r="C12782" s="14" t="s">
        <v>13031</v>
      </c>
      <c r="D12782" s="15">
        <v>6.46</v>
      </c>
      <c r="E12782" s="14" t="s">
        <v>30</v>
      </c>
    </row>
    <row r="12783" spans="1:5" x14ac:dyDescent="0.25">
      <c r="A12783" s="14">
        <v>1034240</v>
      </c>
      <c r="B12783" s="14" t="s">
        <v>12880</v>
      </c>
      <c r="C12783" s="14" t="s">
        <v>13029</v>
      </c>
      <c r="D12783" s="15">
        <v>12.62</v>
      </c>
      <c r="E12783" s="14" t="s">
        <v>30</v>
      </c>
    </row>
    <row r="12784" spans="1:5" x14ac:dyDescent="0.25">
      <c r="A12784" s="14">
        <v>1034279</v>
      </c>
      <c r="B12784" s="14" t="s">
        <v>12881</v>
      </c>
      <c r="C12784" s="14" t="s">
        <v>13030</v>
      </c>
      <c r="D12784" s="15">
        <v>172.14</v>
      </c>
      <c r="E12784" s="14" t="s">
        <v>30</v>
      </c>
    </row>
    <row r="12785" spans="1:5" x14ac:dyDescent="0.25">
      <c r="A12785" s="14">
        <v>1034280</v>
      </c>
      <c r="B12785" s="14" t="s">
        <v>12882</v>
      </c>
      <c r="C12785" s="14" t="s">
        <v>13030</v>
      </c>
      <c r="D12785" s="15">
        <v>172.14</v>
      </c>
      <c r="E12785" s="14" t="s">
        <v>30</v>
      </c>
    </row>
    <row r="12786" spans="1:5" x14ac:dyDescent="0.25">
      <c r="A12786" s="14">
        <v>1034281</v>
      </c>
      <c r="B12786" s="14" t="s">
        <v>12883</v>
      </c>
      <c r="C12786" s="14" t="s">
        <v>13030</v>
      </c>
      <c r="D12786" s="15">
        <v>189.76</v>
      </c>
      <c r="E12786" s="14" t="s">
        <v>30</v>
      </c>
    </row>
    <row r="12787" spans="1:5" x14ac:dyDescent="0.25">
      <c r="A12787" s="14">
        <v>1034928</v>
      </c>
      <c r="B12787" s="14" t="s">
        <v>12884</v>
      </c>
      <c r="C12787" s="14" t="s">
        <v>13030</v>
      </c>
      <c r="D12787" s="15">
        <v>49.17</v>
      </c>
      <c r="E12787" s="14" t="s">
        <v>30</v>
      </c>
    </row>
    <row r="12788" spans="1:5" x14ac:dyDescent="0.25">
      <c r="A12788" s="14">
        <v>1034929</v>
      </c>
      <c r="B12788" s="14" t="s">
        <v>12885</v>
      </c>
      <c r="C12788" s="14" t="s">
        <v>13030</v>
      </c>
      <c r="D12788" s="15">
        <v>263.7</v>
      </c>
      <c r="E12788" s="14" t="s">
        <v>30</v>
      </c>
    </row>
    <row r="12789" spans="1:5" x14ac:dyDescent="0.25">
      <c r="A12789" s="14">
        <v>1034930</v>
      </c>
      <c r="B12789" s="14" t="s">
        <v>12886</v>
      </c>
      <c r="C12789" s="14" t="s">
        <v>13030</v>
      </c>
      <c r="D12789" s="15">
        <v>133.57</v>
      </c>
      <c r="E12789" s="14" t="s">
        <v>30</v>
      </c>
    </row>
    <row r="12790" spans="1:5" x14ac:dyDescent="0.25">
      <c r="A12790" s="14">
        <v>442974</v>
      </c>
      <c r="B12790" s="14" t="s">
        <v>13048</v>
      </c>
      <c r="C12790" s="14" t="s">
        <v>13031</v>
      </c>
      <c r="D12790" s="15">
        <v>11.25</v>
      </c>
      <c r="E12790" s="14" t="s">
        <v>20</v>
      </c>
    </row>
    <row r="12791" spans="1:5" x14ac:dyDescent="0.25">
      <c r="A12791" s="14">
        <v>782412</v>
      </c>
      <c r="B12791" s="14" t="s">
        <v>13049</v>
      </c>
      <c r="C12791" s="14" t="s">
        <v>13031</v>
      </c>
      <c r="D12791" s="15">
        <v>11.6</v>
      </c>
      <c r="E12791" s="14" t="s">
        <v>30</v>
      </c>
    </row>
    <row r="12792" spans="1:5" x14ac:dyDescent="0.25">
      <c r="A12792" s="14">
        <v>1033077</v>
      </c>
      <c r="B12792" s="14" t="s">
        <v>13050</v>
      </c>
      <c r="C12792" s="14" t="s">
        <v>13029</v>
      </c>
      <c r="D12792" s="15">
        <v>8.9</v>
      </c>
      <c r="E12792" s="14" t="s">
        <v>30</v>
      </c>
    </row>
    <row r="12793" spans="1:5" x14ac:dyDescent="0.25">
      <c r="A12793" s="14">
        <v>1033078</v>
      </c>
      <c r="B12793" s="14" t="s">
        <v>13051</v>
      </c>
      <c r="C12793" s="14" t="s">
        <v>13029</v>
      </c>
      <c r="D12793" s="15">
        <v>5.33</v>
      </c>
      <c r="E12793" s="14" t="s">
        <v>30</v>
      </c>
    </row>
    <row r="12794" spans="1:5" x14ac:dyDescent="0.25">
      <c r="A12794" s="14">
        <v>1033104</v>
      </c>
      <c r="B12794" s="14" t="s">
        <v>13052</v>
      </c>
      <c r="C12794" s="14" t="s">
        <v>13031</v>
      </c>
      <c r="D12794" s="15">
        <v>2.96</v>
      </c>
      <c r="E12794" s="14" t="s">
        <v>30</v>
      </c>
    </row>
    <row r="12795" spans="1:5" x14ac:dyDescent="0.25">
      <c r="A12795" s="14">
        <v>1034259</v>
      </c>
      <c r="B12795" s="14" t="s">
        <v>13053</v>
      </c>
      <c r="C12795" s="14" t="s">
        <v>13031</v>
      </c>
      <c r="D12795" s="15">
        <v>0.99</v>
      </c>
      <c r="E12795" s="14" t="s">
        <v>30</v>
      </c>
    </row>
    <row r="12796" spans="1:5" x14ac:dyDescent="0.25">
      <c r="A12796" s="14">
        <v>1034260</v>
      </c>
      <c r="B12796" s="14" t="s">
        <v>13054</v>
      </c>
      <c r="C12796" s="14" t="s">
        <v>13031</v>
      </c>
      <c r="D12796" s="15">
        <v>4.2699999999999996</v>
      </c>
      <c r="E12796" s="14" t="s">
        <v>30</v>
      </c>
    </row>
    <row r="12797" spans="1:5" x14ac:dyDescent="0.25">
      <c r="A12797" s="14">
        <v>1034361</v>
      </c>
      <c r="B12797" s="14" t="s">
        <v>13055</v>
      </c>
      <c r="C12797" s="14" t="s">
        <v>13031</v>
      </c>
      <c r="D12797" s="15">
        <v>14.21</v>
      </c>
      <c r="E12797" s="14" t="s">
        <v>20</v>
      </c>
    </row>
    <row r="12798" spans="1:5" x14ac:dyDescent="0.25">
      <c r="A12798" s="14">
        <v>1034574</v>
      </c>
      <c r="B12798" s="14" t="s">
        <v>13056</v>
      </c>
      <c r="C12798" s="14" t="s">
        <v>13030</v>
      </c>
      <c r="D12798" s="15">
        <v>1111.8</v>
      </c>
      <c r="E12798" s="14" t="s">
        <v>30</v>
      </c>
    </row>
    <row r="12799" spans="1:5" x14ac:dyDescent="0.25">
      <c r="A12799" s="14">
        <v>1034926</v>
      </c>
      <c r="B12799" s="14" t="s">
        <v>13057</v>
      </c>
      <c r="C12799" s="14" t="s">
        <v>13030</v>
      </c>
      <c r="D12799" s="15">
        <v>80.819999999999993</v>
      </c>
      <c r="E12799" s="14" t="s">
        <v>30</v>
      </c>
    </row>
    <row r="12800" spans="1:5" x14ac:dyDescent="0.25">
      <c r="A12800" s="14">
        <v>704920009</v>
      </c>
      <c r="B12800" s="14" t="s">
        <v>13058</v>
      </c>
      <c r="C12800" s="14" t="s">
        <v>13030</v>
      </c>
      <c r="D12800" s="15">
        <v>16.03</v>
      </c>
      <c r="E12800" s="14" t="s">
        <v>30</v>
      </c>
    </row>
    <row r="12801" spans="1:5" x14ac:dyDescent="0.25">
      <c r="A12801" s="14">
        <v>1035226</v>
      </c>
      <c r="B12801" s="14" t="s">
        <v>13059</v>
      </c>
      <c r="C12801" s="14" t="s">
        <v>13031</v>
      </c>
      <c r="D12801" s="15">
        <v>13.7</v>
      </c>
      <c r="E12801" s="14" t="s">
        <v>30</v>
      </c>
    </row>
    <row r="12802" spans="1:5" x14ac:dyDescent="0.25">
      <c r="A12802" s="14">
        <v>1033637</v>
      </c>
      <c r="B12802" s="14" t="s">
        <v>13060</v>
      </c>
      <c r="C12802" s="14" t="s">
        <v>13031</v>
      </c>
      <c r="D12802" s="15">
        <v>6.43</v>
      </c>
      <c r="E12802" s="14" t="s">
        <v>30</v>
      </c>
    </row>
    <row r="12803" spans="1:5" x14ac:dyDescent="0.25">
      <c r="A12803" s="14">
        <v>1034945</v>
      </c>
      <c r="B12803" s="14" t="s">
        <v>13061</v>
      </c>
      <c r="C12803" s="14" t="s">
        <v>13031</v>
      </c>
      <c r="D12803" s="15">
        <v>21</v>
      </c>
      <c r="E12803" s="14" t="s">
        <v>30</v>
      </c>
    </row>
    <row r="12804" spans="1:5" x14ac:dyDescent="0.25">
      <c r="A12804" s="14">
        <v>1034946</v>
      </c>
      <c r="B12804" s="14" t="s">
        <v>13062</v>
      </c>
      <c r="C12804" s="14" t="s">
        <v>13031</v>
      </c>
      <c r="D12804" s="15">
        <v>37</v>
      </c>
      <c r="E12804" s="14" t="s">
        <v>30</v>
      </c>
    </row>
    <row r="12805" spans="1:5" x14ac:dyDescent="0.25">
      <c r="A12805" s="14">
        <v>1034947</v>
      </c>
      <c r="B12805" s="14" t="s">
        <v>13063</v>
      </c>
      <c r="C12805" s="14" t="s">
        <v>13031</v>
      </c>
      <c r="D12805" s="15">
        <v>137</v>
      </c>
      <c r="E12805" s="14" t="s">
        <v>30</v>
      </c>
    </row>
    <row r="12806" spans="1:5" x14ac:dyDescent="0.25">
      <c r="A12806" s="14">
        <v>1033628</v>
      </c>
      <c r="B12806" s="14" t="s">
        <v>13064</v>
      </c>
      <c r="C12806" s="14" t="s">
        <v>13031</v>
      </c>
      <c r="D12806" s="15">
        <v>7.65</v>
      </c>
      <c r="E12806" s="14" t="s">
        <v>20</v>
      </c>
    </row>
    <row r="12807" spans="1:5" x14ac:dyDescent="0.25">
      <c r="A12807" s="14">
        <v>1034931</v>
      </c>
      <c r="B12807" s="14" t="s">
        <v>13065</v>
      </c>
      <c r="C12807" s="14" t="s">
        <v>13030</v>
      </c>
      <c r="D12807" s="15">
        <v>4.1500000000000004</v>
      </c>
      <c r="E12807" s="14" t="s">
        <v>30</v>
      </c>
    </row>
    <row r="12808" spans="1:5" x14ac:dyDescent="0.25">
      <c r="A12808" s="14">
        <v>1034932</v>
      </c>
      <c r="B12808" s="14" t="s">
        <v>13066</v>
      </c>
      <c r="C12808" s="14" t="s">
        <v>13030</v>
      </c>
      <c r="D12808" s="15">
        <v>4.1500000000000004</v>
      </c>
      <c r="E12808" s="14" t="s">
        <v>30</v>
      </c>
    </row>
    <row r="12809" spans="1:5" x14ac:dyDescent="0.25">
      <c r="A12809" s="14">
        <v>1035206</v>
      </c>
      <c r="B12809" s="14" t="s">
        <v>13067</v>
      </c>
      <c r="C12809" s="14" t="s">
        <v>13030</v>
      </c>
      <c r="D12809" s="15">
        <v>20.149999999999999</v>
      </c>
      <c r="E12809" s="14" t="s">
        <v>30</v>
      </c>
    </row>
    <row r="12810" spans="1:5" x14ac:dyDescent="0.25">
      <c r="A12810" s="14">
        <v>1035919</v>
      </c>
      <c r="B12810" s="14" t="s">
        <v>13068</v>
      </c>
      <c r="C12810" s="14" t="s">
        <v>13030</v>
      </c>
      <c r="D12810" s="15">
        <v>18.079999999999998</v>
      </c>
      <c r="E12810" s="14" t="s">
        <v>30</v>
      </c>
    </row>
    <row r="12811" spans="1:5" x14ac:dyDescent="0.25">
      <c r="A12811" s="14">
        <v>521734</v>
      </c>
      <c r="B12811" s="14" t="s">
        <v>13069</v>
      </c>
      <c r="C12811" s="14" t="s">
        <v>13029</v>
      </c>
      <c r="D12811" s="15">
        <v>11.97</v>
      </c>
      <c r="E12811" s="14" t="s">
        <v>30</v>
      </c>
    </row>
    <row r="12812" spans="1:5" x14ac:dyDescent="0.25">
      <c r="A12812" s="14">
        <v>1034919</v>
      </c>
      <c r="B12812" s="14" t="s">
        <v>13070</v>
      </c>
      <c r="C12812" s="14" t="s">
        <v>13029</v>
      </c>
      <c r="D12812" s="15">
        <v>42.2</v>
      </c>
      <c r="E12812" s="14" t="s">
        <v>30</v>
      </c>
    </row>
    <row r="12813" spans="1:5" x14ac:dyDescent="0.25">
      <c r="A12813" s="14">
        <v>1034920</v>
      </c>
      <c r="B12813" s="14" t="s">
        <v>13071</v>
      </c>
      <c r="C12813" s="14" t="s">
        <v>13029</v>
      </c>
      <c r="D12813" s="15">
        <v>42.2</v>
      </c>
      <c r="E12813" s="14" t="s">
        <v>30</v>
      </c>
    </row>
    <row r="12814" spans="1:5" x14ac:dyDescent="0.25">
      <c r="A12814" s="14">
        <v>1034922</v>
      </c>
      <c r="B12814" s="14" t="s">
        <v>13072</v>
      </c>
      <c r="C12814" s="14" t="s">
        <v>13029</v>
      </c>
      <c r="D12814" s="15">
        <v>13.6</v>
      </c>
      <c r="E12814" s="14" t="s">
        <v>30</v>
      </c>
    </row>
    <row r="12815" spans="1:5" x14ac:dyDescent="0.25">
      <c r="A12815" s="14">
        <v>1035426</v>
      </c>
      <c r="B12815" s="14" t="s">
        <v>13073</v>
      </c>
      <c r="C12815" s="14" t="s">
        <v>13034</v>
      </c>
      <c r="D12815" s="15">
        <v>2.71</v>
      </c>
      <c r="E12815" s="14" t="s">
        <v>30</v>
      </c>
    </row>
    <row r="12816" spans="1:5" x14ac:dyDescent="0.25">
      <c r="A12816" s="14">
        <v>1035427</v>
      </c>
      <c r="B12816" s="14" t="s">
        <v>13074</v>
      </c>
      <c r="C12816" s="14" t="s">
        <v>13034</v>
      </c>
      <c r="D12816" s="15">
        <v>3.07</v>
      </c>
      <c r="E12816" s="14" t="s">
        <v>30</v>
      </c>
    </row>
    <row r="12817" spans="1:5" x14ac:dyDescent="0.25">
      <c r="A12817" s="14">
        <v>1035428</v>
      </c>
      <c r="B12817" s="14" t="s">
        <v>13075</v>
      </c>
      <c r="C12817" s="14" t="s">
        <v>13034</v>
      </c>
      <c r="D12817" s="15">
        <v>3.58</v>
      </c>
      <c r="E12817" s="14" t="s">
        <v>30</v>
      </c>
    </row>
    <row r="12818" spans="1:5" x14ac:dyDescent="0.25">
      <c r="A12818" s="14">
        <v>1035429</v>
      </c>
      <c r="B12818" s="14" t="s">
        <v>13076</v>
      </c>
      <c r="C12818" s="14" t="s">
        <v>13034</v>
      </c>
      <c r="D12818" s="15">
        <v>3.89</v>
      </c>
      <c r="E12818" s="14" t="s">
        <v>30</v>
      </c>
    </row>
    <row r="12819" spans="1:5" x14ac:dyDescent="0.25">
      <c r="A12819" s="14">
        <v>1035430</v>
      </c>
      <c r="B12819" s="14" t="s">
        <v>13077</v>
      </c>
      <c r="C12819" s="14" t="s">
        <v>13034</v>
      </c>
      <c r="D12819" s="15">
        <v>3.13</v>
      </c>
      <c r="E12819" s="14" t="s">
        <v>30</v>
      </c>
    </row>
    <row r="12820" spans="1:5" x14ac:dyDescent="0.25">
      <c r="A12820" s="14">
        <v>1035431</v>
      </c>
      <c r="B12820" s="14" t="s">
        <v>13078</v>
      </c>
      <c r="C12820" s="14" t="s">
        <v>13034</v>
      </c>
      <c r="D12820" s="15">
        <v>1.89</v>
      </c>
      <c r="E12820" s="14" t="s">
        <v>30</v>
      </c>
    </row>
    <row r="12821" spans="1:5" x14ac:dyDescent="0.25">
      <c r="A12821" s="14">
        <v>1035433</v>
      </c>
      <c r="B12821" s="14" t="s">
        <v>13079</v>
      </c>
      <c r="C12821" s="14" t="s">
        <v>13034</v>
      </c>
      <c r="D12821" s="15">
        <v>3.48</v>
      </c>
      <c r="E12821" s="14" t="s">
        <v>30</v>
      </c>
    </row>
    <row r="12822" spans="1:5" x14ac:dyDescent="0.25">
      <c r="A12822" s="14">
        <v>1034953</v>
      </c>
      <c r="B12822" s="14" t="s">
        <v>13080</v>
      </c>
      <c r="C12822" s="14" t="s">
        <v>13031</v>
      </c>
      <c r="D12822" s="15">
        <v>15.96</v>
      </c>
      <c r="E12822" s="14" t="s">
        <v>30</v>
      </c>
    </row>
    <row r="12823" spans="1:5" x14ac:dyDescent="0.25">
      <c r="A12823" s="14">
        <v>1034954</v>
      </c>
      <c r="B12823" s="14" t="s">
        <v>13081</v>
      </c>
      <c r="C12823" s="14" t="s">
        <v>13031</v>
      </c>
      <c r="D12823" s="15">
        <v>33.76</v>
      </c>
      <c r="E12823" s="14" t="s">
        <v>30</v>
      </c>
    </row>
    <row r="12824" spans="1:5" x14ac:dyDescent="0.25">
      <c r="A12824" s="14">
        <v>1034955</v>
      </c>
      <c r="B12824" s="14" t="s">
        <v>13082</v>
      </c>
      <c r="C12824" s="14" t="s">
        <v>13031</v>
      </c>
      <c r="D12824" s="15">
        <v>33.76</v>
      </c>
      <c r="E12824" s="14" t="s">
        <v>30</v>
      </c>
    </row>
    <row r="12825" spans="1:5" x14ac:dyDescent="0.25">
      <c r="A12825" s="14">
        <v>1035009</v>
      </c>
      <c r="B12825" s="14" t="s">
        <v>13083</v>
      </c>
      <c r="C12825" s="14" t="s">
        <v>13029</v>
      </c>
      <c r="D12825" s="15">
        <v>14.95</v>
      </c>
      <c r="E12825" s="14" t="s">
        <v>30</v>
      </c>
    </row>
    <row r="12826" spans="1:5" x14ac:dyDescent="0.25">
      <c r="A12826" s="14">
        <v>1035010</v>
      </c>
      <c r="B12826" s="14" t="s">
        <v>13084</v>
      </c>
      <c r="C12826" s="14" t="s">
        <v>13029</v>
      </c>
      <c r="D12826" s="15">
        <v>14.95</v>
      </c>
      <c r="E12826" s="14" t="s">
        <v>30</v>
      </c>
    </row>
    <row r="12827" spans="1:5" x14ac:dyDescent="0.25">
      <c r="A12827" s="14">
        <v>1035922</v>
      </c>
      <c r="B12827" s="14" t="s">
        <v>13025</v>
      </c>
      <c r="C12827" s="14" t="s">
        <v>13030</v>
      </c>
      <c r="D12827" s="15">
        <v>24.78</v>
      </c>
      <c r="E12827" s="14" t="s">
        <v>30</v>
      </c>
    </row>
    <row r="12828" spans="1:5" x14ac:dyDescent="0.25">
      <c r="A12828" s="14">
        <v>785549</v>
      </c>
      <c r="B12828" s="14" t="s">
        <v>13182</v>
      </c>
      <c r="C12828" s="14" t="s">
        <v>13030</v>
      </c>
      <c r="D12828" s="15">
        <v>4.3499999999999996</v>
      </c>
      <c r="E12828" s="14" t="s">
        <v>30</v>
      </c>
    </row>
    <row r="12829" spans="1:5" x14ac:dyDescent="0.25">
      <c r="A12829" s="14">
        <v>1028348</v>
      </c>
      <c r="B12829" s="14" t="s">
        <v>13183</v>
      </c>
      <c r="C12829" s="14" t="s">
        <v>13030</v>
      </c>
      <c r="D12829" s="15">
        <v>30.42</v>
      </c>
      <c r="E12829" s="14" t="s">
        <v>20</v>
      </c>
    </row>
    <row r="12830" spans="1:5" x14ac:dyDescent="0.25">
      <c r="A12830" s="14">
        <v>1036156</v>
      </c>
      <c r="B12830" s="14" t="s">
        <v>13184</v>
      </c>
      <c r="C12830" s="14" t="s">
        <v>13029</v>
      </c>
      <c r="D12830" s="15">
        <v>14.18</v>
      </c>
      <c r="E12830" s="14" t="s">
        <v>30</v>
      </c>
    </row>
    <row r="12831" spans="1:5" x14ac:dyDescent="0.25">
      <c r="A12831" s="14">
        <v>1029164</v>
      </c>
      <c r="B12831" s="14" t="s">
        <v>13185</v>
      </c>
      <c r="C12831" s="14" t="s">
        <v>13186</v>
      </c>
      <c r="D12831" s="15">
        <v>12.19</v>
      </c>
      <c r="E12831" s="14" t="s">
        <v>30</v>
      </c>
    </row>
    <row r="12832" spans="1:5" x14ac:dyDescent="0.25">
      <c r="A12832" s="14">
        <v>1029165</v>
      </c>
      <c r="B12832" s="14" t="s">
        <v>13187</v>
      </c>
      <c r="C12832" s="14" t="s">
        <v>13186</v>
      </c>
      <c r="D12832" s="15">
        <v>6.02</v>
      </c>
      <c r="E12832" s="14" t="s">
        <v>30</v>
      </c>
    </row>
    <row r="12833" spans="1:5" x14ac:dyDescent="0.25">
      <c r="A12833" s="14">
        <v>1029166</v>
      </c>
      <c r="B12833" s="14" t="s">
        <v>13188</v>
      </c>
      <c r="C12833" s="14" t="s">
        <v>13186</v>
      </c>
      <c r="D12833" s="15">
        <v>9.83</v>
      </c>
      <c r="E12833" s="14" t="s">
        <v>30</v>
      </c>
    </row>
    <row r="12834" spans="1:5" x14ac:dyDescent="0.25">
      <c r="A12834" s="14">
        <v>1034933</v>
      </c>
      <c r="B12834" s="14" t="s">
        <v>13189</v>
      </c>
      <c r="C12834" s="14" t="s">
        <v>13190</v>
      </c>
      <c r="D12834" s="15">
        <v>8.35</v>
      </c>
      <c r="E12834" s="14" t="s">
        <v>20</v>
      </c>
    </row>
    <row r="12835" spans="1:5" x14ac:dyDescent="0.25">
      <c r="A12835" s="14">
        <v>1034934</v>
      </c>
      <c r="B12835" s="14" t="s">
        <v>13191</v>
      </c>
      <c r="C12835" s="14" t="s">
        <v>13190</v>
      </c>
      <c r="D12835" s="15">
        <v>8.35</v>
      </c>
      <c r="E12835" s="14" t="s">
        <v>20</v>
      </c>
    </row>
    <row r="12836" spans="1:5" x14ac:dyDescent="0.25">
      <c r="A12836" s="14">
        <v>1034935</v>
      </c>
      <c r="B12836" s="14" t="s">
        <v>13192</v>
      </c>
      <c r="C12836" s="14" t="s">
        <v>13190</v>
      </c>
      <c r="D12836" s="15">
        <v>8.35</v>
      </c>
      <c r="E12836" s="14" t="s">
        <v>20</v>
      </c>
    </row>
    <row r="12837" spans="1:5" x14ac:dyDescent="0.25">
      <c r="A12837" s="14">
        <v>1034978</v>
      </c>
      <c r="B12837" s="14" t="s">
        <v>13193</v>
      </c>
      <c r="C12837" s="14" t="s">
        <v>13194</v>
      </c>
      <c r="D12837" s="15">
        <v>8.0500000000000007</v>
      </c>
      <c r="E12837" s="14" t="s">
        <v>30</v>
      </c>
    </row>
    <row r="12838" spans="1:5" x14ac:dyDescent="0.25">
      <c r="A12838" s="14">
        <v>1034979</v>
      </c>
      <c r="B12838" s="14" t="s">
        <v>13195</v>
      </c>
      <c r="C12838" s="14" t="s">
        <v>13194</v>
      </c>
      <c r="D12838" s="15">
        <v>8.0500000000000007</v>
      </c>
      <c r="E12838" s="14" t="s">
        <v>30</v>
      </c>
    </row>
    <row r="12839" spans="1:5" x14ac:dyDescent="0.25">
      <c r="A12839" s="14">
        <v>1034980</v>
      </c>
      <c r="B12839" s="14" t="s">
        <v>13196</v>
      </c>
      <c r="C12839" s="14" t="s">
        <v>13194</v>
      </c>
      <c r="D12839" s="15">
        <v>8.0500000000000007</v>
      </c>
      <c r="E12839" s="14" t="s">
        <v>30</v>
      </c>
    </row>
    <row r="12840" spans="1:5" x14ac:dyDescent="0.25">
      <c r="A12840" s="14">
        <v>1035877</v>
      </c>
      <c r="B12840" s="14" t="s">
        <v>13197</v>
      </c>
      <c r="C12840" s="14" t="s">
        <v>13198</v>
      </c>
      <c r="D12840" s="15">
        <v>3.6</v>
      </c>
      <c r="E12840" s="14" t="s">
        <v>30</v>
      </c>
    </row>
    <row r="12841" spans="1:5" x14ac:dyDescent="0.25">
      <c r="A12841" s="14">
        <v>1035878</v>
      </c>
      <c r="B12841" s="14" t="s">
        <v>13199</v>
      </c>
      <c r="C12841" s="14" t="s">
        <v>13198</v>
      </c>
      <c r="D12841" s="15">
        <v>9.09</v>
      </c>
      <c r="E12841" s="14" t="s">
        <v>30</v>
      </c>
    </row>
    <row r="12842" spans="1:5" x14ac:dyDescent="0.25">
      <c r="A12842" s="14">
        <v>1035879</v>
      </c>
      <c r="B12842" s="14" t="s">
        <v>13200</v>
      </c>
      <c r="C12842" s="14" t="s">
        <v>13198</v>
      </c>
      <c r="D12842" s="15">
        <v>5.87</v>
      </c>
      <c r="E12842" s="14" t="s">
        <v>30</v>
      </c>
    </row>
    <row r="12843" spans="1:5" x14ac:dyDescent="0.25">
      <c r="A12843" s="14">
        <v>1035880</v>
      </c>
      <c r="B12843" s="14" t="s">
        <v>13201</v>
      </c>
      <c r="C12843" s="14" t="s">
        <v>13198</v>
      </c>
      <c r="D12843" s="15">
        <v>6.47</v>
      </c>
      <c r="E12843" s="14" t="s">
        <v>30</v>
      </c>
    </row>
    <row r="12844" spans="1:5" x14ac:dyDescent="0.25">
      <c r="A12844" s="14">
        <v>1035881</v>
      </c>
      <c r="B12844" s="14" t="s">
        <v>13202</v>
      </c>
      <c r="C12844" s="14" t="s">
        <v>13198</v>
      </c>
      <c r="D12844" s="15">
        <v>14.77</v>
      </c>
      <c r="E12844" s="14" t="s">
        <v>30</v>
      </c>
    </row>
    <row r="12845" spans="1:5" x14ac:dyDescent="0.25">
      <c r="A12845" s="14">
        <v>1036154</v>
      </c>
      <c r="B12845" s="14" t="s">
        <v>13203</v>
      </c>
      <c r="C12845" s="14" t="s">
        <v>13204</v>
      </c>
      <c r="D12845" s="15">
        <v>18.45</v>
      </c>
      <c r="E12845" s="14" t="s">
        <v>30</v>
      </c>
    </row>
    <row r="12846" spans="1:5" x14ac:dyDescent="0.25">
      <c r="A12846" s="14">
        <v>1036155</v>
      </c>
      <c r="B12846" s="14" t="s">
        <v>13205</v>
      </c>
      <c r="C12846" s="14" t="s">
        <v>13204</v>
      </c>
      <c r="D12846" s="15">
        <v>16</v>
      </c>
      <c r="E12846" s="14" t="s">
        <v>30</v>
      </c>
    </row>
    <row r="12847" spans="1:5" x14ac:dyDescent="0.25">
      <c r="A12847" s="14">
        <v>1036235</v>
      </c>
      <c r="B12847" s="14" t="s">
        <v>13206</v>
      </c>
      <c r="C12847" s="14" t="s">
        <v>13207</v>
      </c>
      <c r="D12847" s="15">
        <v>10.43</v>
      </c>
      <c r="E12847" s="14" t="s">
        <v>30</v>
      </c>
    </row>
    <row r="12848" spans="1:5" x14ac:dyDescent="0.25">
      <c r="A12848" s="14">
        <v>1036236</v>
      </c>
      <c r="B12848" s="14" t="s">
        <v>13208</v>
      </c>
      <c r="C12848" s="14" t="s">
        <v>13207</v>
      </c>
      <c r="D12848" s="15">
        <v>23.75</v>
      </c>
      <c r="E12848" s="14" t="s">
        <v>30</v>
      </c>
    </row>
    <row r="12849" spans="1:5" x14ac:dyDescent="0.25">
      <c r="A12849" s="14">
        <v>1036237</v>
      </c>
      <c r="B12849" s="14" t="s">
        <v>13209</v>
      </c>
      <c r="C12849" s="14" t="s">
        <v>13207</v>
      </c>
      <c r="D12849" s="15">
        <v>30.28</v>
      </c>
      <c r="E12849" s="14" t="s">
        <v>30</v>
      </c>
    </row>
    <row r="12850" spans="1:5" x14ac:dyDescent="0.25">
      <c r="A12850" s="14">
        <v>1036239</v>
      </c>
      <c r="B12850" s="14" t="s">
        <v>13210</v>
      </c>
      <c r="C12850" s="14" t="s">
        <v>13207</v>
      </c>
      <c r="D12850" s="15">
        <v>27.48</v>
      </c>
      <c r="E12850" s="14" t="s">
        <v>30</v>
      </c>
    </row>
    <row r="12851" spans="1:5" x14ac:dyDescent="0.25">
      <c r="A12851" s="14">
        <v>1036324</v>
      </c>
      <c r="B12851" s="14" t="s">
        <v>13211</v>
      </c>
      <c r="C12851" s="14" t="s">
        <v>13045</v>
      </c>
      <c r="D12851" s="15">
        <v>2.73</v>
      </c>
      <c r="E12851" s="14" t="s">
        <v>30</v>
      </c>
    </row>
    <row r="12852" spans="1:5" x14ac:dyDescent="0.25">
      <c r="A12852" s="14">
        <v>1023841</v>
      </c>
      <c r="B12852" s="14" t="s">
        <v>13212</v>
      </c>
      <c r="C12852" s="14" t="s">
        <v>13213</v>
      </c>
      <c r="D12852" s="15">
        <v>29.6</v>
      </c>
      <c r="E12852" s="14" t="s">
        <v>30</v>
      </c>
    </row>
    <row r="12853" spans="1:5" x14ac:dyDescent="0.25">
      <c r="A12853" s="14">
        <v>1023843</v>
      </c>
      <c r="B12853" s="14" t="s">
        <v>13214</v>
      </c>
      <c r="C12853" s="14" t="s">
        <v>13213</v>
      </c>
      <c r="D12853" s="15">
        <v>29.6</v>
      </c>
      <c r="E12853" s="14" t="s">
        <v>30</v>
      </c>
    </row>
    <row r="12854" spans="1:5" x14ac:dyDescent="0.25">
      <c r="A12854" s="14">
        <v>1024299</v>
      </c>
      <c r="B12854" s="14" t="s">
        <v>13215</v>
      </c>
      <c r="C12854" s="14" t="s">
        <v>13216</v>
      </c>
      <c r="D12854" s="15">
        <v>4.5</v>
      </c>
      <c r="E12854" s="14" t="s">
        <v>30</v>
      </c>
    </row>
    <row r="12855" spans="1:5" x14ac:dyDescent="0.25">
      <c r="A12855" s="14">
        <v>1024300</v>
      </c>
      <c r="B12855" s="14" t="s">
        <v>13217</v>
      </c>
      <c r="C12855" s="14" t="s">
        <v>13216</v>
      </c>
      <c r="D12855" s="15">
        <v>4.5</v>
      </c>
      <c r="E12855" s="14" t="s">
        <v>30</v>
      </c>
    </row>
    <row r="12856" spans="1:5" x14ac:dyDescent="0.25">
      <c r="A12856" s="14">
        <v>1033625</v>
      </c>
      <c r="B12856" s="14" t="s">
        <v>13218</v>
      </c>
      <c r="C12856" s="14" t="s">
        <v>13194</v>
      </c>
      <c r="D12856" s="15">
        <v>5.34</v>
      </c>
      <c r="E12856" s="14" t="s">
        <v>20</v>
      </c>
    </row>
    <row r="12857" spans="1:5" x14ac:dyDescent="0.25">
      <c r="A12857" s="14">
        <v>1034921</v>
      </c>
      <c r="B12857" s="14" t="s">
        <v>13219</v>
      </c>
      <c r="C12857" s="14" t="s">
        <v>13042</v>
      </c>
      <c r="D12857" s="15">
        <v>13.6</v>
      </c>
      <c r="E12857" s="14" t="s">
        <v>30</v>
      </c>
    </row>
    <row r="12858" spans="1:5" x14ac:dyDescent="0.25">
      <c r="A12858" s="14">
        <v>1035979</v>
      </c>
      <c r="B12858" s="14" t="s">
        <v>13220</v>
      </c>
      <c r="C12858" s="14" t="s">
        <v>13198</v>
      </c>
      <c r="D12858" s="15">
        <v>7.2</v>
      </c>
      <c r="E12858" s="14" t="s">
        <v>30</v>
      </c>
    </row>
    <row r="12859" spans="1:5" x14ac:dyDescent="0.25">
      <c r="A12859" s="14">
        <v>1035980</v>
      </c>
      <c r="B12859" s="14" t="s">
        <v>13221</v>
      </c>
      <c r="C12859" s="14" t="s">
        <v>13198</v>
      </c>
      <c r="D12859" s="15">
        <v>38.26</v>
      </c>
      <c r="E12859" s="14" t="s">
        <v>30</v>
      </c>
    </row>
    <row r="12860" spans="1:5" x14ac:dyDescent="0.25">
      <c r="A12860" s="14">
        <v>1036136</v>
      </c>
      <c r="B12860" s="14" t="s">
        <v>13222</v>
      </c>
      <c r="C12860" s="14" t="s">
        <v>13046</v>
      </c>
      <c r="D12860" s="15">
        <v>5.87</v>
      </c>
      <c r="E12860" s="14" t="s">
        <v>30</v>
      </c>
    </row>
    <row r="12861" spans="1:5" x14ac:dyDescent="0.25">
      <c r="A12861" s="14">
        <v>1036137</v>
      </c>
      <c r="B12861" s="14" t="s">
        <v>13223</v>
      </c>
      <c r="C12861" s="14" t="s">
        <v>13046</v>
      </c>
      <c r="D12861" s="15">
        <v>14.77</v>
      </c>
      <c r="E12861" s="14" t="s">
        <v>30</v>
      </c>
    </row>
    <row r="12862" spans="1:5" x14ac:dyDescent="0.25">
      <c r="A12862" s="14">
        <v>1036138</v>
      </c>
      <c r="B12862" s="14" t="s">
        <v>13224</v>
      </c>
      <c r="C12862" s="14" t="s">
        <v>13042</v>
      </c>
      <c r="D12862" s="15">
        <v>6.47</v>
      </c>
      <c r="E12862" s="14" t="s">
        <v>30</v>
      </c>
    </row>
    <row r="12863" spans="1:5" x14ac:dyDescent="0.25">
      <c r="A12863" s="14">
        <v>1036139</v>
      </c>
      <c r="B12863" s="14" t="s">
        <v>13225</v>
      </c>
      <c r="C12863" s="14" t="s">
        <v>13042</v>
      </c>
      <c r="D12863" s="15">
        <v>4.6900000000000004</v>
      </c>
      <c r="E12863" s="14" t="s">
        <v>30</v>
      </c>
    </row>
    <row r="12864" spans="1:5" x14ac:dyDescent="0.25">
      <c r="A12864" s="14">
        <v>981136004</v>
      </c>
      <c r="B12864" s="14" t="s">
        <v>13226</v>
      </c>
      <c r="C12864" s="14" t="s">
        <v>13227</v>
      </c>
      <c r="D12864" s="15">
        <v>16.55</v>
      </c>
      <c r="E12864" s="14" t="s">
        <v>30</v>
      </c>
    </row>
    <row r="12865" spans="1:5" x14ac:dyDescent="0.25">
      <c r="A12865" s="14">
        <v>998985</v>
      </c>
      <c r="B12865" s="14" t="s">
        <v>13228</v>
      </c>
      <c r="C12865" s="14" t="s">
        <v>13036</v>
      </c>
      <c r="D12865" s="15">
        <v>0.25</v>
      </c>
      <c r="E12865" s="14" t="s">
        <v>30</v>
      </c>
    </row>
    <row r="12866" spans="1:5" x14ac:dyDescent="0.25">
      <c r="A12866" s="14">
        <v>1024536</v>
      </c>
      <c r="B12866" s="14" t="s">
        <v>13229</v>
      </c>
      <c r="C12866" s="14" t="s">
        <v>13031</v>
      </c>
      <c r="D12866" s="15">
        <v>5.59</v>
      </c>
      <c r="E12866" s="14" t="s">
        <v>20</v>
      </c>
    </row>
    <row r="12867" spans="1:5" x14ac:dyDescent="0.25">
      <c r="A12867" s="14">
        <v>1033053</v>
      </c>
      <c r="B12867" s="14" t="s">
        <v>13230</v>
      </c>
      <c r="C12867" s="14" t="s">
        <v>13029</v>
      </c>
      <c r="D12867" s="15">
        <v>16.8</v>
      </c>
      <c r="E12867" s="14" t="s">
        <v>30</v>
      </c>
    </row>
    <row r="12868" spans="1:5" x14ac:dyDescent="0.25">
      <c r="A12868" s="14">
        <v>1033054</v>
      </c>
      <c r="B12868" s="14" t="s">
        <v>13231</v>
      </c>
      <c r="C12868" s="14" t="s">
        <v>13029</v>
      </c>
      <c r="D12868" s="15">
        <v>13.6</v>
      </c>
      <c r="E12868" s="14" t="s">
        <v>30</v>
      </c>
    </row>
    <row r="12869" spans="1:5" x14ac:dyDescent="0.25">
      <c r="A12869" s="14">
        <v>1033055</v>
      </c>
      <c r="B12869" s="14" t="s">
        <v>13232</v>
      </c>
      <c r="C12869" s="14" t="s">
        <v>13029</v>
      </c>
      <c r="D12869" s="15">
        <v>13.6</v>
      </c>
      <c r="E12869" s="14" t="s">
        <v>30</v>
      </c>
    </row>
    <row r="12870" spans="1:5" x14ac:dyDescent="0.25">
      <c r="A12870" s="14">
        <v>1033056</v>
      </c>
      <c r="B12870" s="14" t="s">
        <v>13233</v>
      </c>
      <c r="C12870" s="14" t="s">
        <v>13029</v>
      </c>
      <c r="D12870" s="15">
        <v>12.16</v>
      </c>
      <c r="E12870" s="14" t="s">
        <v>30</v>
      </c>
    </row>
    <row r="12871" spans="1:5" x14ac:dyDescent="0.25">
      <c r="A12871" s="14">
        <v>1033057</v>
      </c>
      <c r="B12871" s="14" t="s">
        <v>13234</v>
      </c>
      <c r="C12871" s="14" t="s">
        <v>13029</v>
      </c>
      <c r="D12871" s="15">
        <v>16.72</v>
      </c>
      <c r="E12871" s="14" t="s">
        <v>30</v>
      </c>
    </row>
    <row r="12872" spans="1:5" x14ac:dyDescent="0.25">
      <c r="A12872" s="14">
        <v>1033058</v>
      </c>
      <c r="B12872" s="14" t="s">
        <v>13235</v>
      </c>
      <c r="C12872" s="14" t="s">
        <v>13029</v>
      </c>
      <c r="D12872" s="15">
        <v>13.2</v>
      </c>
      <c r="E12872" s="14" t="s">
        <v>30</v>
      </c>
    </row>
    <row r="12873" spans="1:5" x14ac:dyDescent="0.25">
      <c r="A12873" s="14">
        <v>517939001</v>
      </c>
      <c r="B12873" s="14" t="s">
        <v>13236</v>
      </c>
      <c r="C12873" s="14" t="s">
        <v>13031</v>
      </c>
      <c r="D12873" s="15">
        <v>6.64</v>
      </c>
      <c r="E12873" s="14" t="s">
        <v>30</v>
      </c>
    </row>
    <row r="12874" spans="1:5" x14ac:dyDescent="0.25">
      <c r="A12874" s="14">
        <v>1030665</v>
      </c>
      <c r="B12874" s="14" t="s">
        <v>13237</v>
      </c>
      <c r="C12874" s="14" t="s">
        <v>13029</v>
      </c>
      <c r="D12874" s="15">
        <v>21.79</v>
      </c>
      <c r="E12874" s="14" t="s">
        <v>30</v>
      </c>
    </row>
    <row r="12875" spans="1:5" x14ac:dyDescent="0.25">
      <c r="A12875" s="14">
        <v>1034944</v>
      </c>
      <c r="B12875" s="14" t="s">
        <v>13238</v>
      </c>
      <c r="C12875" s="14" t="s">
        <v>13030</v>
      </c>
      <c r="D12875" s="15">
        <v>48.24</v>
      </c>
      <c r="E12875" s="14" t="s">
        <v>30</v>
      </c>
    </row>
    <row r="12876" spans="1:5" x14ac:dyDescent="0.25">
      <c r="A12876" s="14">
        <v>1035923</v>
      </c>
      <c r="B12876" s="14" t="s">
        <v>13239</v>
      </c>
      <c r="C12876" s="14" t="s">
        <v>13031</v>
      </c>
      <c r="D12876" s="15">
        <v>3.95</v>
      </c>
      <c r="E12876" s="14" t="s">
        <v>30</v>
      </c>
    </row>
    <row r="12877" spans="1:5" x14ac:dyDescent="0.25">
      <c r="A12877" s="14">
        <v>1035924</v>
      </c>
      <c r="B12877" s="14" t="s">
        <v>13240</v>
      </c>
      <c r="C12877" s="14" t="s">
        <v>13031</v>
      </c>
      <c r="D12877" s="15">
        <v>3.95</v>
      </c>
      <c r="E12877" s="14" t="s">
        <v>30</v>
      </c>
    </row>
    <row r="12878" spans="1:5" x14ac:dyDescent="0.25">
      <c r="A12878" s="14">
        <v>1036060</v>
      </c>
      <c r="B12878" s="14" t="s">
        <v>13241</v>
      </c>
      <c r="C12878" s="14" t="s">
        <v>13029</v>
      </c>
      <c r="D12878" s="15">
        <v>8.25</v>
      </c>
      <c r="E12878" s="14" t="s">
        <v>30</v>
      </c>
    </row>
    <row r="12879" spans="1:5" x14ac:dyDescent="0.25">
      <c r="A12879" s="14">
        <v>1036132</v>
      </c>
      <c r="B12879" s="14" t="s">
        <v>13242</v>
      </c>
      <c r="C12879" s="14" t="s">
        <v>13031</v>
      </c>
      <c r="D12879" s="15">
        <v>2.73</v>
      </c>
      <c r="E12879" s="14" t="s">
        <v>30</v>
      </c>
    </row>
    <row r="12880" spans="1:5" x14ac:dyDescent="0.25">
      <c r="A12880" s="14">
        <v>1036133</v>
      </c>
      <c r="B12880" s="14" t="s">
        <v>13243</v>
      </c>
      <c r="C12880" s="14" t="s">
        <v>13031</v>
      </c>
      <c r="D12880" s="15">
        <v>2.73</v>
      </c>
      <c r="E12880" s="14" t="s">
        <v>30</v>
      </c>
    </row>
    <row r="12881" spans="1:5" x14ac:dyDescent="0.25">
      <c r="A12881" s="14">
        <v>1037083</v>
      </c>
      <c r="B12881" s="14" t="s">
        <v>13244</v>
      </c>
      <c r="C12881" s="14" t="s">
        <v>13030</v>
      </c>
      <c r="D12881" s="15">
        <v>24.56</v>
      </c>
      <c r="E12881" s="14" t="s">
        <v>30</v>
      </c>
    </row>
    <row r="12882" spans="1:5" x14ac:dyDescent="0.25">
      <c r="A12882" s="14">
        <v>1037092</v>
      </c>
      <c r="B12882" s="14" t="s">
        <v>13245</v>
      </c>
      <c r="C12882" s="14" t="s">
        <v>13031</v>
      </c>
      <c r="D12882" s="15">
        <v>5.34</v>
      </c>
      <c r="E12882" s="14" t="s">
        <v>30</v>
      </c>
    </row>
    <row r="12883" spans="1:5" x14ac:dyDescent="0.25">
      <c r="A12883" s="14">
        <v>1034923</v>
      </c>
      <c r="B12883" s="14" t="s">
        <v>13246</v>
      </c>
      <c r="C12883" s="14" t="s">
        <v>13031</v>
      </c>
      <c r="D12883" s="15">
        <v>8.31</v>
      </c>
      <c r="E12883" s="14" t="s">
        <v>30</v>
      </c>
    </row>
    <row r="12884" spans="1:5" x14ac:dyDescent="0.25">
      <c r="A12884" s="14">
        <v>1034924</v>
      </c>
      <c r="B12884" s="14" t="s">
        <v>13247</v>
      </c>
      <c r="C12884" s="14" t="s">
        <v>13031</v>
      </c>
      <c r="D12884" s="15">
        <v>8.31</v>
      </c>
      <c r="E12884" s="14" t="s">
        <v>30</v>
      </c>
    </row>
    <row r="12885" spans="1:5" x14ac:dyDescent="0.25">
      <c r="A12885" s="14">
        <v>536001</v>
      </c>
      <c r="B12885" s="14" t="s">
        <v>13248</v>
      </c>
      <c r="C12885" s="14" t="s">
        <v>13030</v>
      </c>
      <c r="D12885" s="15">
        <v>195.7</v>
      </c>
      <c r="E12885" s="14" t="s">
        <v>20</v>
      </c>
    </row>
    <row r="12886" spans="1:5" x14ac:dyDescent="0.25">
      <c r="A12886" s="14">
        <v>973999</v>
      </c>
      <c r="B12886" s="14" t="s">
        <v>13249</v>
      </c>
      <c r="C12886" s="14" t="s">
        <v>13030</v>
      </c>
      <c r="D12886" s="15">
        <v>126</v>
      </c>
      <c r="E12886" s="14" t="s">
        <v>20</v>
      </c>
    </row>
    <row r="12887" spans="1:5" x14ac:dyDescent="0.25">
      <c r="A12887" s="14">
        <v>974002</v>
      </c>
      <c r="B12887" s="14" t="s">
        <v>13250</v>
      </c>
      <c r="C12887" s="14" t="s">
        <v>13030</v>
      </c>
      <c r="D12887" s="15">
        <v>153</v>
      </c>
      <c r="E12887" s="14" t="s">
        <v>20</v>
      </c>
    </row>
    <row r="12888" spans="1:5" x14ac:dyDescent="0.25">
      <c r="A12888" s="14">
        <v>1034362</v>
      </c>
      <c r="B12888" s="14" t="s">
        <v>13251</v>
      </c>
      <c r="C12888" s="14" t="s">
        <v>13031</v>
      </c>
      <c r="D12888" s="15">
        <v>14.21</v>
      </c>
      <c r="E12888" s="14" t="s">
        <v>20</v>
      </c>
    </row>
    <row r="12889" spans="1:5" x14ac:dyDescent="0.25">
      <c r="A12889" s="14">
        <v>1034925</v>
      </c>
      <c r="B12889" s="14" t="s">
        <v>13252</v>
      </c>
      <c r="C12889" s="14" t="s">
        <v>13031</v>
      </c>
      <c r="D12889" s="15">
        <v>8.31</v>
      </c>
      <c r="E12889" s="14" t="s">
        <v>30</v>
      </c>
    </row>
    <row r="12890" spans="1:5" x14ac:dyDescent="0.25">
      <c r="A12890" s="14">
        <v>1034956</v>
      </c>
      <c r="B12890" s="14" t="s">
        <v>13253</v>
      </c>
      <c r="C12890" s="14" t="s">
        <v>13031</v>
      </c>
      <c r="D12890" s="15">
        <v>13.22</v>
      </c>
      <c r="E12890" s="14" t="s">
        <v>30</v>
      </c>
    </row>
    <row r="12891" spans="1:5" x14ac:dyDescent="0.25">
      <c r="A12891" s="14">
        <v>1035690</v>
      </c>
      <c r="B12891" s="14" t="s">
        <v>13254</v>
      </c>
      <c r="C12891" s="14" t="s">
        <v>13029</v>
      </c>
      <c r="D12891" s="15">
        <v>29.6</v>
      </c>
      <c r="E12891" s="14" t="s">
        <v>30</v>
      </c>
    </row>
    <row r="12892" spans="1:5" x14ac:dyDescent="0.25">
      <c r="A12892" s="14">
        <v>1036055</v>
      </c>
      <c r="B12892" s="14" t="s">
        <v>13255</v>
      </c>
      <c r="C12892" s="14" t="s">
        <v>13031</v>
      </c>
      <c r="D12892" s="15">
        <v>7.06</v>
      </c>
      <c r="E12892" s="14" t="s">
        <v>30</v>
      </c>
    </row>
    <row r="12893" spans="1:5" x14ac:dyDescent="0.25">
      <c r="A12893" s="14">
        <v>1037090</v>
      </c>
      <c r="B12893" s="14" t="s">
        <v>13256</v>
      </c>
      <c r="C12893" s="14" t="s">
        <v>13031</v>
      </c>
      <c r="D12893" s="15">
        <v>9.7799999999999994</v>
      </c>
      <c r="E12893" s="14" t="s">
        <v>30</v>
      </c>
    </row>
    <row r="12894" spans="1:5" x14ac:dyDescent="0.25">
      <c r="A12894" s="14">
        <v>1033702</v>
      </c>
      <c r="B12894" s="14" t="s">
        <v>13257</v>
      </c>
      <c r="C12894" s="14" t="s">
        <v>13029</v>
      </c>
      <c r="D12894" s="15">
        <v>2.77</v>
      </c>
      <c r="E12894" s="14" t="s">
        <v>30</v>
      </c>
    </row>
    <row r="12895" spans="1:5" x14ac:dyDescent="0.25">
      <c r="A12895" s="14">
        <v>1033704</v>
      </c>
      <c r="B12895" s="14" t="s">
        <v>13258</v>
      </c>
      <c r="C12895" s="14" t="s">
        <v>13029</v>
      </c>
      <c r="D12895" s="15">
        <v>6.2</v>
      </c>
      <c r="E12895" s="14" t="s">
        <v>30</v>
      </c>
    </row>
    <row r="12896" spans="1:5" x14ac:dyDescent="0.25">
      <c r="A12896" s="14">
        <v>1036140</v>
      </c>
      <c r="B12896" s="14" t="s">
        <v>13259</v>
      </c>
      <c r="C12896" s="14" t="s">
        <v>13029</v>
      </c>
      <c r="D12896" s="15">
        <v>15.72</v>
      </c>
      <c r="E12896" s="14" t="s">
        <v>30</v>
      </c>
    </row>
    <row r="12897" spans="1:5" x14ac:dyDescent="0.25">
      <c r="A12897" s="14">
        <v>405638002</v>
      </c>
      <c r="B12897" s="14" t="s">
        <v>13260</v>
      </c>
      <c r="C12897" s="14" t="s">
        <v>13029</v>
      </c>
      <c r="D12897" s="15">
        <v>7.38</v>
      </c>
      <c r="E12897" s="14" t="s">
        <v>30</v>
      </c>
    </row>
    <row r="12898" spans="1:5" x14ac:dyDescent="0.25">
      <c r="A12898" s="14">
        <v>1027541</v>
      </c>
      <c r="B12898" s="14" t="s">
        <v>13261</v>
      </c>
      <c r="C12898" s="14" t="s">
        <v>13262</v>
      </c>
      <c r="D12898" s="15">
        <v>54.58</v>
      </c>
      <c r="E12898" s="14" t="s">
        <v>30</v>
      </c>
    </row>
    <row r="12899" spans="1:5" x14ac:dyDescent="0.25">
      <c r="A12899" s="14">
        <v>1027542</v>
      </c>
      <c r="B12899" s="14" t="s">
        <v>13263</v>
      </c>
      <c r="C12899" s="14" t="s">
        <v>13262</v>
      </c>
      <c r="D12899" s="15">
        <v>54.58</v>
      </c>
      <c r="E12899" s="14" t="s">
        <v>30</v>
      </c>
    </row>
    <row r="12900" spans="1:5" x14ac:dyDescent="0.25">
      <c r="A12900" s="14">
        <v>1027543</v>
      </c>
      <c r="B12900" s="14" t="s">
        <v>13264</v>
      </c>
      <c r="C12900" s="14" t="s">
        <v>13262</v>
      </c>
      <c r="D12900" s="15">
        <v>54.58</v>
      </c>
      <c r="E12900" s="14" t="s">
        <v>30</v>
      </c>
    </row>
    <row r="12901" spans="1:5" x14ac:dyDescent="0.25">
      <c r="A12901" s="14">
        <v>1035930</v>
      </c>
      <c r="B12901" s="14" t="s">
        <v>13265</v>
      </c>
      <c r="C12901" s="14" t="s">
        <v>13047</v>
      </c>
      <c r="D12901" s="15">
        <v>4.09</v>
      </c>
      <c r="E12901" s="14" t="s">
        <v>30</v>
      </c>
    </row>
    <row r="12902" spans="1:5" x14ac:dyDescent="0.25">
      <c r="A12902" s="14">
        <v>1036162</v>
      </c>
      <c r="B12902" s="14" t="s">
        <v>13266</v>
      </c>
      <c r="C12902" s="14" t="s">
        <v>13045</v>
      </c>
      <c r="D12902" s="15">
        <v>7.65</v>
      </c>
      <c r="E12902" s="14" t="s">
        <v>30</v>
      </c>
    </row>
    <row r="12903" spans="1:5" x14ac:dyDescent="0.25">
      <c r="A12903" s="14">
        <v>1036163</v>
      </c>
      <c r="B12903" s="14" t="s">
        <v>13267</v>
      </c>
      <c r="C12903" s="14" t="s">
        <v>13045</v>
      </c>
      <c r="D12903" s="15">
        <v>4.09</v>
      </c>
      <c r="E12903" s="14" t="s">
        <v>30</v>
      </c>
    </row>
    <row r="12904" spans="1:5" x14ac:dyDescent="0.25">
      <c r="A12904" s="14">
        <v>1036848</v>
      </c>
      <c r="B12904" s="14" t="s">
        <v>13268</v>
      </c>
      <c r="C12904" s="14" t="s">
        <v>13269</v>
      </c>
      <c r="D12904" s="15">
        <v>28.19</v>
      </c>
      <c r="E12904" s="14" t="s">
        <v>30</v>
      </c>
    </row>
    <row r="12905" spans="1:5" x14ac:dyDescent="0.25">
      <c r="A12905" s="14">
        <v>1037062</v>
      </c>
      <c r="B12905" s="14" t="s">
        <v>13270</v>
      </c>
      <c r="C12905" s="14" t="s">
        <v>13204</v>
      </c>
      <c r="D12905" s="15">
        <v>4.82</v>
      </c>
      <c r="E12905" s="14" t="s">
        <v>30</v>
      </c>
    </row>
    <row r="12906" spans="1:5" x14ac:dyDescent="0.25">
      <c r="A12906" s="14">
        <v>1037063</v>
      </c>
      <c r="B12906" s="14" t="s">
        <v>13271</v>
      </c>
      <c r="C12906" s="14" t="s">
        <v>13204</v>
      </c>
      <c r="D12906" s="15">
        <v>10.62</v>
      </c>
      <c r="E12906" s="14" t="s">
        <v>30</v>
      </c>
    </row>
    <row r="12907" spans="1:5" x14ac:dyDescent="0.25">
      <c r="A12907" s="14">
        <v>1037064</v>
      </c>
      <c r="B12907" s="14" t="s">
        <v>13272</v>
      </c>
      <c r="C12907" s="14" t="s">
        <v>13194</v>
      </c>
      <c r="D12907" s="15">
        <v>1.31</v>
      </c>
      <c r="E12907" s="14" t="s">
        <v>30</v>
      </c>
    </row>
    <row r="12908" spans="1:5" x14ac:dyDescent="0.25">
      <c r="A12908" s="14">
        <v>1037065</v>
      </c>
      <c r="B12908" s="14" t="s">
        <v>13273</v>
      </c>
      <c r="C12908" s="14" t="s">
        <v>13194</v>
      </c>
      <c r="D12908" s="15">
        <v>1.31</v>
      </c>
      <c r="E12908" s="14" t="s">
        <v>30</v>
      </c>
    </row>
    <row r="12909" spans="1:5" x14ac:dyDescent="0.25">
      <c r="A12909" s="14">
        <v>1037066</v>
      </c>
      <c r="B12909" s="14" t="s">
        <v>13274</v>
      </c>
      <c r="C12909" s="14" t="s">
        <v>13194</v>
      </c>
      <c r="D12909" s="15">
        <v>0.66</v>
      </c>
      <c r="E12909" s="14" t="s">
        <v>30</v>
      </c>
    </row>
    <row r="12910" spans="1:5" x14ac:dyDescent="0.25">
      <c r="A12910" s="14">
        <v>1037067</v>
      </c>
      <c r="B12910" s="14" t="s">
        <v>13275</v>
      </c>
      <c r="C12910" s="14" t="s">
        <v>13194</v>
      </c>
      <c r="D12910" s="15">
        <v>0.66</v>
      </c>
      <c r="E12910" s="14" t="s">
        <v>30</v>
      </c>
    </row>
    <row r="12911" spans="1:5" x14ac:dyDescent="0.25">
      <c r="A12911" s="14">
        <v>1037078</v>
      </c>
      <c r="B12911" s="14" t="s">
        <v>13276</v>
      </c>
      <c r="C12911" s="14" t="s">
        <v>13277</v>
      </c>
      <c r="D12911" s="15">
        <v>4.9800000000000004</v>
      </c>
      <c r="E12911" s="14" t="s">
        <v>30</v>
      </c>
    </row>
    <row r="12912" spans="1:5" x14ac:dyDescent="0.25">
      <c r="A12912" s="14">
        <v>1035873</v>
      </c>
      <c r="B12912" s="14" t="s">
        <v>13278</v>
      </c>
      <c r="C12912" s="14" t="s">
        <v>13029</v>
      </c>
      <c r="D12912" s="15">
        <v>17.739999999999998</v>
      </c>
      <c r="E12912" s="14" t="s">
        <v>30</v>
      </c>
    </row>
    <row r="12913" spans="1:5" x14ac:dyDescent="0.25">
      <c r="A12913" s="14">
        <v>1035874</v>
      </c>
      <c r="B12913" s="14" t="s">
        <v>13279</v>
      </c>
      <c r="C12913" s="14" t="s">
        <v>13029</v>
      </c>
      <c r="D12913" s="15">
        <v>17.739999999999998</v>
      </c>
      <c r="E12913" s="14" t="s">
        <v>30</v>
      </c>
    </row>
    <row r="12914" spans="1:5" x14ac:dyDescent="0.25">
      <c r="A12914" s="14">
        <v>1035875</v>
      </c>
      <c r="B12914" s="14" t="s">
        <v>13280</v>
      </c>
      <c r="C12914" s="14" t="s">
        <v>13029</v>
      </c>
      <c r="D12914" s="15">
        <v>17.739999999999998</v>
      </c>
      <c r="E12914" s="14" t="s">
        <v>30</v>
      </c>
    </row>
    <row r="12915" spans="1:5" x14ac:dyDescent="0.25">
      <c r="A12915" s="14">
        <v>1036004</v>
      </c>
      <c r="B12915" s="14" t="s">
        <v>13281</v>
      </c>
      <c r="C12915" s="14" t="s">
        <v>13029</v>
      </c>
      <c r="D12915" s="15">
        <v>2.8</v>
      </c>
      <c r="E12915" s="14" t="s">
        <v>30</v>
      </c>
    </row>
    <row r="12916" spans="1:5" x14ac:dyDescent="0.25">
      <c r="A12916" s="14">
        <v>1036005</v>
      </c>
      <c r="B12916" s="14" t="s">
        <v>13282</v>
      </c>
      <c r="C12916" s="14" t="s">
        <v>13029</v>
      </c>
      <c r="D12916" s="15">
        <v>3.3</v>
      </c>
      <c r="E12916" s="14" t="s">
        <v>30</v>
      </c>
    </row>
    <row r="12917" spans="1:5" x14ac:dyDescent="0.25">
      <c r="A12917" s="14">
        <v>1036006</v>
      </c>
      <c r="B12917" s="14" t="s">
        <v>13283</v>
      </c>
      <c r="C12917" s="14" t="s">
        <v>13029</v>
      </c>
      <c r="D12917" s="15">
        <v>4.3</v>
      </c>
      <c r="E12917" s="14" t="s">
        <v>30</v>
      </c>
    </row>
    <row r="12918" spans="1:5" x14ac:dyDescent="0.25">
      <c r="A12918" s="14">
        <v>1036007</v>
      </c>
      <c r="B12918" s="14" t="s">
        <v>13284</v>
      </c>
      <c r="C12918" s="14" t="s">
        <v>13029</v>
      </c>
      <c r="D12918" s="15">
        <v>3.5</v>
      </c>
      <c r="E12918" s="14" t="s">
        <v>30</v>
      </c>
    </row>
    <row r="12919" spans="1:5" x14ac:dyDescent="0.25">
      <c r="A12919" s="14">
        <v>1036238</v>
      </c>
      <c r="B12919" s="14" t="s">
        <v>13285</v>
      </c>
      <c r="C12919" s="14" t="s">
        <v>13031</v>
      </c>
      <c r="D12919" s="15">
        <v>26.83</v>
      </c>
      <c r="E12919" s="14" t="s">
        <v>30</v>
      </c>
    </row>
    <row r="12920" spans="1:5" x14ac:dyDescent="0.25">
      <c r="A12920" s="14">
        <v>1037091</v>
      </c>
      <c r="B12920" s="14" t="s">
        <v>13286</v>
      </c>
      <c r="C12920" s="14" t="s">
        <v>13031</v>
      </c>
      <c r="D12920" s="15">
        <v>4.1500000000000004</v>
      </c>
      <c r="E12920" s="14" t="s">
        <v>30</v>
      </c>
    </row>
    <row r="12921" spans="1:5" x14ac:dyDescent="0.25">
      <c r="A12921" s="14">
        <v>1014234</v>
      </c>
      <c r="B12921" s="14" t="s">
        <v>13287</v>
      </c>
      <c r="C12921" s="14" t="s">
        <v>13213</v>
      </c>
      <c r="D12921" s="15">
        <v>27.27</v>
      </c>
      <c r="E12921" s="14" t="s">
        <v>30</v>
      </c>
    </row>
    <row r="12922" spans="1:5" x14ac:dyDescent="0.25">
      <c r="A12922" s="14">
        <v>1023557</v>
      </c>
      <c r="B12922" s="14" t="s">
        <v>13288</v>
      </c>
      <c r="C12922" s="14" t="s">
        <v>13039</v>
      </c>
      <c r="D12922" s="15">
        <v>71.19</v>
      </c>
      <c r="E12922" s="14" t="s">
        <v>20</v>
      </c>
    </row>
    <row r="12923" spans="1:5" x14ac:dyDescent="0.25">
      <c r="A12923" s="14">
        <v>1030664</v>
      </c>
      <c r="B12923" s="14" t="s">
        <v>13289</v>
      </c>
      <c r="C12923" s="14" t="s">
        <v>13047</v>
      </c>
      <c r="D12923" s="15">
        <v>27.62</v>
      </c>
      <c r="E12923" s="14" t="s">
        <v>30</v>
      </c>
    </row>
    <row r="12924" spans="1:5" x14ac:dyDescent="0.25">
      <c r="A12924" s="14">
        <v>1034967</v>
      </c>
      <c r="B12924" s="14" t="s">
        <v>13290</v>
      </c>
      <c r="C12924" s="14" t="s">
        <v>13213</v>
      </c>
      <c r="D12924" s="15">
        <v>27.36</v>
      </c>
      <c r="E12924" s="14" t="s">
        <v>30</v>
      </c>
    </row>
    <row r="12925" spans="1:5" x14ac:dyDescent="0.25">
      <c r="A12925" s="14">
        <v>1034968</v>
      </c>
      <c r="B12925" s="14" t="s">
        <v>13291</v>
      </c>
      <c r="C12925" s="14" t="s">
        <v>13213</v>
      </c>
      <c r="D12925" s="15">
        <v>24.46</v>
      </c>
      <c r="E12925" s="14" t="s">
        <v>30</v>
      </c>
    </row>
    <row r="12926" spans="1:5" x14ac:dyDescent="0.25">
      <c r="A12926" s="14">
        <v>1034969</v>
      </c>
      <c r="B12926" s="14" t="s">
        <v>13292</v>
      </c>
      <c r="C12926" s="14" t="s">
        <v>13213</v>
      </c>
      <c r="D12926" s="15">
        <v>27.36</v>
      </c>
      <c r="E12926" s="14" t="s">
        <v>30</v>
      </c>
    </row>
    <row r="12927" spans="1:5" x14ac:dyDescent="0.25">
      <c r="A12927" s="14">
        <v>1034970</v>
      </c>
      <c r="B12927" s="14" t="s">
        <v>13293</v>
      </c>
      <c r="C12927" s="14" t="s">
        <v>13213</v>
      </c>
      <c r="D12927" s="15">
        <v>18.82</v>
      </c>
      <c r="E12927" s="14" t="s">
        <v>30</v>
      </c>
    </row>
    <row r="12928" spans="1:5" x14ac:dyDescent="0.25">
      <c r="A12928" s="14">
        <v>1034971</v>
      </c>
      <c r="B12928" s="14" t="s">
        <v>13294</v>
      </c>
      <c r="C12928" s="14" t="s">
        <v>13213</v>
      </c>
      <c r="D12928" s="15">
        <v>24.2</v>
      </c>
      <c r="E12928" s="14" t="s">
        <v>30</v>
      </c>
    </row>
    <row r="12929" spans="1:5" x14ac:dyDescent="0.25">
      <c r="A12929" s="14">
        <v>1036849</v>
      </c>
      <c r="B12929" s="14" t="s">
        <v>13295</v>
      </c>
      <c r="C12929" s="14" t="s">
        <v>13047</v>
      </c>
      <c r="D12929" s="15">
        <v>15.11</v>
      </c>
      <c r="E12929" s="14" t="s">
        <v>30</v>
      </c>
    </row>
    <row r="12930" spans="1:5" x14ac:dyDescent="0.25">
      <c r="A12930" s="14">
        <v>1036850</v>
      </c>
      <c r="B12930" s="14" t="s">
        <v>13296</v>
      </c>
      <c r="C12930" s="14" t="s">
        <v>13047</v>
      </c>
      <c r="D12930" s="15">
        <v>15.11</v>
      </c>
      <c r="E12930" s="14" t="s">
        <v>30</v>
      </c>
    </row>
    <row r="12931" spans="1:5" x14ac:dyDescent="0.25">
      <c r="A12931" s="14">
        <v>1037082</v>
      </c>
      <c r="B12931" s="14" t="s">
        <v>13297</v>
      </c>
      <c r="C12931" s="14" t="s">
        <v>13039</v>
      </c>
      <c r="D12931" s="15">
        <v>53.96</v>
      </c>
      <c r="E12931" s="14" t="s">
        <v>30</v>
      </c>
    </row>
    <row r="12932" spans="1:5" x14ac:dyDescent="0.25">
      <c r="A12932" s="14">
        <v>1037084</v>
      </c>
      <c r="B12932" s="14" t="s">
        <v>13298</v>
      </c>
      <c r="C12932" s="14" t="s">
        <v>13299</v>
      </c>
      <c r="D12932" s="15">
        <v>1.97</v>
      </c>
      <c r="E12932" s="14" t="s">
        <v>30</v>
      </c>
    </row>
    <row r="12933" spans="1:5" x14ac:dyDescent="0.25">
      <c r="A12933" s="14">
        <v>986726006</v>
      </c>
      <c r="B12933" s="14" t="s">
        <v>13300</v>
      </c>
      <c r="C12933" s="14" t="s">
        <v>13301</v>
      </c>
      <c r="D12933" s="15">
        <v>4.07</v>
      </c>
      <c r="E12933" s="14" t="s">
        <v>30</v>
      </c>
    </row>
    <row r="12934" spans="1:5" x14ac:dyDescent="0.25">
      <c r="A12934" s="14">
        <v>999673001</v>
      </c>
      <c r="B12934" s="14" t="s">
        <v>13302</v>
      </c>
      <c r="C12934" s="14" t="s">
        <v>13213</v>
      </c>
      <c r="D12934" s="15">
        <v>32</v>
      </c>
      <c r="E12934" s="14" t="s">
        <v>30</v>
      </c>
    </row>
    <row r="12935" spans="1:5" x14ac:dyDescent="0.25">
      <c r="A12935" s="14">
        <v>999673002</v>
      </c>
      <c r="B12935" s="14" t="s">
        <v>13303</v>
      </c>
      <c r="C12935" s="14" t="s">
        <v>13213</v>
      </c>
      <c r="D12935" s="15">
        <v>32</v>
      </c>
      <c r="E12935" s="14" t="s">
        <v>30</v>
      </c>
    </row>
    <row r="12936" spans="1:5" x14ac:dyDescent="0.25">
      <c r="A12936" s="14">
        <v>1008641004</v>
      </c>
      <c r="B12936" s="14" t="s">
        <v>13304</v>
      </c>
      <c r="C12936" s="14" t="s">
        <v>13301</v>
      </c>
      <c r="D12936" s="15">
        <v>13.38</v>
      </c>
      <c r="E12936" s="14" t="s">
        <v>30</v>
      </c>
    </row>
    <row r="12937" spans="1:5" x14ac:dyDescent="0.25">
      <c r="A12937" s="14">
        <v>519187</v>
      </c>
      <c r="B12937" s="14" t="s">
        <v>13305</v>
      </c>
      <c r="C12937" s="14" t="s">
        <v>13045</v>
      </c>
      <c r="D12937" s="15">
        <v>2.77</v>
      </c>
      <c r="E12937" s="14" t="s">
        <v>30</v>
      </c>
    </row>
    <row r="12938" spans="1:5" x14ac:dyDescent="0.25">
      <c r="A12938" s="14">
        <v>1034278</v>
      </c>
      <c r="B12938" s="14" t="s">
        <v>13306</v>
      </c>
      <c r="C12938" s="14" t="s">
        <v>13190</v>
      </c>
      <c r="D12938" s="15">
        <v>7.12</v>
      </c>
      <c r="E12938" s="14" t="s">
        <v>30</v>
      </c>
    </row>
    <row r="12939" spans="1:5" x14ac:dyDescent="0.25">
      <c r="A12939" s="14">
        <v>1036121</v>
      </c>
      <c r="B12939" s="14" t="s">
        <v>13307</v>
      </c>
      <c r="C12939" s="14" t="s">
        <v>13308</v>
      </c>
      <c r="D12939" s="15">
        <v>10.029999999999999</v>
      </c>
      <c r="E12939" s="14" t="s">
        <v>30</v>
      </c>
    </row>
    <row r="12940" spans="1:5" x14ac:dyDescent="0.25">
      <c r="A12940" s="14">
        <v>1036122</v>
      </c>
      <c r="B12940" s="14" t="s">
        <v>13309</v>
      </c>
      <c r="C12940" s="14" t="s">
        <v>13308</v>
      </c>
      <c r="D12940" s="15">
        <v>11.81</v>
      </c>
      <c r="E12940" s="14" t="s">
        <v>30</v>
      </c>
    </row>
    <row r="12941" spans="1:5" x14ac:dyDescent="0.25">
      <c r="A12941" s="14">
        <v>1037321</v>
      </c>
      <c r="B12941" s="14" t="s">
        <v>13310</v>
      </c>
      <c r="C12941" s="14" t="s">
        <v>13301</v>
      </c>
      <c r="D12941" s="15">
        <v>4.51</v>
      </c>
      <c r="E12941" s="14" t="s">
        <v>30</v>
      </c>
    </row>
    <row r="12942" spans="1:5" x14ac:dyDescent="0.25">
      <c r="A12942" s="14">
        <v>1037333</v>
      </c>
      <c r="B12942" s="14" t="s">
        <v>13311</v>
      </c>
      <c r="C12942" s="14" t="s">
        <v>13031</v>
      </c>
      <c r="D12942" s="15">
        <v>5.29</v>
      </c>
      <c r="E12942" s="14" t="s">
        <v>30</v>
      </c>
    </row>
    <row r="12943" spans="1:5" x14ac:dyDescent="0.25">
      <c r="A12943" s="14">
        <v>1037346</v>
      </c>
      <c r="B12943" s="14" t="s">
        <v>13312</v>
      </c>
      <c r="C12943" s="14" t="s">
        <v>13029</v>
      </c>
      <c r="D12943" s="15">
        <v>9.4</v>
      </c>
      <c r="E12943" s="14" t="s">
        <v>30</v>
      </c>
    </row>
    <row r="12944" spans="1:5" x14ac:dyDescent="0.25">
      <c r="A12944" s="14">
        <v>1038012</v>
      </c>
      <c r="B12944" s="14" t="s">
        <v>13313</v>
      </c>
      <c r="C12944" s="14" t="s">
        <v>13030</v>
      </c>
      <c r="D12944" s="15">
        <v>26.58</v>
      </c>
      <c r="E12944" s="14" t="s">
        <v>30</v>
      </c>
    </row>
    <row r="12945" spans="1:5" x14ac:dyDescent="0.25">
      <c r="A12945" s="14">
        <v>1038013</v>
      </c>
      <c r="B12945" s="14" t="s">
        <v>13314</v>
      </c>
      <c r="C12945" s="14" t="s">
        <v>13030</v>
      </c>
      <c r="D12945" s="15">
        <v>26.58</v>
      </c>
      <c r="E12945" s="14" t="s">
        <v>30</v>
      </c>
    </row>
    <row r="12946" spans="1:5" x14ac:dyDescent="0.25">
      <c r="A12946" s="14">
        <v>987939</v>
      </c>
      <c r="B12946" s="14" t="s">
        <v>13338</v>
      </c>
      <c r="C12946" s="14" t="s">
        <v>13031</v>
      </c>
      <c r="D12946" s="15">
        <v>44.43</v>
      </c>
      <c r="E12946" s="14" t="s">
        <v>30</v>
      </c>
    </row>
    <row r="12947" spans="1:5" x14ac:dyDescent="0.25">
      <c r="A12947" s="14">
        <v>1005773</v>
      </c>
      <c r="B12947" s="14" t="s">
        <v>13339</v>
      </c>
      <c r="C12947" s="14" t="s">
        <v>13031</v>
      </c>
      <c r="D12947" s="15">
        <v>2.33</v>
      </c>
      <c r="E12947" s="14" t="s">
        <v>30</v>
      </c>
    </row>
    <row r="12948" spans="1:5" x14ac:dyDescent="0.25">
      <c r="A12948" s="14">
        <v>1030708</v>
      </c>
      <c r="B12948" s="14" t="s">
        <v>13340</v>
      </c>
      <c r="C12948" s="14" t="s">
        <v>13031</v>
      </c>
      <c r="D12948" s="15">
        <v>8.84</v>
      </c>
      <c r="E12948" s="14" t="s">
        <v>20</v>
      </c>
    </row>
    <row r="12949" spans="1:5" x14ac:dyDescent="0.25">
      <c r="A12949" s="14">
        <v>1033027</v>
      </c>
      <c r="B12949" s="14" t="s">
        <v>13341</v>
      </c>
      <c r="C12949" s="14" t="s">
        <v>13031</v>
      </c>
      <c r="D12949" s="15">
        <v>24.75</v>
      </c>
      <c r="E12949" s="14" t="s">
        <v>30</v>
      </c>
    </row>
    <row r="12950" spans="1:5" x14ac:dyDescent="0.25">
      <c r="A12950" s="14">
        <v>1033703</v>
      </c>
      <c r="B12950" s="14" t="s">
        <v>13342</v>
      </c>
      <c r="C12950" s="14" t="s">
        <v>13029</v>
      </c>
      <c r="D12950" s="15">
        <v>11</v>
      </c>
      <c r="E12950" s="14" t="s">
        <v>30</v>
      </c>
    </row>
    <row r="12951" spans="1:5" x14ac:dyDescent="0.25">
      <c r="A12951" s="14">
        <v>1036046</v>
      </c>
      <c r="B12951" s="14" t="s">
        <v>13343</v>
      </c>
      <c r="C12951" s="14" t="s">
        <v>13031</v>
      </c>
      <c r="D12951" s="15">
        <v>2.33</v>
      </c>
      <c r="E12951" s="14" t="s">
        <v>30</v>
      </c>
    </row>
    <row r="12952" spans="1:5" x14ac:dyDescent="0.25">
      <c r="A12952" s="14">
        <v>1036048</v>
      </c>
      <c r="B12952" s="14" t="s">
        <v>13344</v>
      </c>
      <c r="C12952" s="14" t="s">
        <v>13031</v>
      </c>
      <c r="D12952" s="15">
        <v>2.33</v>
      </c>
      <c r="E12952" s="14" t="s">
        <v>30</v>
      </c>
    </row>
    <row r="12953" spans="1:5" x14ac:dyDescent="0.25">
      <c r="A12953" s="14">
        <v>1036050</v>
      </c>
      <c r="B12953" s="14" t="s">
        <v>13345</v>
      </c>
      <c r="C12953" s="14" t="s">
        <v>13031</v>
      </c>
      <c r="D12953" s="15">
        <v>2.2599999999999998</v>
      </c>
      <c r="E12953" s="14" t="s">
        <v>30</v>
      </c>
    </row>
    <row r="12954" spans="1:5" x14ac:dyDescent="0.25">
      <c r="A12954" s="14">
        <v>1037944</v>
      </c>
      <c r="B12954" s="14" t="s">
        <v>13346</v>
      </c>
      <c r="C12954" s="14" t="s">
        <v>13029</v>
      </c>
      <c r="D12954" s="15">
        <v>19.8</v>
      </c>
      <c r="E12954" s="14" t="s">
        <v>30</v>
      </c>
    </row>
    <row r="12955" spans="1:5" x14ac:dyDescent="0.25">
      <c r="A12955" s="14">
        <v>1037945</v>
      </c>
      <c r="B12955" s="14" t="s">
        <v>13347</v>
      </c>
      <c r="C12955" s="14" t="s">
        <v>13029</v>
      </c>
      <c r="D12955" s="15">
        <v>35.200000000000003</v>
      </c>
      <c r="E12955" s="14" t="s">
        <v>30</v>
      </c>
    </row>
    <row r="12956" spans="1:5" x14ac:dyDescent="0.25">
      <c r="A12956" s="14">
        <v>1038076</v>
      </c>
      <c r="B12956" s="14" t="s">
        <v>13348</v>
      </c>
      <c r="C12956" s="14" t="s">
        <v>13031</v>
      </c>
      <c r="D12956" s="15">
        <v>19.5</v>
      </c>
      <c r="E12956" s="14" t="s">
        <v>20</v>
      </c>
    </row>
    <row r="12957" spans="1:5" x14ac:dyDescent="0.25">
      <c r="A12957" s="14">
        <v>1038152</v>
      </c>
      <c r="B12957" s="14" t="s">
        <v>13349</v>
      </c>
      <c r="C12957" s="14" t="s">
        <v>13031</v>
      </c>
      <c r="D12957" s="15">
        <v>10</v>
      </c>
      <c r="E12957" s="14" t="s">
        <v>30</v>
      </c>
    </row>
    <row r="12958" spans="1:5" x14ac:dyDescent="0.25">
      <c r="A12958" s="14">
        <v>1038153</v>
      </c>
      <c r="B12958" s="14" t="s">
        <v>13350</v>
      </c>
      <c r="C12958" s="14" t="s">
        <v>13031</v>
      </c>
      <c r="D12958" s="15">
        <v>10</v>
      </c>
      <c r="E12958" s="14" t="s">
        <v>30</v>
      </c>
    </row>
    <row r="12959" spans="1:5" x14ac:dyDescent="0.25">
      <c r="A12959" s="14">
        <v>1038190</v>
      </c>
      <c r="B12959" s="14" t="s">
        <v>13351</v>
      </c>
      <c r="C12959" s="14" t="s">
        <v>13031</v>
      </c>
      <c r="D12959" s="15">
        <v>7.1</v>
      </c>
      <c r="E12959" s="14" t="s">
        <v>30</v>
      </c>
    </row>
    <row r="12960" spans="1:5" x14ac:dyDescent="0.25">
      <c r="A12960" s="14">
        <v>1038191</v>
      </c>
      <c r="B12960" s="14" t="s">
        <v>13352</v>
      </c>
      <c r="C12960" s="14" t="s">
        <v>13031</v>
      </c>
      <c r="D12960" s="15">
        <v>8.74</v>
      </c>
      <c r="E12960" s="14" t="s">
        <v>30</v>
      </c>
    </row>
    <row r="12961" spans="1:5" x14ac:dyDescent="0.25">
      <c r="A12961" s="14">
        <v>1038233</v>
      </c>
      <c r="B12961" s="14" t="s">
        <v>13353</v>
      </c>
      <c r="C12961" s="14" t="s">
        <v>13029</v>
      </c>
      <c r="D12961" s="15">
        <v>16.47</v>
      </c>
      <c r="E12961" s="14" t="s">
        <v>30</v>
      </c>
    </row>
    <row r="12962" spans="1:5" x14ac:dyDescent="0.25">
      <c r="A12962" s="14">
        <v>1038234</v>
      </c>
      <c r="B12962" s="14" t="s">
        <v>13354</v>
      </c>
      <c r="C12962" s="14" t="s">
        <v>13029</v>
      </c>
      <c r="D12962" s="15">
        <v>16.47</v>
      </c>
      <c r="E12962" s="14" t="s">
        <v>30</v>
      </c>
    </row>
    <row r="12963" spans="1:5" x14ac:dyDescent="0.25">
      <c r="A12963" s="14">
        <v>1038235</v>
      </c>
      <c r="B12963" s="14" t="s">
        <v>13355</v>
      </c>
      <c r="C12963" s="14" t="s">
        <v>13029</v>
      </c>
      <c r="D12963" s="15">
        <v>18.12</v>
      </c>
      <c r="E12963" s="14" t="s">
        <v>30</v>
      </c>
    </row>
    <row r="12964" spans="1:5" x14ac:dyDescent="0.25">
      <c r="A12964" s="14">
        <v>1038914</v>
      </c>
      <c r="B12964" s="14" t="s">
        <v>13356</v>
      </c>
      <c r="C12964" s="14" t="s">
        <v>13031</v>
      </c>
      <c r="D12964" s="15">
        <v>6.82</v>
      </c>
      <c r="E12964" s="14" t="s">
        <v>30</v>
      </c>
    </row>
    <row r="12965" spans="1:5" x14ac:dyDescent="0.25">
      <c r="A12965" s="14">
        <v>1034273</v>
      </c>
      <c r="B12965" s="14" t="s">
        <v>13357</v>
      </c>
      <c r="C12965" s="14" t="s">
        <v>13031</v>
      </c>
      <c r="D12965" s="15">
        <v>8.9700000000000006</v>
      </c>
      <c r="E12965" s="14" t="s">
        <v>20</v>
      </c>
    </row>
    <row r="12966" spans="1:5" x14ac:dyDescent="0.25">
      <c r="A12966" s="14">
        <v>1034274</v>
      </c>
      <c r="B12966" s="14" t="s">
        <v>13358</v>
      </c>
      <c r="C12966" s="14" t="s">
        <v>13031</v>
      </c>
      <c r="D12966" s="15">
        <v>8.9700000000000006</v>
      </c>
      <c r="E12966" s="14" t="s">
        <v>20</v>
      </c>
    </row>
    <row r="12967" spans="1:5" x14ac:dyDescent="0.25">
      <c r="A12967" s="14">
        <v>1034275</v>
      </c>
      <c r="B12967" s="14" t="s">
        <v>13359</v>
      </c>
      <c r="C12967" s="14" t="s">
        <v>13031</v>
      </c>
      <c r="D12967" s="15">
        <v>8.9700000000000006</v>
      </c>
      <c r="E12967" s="14" t="s">
        <v>20</v>
      </c>
    </row>
    <row r="12968" spans="1:5" x14ac:dyDescent="0.25">
      <c r="A12968" s="14">
        <v>1038146</v>
      </c>
      <c r="B12968" s="14" t="s">
        <v>13360</v>
      </c>
      <c r="C12968" s="14" t="s">
        <v>13031</v>
      </c>
      <c r="D12968" s="15">
        <v>10.73</v>
      </c>
      <c r="E12968" s="14" t="s">
        <v>30</v>
      </c>
    </row>
    <row r="12969" spans="1:5" x14ac:dyDescent="0.25">
      <c r="A12969" s="14">
        <v>1038288</v>
      </c>
      <c r="B12969" s="14" t="s">
        <v>13361</v>
      </c>
      <c r="C12969" s="14" t="s">
        <v>13031</v>
      </c>
      <c r="D12969" s="15">
        <v>4.1500000000000004</v>
      </c>
      <c r="E12969" s="14" t="s">
        <v>30</v>
      </c>
    </row>
    <row r="12970" spans="1:5" x14ac:dyDescent="0.25">
      <c r="A12970" s="14">
        <v>1038971</v>
      </c>
      <c r="B12970" s="14" t="s">
        <v>13362</v>
      </c>
      <c r="C12970" s="14" t="s">
        <v>13029</v>
      </c>
      <c r="D12970" s="15">
        <v>32.56</v>
      </c>
      <c r="E12970" s="14" t="s">
        <v>30</v>
      </c>
    </row>
    <row r="12971" spans="1:5" x14ac:dyDescent="0.25">
      <c r="A12971" s="14">
        <v>1038972</v>
      </c>
      <c r="B12971" s="14" t="s">
        <v>13363</v>
      </c>
      <c r="C12971" s="14" t="s">
        <v>13029</v>
      </c>
      <c r="D12971" s="15">
        <v>32.56</v>
      </c>
      <c r="E12971" s="14" t="s">
        <v>30</v>
      </c>
    </row>
    <row r="12972" spans="1:5" x14ac:dyDescent="0.25">
      <c r="A12972" s="14">
        <v>1038973</v>
      </c>
      <c r="B12972" s="14" t="s">
        <v>13364</v>
      </c>
      <c r="C12972" s="14" t="s">
        <v>13029</v>
      </c>
      <c r="D12972" s="15">
        <v>32.56</v>
      </c>
      <c r="E12972" s="14" t="s">
        <v>30</v>
      </c>
    </row>
    <row r="12973" spans="1:5" x14ac:dyDescent="0.25">
      <c r="A12973" s="14">
        <v>1038974</v>
      </c>
      <c r="B12973" s="14" t="s">
        <v>13365</v>
      </c>
      <c r="C12973" s="14" t="s">
        <v>13029</v>
      </c>
      <c r="D12973" s="15">
        <v>32.56</v>
      </c>
      <c r="E12973" s="14" t="s">
        <v>30</v>
      </c>
    </row>
    <row r="12974" spans="1:5" x14ac:dyDescent="0.25">
      <c r="A12974" s="14">
        <v>1039004</v>
      </c>
      <c r="B12974" s="14" t="s">
        <v>13366</v>
      </c>
      <c r="C12974" s="14" t="s">
        <v>13030</v>
      </c>
      <c r="D12974" s="15">
        <v>45.66</v>
      </c>
      <c r="E12974" s="14" t="s">
        <v>30</v>
      </c>
    </row>
    <row r="12975" spans="1:5" x14ac:dyDescent="0.25">
      <c r="A12975" s="14">
        <v>976061</v>
      </c>
      <c r="B12975" s="14" t="s">
        <v>7147</v>
      </c>
      <c r="C12975" s="14" t="s">
        <v>13031</v>
      </c>
      <c r="D12975" s="15">
        <v>2.62</v>
      </c>
      <c r="E12975" s="16" t="s">
        <v>30</v>
      </c>
    </row>
  </sheetData>
  <autoFilter ref="O1:R11" xr:uid="{00000000-0001-0000-0300-000000000000}">
    <sortState xmlns:xlrd2="http://schemas.microsoft.com/office/spreadsheetml/2017/richdata2" ref="O2:R11">
      <sortCondition ref="Q1:Q11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RESUMEN</vt:lpstr>
      <vt:lpstr>TB</vt:lpstr>
      <vt:lpstr>DATA</vt:lpstr>
      <vt:lpstr>Hoja1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Veliz P.</dc:creator>
  <cp:lastModifiedBy>A19102472 (Limache Canales, Joe Denis)</cp:lastModifiedBy>
  <dcterms:created xsi:type="dcterms:W3CDTF">2025-02-21T13:27:56Z</dcterms:created>
  <dcterms:modified xsi:type="dcterms:W3CDTF">2025-05-21T10:05:00Z</dcterms:modified>
</cp:coreProperties>
</file>